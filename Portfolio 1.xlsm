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HP\Desktop\"/>
    </mc:Choice>
  </mc:AlternateContent>
  <xr:revisionPtr revIDLastSave="0" documentId="13_ncr:1_{85D726F0-2F96-47B2-8E9A-BBF3CEC253F1}" xr6:coauthVersionLast="47" xr6:coauthVersionMax="47" xr10:uidLastSave="{00000000-0000-0000-0000-000000000000}"/>
  <bookViews>
    <workbookView xWindow="-120" yWindow="-120" windowWidth="29040" windowHeight="15840" activeTab="4" xr2:uid="{00000000-000D-0000-FFFF-FFFF00000000}"/>
  </bookViews>
  <sheets>
    <sheet name="RawData" sheetId="2" r:id="rId1"/>
    <sheet name="SalesData" sheetId="1" r:id="rId2"/>
    <sheet name="Pivot" sheetId="9" r:id="rId3"/>
    <sheet name="Dashboard (2)" sheetId="17" r:id="rId4"/>
    <sheet name="Dashboard" sheetId="16" r:id="rId5"/>
  </sheets>
  <definedNames>
    <definedName name="agv">Pivot!$P$7</definedName>
    <definedName name="avg">Pivot!$P$7</definedName>
    <definedName name="avge">Pivot!$P$7</definedName>
    <definedName name="later">Pivot!$S$7</definedName>
    <definedName name="now">Pivot!$S$8</definedName>
    <definedName name="orde">Pivot!$P$6</definedName>
    <definedName name="order">Pivot!$P$6</definedName>
    <definedName name="orders" localSheetId="4">Table6[#All]</definedName>
    <definedName name="orders" localSheetId="3">Table6[#All]</definedName>
    <definedName name="orders">Table6[#All]</definedName>
    <definedName name="plater">Pivot!$M$14</definedName>
    <definedName name="pnow">Pivot!$M$14</definedName>
    <definedName name="pnoww">Pivot!$M$15</definedName>
    <definedName name="profi">Pivot!$P$5</definedName>
    <definedName name="profit">Pivot!$P$5</definedName>
    <definedName name="sale">Pivot!$P$4</definedName>
    <definedName name="sales">Pivot!$P$4</definedName>
    <definedName name="Slicer_Item_Category">#N/A</definedName>
    <definedName name="Slicer_Years__OrderDate">#N/A</definedName>
    <definedName name="tr">Pivot!$P$4</definedName>
    <definedName name="yoy1">Pivot!$T$4</definedName>
    <definedName name="yoy2">Pivot!$T$5</definedName>
    <definedName name="yoy3">Pivot!$T$6</definedName>
    <definedName name="yoy4">Pivot!$T$7</definedName>
  </definedNames>
  <calcPr calcId="191029"/>
  <pivotCaches>
    <pivotCache cacheId="8"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5" i="9" l="1"/>
  <c r="T4" i="9"/>
  <c r="T6" i="9"/>
  <c r="T7" i="9"/>
  <c r="P6" i="9" l="1"/>
  <c r="P5" i="9"/>
  <c r="P4" i="9"/>
  <c r="P7" i="9"/>
</calcChain>
</file>

<file path=xl/sharedStrings.xml><?xml version="1.0" encoding="utf-8"?>
<sst xmlns="http://schemas.openxmlformats.org/spreadsheetml/2006/main" count="69138" uniqueCount="10060">
  <si>
    <t>OrderID</t>
  </si>
  <si>
    <t>OrderDate</t>
  </si>
  <si>
    <t>CustomerID</t>
  </si>
  <si>
    <t>DateOfBirth</t>
  </si>
  <si>
    <t>Gender</t>
  </si>
  <si>
    <t>Item-Category</t>
  </si>
  <si>
    <t>SalesAmount</t>
  </si>
  <si>
    <t>COGS</t>
  </si>
  <si>
    <t>StoreLocation</t>
  </si>
  <si>
    <t>Region</t>
  </si>
  <si>
    <t>Size</t>
  </si>
  <si>
    <t>Colour</t>
  </si>
  <si>
    <t>Reviews</t>
  </si>
  <si>
    <t>SalesMethod</t>
  </si>
  <si>
    <t>ShoppingType</t>
  </si>
  <si>
    <t>PaymentType</t>
  </si>
  <si>
    <t>ORD-202400001</t>
  </si>
  <si>
    <t>07/08/1974</t>
  </si>
  <si>
    <t>Male</t>
  </si>
  <si>
    <t>Bag-Kids</t>
  </si>
  <si>
    <t>New York</t>
  </si>
  <si>
    <t>East</t>
  </si>
  <si>
    <t>S</t>
  </si>
  <si>
    <t>Blue</t>
  </si>
  <si>
    <t>Online</t>
  </si>
  <si>
    <t>Retail</t>
  </si>
  <si>
    <t>Cash</t>
  </si>
  <si>
    <t>ORD-202400002</t>
  </si>
  <si>
    <t>29/10/2021</t>
  </si>
  <si>
    <t>24/06/1982</t>
  </si>
  <si>
    <t>Bag-Women</t>
  </si>
  <si>
    <t>Boston</t>
  </si>
  <si>
    <t>M</t>
  </si>
  <si>
    <t>In-Store</t>
  </si>
  <si>
    <t>Bank Transfer</t>
  </si>
  <si>
    <t>ORD-202400003</t>
  </si>
  <si>
    <t>23/08/2020</t>
  </si>
  <si>
    <t>20/01/1994</t>
  </si>
  <si>
    <t>Female</t>
  </si>
  <si>
    <t>Shoes-Men</t>
  </si>
  <si>
    <t>Detroit</t>
  </si>
  <si>
    <t>North</t>
  </si>
  <si>
    <t>L</t>
  </si>
  <si>
    <t>Yellow</t>
  </si>
  <si>
    <t>ORD-202400004</t>
  </si>
  <si>
    <t>13/07/2024</t>
  </si>
  <si>
    <t>21/06/1982</t>
  </si>
  <si>
    <t>Shirt-Men</t>
  </si>
  <si>
    <t>Black</t>
  </si>
  <si>
    <t>PayPal</t>
  </si>
  <si>
    <t>ORD-202400005</t>
  </si>
  <si>
    <t>23/11/2024</t>
  </si>
  <si>
    <t>13/11/2000</t>
  </si>
  <si>
    <t>San Francisco</t>
  </si>
  <si>
    <t>West</t>
  </si>
  <si>
    <t>Red</t>
  </si>
  <si>
    <t>ORD-202400006</t>
  </si>
  <si>
    <t>01/08/1990</t>
  </si>
  <si>
    <t>Shoes-Women</t>
  </si>
  <si>
    <t>Minneapolis</t>
  </si>
  <si>
    <t>ORD-202400007</t>
  </si>
  <si>
    <t>25/01/2020</t>
  </si>
  <si>
    <t>02/12/1974</t>
  </si>
  <si>
    <t>Los Angeles</t>
  </si>
  <si>
    <t>White</t>
  </si>
  <si>
    <t>ORD-202400008</t>
  </si>
  <si>
    <t>02/10/2021</t>
  </si>
  <si>
    <t>20/12/1981</t>
  </si>
  <si>
    <t>Chicago</t>
  </si>
  <si>
    <t>Phone</t>
  </si>
  <si>
    <t>Wholesale</t>
  </si>
  <si>
    <t>ORD-202400009</t>
  </si>
  <si>
    <t>08/11/2023</t>
  </si>
  <si>
    <t>03/12/1978</t>
  </si>
  <si>
    <t>ORD-202400010</t>
  </si>
  <si>
    <t>18/10/2021</t>
  </si>
  <si>
    <t>14/07/1973</t>
  </si>
  <si>
    <t>ORD-202400011</t>
  </si>
  <si>
    <t>19/12/2024</t>
  </si>
  <si>
    <t>09/01/1979</t>
  </si>
  <si>
    <t>XL</t>
  </si>
  <si>
    <t>ORD-202400012</t>
  </si>
  <si>
    <t>06/02/2021</t>
  </si>
  <si>
    <t>23/04/1998</t>
  </si>
  <si>
    <t>Seattle</t>
  </si>
  <si>
    <t>ORD-202400013</t>
  </si>
  <si>
    <t>31/08/2023</t>
  </si>
  <si>
    <t>25/11/1980</t>
  </si>
  <si>
    <t>Green</t>
  </si>
  <si>
    <t>ORD-202400014</t>
  </si>
  <si>
    <t>26/11/1974</t>
  </si>
  <si>
    <t>ORD-202400015</t>
  </si>
  <si>
    <t>04/10/2023</t>
  </si>
  <si>
    <t>30/08/1970</t>
  </si>
  <si>
    <t>ORD-202400016</t>
  </si>
  <si>
    <t>12/10/2023</t>
  </si>
  <si>
    <t>10/09/1999</t>
  </si>
  <si>
    <t>ORD-202400017</t>
  </si>
  <si>
    <t>30/01/2023</t>
  </si>
  <si>
    <t>12/10/1992</t>
  </si>
  <si>
    <t>ORD-202400018</t>
  </si>
  <si>
    <t>17/10/2023</t>
  </si>
  <si>
    <t>14/06/1993</t>
  </si>
  <si>
    <t>ORD-202400019</t>
  </si>
  <si>
    <t>16/10/2023</t>
  </si>
  <si>
    <t>27/06/1974</t>
  </si>
  <si>
    <t>ORD-202400020</t>
  </si>
  <si>
    <t>27/09/2024</t>
  </si>
  <si>
    <t>09/05/1970</t>
  </si>
  <si>
    <t>ORD-202400021</t>
  </si>
  <si>
    <t>15/09/2024</t>
  </si>
  <si>
    <t>01/12/1991</t>
  </si>
  <si>
    <t>ORD-202400022</t>
  </si>
  <si>
    <t>05/01/2022</t>
  </si>
  <si>
    <t>07/01/1975</t>
  </si>
  <si>
    <t>ORD-202400023</t>
  </si>
  <si>
    <t>01/07/2023</t>
  </si>
  <si>
    <t>12/02/1995</t>
  </si>
  <si>
    <t>ORD-202400024</t>
  </si>
  <si>
    <t>07/05/2024</t>
  </si>
  <si>
    <t>Miami</t>
  </si>
  <si>
    <t>ORD-202400025</t>
  </si>
  <si>
    <t>24/07/2023</t>
  </si>
  <si>
    <t>22/09/1984</t>
  </si>
  <si>
    <t>ORD-202400026</t>
  </si>
  <si>
    <t>26/06/2023</t>
  </si>
  <si>
    <t>27/01/1984</t>
  </si>
  <si>
    <t>ORD-202400027</t>
  </si>
  <si>
    <t>09/08/2021</t>
  </si>
  <si>
    <t>20/02/1973</t>
  </si>
  <si>
    <t>ORD-202400028</t>
  </si>
  <si>
    <t>14/07/2023</t>
  </si>
  <si>
    <t>20/05/2000</t>
  </si>
  <si>
    <t>ORD-202400029</t>
  </si>
  <si>
    <t>31/08/2021</t>
  </si>
  <si>
    <t>12/08/1977</t>
  </si>
  <si>
    <t>ORD-202400030</t>
  </si>
  <si>
    <t>07/02/2023</t>
  </si>
  <si>
    <t>06/06/1990</t>
  </si>
  <si>
    <t>ORD-202400031</t>
  </si>
  <si>
    <t>22/09/2024</t>
  </si>
  <si>
    <t>03/11/1990</t>
  </si>
  <si>
    <t>ORD-202400032</t>
  </si>
  <si>
    <t>08/10/2022</t>
  </si>
  <si>
    <t>01/01/1990</t>
  </si>
  <si>
    <t>ORD-202400033</t>
  </si>
  <si>
    <t>04/10/2022</t>
  </si>
  <si>
    <t>13/08/1973</t>
  </si>
  <si>
    <t>ORD-202400034</t>
  </si>
  <si>
    <t>22/12/2024</t>
  </si>
  <si>
    <t>17/11/1970</t>
  </si>
  <si>
    <t>ORD-202400035</t>
  </si>
  <si>
    <t>12/06/1987</t>
  </si>
  <si>
    <t>ORD-202400036</t>
  </si>
  <si>
    <t>25/02/1978</t>
  </si>
  <si>
    <t>ORD-202400037</t>
  </si>
  <si>
    <t>12/09/1985</t>
  </si>
  <si>
    <t>ORD-202400038</t>
  </si>
  <si>
    <t>26/08/2024</t>
  </si>
  <si>
    <t>30/06/1981</t>
  </si>
  <si>
    <t>ORD-202400039</t>
  </si>
  <si>
    <t>08/02/2024</t>
  </si>
  <si>
    <t>23/07/1996</t>
  </si>
  <si>
    <t>ORD-202400040</t>
  </si>
  <si>
    <t>07/09/2024</t>
  </si>
  <si>
    <t>26/09/1974</t>
  </si>
  <si>
    <t>ORD-202400041</t>
  </si>
  <si>
    <t>31/10/2023</t>
  </si>
  <si>
    <t>15/01/1982</t>
  </si>
  <si>
    <t>ORD-202400042</t>
  </si>
  <si>
    <t>08/04/1985</t>
  </si>
  <si>
    <t>ORD-202400043</t>
  </si>
  <si>
    <t>09/01/2022</t>
  </si>
  <si>
    <t>05/03/1974</t>
  </si>
  <si>
    <t>ORD-202400044</t>
  </si>
  <si>
    <t>09/05/2022</t>
  </si>
  <si>
    <t>05/05/1980</t>
  </si>
  <si>
    <t>ORD-202400045</t>
  </si>
  <si>
    <t>09/04/2024</t>
  </si>
  <si>
    <t>16/04/1983</t>
  </si>
  <si>
    <t>ORD-202400046</t>
  </si>
  <si>
    <t>07/01/2023</t>
  </si>
  <si>
    <t>02/10/1995</t>
  </si>
  <si>
    <t>ORD-202400047</t>
  </si>
  <si>
    <t>19/08/1983</t>
  </si>
  <si>
    <t>ORD-202400048</t>
  </si>
  <si>
    <t>20/02/2020</t>
  </si>
  <si>
    <t>28/04/1979</t>
  </si>
  <si>
    <t>ORD-202400049</t>
  </si>
  <si>
    <t>25/05/2022</t>
  </si>
  <si>
    <t>14/05/1990</t>
  </si>
  <si>
    <t>ORD-202400050</t>
  </si>
  <si>
    <t>31/10/2024</t>
  </si>
  <si>
    <t>14/07/1995</t>
  </si>
  <si>
    <t>ORD-202400051</t>
  </si>
  <si>
    <t>14/01/2023</t>
  </si>
  <si>
    <t>05/02/1974</t>
  </si>
  <si>
    <t>ORD-202400052</t>
  </si>
  <si>
    <t>22/11/2023</t>
  </si>
  <si>
    <t>22/01/1992</t>
  </si>
  <si>
    <t>ORD-202400053</t>
  </si>
  <si>
    <t>02/07/1984</t>
  </si>
  <si>
    <t>ORD-202400054</t>
  </si>
  <si>
    <t>14/04/2024</t>
  </si>
  <si>
    <t>24/12/1981</t>
  </si>
  <si>
    <t>ORD-202400055</t>
  </si>
  <si>
    <t>17/02/2023</t>
  </si>
  <si>
    <t>30/01/1980</t>
  </si>
  <si>
    <t>ORD-202400056</t>
  </si>
  <si>
    <t>08/04/2021</t>
  </si>
  <si>
    <t>20/11/1996</t>
  </si>
  <si>
    <t>ORD-202400057</t>
  </si>
  <si>
    <t>18/03/2023</t>
  </si>
  <si>
    <t>12/01/1990</t>
  </si>
  <si>
    <t>ORD-202400058</t>
  </si>
  <si>
    <t>21/03/1991</t>
  </si>
  <si>
    <t>ORD-202400059</t>
  </si>
  <si>
    <t>08/01/2024</t>
  </si>
  <si>
    <t>19/06/1976</t>
  </si>
  <si>
    <t>ORD-202400060</t>
  </si>
  <si>
    <t>07/09/2022</t>
  </si>
  <si>
    <t>09/04/1994</t>
  </si>
  <si>
    <t>ORD-202400061</t>
  </si>
  <si>
    <t>24/01/1972</t>
  </si>
  <si>
    <t>ORD-202400062</t>
  </si>
  <si>
    <t>16/12/2022</t>
  </si>
  <si>
    <t>20/10/1980</t>
  </si>
  <si>
    <t>ORD-202400063</t>
  </si>
  <si>
    <t>27/10/2024</t>
  </si>
  <si>
    <t>03/06/1983</t>
  </si>
  <si>
    <t>ORD-202400064</t>
  </si>
  <si>
    <t>03/12/2024</t>
  </si>
  <si>
    <t>03/10/1987</t>
  </si>
  <si>
    <t>ORD-202400065</t>
  </si>
  <si>
    <t>27/05/2000</t>
  </si>
  <si>
    <t>ORD-202400066</t>
  </si>
  <si>
    <t>09/03/2021</t>
  </si>
  <si>
    <t>13/03/1994</t>
  </si>
  <si>
    <t>ORD-202400067</t>
  </si>
  <si>
    <t>22/07/2024</t>
  </si>
  <si>
    <t>01/01/1995</t>
  </si>
  <si>
    <t>ORD-202400068</t>
  </si>
  <si>
    <t>24/02/1991</t>
  </si>
  <si>
    <t>ORD-202400069</t>
  </si>
  <si>
    <t>10/09/2022</t>
  </si>
  <si>
    <t>18/03/1975</t>
  </si>
  <si>
    <t>ORD-202400070</t>
  </si>
  <si>
    <t>20/07/1982</t>
  </si>
  <si>
    <t>ORD-202400071</t>
  </si>
  <si>
    <t>10/02/1974</t>
  </si>
  <si>
    <t>ORD-202400072</t>
  </si>
  <si>
    <t>02/11/2021</t>
  </si>
  <si>
    <t>16/02/1970</t>
  </si>
  <si>
    <t>ORD-202400073</t>
  </si>
  <si>
    <t>07/08/1993</t>
  </si>
  <si>
    <t>ORD-202400074</t>
  </si>
  <si>
    <t>16/01/2023</t>
  </si>
  <si>
    <t>23/09/1972</t>
  </si>
  <si>
    <t>ORD-202400075</t>
  </si>
  <si>
    <t>14/07/2024</t>
  </si>
  <si>
    <t>18/10/1996</t>
  </si>
  <si>
    <t>ORD-202400076</t>
  </si>
  <si>
    <t>30/07/2024</t>
  </si>
  <si>
    <t>16/03/1985</t>
  </si>
  <si>
    <t>ORD-202400077</t>
  </si>
  <si>
    <t>02/11/1975</t>
  </si>
  <si>
    <t>ORD-202400078</t>
  </si>
  <si>
    <t>25/04/2023</t>
  </si>
  <si>
    <t>09/11/1974</t>
  </si>
  <si>
    <t>ORD-202400079</t>
  </si>
  <si>
    <t>21/12/2024</t>
  </si>
  <si>
    <t>30/12/1981</t>
  </si>
  <si>
    <t>ORD-202400080</t>
  </si>
  <si>
    <t>16/02/2024</t>
  </si>
  <si>
    <t>18/10/1993</t>
  </si>
  <si>
    <t>ORD-202400081</t>
  </si>
  <si>
    <t>29/08/1973</t>
  </si>
  <si>
    <t>ORD-202400082</t>
  </si>
  <si>
    <t>27/09/2023</t>
  </si>
  <si>
    <t>05/12/1999</t>
  </si>
  <si>
    <t>ORD-202400083</t>
  </si>
  <si>
    <t>08/08/2020</t>
  </si>
  <si>
    <t>18/11/1977</t>
  </si>
  <si>
    <t>ORD-202400084</t>
  </si>
  <si>
    <t>22/02/1988</t>
  </si>
  <si>
    <t>ORD-202400085</t>
  </si>
  <si>
    <t>12/07/1973</t>
  </si>
  <si>
    <t>ORD-202400086</t>
  </si>
  <si>
    <t>26/11/2024</t>
  </si>
  <si>
    <t>16/08/1976</t>
  </si>
  <si>
    <t>ORD-202400087</t>
  </si>
  <si>
    <t>17/10/2022</t>
  </si>
  <si>
    <t>04/11/1998</t>
  </si>
  <si>
    <t>ORD-202400088</t>
  </si>
  <si>
    <t>17/11/1982</t>
  </si>
  <si>
    <t>ORD-202400089</t>
  </si>
  <si>
    <t>01/09/2022</t>
  </si>
  <si>
    <t>28/06/1992</t>
  </si>
  <si>
    <t>ORD-202400090</t>
  </si>
  <si>
    <t>06/07/2023</t>
  </si>
  <si>
    <t>22/09/1986</t>
  </si>
  <si>
    <t>ORD-202400091</t>
  </si>
  <si>
    <t>05/11/2023</t>
  </si>
  <si>
    <t>29/09/1976</t>
  </si>
  <si>
    <t>ORD-202400092</t>
  </si>
  <si>
    <t>07/03/2022</t>
  </si>
  <si>
    <t>23/01/2000</t>
  </si>
  <si>
    <t>ORD-202400093</t>
  </si>
  <si>
    <t>18/06/1973</t>
  </si>
  <si>
    <t>ORD-202400094</t>
  </si>
  <si>
    <t>16/11/2023</t>
  </si>
  <si>
    <t>05/06/1977</t>
  </si>
  <si>
    <t>ORD-202400095</t>
  </si>
  <si>
    <t>28/08/2024</t>
  </si>
  <si>
    <t>14/09/1978</t>
  </si>
  <si>
    <t>ORD-202400096</t>
  </si>
  <si>
    <t>03/09/2020</t>
  </si>
  <si>
    <t>26/08/1986</t>
  </si>
  <si>
    <t>ORD-202400097</t>
  </si>
  <si>
    <t>22/07/2022</t>
  </si>
  <si>
    <t>08/07/1992</t>
  </si>
  <si>
    <t>ORD-202400098</t>
  </si>
  <si>
    <t>30/08/2022</t>
  </si>
  <si>
    <t>23/03/1976</t>
  </si>
  <si>
    <t>ORD-202400099</t>
  </si>
  <si>
    <t>04/06/2022</t>
  </si>
  <si>
    <t>20/06/1975</t>
  </si>
  <si>
    <t>ORD-202400100</t>
  </si>
  <si>
    <t>29/05/2024</t>
  </si>
  <si>
    <t>03/04/1989</t>
  </si>
  <si>
    <t>ORD-202400101</t>
  </si>
  <si>
    <t>29/08/2022</t>
  </si>
  <si>
    <t>15/12/1971</t>
  </si>
  <si>
    <t>ORD-202400102</t>
  </si>
  <si>
    <t>01/11/1998</t>
  </si>
  <si>
    <t>ORD-202400103</t>
  </si>
  <si>
    <t>10/06/2024</t>
  </si>
  <si>
    <t>29/11/1983</t>
  </si>
  <si>
    <t>ORD-202400104</t>
  </si>
  <si>
    <t>11/08/2024</t>
  </si>
  <si>
    <t>11/12/1987</t>
  </si>
  <si>
    <t>ORD-202400105</t>
  </si>
  <si>
    <t>31/05/2021</t>
  </si>
  <si>
    <t>29/05/1984</t>
  </si>
  <si>
    <t>ORD-202400106</t>
  </si>
  <si>
    <t>24/11/2022</t>
  </si>
  <si>
    <t>28/07/1972</t>
  </si>
  <si>
    <t>ORD-202400107</t>
  </si>
  <si>
    <t>05/03/1987</t>
  </si>
  <si>
    <t>ORD-202400108</t>
  </si>
  <si>
    <t>06/04/2021</t>
  </si>
  <si>
    <t>21/05/1992</t>
  </si>
  <si>
    <t>ORD-202400109</t>
  </si>
  <si>
    <t>07/02/2021</t>
  </si>
  <si>
    <t>12/04/1990</t>
  </si>
  <si>
    <t>ORD-202400110</t>
  </si>
  <si>
    <t>22/11/2024</t>
  </si>
  <si>
    <t>23/10/1977</t>
  </si>
  <si>
    <t>ORD-202400111</t>
  </si>
  <si>
    <t>03/02/2024</t>
  </si>
  <si>
    <t>16/11/1983</t>
  </si>
  <si>
    <t>ORD-202400112</t>
  </si>
  <si>
    <t>14/05/1996</t>
  </si>
  <si>
    <t>ORD-202400113</t>
  </si>
  <si>
    <t>25/05/2024</t>
  </si>
  <si>
    <t>16/07/1973</t>
  </si>
  <si>
    <t>ORD-202400114</t>
  </si>
  <si>
    <t>06/11/2023</t>
  </si>
  <si>
    <t>22/02/1985</t>
  </si>
  <si>
    <t>ORD-202400115</t>
  </si>
  <si>
    <t>04/06/2023</t>
  </si>
  <si>
    <t>31/08/1991</t>
  </si>
  <si>
    <t>ORD-202400116</t>
  </si>
  <si>
    <t>26/06/2022</t>
  </si>
  <si>
    <t>20/11/1987</t>
  </si>
  <si>
    <t>ORD-202400117</t>
  </si>
  <si>
    <t>23/03/2022</t>
  </si>
  <si>
    <t>08/09/1984</t>
  </si>
  <si>
    <t>ORD-202400118</t>
  </si>
  <si>
    <t>26/01/2022</t>
  </si>
  <si>
    <t>15/08/1982</t>
  </si>
  <si>
    <t>ORD-202400119</t>
  </si>
  <si>
    <t>26/10/1994</t>
  </si>
  <si>
    <t>ORD-202400120</t>
  </si>
  <si>
    <t>06/12/1978</t>
  </si>
  <si>
    <t>ORD-202400121</t>
  </si>
  <si>
    <t>16/04/1977</t>
  </si>
  <si>
    <t>ORD-202400122</t>
  </si>
  <si>
    <t>19/12/2023</t>
  </si>
  <si>
    <t>24/03/1998</t>
  </si>
  <si>
    <t>ORD-202400123</t>
  </si>
  <si>
    <t>17/01/2023</t>
  </si>
  <si>
    <t>07/09/1995</t>
  </si>
  <si>
    <t>ORD-202400124</t>
  </si>
  <si>
    <t>21/04/1979</t>
  </si>
  <si>
    <t>ORD-202400125</t>
  </si>
  <si>
    <t>07/05/2023</t>
  </si>
  <si>
    <t>08/07/1982</t>
  </si>
  <si>
    <t>ORD-202400126</t>
  </si>
  <si>
    <t>13/12/2021</t>
  </si>
  <si>
    <t>14/05/1994</t>
  </si>
  <si>
    <t>ORD-202400127</t>
  </si>
  <si>
    <t>14/04/2023</t>
  </si>
  <si>
    <t>28/02/1994</t>
  </si>
  <si>
    <t>ORD-202400128</t>
  </si>
  <si>
    <t>22/07/2000</t>
  </si>
  <si>
    <t>ORD-202400129</t>
  </si>
  <si>
    <t>03/10/1995</t>
  </si>
  <si>
    <t>ORD-202400130</t>
  </si>
  <si>
    <t>17/10/2020</t>
  </si>
  <si>
    <t>14/01/1997</t>
  </si>
  <si>
    <t>ORD-202400131</t>
  </si>
  <si>
    <t>06/04/2022</t>
  </si>
  <si>
    <t>19/08/1970</t>
  </si>
  <si>
    <t>ORD-202400132</t>
  </si>
  <si>
    <t>15/06/2021</t>
  </si>
  <si>
    <t>16/02/1981</t>
  </si>
  <si>
    <t>ORD-202400133</t>
  </si>
  <si>
    <t>06/10/1983</t>
  </si>
  <si>
    <t>ORD-202400134</t>
  </si>
  <si>
    <t>21/08/2023</t>
  </si>
  <si>
    <t>04/03/1997</t>
  </si>
  <si>
    <t>ORD-202400135</t>
  </si>
  <si>
    <t>01/02/2023</t>
  </si>
  <si>
    <t>26/07/1994</t>
  </si>
  <si>
    <t>ORD-202400136</t>
  </si>
  <si>
    <t>08/03/2020</t>
  </si>
  <si>
    <t>09/01/1993</t>
  </si>
  <si>
    <t>ORD-202400137</t>
  </si>
  <si>
    <t>11/04/1994</t>
  </si>
  <si>
    <t>ORD-202400138</t>
  </si>
  <si>
    <t>17/08/2024</t>
  </si>
  <si>
    <t>07/12/1986</t>
  </si>
  <si>
    <t>ORD-202400139</t>
  </si>
  <si>
    <t>12/01/2024</t>
  </si>
  <si>
    <t>21/05/1983</t>
  </si>
  <si>
    <t>ORD-202400140</t>
  </si>
  <si>
    <t>18/10/1980</t>
  </si>
  <si>
    <t>ORD-202400141</t>
  </si>
  <si>
    <t>29/04/2024</t>
  </si>
  <si>
    <t>04/11/1995</t>
  </si>
  <si>
    <t>ORD-202400142</t>
  </si>
  <si>
    <t>11/09/2022</t>
  </si>
  <si>
    <t>08/02/1972</t>
  </si>
  <si>
    <t>ORD-202400143</t>
  </si>
  <si>
    <t>02/08/1972</t>
  </si>
  <si>
    <t>ORD-202400144</t>
  </si>
  <si>
    <t>16/01/1982</t>
  </si>
  <si>
    <t>ORD-202400145</t>
  </si>
  <si>
    <t>03/09/2021</t>
  </si>
  <si>
    <t>18/11/1980</t>
  </si>
  <si>
    <t>ORD-202400146</t>
  </si>
  <si>
    <t>13/05/1984</t>
  </si>
  <si>
    <t>ORD-202400147</t>
  </si>
  <si>
    <t>28/04/2021</t>
  </si>
  <si>
    <t>15/01/1987</t>
  </si>
  <si>
    <t>ORD-202400148</t>
  </si>
  <si>
    <t>27/11/1991</t>
  </si>
  <si>
    <t>ORD-202400149</t>
  </si>
  <si>
    <t>28/09/1986</t>
  </si>
  <si>
    <t>ORD-202400150</t>
  </si>
  <si>
    <t>01/04/2024</t>
  </si>
  <si>
    <t>20/10/1974</t>
  </si>
  <si>
    <t>ORD-202400151</t>
  </si>
  <si>
    <t>17/12/2021</t>
  </si>
  <si>
    <t>ORD-202400152</t>
  </si>
  <si>
    <t>10/09/1993</t>
  </si>
  <si>
    <t>ORD-202400153</t>
  </si>
  <si>
    <t>14/09/1970</t>
  </si>
  <si>
    <t>ORD-202400154</t>
  </si>
  <si>
    <t>02/12/2000</t>
  </si>
  <si>
    <t>ORD-202400155</t>
  </si>
  <si>
    <t>19/08/2022</t>
  </si>
  <si>
    <t>04/01/1992</t>
  </si>
  <si>
    <t>ORD-202400156</t>
  </si>
  <si>
    <t>19/03/2020</t>
  </si>
  <si>
    <t>17/01/1987</t>
  </si>
  <si>
    <t>ORD-202400157</t>
  </si>
  <si>
    <t>20/08/1974</t>
  </si>
  <si>
    <t>ORD-202400158</t>
  </si>
  <si>
    <t>19/10/2024</t>
  </si>
  <si>
    <t>17/05/1993</t>
  </si>
  <si>
    <t>ORD-202400159</t>
  </si>
  <si>
    <t>16/11/2024</t>
  </si>
  <si>
    <t>29/03/1992</t>
  </si>
  <si>
    <t>ORD-202400160</t>
  </si>
  <si>
    <t>14/06/2021</t>
  </si>
  <si>
    <t>22/01/1997</t>
  </si>
  <si>
    <t>ORD-202400161</t>
  </si>
  <si>
    <t>12/04/2024</t>
  </si>
  <si>
    <t>26/07/1996</t>
  </si>
  <si>
    <t>ORD-202400162</t>
  </si>
  <si>
    <t>09/11/1980</t>
  </si>
  <si>
    <t>ORD-202400163</t>
  </si>
  <si>
    <t>31/01/1994</t>
  </si>
  <si>
    <t>ORD-202400164</t>
  </si>
  <si>
    <t>06/01/2022</t>
  </si>
  <si>
    <t>04/06/1974</t>
  </si>
  <si>
    <t>ORD-202400165</t>
  </si>
  <si>
    <t>03/04/1983</t>
  </si>
  <si>
    <t>ORD-202400166</t>
  </si>
  <si>
    <t>19/08/2024</t>
  </si>
  <si>
    <t>22/04/1984</t>
  </si>
  <si>
    <t>ORD-202400167</t>
  </si>
  <si>
    <t>07/08/2022</t>
  </si>
  <si>
    <t>23/09/1990</t>
  </si>
  <si>
    <t>ORD-202400168</t>
  </si>
  <si>
    <t>23/05/2021</t>
  </si>
  <si>
    <t>22/10/1972</t>
  </si>
  <si>
    <t>ORD-202400169</t>
  </si>
  <si>
    <t>23/08/2022</t>
  </si>
  <si>
    <t>10/09/1997</t>
  </si>
  <si>
    <t>ORD-202400170</t>
  </si>
  <si>
    <t>22/10/2023</t>
  </si>
  <si>
    <t>19/03/1987</t>
  </si>
  <si>
    <t>ORD-202400171</t>
  </si>
  <si>
    <t>27/09/1991</t>
  </si>
  <si>
    <t>ORD-202400172</t>
  </si>
  <si>
    <t>20/06/1971</t>
  </si>
  <si>
    <t>ORD-202400173</t>
  </si>
  <si>
    <t>22/01/2022</t>
  </si>
  <si>
    <t>19/10/1989</t>
  </si>
  <si>
    <t>ORD-202400174</t>
  </si>
  <si>
    <t>29/11/2000</t>
  </si>
  <si>
    <t>ORD-202400175</t>
  </si>
  <si>
    <t>21/10/2022</t>
  </si>
  <si>
    <t>29/12/1981</t>
  </si>
  <si>
    <t>ORD-202400176</t>
  </si>
  <si>
    <t>14/08/1987</t>
  </si>
  <si>
    <t>ORD-202400177</t>
  </si>
  <si>
    <t>07/07/2024</t>
  </si>
  <si>
    <t>25/05/1990</t>
  </si>
  <si>
    <t>ORD-202400178</t>
  </si>
  <si>
    <t>19/04/2022</t>
  </si>
  <si>
    <t>11/03/1992</t>
  </si>
  <si>
    <t>ORD-202400179</t>
  </si>
  <si>
    <t>05/03/2023</t>
  </si>
  <si>
    <t>01/02/1977</t>
  </si>
  <si>
    <t>ORD-202400180</t>
  </si>
  <si>
    <t>04/06/1977</t>
  </si>
  <si>
    <t>ORD-202400181</t>
  </si>
  <si>
    <t>05/01/2023</t>
  </si>
  <si>
    <t>13/05/1970</t>
  </si>
  <si>
    <t>ORD-202400182</t>
  </si>
  <si>
    <t>10/03/2021</t>
  </si>
  <si>
    <t>12/10/1998</t>
  </si>
  <si>
    <t>ORD-202400183</t>
  </si>
  <si>
    <t>14/02/2024</t>
  </si>
  <si>
    <t>05/07/1974</t>
  </si>
  <si>
    <t>ORD-202400184</t>
  </si>
  <si>
    <t>20/12/2022</t>
  </si>
  <si>
    <t>16/03/1971</t>
  </si>
  <si>
    <t>ORD-202400185</t>
  </si>
  <si>
    <t>06/02/2023</t>
  </si>
  <si>
    <t>12/09/1993</t>
  </si>
  <si>
    <t>ORD-202400186</t>
  </si>
  <si>
    <t>08/11/1987</t>
  </si>
  <si>
    <t>ORD-202400187</t>
  </si>
  <si>
    <t>20/12/1976</t>
  </si>
  <si>
    <t>ORD-202400188</t>
  </si>
  <si>
    <t>ORD-202400189</t>
  </si>
  <si>
    <t>17/05/2024</t>
  </si>
  <si>
    <t>19/04/1975</t>
  </si>
  <si>
    <t>ORD-202400190</t>
  </si>
  <si>
    <t>11/06/1981</t>
  </si>
  <si>
    <t>ORD-202400191</t>
  </si>
  <si>
    <t>01/12/2024</t>
  </si>
  <si>
    <t>23/10/1988</t>
  </si>
  <si>
    <t>ORD-202400192</t>
  </si>
  <si>
    <t>24/01/2023</t>
  </si>
  <si>
    <t>26/12/1987</t>
  </si>
  <si>
    <t>ORD-202400193</t>
  </si>
  <si>
    <t>08/07/2021</t>
  </si>
  <si>
    <t>17/07/1996</t>
  </si>
  <si>
    <t>ORD-202400194</t>
  </si>
  <si>
    <t>01/01/2024</t>
  </si>
  <si>
    <t>27/06/1999</t>
  </si>
  <si>
    <t>ORD-202400195</t>
  </si>
  <si>
    <t>24/09/2021</t>
  </si>
  <si>
    <t>12/07/1988</t>
  </si>
  <si>
    <t>ORD-202400196</t>
  </si>
  <si>
    <t>30/05/2021</t>
  </si>
  <si>
    <t>16/09/1981</t>
  </si>
  <si>
    <t>ORD-202400197</t>
  </si>
  <si>
    <t>27/11/1990</t>
  </si>
  <si>
    <t>ORD-202400198</t>
  </si>
  <si>
    <t>04/11/2024</t>
  </si>
  <si>
    <t>23/10/1971</t>
  </si>
  <si>
    <t>ORD-202400199</t>
  </si>
  <si>
    <t>17/03/1981</t>
  </si>
  <si>
    <t>ORD-202400200</t>
  </si>
  <si>
    <t>27/11/2023</t>
  </si>
  <si>
    <t>08/10/1973</t>
  </si>
  <si>
    <t>ORD-202400201</t>
  </si>
  <si>
    <t>09/08/2024</t>
  </si>
  <si>
    <t>20/09/1987</t>
  </si>
  <si>
    <t>ORD-202400202</t>
  </si>
  <si>
    <t>13/09/2023</t>
  </si>
  <si>
    <t>25/06/1988</t>
  </si>
  <si>
    <t>ORD-202400203</t>
  </si>
  <si>
    <t>06/10/2022</t>
  </si>
  <si>
    <t>28/09/1991</t>
  </si>
  <si>
    <t>ORD-202400204</t>
  </si>
  <si>
    <t>28/02/1977</t>
  </si>
  <si>
    <t>ORD-202400205</t>
  </si>
  <si>
    <t>24/12/2023</t>
  </si>
  <si>
    <t>04/02/1986</t>
  </si>
  <si>
    <t>ORD-202400206</t>
  </si>
  <si>
    <t>01/01/2023</t>
  </si>
  <si>
    <t>18/11/1984</t>
  </si>
  <si>
    <t>ORD-202400207</t>
  </si>
  <si>
    <t>10/07/2024</t>
  </si>
  <si>
    <t>14/09/1999</t>
  </si>
  <si>
    <t>ORD-202400208</t>
  </si>
  <si>
    <t>11/11/2023</t>
  </si>
  <si>
    <t>03/01/1986</t>
  </si>
  <si>
    <t>ORD-202400209</t>
  </si>
  <si>
    <t>29/11/1979</t>
  </si>
  <si>
    <t>ORD-202400210</t>
  </si>
  <si>
    <t>16/08/2024</t>
  </si>
  <si>
    <t>06/07/1970</t>
  </si>
  <si>
    <t>ORD-202400211</t>
  </si>
  <si>
    <t>07/10/2022</t>
  </si>
  <si>
    <t>02/11/1986</t>
  </si>
  <si>
    <t>ORD-202400212</t>
  </si>
  <si>
    <t>28/03/2020</t>
  </si>
  <si>
    <t>04/11/1986</t>
  </si>
  <si>
    <t>ORD-202400213</t>
  </si>
  <si>
    <t>21/03/2024</t>
  </si>
  <si>
    <t>27/05/1972</t>
  </si>
  <si>
    <t>ORD-202400214</t>
  </si>
  <si>
    <t>06/12/1973</t>
  </si>
  <si>
    <t>ORD-202400215</t>
  </si>
  <si>
    <t>15/05/2024</t>
  </si>
  <si>
    <t>02/02/1974</t>
  </si>
  <si>
    <t>ORD-202400216</t>
  </si>
  <si>
    <t>10/12/1999</t>
  </si>
  <si>
    <t>ORD-202400217</t>
  </si>
  <si>
    <t>20/10/2024</t>
  </si>
  <si>
    <t>27/07/1980</t>
  </si>
  <si>
    <t>ORD-202400218</t>
  </si>
  <si>
    <t>29/03/2024</t>
  </si>
  <si>
    <t>01/07/1977</t>
  </si>
  <si>
    <t>ORD-202400219</t>
  </si>
  <si>
    <t>10/10/2023</t>
  </si>
  <si>
    <t>18/08/1984</t>
  </si>
  <si>
    <t>ORD-202400220</t>
  </si>
  <si>
    <t>01/11/1982</t>
  </si>
  <si>
    <t>ORD-202400221</t>
  </si>
  <si>
    <t>14/11/1984</t>
  </si>
  <si>
    <t>ORD-202400222</t>
  </si>
  <si>
    <t>26/04/2024</t>
  </si>
  <si>
    <t>11/01/1976</t>
  </si>
  <si>
    <t>ORD-202400223</t>
  </si>
  <si>
    <t>17/02/1977</t>
  </si>
  <si>
    <t>ORD-202400224</t>
  </si>
  <si>
    <t>16/04/1982</t>
  </si>
  <si>
    <t>ORD-202400225</t>
  </si>
  <si>
    <t>25/03/2022</t>
  </si>
  <si>
    <t>08/08/1981</t>
  </si>
  <si>
    <t>ORD-202400226</t>
  </si>
  <si>
    <t>27/11/2024</t>
  </si>
  <si>
    <t>08/10/1977</t>
  </si>
  <si>
    <t>ORD-202400227</t>
  </si>
  <si>
    <t>25/10/1987</t>
  </si>
  <si>
    <t>ORD-202400228</t>
  </si>
  <si>
    <t>18/09/1981</t>
  </si>
  <si>
    <t>ORD-202400229</t>
  </si>
  <si>
    <t>24/02/1988</t>
  </si>
  <si>
    <t>ORD-202400230</t>
  </si>
  <si>
    <t>02/07/1999</t>
  </si>
  <si>
    <t>ORD-202400231</t>
  </si>
  <si>
    <t>11/11/1988</t>
  </si>
  <si>
    <t>ORD-202400232</t>
  </si>
  <si>
    <t>07/10/1993</t>
  </si>
  <si>
    <t>ORD-202400233</t>
  </si>
  <si>
    <t>19/06/2020</t>
  </si>
  <si>
    <t>22/04/1998</t>
  </si>
  <si>
    <t>ORD-202400234</t>
  </si>
  <si>
    <t>02/09/2022</t>
  </si>
  <si>
    <t>13/03/1987</t>
  </si>
  <si>
    <t>ORD-202400235</t>
  </si>
  <si>
    <t>08/03/2022</t>
  </si>
  <si>
    <t>10/08/1974</t>
  </si>
  <si>
    <t>ORD-202400236</t>
  </si>
  <si>
    <t>08/09/2022</t>
  </si>
  <si>
    <t>11/02/1986</t>
  </si>
  <si>
    <t>ORD-202400237</t>
  </si>
  <si>
    <t>31/12/2021</t>
  </si>
  <si>
    <t>08/03/1999</t>
  </si>
  <si>
    <t>ORD-202400238</t>
  </si>
  <si>
    <t>03/05/1981</t>
  </si>
  <si>
    <t>ORD-202400239</t>
  </si>
  <si>
    <t>23/02/2024</t>
  </si>
  <si>
    <t>12/12/1992</t>
  </si>
  <si>
    <t>ORD-202400240</t>
  </si>
  <si>
    <t>26/04/1979</t>
  </si>
  <si>
    <t>ORD-202400241</t>
  </si>
  <si>
    <t>26/11/1998</t>
  </si>
  <si>
    <t>ORD-202400242</t>
  </si>
  <si>
    <t>22/01/1972</t>
  </si>
  <si>
    <t>ORD-202400243</t>
  </si>
  <si>
    <t>12/03/1982</t>
  </si>
  <si>
    <t>ORD-202400244</t>
  </si>
  <si>
    <t>13/08/2023</t>
  </si>
  <si>
    <t>17/02/1978</t>
  </si>
  <si>
    <t>ORD-202400245</t>
  </si>
  <si>
    <t>13/12/2024</t>
  </si>
  <si>
    <t>17/07/1993</t>
  </si>
  <si>
    <t>ORD-202400246</t>
  </si>
  <si>
    <t>06/01/2023</t>
  </si>
  <si>
    <t>11/11/1998</t>
  </si>
  <si>
    <t>ORD-202400247</t>
  </si>
  <si>
    <t>01/05/2022</t>
  </si>
  <si>
    <t>15/07/1973</t>
  </si>
  <si>
    <t>ORD-202400248</t>
  </si>
  <si>
    <t>29/01/1974</t>
  </si>
  <si>
    <t>ORD-202400249</t>
  </si>
  <si>
    <t>05/07/2024</t>
  </si>
  <si>
    <t>20/04/1990</t>
  </si>
  <si>
    <t>ORD-202400250</t>
  </si>
  <si>
    <t>28/07/2024</t>
  </si>
  <si>
    <t>19/10/1974</t>
  </si>
  <si>
    <t>ORD-202400251</t>
  </si>
  <si>
    <t>11/12/2023</t>
  </si>
  <si>
    <t>31/05/1996</t>
  </si>
  <si>
    <t>ORD-202400252</t>
  </si>
  <si>
    <t>31/03/2024</t>
  </si>
  <si>
    <t>15/12/1995</t>
  </si>
  <si>
    <t>ORD-202400253</t>
  </si>
  <si>
    <t>31/05/2022</t>
  </si>
  <si>
    <t>25/04/1990</t>
  </si>
  <si>
    <t>ORD-202400254</t>
  </si>
  <si>
    <t>17/12/2024</t>
  </si>
  <si>
    <t>28/06/1985</t>
  </si>
  <si>
    <t>ORD-202400255</t>
  </si>
  <si>
    <t>01/10/2023</t>
  </si>
  <si>
    <t>29/10/1982</t>
  </si>
  <si>
    <t>ORD-202400256</t>
  </si>
  <si>
    <t>29/03/1983</t>
  </si>
  <si>
    <t>ORD-202400257</t>
  </si>
  <si>
    <t>02/08/2022</t>
  </si>
  <si>
    <t>25/09/2000</t>
  </si>
  <si>
    <t>ORD-202400258</t>
  </si>
  <si>
    <t>01/04/2022</t>
  </si>
  <si>
    <t>15/08/2000</t>
  </si>
  <si>
    <t>ORD-202400259</t>
  </si>
  <si>
    <t>17/10/1971</t>
  </si>
  <si>
    <t>ORD-202400260</t>
  </si>
  <si>
    <t>24/02/1977</t>
  </si>
  <si>
    <t>ORD-202400261</t>
  </si>
  <si>
    <t>23/02/1975</t>
  </si>
  <si>
    <t>ORD-202400262</t>
  </si>
  <si>
    <t>27/10/1986</t>
  </si>
  <si>
    <t>ORD-202400263</t>
  </si>
  <si>
    <t>20/04/2023</t>
  </si>
  <si>
    <t>29/09/2000</t>
  </si>
  <si>
    <t>ORD-202400264</t>
  </si>
  <si>
    <t>13/01/1995</t>
  </si>
  <si>
    <t>ORD-202400265</t>
  </si>
  <si>
    <t>16/01/1972</t>
  </si>
  <si>
    <t>ORD-202400266</t>
  </si>
  <si>
    <t>13/02/1976</t>
  </si>
  <si>
    <t>ORD-202400267</t>
  </si>
  <si>
    <t>13/02/2023</t>
  </si>
  <si>
    <t>02/09/1983</t>
  </si>
  <si>
    <t>ORD-202400268</t>
  </si>
  <si>
    <t>10/09/1990</t>
  </si>
  <si>
    <t>ORD-202400269</t>
  </si>
  <si>
    <t>10/04/2023</t>
  </si>
  <si>
    <t>03/04/1984</t>
  </si>
  <si>
    <t>ORD-202400270</t>
  </si>
  <si>
    <t>25/11/2021</t>
  </si>
  <si>
    <t>25/07/1989</t>
  </si>
  <si>
    <t>ORD-202400271</t>
  </si>
  <si>
    <t>ORD-202400272</t>
  </si>
  <si>
    <t>19/05/1994</t>
  </si>
  <si>
    <t>ORD-202400273</t>
  </si>
  <si>
    <t>06/12/2023</t>
  </si>
  <si>
    <t>18/09/1980</t>
  </si>
  <si>
    <t>ORD-202400274</t>
  </si>
  <si>
    <t>15/04/2020</t>
  </si>
  <si>
    <t>26/03/1993</t>
  </si>
  <si>
    <t>ORD-202400275</t>
  </si>
  <si>
    <t>31/03/2023</t>
  </si>
  <si>
    <t>24/11/1986</t>
  </si>
  <si>
    <t>ORD-202400276</t>
  </si>
  <si>
    <t>19/04/1970</t>
  </si>
  <si>
    <t>ORD-202400277</t>
  </si>
  <si>
    <t>28/02/2024</t>
  </si>
  <si>
    <t>08/08/1991</t>
  </si>
  <si>
    <t>ORD-202400278</t>
  </si>
  <si>
    <t>18/06/1977</t>
  </si>
  <si>
    <t>ORD-202400279</t>
  </si>
  <si>
    <t>03/11/2024</t>
  </si>
  <si>
    <t>27/05/1976</t>
  </si>
  <si>
    <t>ORD-202400280</t>
  </si>
  <si>
    <t>16/12/2024</t>
  </si>
  <si>
    <t>30/10/1988</t>
  </si>
  <si>
    <t>ORD-202400281</t>
  </si>
  <si>
    <t>15/02/1999</t>
  </si>
  <si>
    <t>ORD-202400282</t>
  </si>
  <si>
    <t>11/05/2022</t>
  </si>
  <si>
    <t>28/05/1991</t>
  </si>
  <si>
    <t>ORD-202400283</t>
  </si>
  <si>
    <t>16/04/2022</t>
  </si>
  <si>
    <t>07/11/2000</t>
  </si>
  <si>
    <t>ORD-202400284</t>
  </si>
  <si>
    <t>13/10/2022</t>
  </si>
  <si>
    <t>23/08/1991</t>
  </si>
  <si>
    <t>ORD-202400285</t>
  </si>
  <si>
    <t>25/12/2021</t>
  </si>
  <si>
    <t>04/04/1977</t>
  </si>
  <si>
    <t>ORD-202400286</t>
  </si>
  <si>
    <t>20/10/1981</t>
  </si>
  <si>
    <t>ORD-202400287</t>
  </si>
  <si>
    <t>20/06/1999</t>
  </si>
  <si>
    <t>ORD-202400288</t>
  </si>
  <si>
    <t>24/07/2022</t>
  </si>
  <si>
    <t>03/11/1985</t>
  </si>
  <si>
    <t>ORD-202400289</t>
  </si>
  <si>
    <t>14/02/1988</t>
  </si>
  <si>
    <t>ORD-202400290</t>
  </si>
  <si>
    <t>22/12/2023</t>
  </si>
  <si>
    <t>11/11/1989</t>
  </si>
  <si>
    <t>ORD-202400291</t>
  </si>
  <si>
    <t>22/04/2024</t>
  </si>
  <si>
    <t>13/05/2000</t>
  </si>
  <si>
    <t>ORD-202400292</t>
  </si>
  <si>
    <t>31/08/2024</t>
  </si>
  <si>
    <t>30/01/1984</t>
  </si>
  <si>
    <t>ORD-202400293</t>
  </si>
  <si>
    <t>01/07/2024</t>
  </si>
  <si>
    <t>30/12/1976</t>
  </si>
  <si>
    <t>ORD-202400294</t>
  </si>
  <si>
    <t>29/04/1982</t>
  </si>
  <si>
    <t>ORD-202400295</t>
  </si>
  <si>
    <t>30/08/1987</t>
  </si>
  <si>
    <t>ORD-202400296</t>
  </si>
  <si>
    <t>16/10/1981</t>
  </si>
  <si>
    <t>ORD-202400297</t>
  </si>
  <si>
    <t>01/11/1995</t>
  </si>
  <si>
    <t>ORD-202400298</t>
  </si>
  <si>
    <t>19/11/2023</t>
  </si>
  <si>
    <t>11/03/1993</t>
  </si>
  <si>
    <t>ORD-202400299</t>
  </si>
  <si>
    <t>13/05/2024</t>
  </si>
  <si>
    <t>12/03/1986</t>
  </si>
  <si>
    <t>ORD-202400300</t>
  </si>
  <si>
    <t>07/09/2023</t>
  </si>
  <si>
    <t>18/01/1990</t>
  </si>
  <si>
    <t>ORD-202400301</t>
  </si>
  <si>
    <t>19/03/1984</t>
  </si>
  <si>
    <t>ORD-202400302</t>
  </si>
  <si>
    <t>04/08/1973</t>
  </si>
  <si>
    <t>ORD-202400303</t>
  </si>
  <si>
    <t>19/07/2023</t>
  </si>
  <si>
    <t>17/11/1983</t>
  </si>
  <si>
    <t>ORD-202400304</t>
  </si>
  <si>
    <t>22/03/1982</t>
  </si>
  <si>
    <t>ORD-202400305</t>
  </si>
  <si>
    <t>27/06/2022</t>
  </si>
  <si>
    <t>10/08/1991</t>
  </si>
  <si>
    <t>ORD-202400306</t>
  </si>
  <si>
    <t>ORD-202400307</t>
  </si>
  <si>
    <t>27/11/2021</t>
  </si>
  <si>
    <t>26/06/1987</t>
  </si>
  <si>
    <t>ORD-202400308</t>
  </si>
  <si>
    <t>05/02/2022</t>
  </si>
  <si>
    <t>08/03/1978</t>
  </si>
  <si>
    <t>ORD-202400309</t>
  </si>
  <si>
    <t>24/05/2024</t>
  </si>
  <si>
    <t>28/01/1982</t>
  </si>
  <si>
    <t>ORD-202400310</t>
  </si>
  <si>
    <t>21/07/1976</t>
  </si>
  <si>
    <t>ORD-202400311</t>
  </si>
  <si>
    <t>16/07/2024</t>
  </si>
  <si>
    <t>14/11/1989</t>
  </si>
  <si>
    <t>ORD-202400312</t>
  </si>
  <si>
    <t>08/10/2020</t>
  </si>
  <si>
    <t>14/05/1993</t>
  </si>
  <si>
    <t>ORD-202400313</t>
  </si>
  <si>
    <t>22/07/2023</t>
  </si>
  <si>
    <t>26/11/1980</t>
  </si>
  <si>
    <t>ORD-202400314</t>
  </si>
  <si>
    <t>22/01/1994</t>
  </si>
  <si>
    <t>ORD-202400315</t>
  </si>
  <si>
    <t>07/05/1994</t>
  </si>
  <si>
    <t>ORD-202400316</t>
  </si>
  <si>
    <t>18/04/1994</t>
  </si>
  <si>
    <t>ORD-202400317</t>
  </si>
  <si>
    <t>20/05/1987</t>
  </si>
  <si>
    <t>ORD-202400318</t>
  </si>
  <si>
    <t>24/01/1979</t>
  </si>
  <si>
    <t>ORD-202400319</t>
  </si>
  <si>
    <t>01/06/1999</t>
  </si>
  <si>
    <t>ORD-202400320</t>
  </si>
  <si>
    <t>04/06/2024</t>
  </si>
  <si>
    <t>30/06/1973</t>
  </si>
  <si>
    <t>ORD-202400321</t>
  </si>
  <si>
    <t>24/02/2022</t>
  </si>
  <si>
    <t>25/08/1998</t>
  </si>
  <si>
    <t>ORD-202400322</t>
  </si>
  <si>
    <t>04/09/1994</t>
  </si>
  <si>
    <t>ORD-202400323</t>
  </si>
  <si>
    <t>23/07/2023</t>
  </si>
  <si>
    <t>04/01/1970</t>
  </si>
  <si>
    <t>ORD-202400324</t>
  </si>
  <si>
    <t>18/09/2024</t>
  </si>
  <si>
    <t>15/12/1994</t>
  </si>
  <si>
    <t>ORD-202400325</t>
  </si>
  <si>
    <t>ORD-202400326</t>
  </si>
  <si>
    <t>11/08/2022</t>
  </si>
  <si>
    <t>07/09/1988</t>
  </si>
  <si>
    <t>ORD-202400327</t>
  </si>
  <si>
    <t>20/03/2023</t>
  </si>
  <si>
    <t>07/04/1972</t>
  </si>
  <si>
    <t>ORD-202400328</t>
  </si>
  <si>
    <t>11/10/1981</t>
  </si>
  <si>
    <t>ORD-202400329</t>
  </si>
  <si>
    <t>06/05/2024</t>
  </si>
  <si>
    <t>14/11/1980</t>
  </si>
  <si>
    <t>ORD-202400330</t>
  </si>
  <si>
    <t>29/06/2022</t>
  </si>
  <si>
    <t>23/08/1997</t>
  </si>
  <si>
    <t>ORD-202400331</t>
  </si>
  <si>
    <t>17/03/2023</t>
  </si>
  <si>
    <t>27/11/1982</t>
  </si>
  <si>
    <t>ORD-202400332</t>
  </si>
  <si>
    <t>04/05/1976</t>
  </si>
  <si>
    <t>ORD-202400333</t>
  </si>
  <si>
    <t>04/02/2024</t>
  </si>
  <si>
    <t>08/06/1987</t>
  </si>
  <si>
    <t>ORD-202400334</t>
  </si>
  <si>
    <t>18/07/1990</t>
  </si>
  <si>
    <t>ORD-202400335</t>
  </si>
  <si>
    <t>13/09/2024</t>
  </si>
  <si>
    <t>17/05/1982</t>
  </si>
  <si>
    <t>ORD-202400336</t>
  </si>
  <si>
    <t>22/06/1997</t>
  </si>
  <si>
    <t>ORD-202400337</t>
  </si>
  <si>
    <t>11/11/1983</t>
  </si>
  <si>
    <t>ORD-202400338</t>
  </si>
  <si>
    <t>16/03/2022</t>
  </si>
  <si>
    <t>29/04/1971</t>
  </si>
  <si>
    <t>ORD-202400339</t>
  </si>
  <si>
    <t>29/04/2021</t>
  </si>
  <si>
    <t>11/05/1980</t>
  </si>
  <si>
    <t>ORD-202400340</t>
  </si>
  <si>
    <t>26/04/2021</t>
  </si>
  <si>
    <t>13/06/1971</t>
  </si>
  <si>
    <t>ORD-202400341</t>
  </si>
  <si>
    <t>07/03/1989</t>
  </si>
  <si>
    <t>ORD-202400342</t>
  </si>
  <si>
    <t>20/08/2023</t>
  </si>
  <si>
    <t>30/06/1990</t>
  </si>
  <si>
    <t>ORD-202400343</t>
  </si>
  <si>
    <t>27/05/2022</t>
  </si>
  <si>
    <t>11/09/1990</t>
  </si>
  <si>
    <t>ORD-202400344</t>
  </si>
  <si>
    <t>15/06/2022</t>
  </si>
  <si>
    <t>24/03/1990</t>
  </si>
  <si>
    <t>ORD-202400345</t>
  </si>
  <si>
    <t>27/02/1990</t>
  </si>
  <si>
    <t>ORD-202400346</t>
  </si>
  <si>
    <t>09/01/1978</t>
  </si>
  <si>
    <t>ORD-202400347</t>
  </si>
  <si>
    <t>ORD-202400348</t>
  </si>
  <si>
    <t>17/04/2023</t>
  </si>
  <si>
    <t>12/03/1972</t>
  </si>
  <si>
    <t>ORD-202400349</t>
  </si>
  <si>
    <t>26/05/2021</t>
  </si>
  <si>
    <t>31/05/1997</t>
  </si>
  <si>
    <t>ORD-202400350</t>
  </si>
  <si>
    <t>04/03/2023</t>
  </si>
  <si>
    <t>24/04/1982</t>
  </si>
  <si>
    <t>ORD-202400351</t>
  </si>
  <si>
    <t>27/12/2024</t>
  </si>
  <si>
    <t>19/11/1982</t>
  </si>
  <si>
    <t>ORD-202400352</t>
  </si>
  <si>
    <t>29/05/2021</t>
  </si>
  <si>
    <t>07/09/1978</t>
  </si>
  <si>
    <t>ORD-202400353</t>
  </si>
  <si>
    <t>26/09/1998</t>
  </si>
  <si>
    <t>ORD-202400354</t>
  </si>
  <si>
    <t>17/11/1977</t>
  </si>
  <si>
    <t>ORD-202400355</t>
  </si>
  <si>
    <t>31/07/2023</t>
  </si>
  <si>
    <t>06/07/1972</t>
  </si>
  <si>
    <t>ORD-202400356</t>
  </si>
  <si>
    <t>07/02/1998</t>
  </si>
  <si>
    <t>ORD-202400357</t>
  </si>
  <si>
    <t>03/06/2024</t>
  </si>
  <si>
    <t>12/09/1979</t>
  </si>
  <si>
    <t>ORD-202400358</t>
  </si>
  <si>
    <t>25/09/2024</t>
  </si>
  <si>
    <t>03/12/1983</t>
  </si>
  <si>
    <t>ORD-202400359</t>
  </si>
  <si>
    <t>01/11/2023</t>
  </si>
  <si>
    <t>27/11/1973</t>
  </si>
  <si>
    <t>ORD-202400360</t>
  </si>
  <si>
    <t>14/08/2023</t>
  </si>
  <si>
    <t>08/02/2000</t>
  </si>
  <si>
    <t>ORD-202400361</t>
  </si>
  <si>
    <t>ORD-202400362</t>
  </si>
  <si>
    <t>27/09/1996</t>
  </si>
  <si>
    <t>ORD-202400363</t>
  </si>
  <si>
    <t>09/02/1991</t>
  </si>
  <si>
    <t>ORD-202400364</t>
  </si>
  <si>
    <t>24/01/1975</t>
  </si>
  <si>
    <t>ORD-202400365</t>
  </si>
  <si>
    <t>03/06/2020</t>
  </si>
  <si>
    <t>24/11/1993</t>
  </si>
  <si>
    <t>ORD-202400366</t>
  </si>
  <si>
    <t>10/08/2024</t>
  </si>
  <si>
    <t>12/06/1995</t>
  </si>
  <si>
    <t>ORD-202400367</t>
  </si>
  <si>
    <t>03/11/2022</t>
  </si>
  <si>
    <t>17/11/1974</t>
  </si>
  <si>
    <t>ORD-202400368</t>
  </si>
  <si>
    <t>30/05/2023</t>
  </si>
  <si>
    <t>30/06/1987</t>
  </si>
  <si>
    <t>ORD-202400369</t>
  </si>
  <si>
    <t>23/11/1992</t>
  </si>
  <si>
    <t>ORD-202400370</t>
  </si>
  <si>
    <t>17/11/2023</t>
  </si>
  <si>
    <t>09/04/1984</t>
  </si>
  <si>
    <t>ORD-202400371</t>
  </si>
  <si>
    <t>10/01/1976</t>
  </si>
  <si>
    <t>ORD-202400372</t>
  </si>
  <si>
    <t>10/02/1997</t>
  </si>
  <si>
    <t>ORD-202400373</t>
  </si>
  <si>
    <t>02/07/1994</t>
  </si>
  <si>
    <t>ORD-202400374</t>
  </si>
  <si>
    <t>23/05/2024</t>
  </si>
  <si>
    <t>09/11/1990</t>
  </si>
  <si>
    <t>ORD-202400375</t>
  </si>
  <si>
    <t>12/01/1991</t>
  </si>
  <si>
    <t>ORD-202400376</t>
  </si>
  <si>
    <t>24/03/1991</t>
  </si>
  <si>
    <t>ORD-202400377</t>
  </si>
  <si>
    <t>02/01/1975</t>
  </si>
  <si>
    <t>ORD-202400378</t>
  </si>
  <si>
    <t>31/03/1992</t>
  </si>
  <si>
    <t>ORD-202400379</t>
  </si>
  <si>
    <t>01/09/2023</t>
  </si>
  <si>
    <t>09/07/1983</t>
  </si>
  <si>
    <t>ORD-202400380</t>
  </si>
  <si>
    <t>29/09/2022</t>
  </si>
  <si>
    <t>19/08/2000</t>
  </si>
  <si>
    <t>ORD-202400381</t>
  </si>
  <si>
    <t>03/05/2024</t>
  </si>
  <si>
    <t>21/02/2000</t>
  </si>
  <si>
    <t>ORD-202400382</t>
  </si>
  <si>
    <t>16/09/1982</t>
  </si>
  <si>
    <t>ORD-202400383</t>
  </si>
  <si>
    <t>03/12/2021</t>
  </si>
  <si>
    <t>24/01/1999</t>
  </si>
  <si>
    <t>ORD-202400384</t>
  </si>
  <si>
    <t>14/06/2024</t>
  </si>
  <si>
    <t>18/07/1981</t>
  </si>
  <si>
    <t>ORD-202400385</t>
  </si>
  <si>
    <t>21/07/2021</t>
  </si>
  <si>
    <t>02/01/1978</t>
  </si>
  <si>
    <t>ORD-202400386</t>
  </si>
  <si>
    <t>17/08/2022</t>
  </si>
  <si>
    <t>04/11/1970</t>
  </si>
  <si>
    <t>ORD-202400387</t>
  </si>
  <si>
    <t>01/09/2024</t>
  </si>
  <si>
    <t>24/07/1989</t>
  </si>
  <si>
    <t>ORD-202400388</t>
  </si>
  <si>
    <t>25/01/1974</t>
  </si>
  <si>
    <t>ORD-202400389</t>
  </si>
  <si>
    <t>24/11/2000</t>
  </si>
  <si>
    <t>ORD-202400390</t>
  </si>
  <si>
    <t>07/06/2023</t>
  </si>
  <si>
    <t>31/05/1992</t>
  </si>
  <si>
    <t>ORD-202400391</t>
  </si>
  <si>
    <t>26/01/1994</t>
  </si>
  <si>
    <t>ORD-202400392</t>
  </si>
  <si>
    <t>26/01/2021</t>
  </si>
  <si>
    <t>15/10/1983</t>
  </si>
  <si>
    <t>ORD-202400393</t>
  </si>
  <si>
    <t>13/01/1988</t>
  </si>
  <si>
    <t>ORD-202400394</t>
  </si>
  <si>
    <t>23/12/2022</t>
  </si>
  <si>
    <t>05/08/1986</t>
  </si>
  <si>
    <t>ORD-202400395</t>
  </si>
  <si>
    <t>19/08/1996</t>
  </si>
  <si>
    <t>ORD-202400396</t>
  </si>
  <si>
    <t>20/01/2023</t>
  </si>
  <si>
    <t>30/09/1996</t>
  </si>
  <si>
    <t>ORD-202400397</t>
  </si>
  <si>
    <t>03/10/2024</t>
  </si>
  <si>
    <t>07/10/1992</t>
  </si>
  <si>
    <t>ORD-202400398</t>
  </si>
  <si>
    <t>03/05/1986</t>
  </si>
  <si>
    <t>ORD-202400399</t>
  </si>
  <si>
    <t>14/12/1989</t>
  </si>
  <si>
    <t>ORD-202400400</t>
  </si>
  <si>
    <t>31/03/1996</t>
  </si>
  <si>
    <t>ORD-202400401</t>
  </si>
  <si>
    <t>06/07/1995</t>
  </si>
  <si>
    <t>ORD-202400402</t>
  </si>
  <si>
    <t>22/10/2024</t>
  </si>
  <si>
    <t>18/10/1994</t>
  </si>
  <si>
    <t>ORD-202400403</t>
  </si>
  <si>
    <t>24/04/2022</t>
  </si>
  <si>
    <t>18/07/1996</t>
  </si>
  <si>
    <t>ORD-202400404</t>
  </si>
  <si>
    <t>04/05/2023</t>
  </si>
  <si>
    <t>23/09/1973</t>
  </si>
  <si>
    <t>ORD-202400405</t>
  </si>
  <si>
    <t>20/08/2020</t>
  </si>
  <si>
    <t>21/10/1990</t>
  </si>
  <si>
    <t>ORD-202400406</t>
  </si>
  <si>
    <t>23/12/2024</t>
  </si>
  <si>
    <t>23/06/1997</t>
  </si>
  <si>
    <t>ORD-202400407</t>
  </si>
  <si>
    <t>21/01/2023</t>
  </si>
  <si>
    <t>26/05/1986</t>
  </si>
  <si>
    <t>ORD-202400408</t>
  </si>
  <si>
    <t>25/04/2024</t>
  </si>
  <si>
    <t>17/05/1984</t>
  </si>
  <si>
    <t>ORD-202400409</t>
  </si>
  <si>
    <t>30/09/2023</t>
  </si>
  <si>
    <t>10/02/1983</t>
  </si>
  <si>
    <t>ORD-202400410</t>
  </si>
  <si>
    <t>21/08/1976</t>
  </si>
  <si>
    <t>ORD-202400411</t>
  </si>
  <si>
    <t>25/06/1978</t>
  </si>
  <si>
    <t>ORD-202400412</t>
  </si>
  <si>
    <t>15/08/2024</t>
  </si>
  <si>
    <t>ORD-202400413</t>
  </si>
  <si>
    <t>05/01/1994</t>
  </si>
  <si>
    <t>ORD-202400414</t>
  </si>
  <si>
    <t>29/12/2021</t>
  </si>
  <si>
    <t>23/07/1971</t>
  </si>
  <si>
    <t>ORD-202400415</t>
  </si>
  <si>
    <t>05/10/1992</t>
  </si>
  <si>
    <t>ORD-202400416</t>
  </si>
  <si>
    <t>07/01/1988</t>
  </si>
  <si>
    <t>ORD-202400417</t>
  </si>
  <si>
    <t>02/12/1973</t>
  </si>
  <si>
    <t>ORD-202400418</t>
  </si>
  <si>
    <t>27/12/1989</t>
  </si>
  <si>
    <t>ORD-202400419</t>
  </si>
  <si>
    <t>14/02/2023</t>
  </si>
  <si>
    <t>11/06/1976</t>
  </si>
  <si>
    <t>ORD-202400420</t>
  </si>
  <si>
    <t>30/12/2023</t>
  </si>
  <si>
    <t>23/06/1995</t>
  </si>
  <si>
    <t>ORD-202400421</t>
  </si>
  <si>
    <t>19/06/1983</t>
  </si>
  <si>
    <t>ORD-202400422</t>
  </si>
  <si>
    <t>02/11/2024</t>
  </si>
  <si>
    <t>25/03/1986</t>
  </si>
  <si>
    <t>ORD-202400423</t>
  </si>
  <si>
    <t>29/01/1976</t>
  </si>
  <si>
    <t>ORD-202400424</t>
  </si>
  <si>
    <t>23/05/1994</t>
  </si>
  <si>
    <t>ORD-202400425</t>
  </si>
  <si>
    <t>29/07/2024</t>
  </si>
  <si>
    <t>07/04/1985</t>
  </si>
  <si>
    <t>ORD-202400426</t>
  </si>
  <si>
    <t>24/08/2021</t>
  </si>
  <si>
    <t>05/06/1973</t>
  </si>
  <si>
    <t>ORD-202400427</t>
  </si>
  <si>
    <t>23/12/1979</t>
  </si>
  <si>
    <t>ORD-202400428</t>
  </si>
  <si>
    <t>22/06/1971</t>
  </si>
  <si>
    <t>ORD-202400429</t>
  </si>
  <si>
    <t>10/12/2021</t>
  </si>
  <si>
    <t>08/10/1985</t>
  </si>
  <si>
    <t>ORD-202400430</t>
  </si>
  <si>
    <t>18/08/1970</t>
  </si>
  <si>
    <t>ORD-202400431</t>
  </si>
  <si>
    <t>21/09/1989</t>
  </si>
  <si>
    <t>ORD-202400432</t>
  </si>
  <si>
    <t>04/07/2023</t>
  </si>
  <si>
    <t>07/12/1982</t>
  </si>
  <si>
    <t>ORD-202400433</t>
  </si>
  <si>
    <t>06/04/2024</t>
  </si>
  <si>
    <t>14/02/1973</t>
  </si>
  <si>
    <t>ORD-202400434</t>
  </si>
  <si>
    <t>22/02/2023</t>
  </si>
  <si>
    <t>27/07/1977</t>
  </si>
  <si>
    <t>ORD-202400435</t>
  </si>
  <si>
    <t>25/11/2024</t>
  </si>
  <si>
    <t>15/12/1987</t>
  </si>
  <si>
    <t>ORD-202400436</t>
  </si>
  <si>
    <t>16/01/2024</t>
  </si>
  <si>
    <t>20/06/1974</t>
  </si>
  <si>
    <t>ORD-202400437</t>
  </si>
  <si>
    <t>10/09/2023</t>
  </si>
  <si>
    <t>ORD-202400438</t>
  </si>
  <si>
    <t>01/03/2024</t>
  </si>
  <si>
    <t>18/03/1987</t>
  </si>
  <si>
    <t>ORD-202400439</t>
  </si>
  <si>
    <t>19/07/2021</t>
  </si>
  <si>
    <t>13/11/1991</t>
  </si>
  <si>
    <t>ORD-202400440</t>
  </si>
  <si>
    <t>30/06/2023</t>
  </si>
  <si>
    <t>05/10/1982</t>
  </si>
  <si>
    <t>ORD-202400441</t>
  </si>
  <si>
    <t>13/07/1972</t>
  </si>
  <si>
    <t>ORD-202400442</t>
  </si>
  <si>
    <t>05/08/2023</t>
  </si>
  <si>
    <t>25/06/1995</t>
  </si>
  <si>
    <t>ORD-202400443</t>
  </si>
  <si>
    <t>21/07/1992</t>
  </si>
  <si>
    <t>ORD-202400444</t>
  </si>
  <si>
    <t>02/06/2022</t>
  </si>
  <si>
    <t>23/09/1995</t>
  </si>
  <si>
    <t>ORD-202400445</t>
  </si>
  <si>
    <t>21/08/1992</t>
  </si>
  <si>
    <t>ORD-202400446</t>
  </si>
  <si>
    <t>06/04/2023</t>
  </si>
  <si>
    <t>17/11/1995</t>
  </si>
  <si>
    <t>ORD-202400447</t>
  </si>
  <si>
    <t>30/09/1990</t>
  </si>
  <si>
    <t>ORD-202400448</t>
  </si>
  <si>
    <t>24/03/2022</t>
  </si>
  <si>
    <t>03/07/1981</t>
  </si>
  <si>
    <t>ORD-202400449</t>
  </si>
  <si>
    <t>04/08/1981</t>
  </si>
  <si>
    <t>ORD-202400450</t>
  </si>
  <si>
    <t>17/02/2000</t>
  </si>
  <si>
    <t>ORD-202400451</t>
  </si>
  <si>
    <t>08/05/2024</t>
  </si>
  <si>
    <t>08/04/1992</t>
  </si>
  <si>
    <t>ORD-202400452</t>
  </si>
  <si>
    <t>20/04/2021</t>
  </si>
  <si>
    <t>26/04/1982</t>
  </si>
  <si>
    <t>ORD-202400453</t>
  </si>
  <si>
    <t>14/04/1986</t>
  </si>
  <si>
    <t>ORD-202400454</t>
  </si>
  <si>
    <t>04/07/2024</t>
  </si>
  <si>
    <t>27/09/2000</t>
  </si>
  <si>
    <t>ORD-202400455</t>
  </si>
  <si>
    <t>23/03/1988</t>
  </si>
  <si>
    <t>ORD-202400456</t>
  </si>
  <si>
    <t>17/09/2023</t>
  </si>
  <si>
    <t>23/12/1972</t>
  </si>
  <si>
    <t>ORD-202400457</t>
  </si>
  <si>
    <t>18/11/2022</t>
  </si>
  <si>
    <t>16/09/1983</t>
  </si>
  <si>
    <t>ORD-202400458</t>
  </si>
  <si>
    <t>17/06/2023</t>
  </si>
  <si>
    <t>22/08/1982</t>
  </si>
  <si>
    <t>ORD-202400459</t>
  </si>
  <si>
    <t>23/11/1978</t>
  </si>
  <si>
    <t>ORD-202400460</t>
  </si>
  <si>
    <t>20/03/2000</t>
  </si>
  <si>
    <t>ORD-202400461</t>
  </si>
  <si>
    <t>29/04/1988</t>
  </si>
  <si>
    <t>ORD-202400462</t>
  </si>
  <si>
    <t>23/10/2000</t>
  </si>
  <si>
    <t>ORD-202400463</t>
  </si>
  <si>
    <t>ORD-202400464</t>
  </si>
  <si>
    <t>23/06/2023</t>
  </si>
  <si>
    <t>31/12/1990</t>
  </si>
  <si>
    <t>ORD-202400465</t>
  </si>
  <si>
    <t>22/10/1981</t>
  </si>
  <si>
    <t>ORD-202400466</t>
  </si>
  <si>
    <t>29/08/2021</t>
  </si>
  <si>
    <t>03/09/1981</t>
  </si>
  <si>
    <t>ORD-202400467</t>
  </si>
  <si>
    <t>04/03/2024</t>
  </si>
  <si>
    <t>06/09/1985</t>
  </si>
  <si>
    <t>ORD-202400468</t>
  </si>
  <si>
    <t>19/10/2020</t>
  </si>
  <si>
    <t>06/02/1978</t>
  </si>
  <si>
    <t>ORD-202400469</t>
  </si>
  <si>
    <t>24/11/1976</t>
  </si>
  <si>
    <t>ORD-202400470</t>
  </si>
  <si>
    <t>18/10/2024</t>
  </si>
  <si>
    <t>20/10/1975</t>
  </si>
  <si>
    <t>ORD-202400471</t>
  </si>
  <si>
    <t>23/07/2024</t>
  </si>
  <si>
    <t>01/01/1974</t>
  </si>
  <si>
    <t>ORD-202400472</t>
  </si>
  <si>
    <t>03/07/2023</t>
  </si>
  <si>
    <t>08/11/1999</t>
  </si>
  <si>
    <t>ORD-202400473</t>
  </si>
  <si>
    <t>25/10/1971</t>
  </si>
  <si>
    <t>ORD-202400474</t>
  </si>
  <si>
    <t>25/09/1975</t>
  </si>
  <si>
    <t>ORD-202400475</t>
  </si>
  <si>
    <t>09/05/2024</t>
  </si>
  <si>
    <t>11/12/1985</t>
  </si>
  <si>
    <t>ORD-202400476</t>
  </si>
  <si>
    <t>09/12/2024</t>
  </si>
  <si>
    <t>08/03/1990</t>
  </si>
  <si>
    <t>ORD-202400477</t>
  </si>
  <si>
    <t>27/03/1975</t>
  </si>
  <si>
    <t>ORD-202400478</t>
  </si>
  <si>
    <t>ORD-202400479</t>
  </si>
  <si>
    <t>25/07/1978</t>
  </si>
  <si>
    <t>ORD-202400480</t>
  </si>
  <si>
    <t>26/10/2024</t>
  </si>
  <si>
    <t>19/11/1980</t>
  </si>
  <si>
    <t>ORD-202400481</t>
  </si>
  <si>
    <t>11/10/2023</t>
  </si>
  <si>
    <t>17/01/1983</t>
  </si>
  <si>
    <t>ORD-202400482</t>
  </si>
  <si>
    <t>31/08/2022</t>
  </si>
  <si>
    <t>31/03/1975</t>
  </si>
  <si>
    <t>ORD-202400483</t>
  </si>
  <si>
    <t>03/12/2023</t>
  </si>
  <si>
    <t>06/01/1991</t>
  </si>
  <si>
    <t>ORD-202400484</t>
  </si>
  <si>
    <t>17/10/1975</t>
  </si>
  <si>
    <t>ORD-202400485</t>
  </si>
  <si>
    <t>15/09/2021</t>
  </si>
  <si>
    <t>08/06/1971</t>
  </si>
  <si>
    <t>ORD-202400486</t>
  </si>
  <si>
    <t>20/12/2021</t>
  </si>
  <si>
    <t>13/02/1993</t>
  </si>
  <si>
    <t>ORD-202400487</t>
  </si>
  <si>
    <t>20/03/1979</t>
  </si>
  <si>
    <t>ORD-202400488</t>
  </si>
  <si>
    <t>02/01/1981</t>
  </si>
  <si>
    <t>ORD-202400489</t>
  </si>
  <si>
    <t>18/07/1988</t>
  </si>
  <si>
    <t>ORD-202400490</t>
  </si>
  <si>
    <t>26/03/2022</t>
  </si>
  <si>
    <t>21/06/1989</t>
  </si>
  <si>
    <t>ORD-202400491</t>
  </si>
  <si>
    <t>24/12/2024</t>
  </si>
  <si>
    <t>01/11/1994</t>
  </si>
  <si>
    <t>ORD-202400492</t>
  </si>
  <si>
    <t>27/06/1985</t>
  </si>
  <si>
    <t>ORD-202400493</t>
  </si>
  <si>
    <t>22/11/2022</t>
  </si>
  <si>
    <t>06/03/1977</t>
  </si>
  <si>
    <t>ORD-202400494</t>
  </si>
  <si>
    <t>22/02/1972</t>
  </si>
  <si>
    <t>ORD-202400495</t>
  </si>
  <si>
    <t>18/09/1985</t>
  </si>
  <si>
    <t>ORD-202400496</t>
  </si>
  <si>
    <t>29/07/1976</t>
  </si>
  <si>
    <t>ORD-202400497</t>
  </si>
  <si>
    <t>16/05/2022</t>
  </si>
  <si>
    <t>18/03/1996</t>
  </si>
  <si>
    <t>ORD-202400498</t>
  </si>
  <si>
    <t>ORD-202400499</t>
  </si>
  <si>
    <t>06/06/2021</t>
  </si>
  <si>
    <t>19/10/1986</t>
  </si>
  <si>
    <t>ORD-202400500</t>
  </si>
  <si>
    <t>28/06/2021</t>
  </si>
  <si>
    <t>11/01/1973</t>
  </si>
  <si>
    <t>ORD-202400501</t>
  </si>
  <si>
    <t>06/12/1999</t>
  </si>
  <si>
    <t>ORD-202400502</t>
  </si>
  <si>
    <t>26/03/2023</t>
  </si>
  <si>
    <t>11/02/1971</t>
  </si>
  <si>
    <t>ORD-202400503</t>
  </si>
  <si>
    <t>01/01/1981</t>
  </si>
  <si>
    <t>ORD-202400504</t>
  </si>
  <si>
    <t>15/07/1981</t>
  </si>
  <si>
    <t>ORD-202400505</t>
  </si>
  <si>
    <t>21/02/1978</t>
  </si>
  <si>
    <t>ORD-202400506</t>
  </si>
  <si>
    <t>25/10/1992</t>
  </si>
  <si>
    <t>ORD-202400507</t>
  </si>
  <si>
    <t>22/07/1974</t>
  </si>
  <si>
    <t>ORD-202400508</t>
  </si>
  <si>
    <t>26/11/1994</t>
  </si>
  <si>
    <t>ORD-202400509</t>
  </si>
  <si>
    <t>12/05/1998</t>
  </si>
  <si>
    <t>ORD-202400510</t>
  </si>
  <si>
    <t>16/09/2021</t>
  </si>
  <si>
    <t>12/04/1984</t>
  </si>
  <si>
    <t>ORD-202400511</t>
  </si>
  <si>
    <t>18/05/1991</t>
  </si>
  <si>
    <t>ORD-202400512</t>
  </si>
  <si>
    <t>27/02/2000</t>
  </si>
  <si>
    <t>ORD-202400513</t>
  </si>
  <si>
    <t>21/11/1970</t>
  </si>
  <si>
    <t>ORD-202400514</t>
  </si>
  <si>
    <t>17/04/2024</t>
  </si>
  <si>
    <t>27/04/1970</t>
  </si>
  <si>
    <t>ORD-202400515</t>
  </si>
  <si>
    <t>19/09/1975</t>
  </si>
  <si>
    <t>ORD-202400516</t>
  </si>
  <si>
    <t>07/08/2023</t>
  </si>
  <si>
    <t>02/10/1998</t>
  </si>
  <si>
    <t>ORD-202400517</t>
  </si>
  <si>
    <t>29/09/2024</t>
  </si>
  <si>
    <t>19/02/1990</t>
  </si>
  <si>
    <t>ORD-202400518</t>
  </si>
  <si>
    <t>17/11/2022</t>
  </si>
  <si>
    <t>18/01/1998</t>
  </si>
  <si>
    <t>ORD-202400519</t>
  </si>
  <si>
    <t>29/11/1996</t>
  </si>
  <si>
    <t>ORD-202400520</t>
  </si>
  <si>
    <t>29/01/2024</t>
  </si>
  <si>
    <t>11/07/1983</t>
  </si>
  <si>
    <t>ORD-202400521</t>
  </si>
  <si>
    <t>23/03/1987</t>
  </si>
  <si>
    <t>ORD-202400522</t>
  </si>
  <si>
    <t>18/09/1995</t>
  </si>
  <si>
    <t>ORD-202400523</t>
  </si>
  <si>
    <t>17/12/1983</t>
  </si>
  <si>
    <t>ORD-202400524</t>
  </si>
  <si>
    <t>13/10/2024</t>
  </si>
  <si>
    <t>13/06/1972</t>
  </si>
  <si>
    <t>ORD-202400525</t>
  </si>
  <si>
    <t>16/10/2024</t>
  </si>
  <si>
    <t>21/01/1985</t>
  </si>
  <si>
    <t>ORD-202400526</t>
  </si>
  <si>
    <t>11/11/1986</t>
  </si>
  <si>
    <t>ORD-202400527</t>
  </si>
  <si>
    <t>03/07/2024</t>
  </si>
  <si>
    <t>21/12/1971</t>
  </si>
  <si>
    <t>ORD-202400528</t>
  </si>
  <si>
    <t>11/01/2024</t>
  </si>
  <si>
    <t>22/05/2000</t>
  </si>
  <si>
    <t>ORD-202400529</t>
  </si>
  <si>
    <t>07/12/1972</t>
  </si>
  <si>
    <t>ORD-202400530</t>
  </si>
  <si>
    <t>11/11/2020</t>
  </si>
  <si>
    <t>06/05/1996</t>
  </si>
  <si>
    <t>ORD-202400531</t>
  </si>
  <si>
    <t>05/12/2024</t>
  </si>
  <si>
    <t>01/08/1997</t>
  </si>
  <si>
    <t>ORD-202400532</t>
  </si>
  <si>
    <t>18/05/2023</t>
  </si>
  <si>
    <t>27/01/1996</t>
  </si>
  <si>
    <t>ORD-202400533</t>
  </si>
  <si>
    <t>13/02/2020</t>
  </si>
  <si>
    <t>28/03/1983</t>
  </si>
  <si>
    <t>ORD-202400534</t>
  </si>
  <si>
    <t>13/12/1998</t>
  </si>
  <si>
    <t>ORD-202400535</t>
  </si>
  <si>
    <t>30/08/2000</t>
  </si>
  <si>
    <t>ORD-202400536</t>
  </si>
  <si>
    <t>30/12/1992</t>
  </si>
  <si>
    <t>ORD-202400537</t>
  </si>
  <si>
    <t>27/03/1989</t>
  </si>
  <si>
    <t>ORD-202400538</t>
  </si>
  <si>
    <t>04/02/1989</t>
  </si>
  <si>
    <t>ORD-202400539</t>
  </si>
  <si>
    <t>08/02/1987</t>
  </si>
  <si>
    <t>ORD-202400540</t>
  </si>
  <si>
    <t>19/12/2021</t>
  </si>
  <si>
    <t>24/01/1997</t>
  </si>
  <si>
    <t>ORD-202400541</t>
  </si>
  <si>
    <t>18/07/1987</t>
  </si>
  <si>
    <t>ORD-202400542</t>
  </si>
  <si>
    <t>08/06/2023</t>
  </si>
  <si>
    <t>09/05/1996</t>
  </si>
  <si>
    <t>ORD-202400543</t>
  </si>
  <si>
    <t>03/10/1971</t>
  </si>
  <si>
    <t>ORD-202400544</t>
  </si>
  <si>
    <t>22/08/2024</t>
  </si>
  <si>
    <t>04/04/1987</t>
  </si>
  <si>
    <t>ORD-202400545</t>
  </si>
  <si>
    <t>09/09/2024</t>
  </si>
  <si>
    <t>13/06/1988</t>
  </si>
  <si>
    <t>ORD-202400546</t>
  </si>
  <si>
    <t>25/08/2023</t>
  </si>
  <si>
    <t>05/02/1987</t>
  </si>
  <si>
    <t>ORD-202400547</t>
  </si>
  <si>
    <t>13/11/1980</t>
  </si>
  <si>
    <t>ORD-202400548</t>
  </si>
  <si>
    <t>21/05/2000</t>
  </si>
  <si>
    <t>ORD-202400549</t>
  </si>
  <si>
    <t>10/07/1987</t>
  </si>
  <si>
    <t>ORD-202400550</t>
  </si>
  <si>
    <t>02/07/2000</t>
  </si>
  <si>
    <t>ORD-202400551</t>
  </si>
  <si>
    <t>21/09/1987</t>
  </si>
  <si>
    <t>ORD-202400552</t>
  </si>
  <si>
    <t>27/12/1997</t>
  </si>
  <si>
    <t>ORD-202400553</t>
  </si>
  <si>
    <t>20/07/1984</t>
  </si>
  <si>
    <t>ORD-202400554</t>
  </si>
  <si>
    <t>28/10/2021</t>
  </si>
  <si>
    <t>06/08/1970</t>
  </si>
  <si>
    <t>ORD-202400555</t>
  </si>
  <si>
    <t>20/10/1998</t>
  </si>
  <si>
    <t>ORD-202400556</t>
  </si>
  <si>
    <t>13/01/2022</t>
  </si>
  <si>
    <t>10/04/1980</t>
  </si>
  <si>
    <t>ORD-202400557</t>
  </si>
  <si>
    <t>05/02/2024</t>
  </si>
  <si>
    <t>20/08/1978</t>
  </si>
  <si>
    <t>ORD-202400558</t>
  </si>
  <si>
    <t>26/12/1980</t>
  </si>
  <si>
    <t>ORD-202400559</t>
  </si>
  <si>
    <t>14/08/2021</t>
  </si>
  <si>
    <t>17/12/1988</t>
  </si>
  <si>
    <t>ORD-202400560</t>
  </si>
  <si>
    <t>19/10/1990</t>
  </si>
  <si>
    <t>ORD-202400561</t>
  </si>
  <si>
    <t>17/01/1992</t>
  </si>
  <si>
    <t>ORD-202400562</t>
  </si>
  <si>
    <t>14/04/1977</t>
  </si>
  <si>
    <t>ORD-202400563</t>
  </si>
  <si>
    <t>18/01/2021</t>
  </si>
  <si>
    <t>19/03/1986</t>
  </si>
  <si>
    <t>ORD-202400564</t>
  </si>
  <si>
    <t>17/04/1996</t>
  </si>
  <si>
    <t>ORD-202400565</t>
  </si>
  <si>
    <t>15/02/2024</t>
  </si>
  <si>
    <t>ORD-202400566</t>
  </si>
  <si>
    <t>12/05/1999</t>
  </si>
  <si>
    <t>ORD-202400567</t>
  </si>
  <si>
    <t>10/08/1978</t>
  </si>
  <si>
    <t>ORD-202400568</t>
  </si>
  <si>
    <t>07/03/2000</t>
  </si>
  <si>
    <t>ORD-202400569</t>
  </si>
  <si>
    <t>17/05/2023</t>
  </si>
  <si>
    <t>19/10/1991</t>
  </si>
  <si>
    <t>ORD-202400570</t>
  </si>
  <si>
    <t>02/01/2024</t>
  </si>
  <si>
    <t>01/07/1990</t>
  </si>
  <si>
    <t>ORD-202400571</t>
  </si>
  <si>
    <t>14/06/1984</t>
  </si>
  <si>
    <t>ORD-202400572</t>
  </si>
  <si>
    <t>14/07/1999</t>
  </si>
  <si>
    <t>ORD-202400573</t>
  </si>
  <si>
    <t>08/10/2023</t>
  </si>
  <si>
    <t>10/12/1990</t>
  </si>
  <si>
    <t>ORD-202400574</t>
  </si>
  <si>
    <t>16/03/1987</t>
  </si>
  <si>
    <t>ORD-202400575</t>
  </si>
  <si>
    <t>22/10/2021</t>
  </si>
  <si>
    <t>11/12/1996</t>
  </si>
  <si>
    <t>ORD-202400576</t>
  </si>
  <si>
    <t>24/06/2021</t>
  </si>
  <si>
    <t>25/07/1996</t>
  </si>
  <si>
    <t>ORD-202400577</t>
  </si>
  <si>
    <t>21/06/2000</t>
  </si>
  <si>
    <t>ORD-202400578</t>
  </si>
  <si>
    <t>07/12/2022</t>
  </si>
  <si>
    <t>17/07/1971</t>
  </si>
  <si>
    <t>ORD-202400579</t>
  </si>
  <si>
    <t>13/06/1979</t>
  </si>
  <si>
    <t>ORD-202400580</t>
  </si>
  <si>
    <t>16/08/1985</t>
  </si>
  <si>
    <t>ORD-202400581</t>
  </si>
  <si>
    <t>22/08/1983</t>
  </si>
  <si>
    <t>ORD-202400582</t>
  </si>
  <si>
    <t>22/02/2024</t>
  </si>
  <si>
    <t>05/06/2000</t>
  </si>
  <si>
    <t>ORD-202400583</t>
  </si>
  <si>
    <t>15/02/1998</t>
  </si>
  <si>
    <t>ORD-202400584</t>
  </si>
  <si>
    <t>21/02/1987</t>
  </si>
  <si>
    <t>ORD-202400585</t>
  </si>
  <si>
    <t>30/03/1974</t>
  </si>
  <si>
    <t>ORD-202400586</t>
  </si>
  <si>
    <t>31/08/1987</t>
  </si>
  <si>
    <t>ORD-202400587</t>
  </si>
  <si>
    <t>07/03/2021</t>
  </si>
  <si>
    <t>19/10/1995</t>
  </si>
  <si>
    <t>ORD-202400588</t>
  </si>
  <si>
    <t>23/09/2022</t>
  </si>
  <si>
    <t>01/03/1983</t>
  </si>
  <si>
    <t>ORD-202400589</t>
  </si>
  <si>
    <t>03/06/2021</t>
  </si>
  <si>
    <t>28/08/1979</t>
  </si>
  <si>
    <t>ORD-202400590</t>
  </si>
  <si>
    <t>04/06/1976</t>
  </si>
  <si>
    <t>ORD-202400591</t>
  </si>
  <si>
    <t>31/12/1986</t>
  </si>
  <si>
    <t>ORD-202400592</t>
  </si>
  <si>
    <t>11/04/1982</t>
  </si>
  <si>
    <t>ORD-202400593</t>
  </si>
  <si>
    <t>20/10/2022</t>
  </si>
  <si>
    <t>26/08/1982</t>
  </si>
  <si>
    <t>ORD-202400594</t>
  </si>
  <si>
    <t>05/01/2021</t>
  </si>
  <si>
    <t>20/10/2000</t>
  </si>
  <si>
    <t>ORD-202400595</t>
  </si>
  <si>
    <t>12/07/1992</t>
  </si>
  <si>
    <t>ORD-202400596</t>
  </si>
  <si>
    <t>17/02/2024</t>
  </si>
  <si>
    <t>29/05/1977</t>
  </si>
  <si>
    <t>ORD-202400597</t>
  </si>
  <si>
    <t>05/08/1975</t>
  </si>
  <si>
    <t>ORD-202400598</t>
  </si>
  <si>
    <t>07/09/2000</t>
  </si>
  <si>
    <t>ORD-202400599</t>
  </si>
  <si>
    <t>27/02/2021</t>
  </si>
  <si>
    <t>28/02/1985</t>
  </si>
  <si>
    <t>ORD-202400600</t>
  </si>
  <si>
    <t>17/09/1997</t>
  </si>
  <si>
    <t>ORD-202400601</t>
  </si>
  <si>
    <t>20/10/1973</t>
  </si>
  <si>
    <t>ORD-202400602</t>
  </si>
  <si>
    <t>13/08/2022</t>
  </si>
  <si>
    <t>10/06/1999</t>
  </si>
  <si>
    <t>ORD-202400603</t>
  </si>
  <si>
    <t>07/12/2020</t>
  </si>
  <si>
    <t>05/12/1978</t>
  </si>
  <si>
    <t>ORD-202400604</t>
  </si>
  <si>
    <t>26/02/2022</t>
  </si>
  <si>
    <t>03/11/1974</t>
  </si>
  <si>
    <t>ORD-202400605</t>
  </si>
  <si>
    <t>11/02/1981</t>
  </si>
  <si>
    <t>ORD-202400606</t>
  </si>
  <si>
    <t>19/06/1978</t>
  </si>
  <si>
    <t>ORD-202400607</t>
  </si>
  <si>
    <t>21/11/2022</t>
  </si>
  <si>
    <t>19/05/1980</t>
  </si>
  <si>
    <t>ORD-202400608</t>
  </si>
  <si>
    <t>25/01/2022</t>
  </si>
  <si>
    <t>ORD-202400609</t>
  </si>
  <si>
    <t>04/01/2000</t>
  </si>
  <si>
    <t>ORD-202400610</t>
  </si>
  <si>
    <t>07/03/2024</t>
  </si>
  <si>
    <t>29/03/1998</t>
  </si>
  <si>
    <t>ORD-202400611</t>
  </si>
  <si>
    <t>13/04/2024</t>
  </si>
  <si>
    <t>07/12/1993</t>
  </si>
  <si>
    <t>ORD-202400612</t>
  </si>
  <si>
    <t>15/09/2022</t>
  </si>
  <si>
    <t>25/12/1970</t>
  </si>
  <si>
    <t>ORD-202400613</t>
  </si>
  <si>
    <t>ORD-202400614</t>
  </si>
  <si>
    <t>11/08/1981</t>
  </si>
  <si>
    <t>ORD-202400615</t>
  </si>
  <si>
    <t>27/01/2022</t>
  </si>
  <si>
    <t>26/10/1998</t>
  </si>
  <si>
    <t>ORD-202400616</t>
  </si>
  <si>
    <t>25/03/1983</t>
  </si>
  <si>
    <t>ORD-202400617</t>
  </si>
  <si>
    <t>01/05/1999</t>
  </si>
  <si>
    <t>ORD-202400618</t>
  </si>
  <si>
    <t>17/03/2022</t>
  </si>
  <si>
    <t>28/06/1991</t>
  </si>
  <si>
    <t>ORD-202400619</t>
  </si>
  <si>
    <t>31/10/2000</t>
  </si>
  <si>
    <t>ORD-202400620</t>
  </si>
  <si>
    <t>11/01/2022</t>
  </si>
  <si>
    <t>08/12/1974</t>
  </si>
  <si>
    <t>ORD-202400621</t>
  </si>
  <si>
    <t>12/03/2020</t>
  </si>
  <si>
    <t>21/07/1991</t>
  </si>
  <si>
    <t>ORD-202400622</t>
  </si>
  <si>
    <t>18/08/1988</t>
  </si>
  <si>
    <t>ORD-202400623</t>
  </si>
  <si>
    <t>28/03/2021</t>
  </si>
  <si>
    <t>10/12/1974</t>
  </si>
  <si>
    <t>ORD-202400624</t>
  </si>
  <si>
    <t>24/11/1996</t>
  </si>
  <si>
    <t>ORD-202400625</t>
  </si>
  <si>
    <t>05/02/1970</t>
  </si>
  <si>
    <t>ORD-202400626</t>
  </si>
  <si>
    <t>26/10/1985</t>
  </si>
  <si>
    <t>ORD-202400627</t>
  </si>
  <si>
    <t>ORD-202400628</t>
  </si>
  <si>
    <t>31/01/2024</t>
  </si>
  <si>
    <t>02/09/1985</t>
  </si>
  <si>
    <t>ORD-202400629</t>
  </si>
  <si>
    <t>14/01/2022</t>
  </si>
  <si>
    <t>19/01/1989</t>
  </si>
  <si>
    <t>ORD-202400630</t>
  </si>
  <si>
    <t>18/09/1976</t>
  </si>
  <si>
    <t>ORD-202400631</t>
  </si>
  <si>
    <t>11/06/1971</t>
  </si>
  <si>
    <t>ORD-202400632</t>
  </si>
  <si>
    <t>12/07/2020</t>
  </si>
  <si>
    <t>13/08/1975</t>
  </si>
  <si>
    <t>ORD-202400633</t>
  </si>
  <si>
    <t>14/07/2022</t>
  </si>
  <si>
    <t>24/05/1977</t>
  </si>
  <si>
    <t>ORD-202400634</t>
  </si>
  <si>
    <t>19/04/2021</t>
  </si>
  <si>
    <t>14/10/1996</t>
  </si>
  <si>
    <t>ORD-202400635</t>
  </si>
  <si>
    <t>08/06/2022</t>
  </si>
  <si>
    <t>19/05/1970</t>
  </si>
  <si>
    <t>ORD-202400636</t>
  </si>
  <si>
    <t>24/01/1971</t>
  </si>
  <si>
    <t>ORD-202400637</t>
  </si>
  <si>
    <t>07/05/1999</t>
  </si>
  <si>
    <t>ORD-202400638</t>
  </si>
  <si>
    <t>17/04/2022</t>
  </si>
  <si>
    <t>19/05/1997</t>
  </si>
  <si>
    <t>ORD-202400639</t>
  </si>
  <si>
    <t>23/03/2024</t>
  </si>
  <si>
    <t>21/01/1973</t>
  </si>
  <si>
    <t>ORD-202400640</t>
  </si>
  <si>
    <t>06/09/2024</t>
  </si>
  <si>
    <t>11/10/1971</t>
  </si>
  <si>
    <t>ORD-202400641</t>
  </si>
  <si>
    <t>16/12/2023</t>
  </si>
  <si>
    <t>01/12/1971</t>
  </si>
  <si>
    <t>ORD-202400642</t>
  </si>
  <si>
    <t>28/08/2022</t>
  </si>
  <si>
    <t>27/10/1998</t>
  </si>
  <si>
    <t>ORD-202400643</t>
  </si>
  <si>
    <t>17/02/1975</t>
  </si>
  <si>
    <t>ORD-202400644</t>
  </si>
  <si>
    <t>09/08/2022</t>
  </si>
  <si>
    <t>28/03/1991</t>
  </si>
  <si>
    <t>ORD-202400645</t>
  </si>
  <si>
    <t>02/08/2024</t>
  </si>
  <si>
    <t>16/07/1993</t>
  </si>
  <si>
    <t>ORD-202400646</t>
  </si>
  <si>
    <t>05/08/1989</t>
  </si>
  <si>
    <t>ORD-202400647</t>
  </si>
  <si>
    <t>22/08/2020</t>
  </si>
  <si>
    <t>13/08/1976</t>
  </si>
  <si>
    <t>ORD-202400648</t>
  </si>
  <si>
    <t>02/06/1978</t>
  </si>
  <si>
    <t>ORD-202400649</t>
  </si>
  <si>
    <t>22/05/1992</t>
  </si>
  <si>
    <t>ORD-202400650</t>
  </si>
  <si>
    <t>14/10/1982</t>
  </si>
  <si>
    <t>ORD-202400651</t>
  </si>
  <si>
    <t>02/06/1998</t>
  </si>
  <si>
    <t>ORD-202400652</t>
  </si>
  <si>
    <t>05/12/1998</t>
  </si>
  <si>
    <t>ORD-202400653</t>
  </si>
  <si>
    <t>07/03/1971</t>
  </si>
  <si>
    <t>ORD-202400654</t>
  </si>
  <si>
    <t>27/01/2023</t>
  </si>
  <si>
    <t>03/12/1995</t>
  </si>
  <si>
    <t>ORD-202400655</t>
  </si>
  <si>
    <t>20/02/1998</t>
  </si>
  <si>
    <t>ORD-202400656</t>
  </si>
  <si>
    <t>26/02/1987</t>
  </si>
  <si>
    <t>ORD-202400657</t>
  </si>
  <si>
    <t>12/07/2024</t>
  </si>
  <si>
    <t>07/09/1981</t>
  </si>
  <si>
    <t>ORD-202400658</t>
  </si>
  <si>
    <t>21/06/1973</t>
  </si>
  <si>
    <t>ORD-202400659</t>
  </si>
  <si>
    <t>20/11/2024</t>
  </si>
  <si>
    <t>ORD-202400660</t>
  </si>
  <si>
    <t>03/03/2024</t>
  </si>
  <si>
    <t>26/08/1978</t>
  </si>
  <si>
    <t>ORD-202400661</t>
  </si>
  <si>
    <t>21/05/2021</t>
  </si>
  <si>
    <t>09/08/1991</t>
  </si>
  <si>
    <t>ORD-202400662</t>
  </si>
  <si>
    <t>16/08/1987</t>
  </si>
  <si>
    <t>ORD-202400663</t>
  </si>
  <si>
    <t>30/06/2021</t>
  </si>
  <si>
    <t>10/10/1986</t>
  </si>
  <si>
    <t>ORD-202400664</t>
  </si>
  <si>
    <t>22/06/1984</t>
  </si>
  <si>
    <t>ORD-202400665</t>
  </si>
  <si>
    <t>08/06/1980</t>
  </si>
  <si>
    <t>ORD-202400666</t>
  </si>
  <si>
    <t>11/05/1984</t>
  </si>
  <si>
    <t>ORD-202400667</t>
  </si>
  <si>
    <t>10/01/2020</t>
  </si>
  <si>
    <t>15/11/1998</t>
  </si>
  <si>
    <t>ORD-202400668</t>
  </si>
  <si>
    <t>28/04/1982</t>
  </si>
  <si>
    <t>ORD-202400669</t>
  </si>
  <si>
    <t>11/07/2021</t>
  </si>
  <si>
    <t>20/09/1997</t>
  </si>
  <si>
    <t>ORD-202400670</t>
  </si>
  <si>
    <t>22/03/1970</t>
  </si>
  <si>
    <t>ORD-202400671</t>
  </si>
  <si>
    <t>03/03/2023</t>
  </si>
  <si>
    <t>01/09/1975</t>
  </si>
  <si>
    <t>ORD-202400672</t>
  </si>
  <si>
    <t>05/09/2022</t>
  </si>
  <si>
    <t>18/02/1980</t>
  </si>
  <si>
    <t>ORD-202400673</t>
  </si>
  <si>
    <t>07/01/2020</t>
  </si>
  <si>
    <t>29/01/2000</t>
  </si>
  <si>
    <t>ORD-202400674</t>
  </si>
  <si>
    <t>28/09/1974</t>
  </si>
  <si>
    <t>ORD-202400675</t>
  </si>
  <si>
    <t>01/02/1999</t>
  </si>
  <si>
    <t>ORD-202400676</t>
  </si>
  <si>
    <t>09/10/2022</t>
  </si>
  <si>
    <t>09/10/1973</t>
  </si>
  <si>
    <t>ORD-202400677</t>
  </si>
  <si>
    <t>01/07/1978</t>
  </si>
  <si>
    <t>ORD-202400678</t>
  </si>
  <si>
    <t>21/10/2024</t>
  </si>
  <si>
    <t>10/12/1981</t>
  </si>
  <si>
    <t>ORD-202400679</t>
  </si>
  <si>
    <t>02/12/1982</t>
  </si>
  <si>
    <t>ORD-202400680</t>
  </si>
  <si>
    <t>12/05/1976</t>
  </si>
  <si>
    <t>ORD-202400681</t>
  </si>
  <si>
    <t>14/03/1991</t>
  </si>
  <si>
    <t>ORD-202400682</t>
  </si>
  <si>
    <t>29/06/2023</t>
  </si>
  <si>
    <t>24/06/1994</t>
  </si>
  <si>
    <t>ORD-202400683</t>
  </si>
  <si>
    <t>20/08/1976</t>
  </si>
  <si>
    <t>ORD-202400684</t>
  </si>
  <si>
    <t>27/08/1998</t>
  </si>
  <si>
    <t>ORD-202400685</t>
  </si>
  <si>
    <t>08/04/2022</t>
  </si>
  <si>
    <t>05/11/1971</t>
  </si>
  <si>
    <t>ORD-202400686</t>
  </si>
  <si>
    <t>25/12/1997</t>
  </si>
  <si>
    <t>ORD-202400687</t>
  </si>
  <si>
    <t>05/12/2022</t>
  </si>
  <si>
    <t>11/01/1970</t>
  </si>
  <si>
    <t>ORD-202400688</t>
  </si>
  <si>
    <t>27/02/1981</t>
  </si>
  <si>
    <t>ORD-202400689</t>
  </si>
  <si>
    <t>02/02/1976</t>
  </si>
  <si>
    <t>ORD-202400690</t>
  </si>
  <si>
    <t>17/12/2022</t>
  </si>
  <si>
    <t>15/01/1986</t>
  </si>
  <si>
    <t>ORD-202400691</t>
  </si>
  <si>
    <t>13/01/1996</t>
  </si>
  <si>
    <t>ORD-202400692</t>
  </si>
  <si>
    <t>13/02/1982</t>
  </si>
  <si>
    <t>ORD-202400693</t>
  </si>
  <si>
    <t>21/09/2024</t>
  </si>
  <si>
    <t>ORD-202400694</t>
  </si>
  <si>
    <t>05/11/2020</t>
  </si>
  <si>
    <t>07/06/1975</t>
  </si>
  <si>
    <t>ORD-202400695</t>
  </si>
  <si>
    <t>06/10/2024</t>
  </si>
  <si>
    <t>04/09/1981</t>
  </si>
  <si>
    <t>ORD-202400696</t>
  </si>
  <si>
    <t>11/02/1992</t>
  </si>
  <si>
    <t>ORD-202400697</t>
  </si>
  <si>
    <t>18/01/2023</t>
  </si>
  <si>
    <t>09/12/1998</t>
  </si>
  <si>
    <t>ORD-202400698</t>
  </si>
  <si>
    <t>ORD-202400699</t>
  </si>
  <si>
    <t>01/03/1991</t>
  </si>
  <si>
    <t>ORD-202400700</t>
  </si>
  <si>
    <t>22/06/2000</t>
  </si>
  <si>
    <t>ORD-202400701</t>
  </si>
  <si>
    <t>22/10/1989</t>
  </si>
  <si>
    <t>ORD-202400702</t>
  </si>
  <si>
    <t>09/04/1977</t>
  </si>
  <si>
    <t>ORD-202400703</t>
  </si>
  <si>
    <t>10/08/2000</t>
  </si>
  <si>
    <t>ORD-202400704</t>
  </si>
  <si>
    <t>13/07/1995</t>
  </si>
  <si>
    <t>ORD-202400705</t>
  </si>
  <si>
    <t>20/01/1986</t>
  </si>
  <si>
    <t>ORD-202400706</t>
  </si>
  <si>
    <t>14/05/2024</t>
  </si>
  <si>
    <t>21/04/1999</t>
  </si>
  <si>
    <t>ORD-202400707</t>
  </si>
  <si>
    <t>09/04/1973</t>
  </si>
  <si>
    <t>ORD-202400708</t>
  </si>
  <si>
    <t>09/08/2023</t>
  </si>
  <si>
    <t>04/06/1991</t>
  </si>
  <si>
    <t>ORD-202400709</t>
  </si>
  <si>
    <t>14/08/1975</t>
  </si>
  <si>
    <t>ORD-202400710</t>
  </si>
  <si>
    <t>ORD-202400711</t>
  </si>
  <si>
    <t>27/10/1975</t>
  </si>
  <si>
    <t>ORD-202400712</t>
  </si>
  <si>
    <t>26/09/1994</t>
  </si>
  <si>
    <t>ORD-202400713</t>
  </si>
  <si>
    <t>ORD-202400714</t>
  </si>
  <si>
    <t>21/05/1996</t>
  </si>
  <si>
    <t>ORD-202400715</t>
  </si>
  <si>
    <t>20/11/1993</t>
  </si>
  <si>
    <t>ORD-202400716</t>
  </si>
  <si>
    <t>06/03/1989</t>
  </si>
  <si>
    <t>ORD-202400717</t>
  </si>
  <si>
    <t>01/05/2024</t>
  </si>
  <si>
    <t>01/12/1975</t>
  </si>
  <si>
    <t>ORD-202400718</t>
  </si>
  <si>
    <t>01/12/2022</t>
  </si>
  <si>
    <t>10/04/1997</t>
  </si>
  <si>
    <t>ORD-202400719</t>
  </si>
  <si>
    <t>30/04/1988</t>
  </si>
  <si>
    <t>ORD-202400720</t>
  </si>
  <si>
    <t>ORD-202400721</t>
  </si>
  <si>
    <t>30/03/1994</t>
  </si>
  <si>
    <t>ORD-202400722</t>
  </si>
  <si>
    <t>25/05/2023</t>
  </si>
  <si>
    <t>02/06/1976</t>
  </si>
  <si>
    <t>ORD-202400723</t>
  </si>
  <si>
    <t>29/10/2024</t>
  </si>
  <si>
    <t>23/02/1971</t>
  </si>
  <si>
    <t>ORD-202400724</t>
  </si>
  <si>
    <t>24/04/2020</t>
  </si>
  <si>
    <t>13/05/1995</t>
  </si>
  <si>
    <t>ORD-202400725</t>
  </si>
  <si>
    <t>28/03/1986</t>
  </si>
  <si>
    <t>ORD-202400726</t>
  </si>
  <si>
    <t>15/10/1988</t>
  </si>
  <si>
    <t>ORD-202400727</t>
  </si>
  <si>
    <t>03/11/1995</t>
  </si>
  <si>
    <t>ORD-202400728</t>
  </si>
  <si>
    <t>08/08/2024</t>
  </si>
  <si>
    <t>28/01/1971</t>
  </si>
  <si>
    <t>ORD-202400729</t>
  </si>
  <si>
    <t>21/06/2024</t>
  </si>
  <si>
    <t>13/07/1996</t>
  </si>
  <si>
    <t>ORD-202400730</t>
  </si>
  <si>
    <t>04/10/1973</t>
  </si>
  <si>
    <t>ORD-202400731</t>
  </si>
  <si>
    <t>25/01/2023</t>
  </si>
  <si>
    <t>22/04/1995</t>
  </si>
  <si>
    <t>ORD-202400732</t>
  </si>
  <si>
    <t>09/06/2024</t>
  </si>
  <si>
    <t>18/06/1974</t>
  </si>
  <si>
    <t>ORD-202400733</t>
  </si>
  <si>
    <t>14/03/2023</t>
  </si>
  <si>
    <t>22/04/1974</t>
  </si>
  <si>
    <t>ORD-202400734</t>
  </si>
  <si>
    <t>11/05/1990</t>
  </si>
  <si>
    <t>ORD-202400735</t>
  </si>
  <si>
    <t>10/02/2024</t>
  </si>
  <si>
    <t>24/12/1979</t>
  </si>
  <si>
    <t>ORD-202400736</t>
  </si>
  <si>
    <t>23/09/2024</t>
  </si>
  <si>
    <t>30/03/1984</t>
  </si>
  <si>
    <t>ORD-202400737</t>
  </si>
  <si>
    <t>11/09/2024</t>
  </si>
  <si>
    <t>05/09/1982</t>
  </si>
  <si>
    <t>ORD-202400738</t>
  </si>
  <si>
    <t>ORD-202400739</t>
  </si>
  <si>
    <t>01/06/2023</t>
  </si>
  <si>
    <t>01/05/1974</t>
  </si>
  <si>
    <t>ORD-202400740</t>
  </si>
  <si>
    <t>23/07/2022</t>
  </si>
  <si>
    <t>30/09/1975</t>
  </si>
  <si>
    <t>ORD-202400741</t>
  </si>
  <si>
    <t>20/07/2022</t>
  </si>
  <si>
    <t>28/10/1989</t>
  </si>
  <si>
    <t>ORD-202400742</t>
  </si>
  <si>
    <t>16/04/2021</t>
  </si>
  <si>
    <t>ORD-202400743</t>
  </si>
  <si>
    <t>30/03/1986</t>
  </si>
  <si>
    <t>ORD-202400744</t>
  </si>
  <si>
    <t>15/08/1971</t>
  </si>
  <si>
    <t>ORD-202400745</t>
  </si>
  <si>
    <t>25/05/1999</t>
  </si>
  <si>
    <t>ORD-202400746</t>
  </si>
  <si>
    <t>15/04/1974</t>
  </si>
  <si>
    <t>ORD-202400747</t>
  </si>
  <si>
    <t>24/01/1983</t>
  </si>
  <si>
    <t>ORD-202400748</t>
  </si>
  <si>
    <t>10/11/1974</t>
  </si>
  <si>
    <t>ORD-202400749</t>
  </si>
  <si>
    <t>ORD-202400750</t>
  </si>
  <si>
    <t>19/01/2024</t>
  </si>
  <si>
    <t>02/06/1984</t>
  </si>
  <si>
    <t>ORD-202400751</t>
  </si>
  <si>
    <t>11/02/2024</t>
  </si>
  <si>
    <t>18/09/1974</t>
  </si>
  <si>
    <t>ORD-202400752</t>
  </si>
  <si>
    <t>09/11/1991</t>
  </si>
  <si>
    <t>ORD-202400753</t>
  </si>
  <si>
    <t>17/07/1997</t>
  </si>
  <si>
    <t>ORD-202400754</t>
  </si>
  <si>
    <t>03/01/2023</t>
  </si>
  <si>
    <t>28/12/1983</t>
  </si>
  <si>
    <t>ORD-202400755</t>
  </si>
  <si>
    <t>23/08/1978</t>
  </si>
  <si>
    <t>ORD-202400756</t>
  </si>
  <si>
    <t>17/09/1979</t>
  </si>
  <si>
    <t>ORD-202400757</t>
  </si>
  <si>
    <t>23/05/1979</t>
  </si>
  <si>
    <t>ORD-202400758</t>
  </si>
  <si>
    <t>05/08/2024</t>
  </si>
  <si>
    <t>28/10/1999</t>
  </si>
  <si>
    <t>ORD-202400759</t>
  </si>
  <si>
    <t>06/08/1979</t>
  </si>
  <si>
    <t>ORD-202400760</t>
  </si>
  <si>
    <t>21/01/2000</t>
  </si>
  <si>
    <t>ORD-202400761</t>
  </si>
  <si>
    <t>25/09/1984</t>
  </si>
  <si>
    <t>ORD-202400762</t>
  </si>
  <si>
    <t>30/01/2022</t>
  </si>
  <si>
    <t>01/09/1995</t>
  </si>
  <si>
    <t>ORD-202400763</t>
  </si>
  <si>
    <t>08/12/1977</t>
  </si>
  <si>
    <t>ORD-202400764</t>
  </si>
  <si>
    <t>19/06/2024</t>
  </si>
  <si>
    <t>22/02/2000</t>
  </si>
  <si>
    <t>ORD-202400765</t>
  </si>
  <si>
    <t>16/03/2024</t>
  </si>
  <si>
    <t>17/12/1981</t>
  </si>
  <si>
    <t>ORD-202400766</t>
  </si>
  <si>
    <t>11/11/1973</t>
  </si>
  <si>
    <t>ORD-202400767</t>
  </si>
  <si>
    <t>22/10/1983</t>
  </si>
  <si>
    <t>ORD-202400768</t>
  </si>
  <si>
    <t>01/06/2021</t>
  </si>
  <si>
    <t>20/08/1981</t>
  </si>
  <si>
    <t>ORD-202400769</t>
  </si>
  <si>
    <t>18/06/1989</t>
  </si>
  <si>
    <t>ORD-202400770</t>
  </si>
  <si>
    <t>09/04/1976</t>
  </si>
  <si>
    <t>ORD-202400771</t>
  </si>
  <si>
    <t>24/05/1978</t>
  </si>
  <si>
    <t>ORD-202400772</t>
  </si>
  <si>
    <t>15/12/1996</t>
  </si>
  <si>
    <t>ORD-202400773</t>
  </si>
  <si>
    <t>09/10/1996</t>
  </si>
  <si>
    <t>ORD-202400774</t>
  </si>
  <si>
    <t>30/08/1990</t>
  </si>
  <si>
    <t>ORD-202400775</t>
  </si>
  <si>
    <t>23/03/1970</t>
  </si>
  <si>
    <t>ORD-202400776</t>
  </si>
  <si>
    <t>10/03/2022</t>
  </si>
  <si>
    <t>09/12/1987</t>
  </si>
  <si>
    <t>ORD-202400777</t>
  </si>
  <si>
    <t>19/07/1980</t>
  </si>
  <si>
    <t>ORD-202400778</t>
  </si>
  <si>
    <t>05/10/1976</t>
  </si>
  <si>
    <t>ORD-202400779</t>
  </si>
  <si>
    <t>21/02/2022</t>
  </si>
  <si>
    <t>03/06/1999</t>
  </si>
  <si>
    <t>ORD-202400780</t>
  </si>
  <si>
    <t>15/03/1975</t>
  </si>
  <si>
    <t>ORD-202400781</t>
  </si>
  <si>
    <t>29/12/2022</t>
  </si>
  <si>
    <t>22/06/1996</t>
  </si>
  <si>
    <t>ORD-202400782</t>
  </si>
  <si>
    <t>10/05/2023</t>
  </si>
  <si>
    <t>ORD-202400783</t>
  </si>
  <si>
    <t>31/10/1993</t>
  </si>
  <si>
    <t>ORD-202400784</t>
  </si>
  <si>
    <t>26/09/2021</t>
  </si>
  <si>
    <t>12/07/1995</t>
  </si>
  <si>
    <t>ORD-202400785</t>
  </si>
  <si>
    <t>12/01/2022</t>
  </si>
  <si>
    <t>02/04/1978</t>
  </si>
  <si>
    <t>ORD-202400786</t>
  </si>
  <si>
    <t>20/10/2020</t>
  </si>
  <si>
    <t>20/03/1991</t>
  </si>
  <si>
    <t>ORD-202400787</t>
  </si>
  <si>
    <t>01/08/2021</t>
  </si>
  <si>
    <t>25/06/1999</t>
  </si>
  <si>
    <t>ORD-202400788</t>
  </si>
  <si>
    <t>24/08/2023</t>
  </si>
  <si>
    <t>16/05/1996</t>
  </si>
  <si>
    <t>ORD-202400789</t>
  </si>
  <si>
    <t>29/03/2023</t>
  </si>
  <si>
    <t>10/03/2000</t>
  </si>
  <si>
    <t>ORD-202400790</t>
  </si>
  <si>
    <t>03/04/1990</t>
  </si>
  <si>
    <t>ORD-202400791</t>
  </si>
  <si>
    <t>28/11/1975</t>
  </si>
  <si>
    <t>ORD-202400792</t>
  </si>
  <si>
    <t>18/11/1996</t>
  </si>
  <si>
    <t>ORD-202400793</t>
  </si>
  <si>
    <t>20/12/1977</t>
  </si>
  <si>
    <t>ORD-202400794</t>
  </si>
  <si>
    <t>13/11/2023</t>
  </si>
  <si>
    <t>22/01/1980</t>
  </si>
  <si>
    <t>ORD-202400795</t>
  </si>
  <si>
    <t>01/12/2023</t>
  </si>
  <si>
    <t>19/06/1987</t>
  </si>
  <si>
    <t>ORD-202400796</t>
  </si>
  <si>
    <t>08/09/1990</t>
  </si>
  <si>
    <t>ORD-202400797</t>
  </si>
  <si>
    <t>23/04/1970</t>
  </si>
  <si>
    <t>ORD-202400798</t>
  </si>
  <si>
    <t>13/01/2023</t>
  </si>
  <si>
    <t>02/09/1989</t>
  </si>
  <si>
    <t>ORD-202400799</t>
  </si>
  <si>
    <t>23/10/2024</t>
  </si>
  <si>
    <t>06/01/1975</t>
  </si>
  <si>
    <t>ORD-202400800</t>
  </si>
  <si>
    <t>14/05/2021</t>
  </si>
  <si>
    <t>12/05/1985</t>
  </si>
  <si>
    <t>ORD-202400801</t>
  </si>
  <si>
    <t>05/07/2022</t>
  </si>
  <si>
    <t>ORD-202400802</t>
  </si>
  <si>
    <t>27/04/2022</t>
  </si>
  <si>
    <t>04/04/1971</t>
  </si>
  <si>
    <t>ORD-202400803</t>
  </si>
  <si>
    <t>28/10/2023</t>
  </si>
  <si>
    <t>23/06/1992</t>
  </si>
  <si>
    <t>ORD-202400804</t>
  </si>
  <si>
    <t>25/04/2022</t>
  </si>
  <si>
    <t>25/09/1976</t>
  </si>
  <si>
    <t>ORD-202400805</t>
  </si>
  <si>
    <t>05/02/1998</t>
  </si>
  <si>
    <t>ORD-202400806</t>
  </si>
  <si>
    <t>06/05/2023</t>
  </si>
  <si>
    <t>30/03/1980</t>
  </si>
  <si>
    <t>ORD-202400807</t>
  </si>
  <si>
    <t>25/10/2021</t>
  </si>
  <si>
    <t>30/05/1991</t>
  </si>
  <si>
    <t>ORD-202400808</t>
  </si>
  <si>
    <t>07/09/2021</t>
  </si>
  <si>
    <t>16/06/1983</t>
  </si>
  <si>
    <t>ORD-202400809</t>
  </si>
  <si>
    <t>24/04/1998</t>
  </si>
  <si>
    <t>ORD-202400810</t>
  </si>
  <si>
    <t>03/04/2024</t>
  </si>
  <si>
    <t>15/11/1991</t>
  </si>
  <si>
    <t>ORD-202400811</t>
  </si>
  <si>
    <t>04/04/2023</t>
  </si>
  <si>
    <t>ORD-202400812</t>
  </si>
  <si>
    <t>15/09/1977</t>
  </si>
  <si>
    <t>ORD-202400813</t>
  </si>
  <si>
    <t>20/08/1986</t>
  </si>
  <si>
    <t>ORD-202400814</t>
  </si>
  <si>
    <t>27/11/2022</t>
  </si>
  <si>
    <t>11/04/1976</t>
  </si>
  <si>
    <t>ORD-202400815</t>
  </si>
  <si>
    <t>24/08/1979</t>
  </si>
  <si>
    <t>ORD-202400816</t>
  </si>
  <si>
    <t>06/11/1991</t>
  </si>
  <si>
    <t>ORD-202400817</t>
  </si>
  <si>
    <t>23/07/1984</t>
  </si>
  <si>
    <t>ORD-202400818</t>
  </si>
  <si>
    <t>ORD-202400819</t>
  </si>
  <si>
    <t>27/12/2021</t>
  </si>
  <si>
    <t>14/08/1981</t>
  </si>
  <si>
    <t>ORD-202400820</t>
  </si>
  <si>
    <t>14/08/1992</t>
  </si>
  <si>
    <t>ORD-202400821</t>
  </si>
  <si>
    <t>13/05/1997</t>
  </si>
  <si>
    <t>ORD-202400822</t>
  </si>
  <si>
    <t>03/09/1993</t>
  </si>
  <si>
    <t>ORD-202400823</t>
  </si>
  <si>
    <t>27/04/1999</t>
  </si>
  <si>
    <t>ORD-202400824</t>
  </si>
  <si>
    <t>05/02/2023</t>
  </si>
  <si>
    <t>09/09/1984</t>
  </si>
  <si>
    <t>ORD-202400825</t>
  </si>
  <si>
    <t>14/01/2024</t>
  </si>
  <si>
    <t>30/11/1989</t>
  </si>
  <si>
    <t>ORD-202400826</t>
  </si>
  <si>
    <t>26/05/1975</t>
  </si>
  <si>
    <t>ORD-202400827</t>
  </si>
  <si>
    <t>04/08/2022</t>
  </si>
  <si>
    <t>16/12/1987</t>
  </si>
  <si>
    <t>ORD-202400828</t>
  </si>
  <si>
    <t>15/01/1999</t>
  </si>
  <si>
    <t>ORD-202400829</t>
  </si>
  <si>
    <t>10/07/2023</t>
  </si>
  <si>
    <t>14/09/1997</t>
  </si>
  <si>
    <t>ORD-202400830</t>
  </si>
  <si>
    <t>16/05/2023</t>
  </si>
  <si>
    <t>24/11/1997</t>
  </si>
  <si>
    <t>ORD-202400831</t>
  </si>
  <si>
    <t>22/08/1985</t>
  </si>
  <si>
    <t>ORD-202400832</t>
  </si>
  <si>
    <t>12/05/2023</t>
  </si>
  <si>
    <t>02/10/1975</t>
  </si>
  <si>
    <t>ORD-202400833</t>
  </si>
  <si>
    <t>28/07/1999</t>
  </si>
  <si>
    <t>ORD-202400834</t>
  </si>
  <si>
    <t>23/10/2023</t>
  </si>
  <si>
    <t>19/12/1981</t>
  </si>
  <si>
    <t>ORD-202400835</t>
  </si>
  <si>
    <t>19/10/1987</t>
  </si>
  <si>
    <t>ORD-202400836</t>
  </si>
  <si>
    <t>29/01/1993</t>
  </si>
  <si>
    <t>ORD-202400837</t>
  </si>
  <si>
    <t>25/11/2022</t>
  </si>
  <si>
    <t>21/02/1971</t>
  </si>
  <si>
    <t>ORD-202400838</t>
  </si>
  <si>
    <t>11/03/1978</t>
  </si>
  <si>
    <t>ORD-202400839</t>
  </si>
  <si>
    <t>03/05/1980</t>
  </si>
  <si>
    <t>ORD-202400840</t>
  </si>
  <si>
    <t>25/12/1987</t>
  </si>
  <si>
    <t>ORD-202400841</t>
  </si>
  <si>
    <t>23/08/1996</t>
  </si>
  <si>
    <t>ORD-202400842</t>
  </si>
  <si>
    <t>26/04/2022</t>
  </si>
  <si>
    <t>23/05/1982</t>
  </si>
  <si>
    <t>ORD-202400843</t>
  </si>
  <si>
    <t>18/11/2023</t>
  </si>
  <si>
    <t>04/11/1996</t>
  </si>
  <si>
    <t>ORD-202400844</t>
  </si>
  <si>
    <t>23/01/1975</t>
  </si>
  <si>
    <t>ORD-202400845</t>
  </si>
  <si>
    <t>08/03/1992</t>
  </si>
  <si>
    <t>ORD-202400846</t>
  </si>
  <si>
    <t>21/02/2020</t>
  </si>
  <si>
    <t>13/10/1991</t>
  </si>
  <si>
    <t>ORD-202400847</t>
  </si>
  <si>
    <t>30/10/2023</t>
  </si>
  <si>
    <t>30/10/1998</t>
  </si>
  <si>
    <t>ORD-202400848</t>
  </si>
  <si>
    <t>13/06/1993</t>
  </si>
  <si>
    <t>ORD-202400849</t>
  </si>
  <si>
    <t>26/06/1990</t>
  </si>
  <si>
    <t>ORD-202400850</t>
  </si>
  <si>
    <t>13/10/2021</t>
  </si>
  <si>
    <t>20/07/1994</t>
  </si>
  <si>
    <t>ORD-202400851</t>
  </si>
  <si>
    <t>16/02/2022</t>
  </si>
  <si>
    <t>07/09/1998</t>
  </si>
  <si>
    <t>ORD-202400852</t>
  </si>
  <si>
    <t>18/09/1970</t>
  </si>
  <si>
    <t>ORD-202400853</t>
  </si>
  <si>
    <t>25/02/1988</t>
  </si>
  <si>
    <t>ORD-202400854</t>
  </si>
  <si>
    <t>21/01/2021</t>
  </si>
  <si>
    <t>11/01/1981</t>
  </si>
  <si>
    <t>ORD-202400855</t>
  </si>
  <si>
    <t>18/06/1997</t>
  </si>
  <si>
    <t>ORD-202400856</t>
  </si>
  <si>
    <t>28/10/1981</t>
  </si>
  <si>
    <t>ORD-202400857</t>
  </si>
  <si>
    <t>07/03/2023</t>
  </si>
  <si>
    <t>03/05/1974</t>
  </si>
  <si>
    <t>ORD-202400858</t>
  </si>
  <si>
    <t>28/01/2023</t>
  </si>
  <si>
    <t>24/08/1990</t>
  </si>
  <si>
    <t>ORD-202400859</t>
  </si>
  <si>
    <t>21/05/1982</t>
  </si>
  <si>
    <t>ORD-202400860</t>
  </si>
  <si>
    <t>06/04/1988</t>
  </si>
  <si>
    <t>ORD-202400861</t>
  </si>
  <si>
    <t>28/02/1981</t>
  </si>
  <si>
    <t>ORD-202400862</t>
  </si>
  <si>
    <t>19/03/1976</t>
  </si>
  <si>
    <t>ORD-202400863</t>
  </si>
  <si>
    <t>02/07/1993</t>
  </si>
  <si>
    <t>ORD-202400864</t>
  </si>
  <si>
    <t>10/04/1995</t>
  </si>
  <si>
    <t>ORD-202400865</t>
  </si>
  <si>
    <t>18/12/1977</t>
  </si>
  <si>
    <t>ORD-202400866</t>
  </si>
  <si>
    <t>28/04/1992</t>
  </si>
  <si>
    <t>ORD-202400867</t>
  </si>
  <si>
    <t>03/05/2022</t>
  </si>
  <si>
    <t>06/01/1992</t>
  </si>
  <si>
    <t>ORD-202400868</t>
  </si>
  <si>
    <t>07/09/1987</t>
  </si>
  <si>
    <t>ORD-202400869</t>
  </si>
  <si>
    <t>21/09/1983</t>
  </si>
  <si>
    <t>ORD-202400870</t>
  </si>
  <si>
    <t>13/02/1972</t>
  </si>
  <si>
    <t>ORD-202400871</t>
  </si>
  <si>
    <t>20/02/2024</t>
  </si>
  <si>
    <t>06/07/1990</t>
  </si>
  <si>
    <t>ORD-202400872</t>
  </si>
  <si>
    <t>19/03/1970</t>
  </si>
  <si>
    <t>ORD-202400873</t>
  </si>
  <si>
    <t>02/02/1998</t>
  </si>
  <si>
    <t>ORD-202400874</t>
  </si>
  <si>
    <t>04/11/2023</t>
  </si>
  <si>
    <t>20/06/1970</t>
  </si>
  <si>
    <t>ORD-202400875</t>
  </si>
  <si>
    <t>11/05/2024</t>
  </si>
  <si>
    <t>17/07/2000</t>
  </si>
  <si>
    <t>ORD-202400876</t>
  </si>
  <si>
    <t>23/09/2021</t>
  </si>
  <si>
    <t>08/08/1971</t>
  </si>
  <si>
    <t>ORD-202400877</t>
  </si>
  <si>
    <t>04/11/1971</t>
  </si>
  <si>
    <t>ORD-202400878</t>
  </si>
  <si>
    <t>22/07/1987</t>
  </si>
  <si>
    <t>ORD-202400879</t>
  </si>
  <si>
    <t>28/05/2023</t>
  </si>
  <si>
    <t>24/12/1994</t>
  </si>
  <si>
    <t>ORD-202400880</t>
  </si>
  <si>
    <t>28/08/1974</t>
  </si>
  <si>
    <t>ORD-202400881</t>
  </si>
  <si>
    <t>21/08/1995</t>
  </si>
  <si>
    <t>ORD-202400882</t>
  </si>
  <si>
    <t>24/04/2024</t>
  </si>
  <si>
    <t>23/06/1976</t>
  </si>
  <si>
    <t>ORD-202400883</t>
  </si>
  <si>
    <t>17/01/1988</t>
  </si>
  <si>
    <t>ORD-202400884</t>
  </si>
  <si>
    <t>15/04/2024</t>
  </si>
  <si>
    <t>13/01/1981</t>
  </si>
  <si>
    <t>ORD-202400885</t>
  </si>
  <si>
    <t>05/10/2023</t>
  </si>
  <si>
    <t>05/04/1999</t>
  </si>
  <si>
    <t>ORD-202400886</t>
  </si>
  <si>
    <t>13/01/2024</t>
  </si>
  <si>
    <t>06/04/1979</t>
  </si>
  <si>
    <t>ORD-202400887</t>
  </si>
  <si>
    <t>08/03/1984</t>
  </si>
  <si>
    <t>ORD-202400888</t>
  </si>
  <si>
    <t>19/03/2022</t>
  </si>
  <si>
    <t>22/07/1979</t>
  </si>
  <si>
    <t>ORD-202400889</t>
  </si>
  <si>
    <t>25/04/1975</t>
  </si>
  <si>
    <t>ORD-202400890</t>
  </si>
  <si>
    <t>31/01/1976</t>
  </si>
  <si>
    <t>ORD-202400891</t>
  </si>
  <si>
    <t>17/10/2024</t>
  </si>
  <si>
    <t>04/06/1985</t>
  </si>
  <si>
    <t>ORD-202400892</t>
  </si>
  <si>
    <t>ORD-202400893</t>
  </si>
  <si>
    <t>17/02/1999</t>
  </si>
  <si>
    <t>ORD-202400894</t>
  </si>
  <si>
    <t>24/06/1970</t>
  </si>
  <si>
    <t>ORD-202400895</t>
  </si>
  <si>
    <t>27/07/2024</t>
  </si>
  <si>
    <t>07/05/1985</t>
  </si>
  <si>
    <t>ORD-202400896</t>
  </si>
  <si>
    <t>12/01/1971</t>
  </si>
  <si>
    <t>ORD-202400897</t>
  </si>
  <si>
    <t>27/02/1973</t>
  </si>
  <si>
    <t>ORD-202400898</t>
  </si>
  <si>
    <t>03/06/1989</t>
  </si>
  <si>
    <t>ORD-202400899</t>
  </si>
  <si>
    <t>19/07/1996</t>
  </si>
  <si>
    <t>ORD-202400900</t>
  </si>
  <si>
    <t>19/03/1980</t>
  </si>
  <si>
    <t>ORD-202400901</t>
  </si>
  <si>
    <t>15/12/2024</t>
  </si>
  <si>
    <t>16/04/1981</t>
  </si>
  <si>
    <t>ORD-202400902</t>
  </si>
  <si>
    <t>16/12/1973</t>
  </si>
  <si>
    <t>ORD-202400903</t>
  </si>
  <si>
    <t>23/01/1984</t>
  </si>
  <si>
    <t>ORD-202400904</t>
  </si>
  <si>
    <t>27/10/1988</t>
  </si>
  <si>
    <t>ORD-202400905</t>
  </si>
  <si>
    <t>26/09/1970</t>
  </si>
  <si>
    <t>ORD-202400906</t>
  </si>
  <si>
    <t>08/07/1989</t>
  </si>
  <si>
    <t>ORD-202400907</t>
  </si>
  <si>
    <t>07/01/2022</t>
  </si>
  <si>
    <t>26/10/1983</t>
  </si>
  <si>
    <t>ORD-202400908</t>
  </si>
  <si>
    <t>31/10/1972</t>
  </si>
  <si>
    <t>ORD-202400909</t>
  </si>
  <si>
    <t>07/11/1984</t>
  </si>
  <si>
    <t>ORD-202400910</t>
  </si>
  <si>
    <t>26/03/1987</t>
  </si>
  <si>
    <t>ORD-202400911</t>
  </si>
  <si>
    <t>08/01/1980</t>
  </si>
  <si>
    <t>ORD-202400912</t>
  </si>
  <si>
    <t>05/11/2024</t>
  </si>
  <si>
    <t>27/05/1975</t>
  </si>
  <si>
    <t>ORD-202400913</t>
  </si>
  <si>
    <t>21/11/1998</t>
  </si>
  <si>
    <t>ORD-202400914</t>
  </si>
  <si>
    <t>07/11/2021</t>
  </si>
  <si>
    <t>03/05/1990</t>
  </si>
  <si>
    <t>ORD-202400915</t>
  </si>
  <si>
    <t>10/08/2020</t>
  </si>
  <si>
    <t>29/12/1998</t>
  </si>
  <si>
    <t>ORD-202400916</t>
  </si>
  <si>
    <t>12/11/1972</t>
  </si>
  <si>
    <t>ORD-202400917</t>
  </si>
  <si>
    <t>04/09/1988</t>
  </si>
  <si>
    <t>ORD-202400918</t>
  </si>
  <si>
    <t>03/11/1998</t>
  </si>
  <si>
    <t>ORD-202400919</t>
  </si>
  <si>
    <t>15/01/2000</t>
  </si>
  <si>
    <t>ORD-202400920</t>
  </si>
  <si>
    <t>19/07/1979</t>
  </si>
  <si>
    <t>ORD-202400921</t>
  </si>
  <si>
    <t>12/08/1987</t>
  </si>
  <si>
    <t>ORD-202400922</t>
  </si>
  <si>
    <t>02/06/2023</t>
  </si>
  <si>
    <t>09/12/2000</t>
  </si>
  <si>
    <t>ORD-202400923</t>
  </si>
  <si>
    <t>07/09/1984</t>
  </si>
  <si>
    <t>ORD-202400924</t>
  </si>
  <si>
    <t>01/01/2021</t>
  </si>
  <si>
    <t>27/05/1971</t>
  </si>
  <si>
    <t>ORD-202400925</t>
  </si>
  <si>
    <t>09/07/2024</t>
  </si>
  <si>
    <t>31/05/1973</t>
  </si>
  <si>
    <t>ORD-202400926</t>
  </si>
  <si>
    <t>ORD-202400927</t>
  </si>
  <si>
    <t>23/07/2021</t>
  </si>
  <si>
    <t>31/05/2000</t>
  </si>
  <si>
    <t>ORD-202400928</t>
  </si>
  <si>
    <t>28/12/1981</t>
  </si>
  <si>
    <t>ORD-202400929</t>
  </si>
  <si>
    <t>25/01/2021</t>
  </si>
  <si>
    <t>08/11/1982</t>
  </si>
  <si>
    <t>ORD-202400930</t>
  </si>
  <si>
    <t>21/10/1977</t>
  </si>
  <si>
    <t>ORD-202400931</t>
  </si>
  <si>
    <t>03/07/2022</t>
  </si>
  <si>
    <t>15/12/1998</t>
  </si>
  <si>
    <t>ORD-202400932</t>
  </si>
  <si>
    <t>22/03/2024</t>
  </si>
  <si>
    <t>26/09/1995</t>
  </si>
  <si>
    <t>ORD-202400933</t>
  </si>
  <si>
    <t>06/09/2000</t>
  </si>
  <si>
    <t>ORD-202400934</t>
  </si>
  <si>
    <t>24/02/2024</t>
  </si>
  <si>
    <t>17/02/1980</t>
  </si>
  <si>
    <t>ORD-202400935</t>
  </si>
  <si>
    <t>27/07/2022</t>
  </si>
  <si>
    <t>03/08/1983</t>
  </si>
  <si>
    <t>ORD-202400936</t>
  </si>
  <si>
    <t>03/07/2021</t>
  </si>
  <si>
    <t>05/09/1999</t>
  </si>
  <si>
    <t>ORD-202400937</t>
  </si>
  <si>
    <t>05/06/1992</t>
  </si>
  <si>
    <t>ORD-202400938</t>
  </si>
  <si>
    <t>ORD-202400939</t>
  </si>
  <si>
    <t>29/03/1990</t>
  </si>
  <si>
    <t>ORD-202400940</t>
  </si>
  <si>
    <t>11/05/1981</t>
  </si>
  <si>
    <t>ORD-202400941</t>
  </si>
  <si>
    <t>17/05/1987</t>
  </si>
  <si>
    <t>ORD-202400942</t>
  </si>
  <si>
    <t>31/03/1995</t>
  </si>
  <si>
    <t>ORD-202400943</t>
  </si>
  <si>
    <t>26/12/2022</t>
  </si>
  <si>
    <t>10/12/1988</t>
  </si>
  <si>
    <t>ORD-202400944</t>
  </si>
  <si>
    <t>11/04/2021</t>
  </si>
  <si>
    <t>04/01/1990</t>
  </si>
  <si>
    <t>ORD-202400945</t>
  </si>
  <si>
    <t>10/07/2022</t>
  </si>
  <si>
    <t>09/09/1972</t>
  </si>
  <si>
    <t>ORD-202400946</t>
  </si>
  <si>
    <t>11/06/1974</t>
  </si>
  <si>
    <t>ORD-202400947</t>
  </si>
  <si>
    <t>31/07/2021</t>
  </si>
  <si>
    <t>24/01/1998</t>
  </si>
  <si>
    <t>ORD-202400948</t>
  </si>
  <si>
    <t>26/04/2023</t>
  </si>
  <si>
    <t>18/09/1975</t>
  </si>
  <si>
    <t>ORD-202400949</t>
  </si>
  <si>
    <t>27/12/2023</t>
  </si>
  <si>
    <t>12/07/1976</t>
  </si>
  <si>
    <t>ORD-202400950</t>
  </si>
  <si>
    <t>28/10/2024</t>
  </si>
  <si>
    <t>17/02/1995</t>
  </si>
  <si>
    <t>ORD-202400951</t>
  </si>
  <si>
    <t>27/04/2023</t>
  </si>
  <si>
    <t>17/01/1984</t>
  </si>
  <si>
    <t>ORD-202400952</t>
  </si>
  <si>
    <t>16/11/2000</t>
  </si>
  <si>
    <t>ORD-202400953</t>
  </si>
  <si>
    <t>21/11/2021</t>
  </si>
  <si>
    <t>18/02/1985</t>
  </si>
  <si>
    <t>ORD-202400954</t>
  </si>
  <si>
    <t>20/07/2024</t>
  </si>
  <si>
    <t>23/02/1970</t>
  </si>
  <si>
    <t>ORD-202400955</t>
  </si>
  <si>
    <t>13/09/1996</t>
  </si>
  <si>
    <t>ORD-202400956</t>
  </si>
  <si>
    <t>ORD-202400957</t>
  </si>
  <si>
    <t>20/10/2023</t>
  </si>
  <si>
    <t>ORD-202400958</t>
  </si>
  <si>
    <t>10/11/2020</t>
  </si>
  <si>
    <t>06/02/1982</t>
  </si>
  <si>
    <t>ORD-202400959</t>
  </si>
  <si>
    <t>25/11/1996</t>
  </si>
  <si>
    <t>ORD-202400960</t>
  </si>
  <si>
    <t>15/03/2000</t>
  </si>
  <si>
    <t>ORD-202400961</t>
  </si>
  <si>
    <t>25/08/2000</t>
  </si>
  <si>
    <t>ORD-202400962</t>
  </si>
  <si>
    <t>12/12/1980</t>
  </si>
  <si>
    <t>ORD-202400963</t>
  </si>
  <si>
    <t>18/05/2022</t>
  </si>
  <si>
    <t>12/06/1986</t>
  </si>
  <si>
    <t>ORD-202400964</t>
  </si>
  <si>
    <t>26/01/2023</t>
  </si>
  <si>
    <t>26/03/1981</t>
  </si>
  <si>
    <t>ORD-202400965</t>
  </si>
  <si>
    <t>01/04/2023</t>
  </si>
  <si>
    <t>06/12/1982</t>
  </si>
  <si>
    <t>ORD-202400966</t>
  </si>
  <si>
    <t>10/10/2024</t>
  </si>
  <si>
    <t>20/07/1986</t>
  </si>
  <si>
    <t>ORD-202400967</t>
  </si>
  <si>
    <t>29/12/1976</t>
  </si>
  <si>
    <t>ORD-202400968</t>
  </si>
  <si>
    <t>05/02/1976</t>
  </si>
  <si>
    <t>ORD-202400969</t>
  </si>
  <si>
    <t>27/07/2023</t>
  </si>
  <si>
    <t>12/04/1981</t>
  </si>
  <si>
    <t>ORD-202400970</t>
  </si>
  <si>
    <t>10/02/1984</t>
  </si>
  <si>
    <t>ORD-202400971</t>
  </si>
  <si>
    <t>26/04/2020</t>
  </si>
  <si>
    <t>11/09/1989</t>
  </si>
  <si>
    <t>ORD-202400972</t>
  </si>
  <si>
    <t>28/01/2022</t>
  </si>
  <si>
    <t>22/09/1985</t>
  </si>
  <si>
    <t>ORD-202400973</t>
  </si>
  <si>
    <t>24/09/1992</t>
  </si>
  <si>
    <t>ORD-202400974</t>
  </si>
  <si>
    <t>22/11/1997</t>
  </si>
  <si>
    <t>ORD-202400975</t>
  </si>
  <si>
    <t>14/12/1986</t>
  </si>
  <si>
    <t>ORD-202400976</t>
  </si>
  <si>
    <t>07/10/1988</t>
  </si>
  <si>
    <t>ORD-202400977</t>
  </si>
  <si>
    <t>18/12/1972</t>
  </si>
  <si>
    <t>ORD-202400978</t>
  </si>
  <si>
    <t>12/05/2024</t>
  </si>
  <si>
    <t>20/11/1995</t>
  </si>
  <si>
    <t>ORD-202400979</t>
  </si>
  <si>
    <t>18/03/1982</t>
  </si>
  <si>
    <t>ORD-202400980</t>
  </si>
  <si>
    <t>30/10/1990</t>
  </si>
  <si>
    <t>ORD-202400981</t>
  </si>
  <si>
    <t>31/01/1984</t>
  </si>
  <si>
    <t>ORD-202400982</t>
  </si>
  <si>
    <t>20/04/2022</t>
  </si>
  <si>
    <t>07/03/1988</t>
  </si>
  <si>
    <t>ORD-202400983</t>
  </si>
  <si>
    <t>03/10/2020</t>
  </si>
  <si>
    <t>23/03/1989</t>
  </si>
  <si>
    <t>ORD-202400984</t>
  </si>
  <si>
    <t>10/01/1986</t>
  </si>
  <si>
    <t>ORD-202400985</t>
  </si>
  <si>
    <t>08/09/2024</t>
  </si>
  <si>
    <t>28/10/1974</t>
  </si>
  <si>
    <t>ORD-202400986</t>
  </si>
  <si>
    <t>28/11/2000</t>
  </si>
  <si>
    <t>ORD-202400987</t>
  </si>
  <si>
    <t>ORD-202400988</t>
  </si>
  <si>
    <t>04/12/1984</t>
  </si>
  <si>
    <t>ORD-202400989</t>
  </si>
  <si>
    <t>04/08/1978</t>
  </si>
  <si>
    <t>ORD-202400990</t>
  </si>
  <si>
    <t>28/12/2024</t>
  </si>
  <si>
    <t>11/12/1988</t>
  </si>
  <si>
    <t>ORD-202400991</t>
  </si>
  <si>
    <t>27/01/1979</t>
  </si>
  <si>
    <t>ORD-202400992</t>
  </si>
  <si>
    <t>19/07/1999</t>
  </si>
  <si>
    <t>ORD-202400993</t>
  </si>
  <si>
    <t>28/07/2022</t>
  </si>
  <si>
    <t>08/06/1996</t>
  </si>
  <si>
    <t>ORD-202400994</t>
  </si>
  <si>
    <t>17/04/1980</t>
  </si>
  <si>
    <t>ORD-202400995</t>
  </si>
  <si>
    <t>25/09/1970</t>
  </si>
  <si>
    <t>ORD-202400996</t>
  </si>
  <si>
    <t>07/06/1999</t>
  </si>
  <si>
    <t>ORD-202400997</t>
  </si>
  <si>
    <t>16/02/1989</t>
  </si>
  <si>
    <t>ORD-202400998</t>
  </si>
  <si>
    <t>02/05/2020</t>
  </si>
  <si>
    <t>17/12/1972</t>
  </si>
  <si>
    <t>ORD-202400999</t>
  </si>
  <si>
    <t>27/05/1987</t>
  </si>
  <si>
    <t>ORD-202401000</t>
  </si>
  <si>
    <t>28/06/2024</t>
  </si>
  <si>
    <t>04/05/1971</t>
  </si>
  <si>
    <t>ORD-202401001</t>
  </si>
  <si>
    <t>02/12/2024</t>
  </si>
  <si>
    <t>05/03/1992</t>
  </si>
  <si>
    <t>ORD-202401002</t>
  </si>
  <si>
    <t>20/02/1984</t>
  </si>
  <si>
    <t>ORD-202401003</t>
  </si>
  <si>
    <t>22/03/1984</t>
  </si>
  <si>
    <t>ORD-202401004</t>
  </si>
  <si>
    <t>03/05/1973</t>
  </si>
  <si>
    <t>ORD-202401005</t>
  </si>
  <si>
    <t>06/04/1986</t>
  </si>
  <si>
    <t>ORD-202401006</t>
  </si>
  <si>
    <t>04/10/2024</t>
  </si>
  <si>
    <t>29/07/1973</t>
  </si>
  <si>
    <t>ORD-202401007</t>
  </si>
  <si>
    <t>22/05/1996</t>
  </si>
  <si>
    <t>ORD-202401008</t>
  </si>
  <si>
    <t>29/11/2021</t>
  </si>
  <si>
    <t>11/07/1995</t>
  </si>
  <si>
    <t>ORD-202401009</t>
  </si>
  <si>
    <t>06/02/1992</t>
  </si>
  <si>
    <t>ORD-202401010</t>
  </si>
  <si>
    <t>05/03/2021</t>
  </si>
  <si>
    <t>06/11/1988</t>
  </si>
  <si>
    <t>ORD-202401011</t>
  </si>
  <si>
    <t>19/03/1981</t>
  </si>
  <si>
    <t>ORD-202401012</t>
  </si>
  <si>
    <t>20/01/1990</t>
  </si>
  <si>
    <t>ORD-202401013</t>
  </si>
  <si>
    <t>04/11/1985</t>
  </si>
  <si>
    <t>ORD-202401014</t>
  </si>
  <si>
    <t>ORD-202401015</t>
  </si>
  <si>
    <t>19/12/2022</t>
  </si>
  <si>
    <t>13/05/1982</t>
  </si>
  <si>
    <t>ORD-202401016</t>
  </si>
  <si>
    <t>03/01/1982</t>
  </si>
  <si>
    <t>ORD-202401017</t>
  </si>
  <si>
    <t>09/12/2021</t>
  </si>
  <si>
    <t>09/12/1994</t>
  </si>
  <si>
    <t>ORD-202401018</t>
  </si>
  <si>
    <t>29/09/1983</t>
  </si>
  <si>
    <t>ORD-202401019</t>
  </si>
  <si>
    <t>26/07/1984</t>
  </si>
  <si>
    <t>ORD-202401020</t>
  </si>
  <si>
    <t>23/01/2021</t>
  </si>
  <si>
    <t>13/03/1979</t>
  </si>
  <si>
    <t>ORD-202401021</t>
  </si>
  <si>
    <t>09/05/1988</t>
  </si>
  <si>
    <t>ORD-202401022</t>
  </si>
  <si>
    <t>25/12/1971</t>
  </si>
  <si>
    <t>ORD-202401023</t>
  </si>
  <si>
    <t>27/02/1989</t>
  </si>
  <si>
    <t>ORD-202401024</t>
  </si>
  <si>
    <t>24/01/2021</t>
  </si>
  <si>
    <t>18/01/1978</t>
  </si>
  <si>
    <t>ORD-202401025</t>
  </si>
  <si>
    <t>03/06/2023</t>
  </si>
  <si>
    <t>21/10/2000</t>
  </si>
  <si>
    <t>ORD-202401026</t>
  </si>
  <si>
    <t>18/04/2024</t>
  </si>
  <si>
    <t>14/04/1973</t>
  </si>
  <si>
    <t>ORD-202401027</t>
  </si>
  <si>
    <t>17/06/2024</t>
  </si>
  <si>
    <t>28/04/1990</t>
  </si>
  <si>
    <t>ORD-202401028</t>
  </si>
  <si>
    <t>02/10/2022</t>
  </si>
  <si>
    <t>08/11/1990</t>
  </si>
  <si>
    <t>ORD-202401029</t>
  </si>
  <si>
    <t>10/03/2024</t>
  </si>
  <si>
    <t>15/05/1972</t>
  </si>
  <si>
    <t>ORD-202401030</t>
  </si>
  <si>
    <t>25/08/1981</t>
  </si>
  <si>
    <t>ORD-202401031</t>
  </si>
  <si>
    <t>08/12/1988</t>
  </si>
  <si>
    <t>ORD-202401032</t>
  </si>
  <si>
    <t>02/10/1973</t>
  </si>
  <si>
    <t>ORD-202401033</t>
  </si>
  <si>
    <t>18/11/2020</t>
  </si>
  <si>
    <t>18/02/1997</t>
  </si>
  <si>
    <t>ORD-202401034</t>
  </si>
  <si>
    <t>02/09/2023</t>
  </si>
  <si>
    <t>ORD-202401035</t>
  </si>
  <si>
    <t>15/02/1970</t>
  </si>
  <si>
    <t>ORD-202401036</t>
  </si>
  <si>
    <t>22/03/1980</t>
  </si>
  <si>
    <t>ORD-202401037</t>
  </si>
  <si>
    <t>05/11/2021</t>
  </si>
  <si>
    <t>21/07/1997</t>
  </si>
  <si>
    <t>ORD-202401038</t>
  </si>
  <si>
    <t>12/10/2021</t>
  </si>
  <si>
    <t>28/09/1993</t>
  </si>
  <si>
    <t>ORD-202401039</t>
  </si>
  <si>
    <t>02/02/2023</t>
  </si>
  <si>
    <t>06/12/1987</t>
  </si>
  <si>
    <t>ORD-202401040</t>
  </si>
  <si>
    <t>20/11/1980</t>
  </si>
  <si>
    <t>ORD-202401041</t>
  </si>
  <si>
    <t>20/11/2022</t>
  </si>
  <si>
    <t>28/06/1987</t>
  </si>
  <si>
    <t>ORD-202401042</t>
  </si>
  <si>
    <t>30/12/1999</t>
  </si>
  <si>
    <t>ORD-202401043</t>
  </si>
  <si>
    <t>30/10/1980</t>
  </si>
  <si>
    <t>ORD-202401044</t>
  </si>
  <si>
    <t>17/09/1980</t>
  </si>
  <si>
    <t>ORD-202401045</t>
  </si>
  <si>
    <t>15/01/1974</t>
  </si>
  <si>
    <t>ORD-202401046</t>
  </si>
  <si>
    <t>ORD-202401047</t>
  </si>
  <si>
    <t>19/07/2022</t>
  </si>
  <si>
    <t>11/04/1974</t>
  </si>
  <si>
    <t>ORD-202401048</t>
  </si>
  <si>
    <t>15/10/1996</t>
  </si>
  <si>
    <t>ORD-202401049</t>
  </si>
  <si>
    <t>13/11/2024</t>
  </si>
  <si>
    <t>05/07/2000</t>
  </si>
  <si>
    <t>ORD-202401050</t>
  </si>
  <si>
    <t>ORD-202401051</t>
  </si>
  <si>
    <t>19/08/1976</t>
  </si>
  <si>
    <t>ORD-202401052</t>
  </si>
  <si>
    <t>16/06/1986</t>
  </si>
  <si>
    <t>ORD-202401053</t>
  </si>
  <si>
    <t>03/05/1993</t>
  </si>
  <si>
    <t>ORD-202401054</t>
  </si>
  <si>
    <t>22/04/2021</t>
  </si>
  <si>
    <t>24/05/1981</t>
  </si>
  <si>
    <t>ORD-202401055</t>
  </si>
  <si>
    <t>12/07/1993</t>
  </si>
  <si>
    <t>ORD-202401056</t>
  </si>
  <si>
    <t>08/12/2023</t>
  </si>
  <si>
    <t>07/09/1994</t>
  </si>
  <si>
    <t>ORD-202401057</t>
  </si>
  <si>
    <t>28/04/1995</t>
  </si>
  <si>
    <t>ORD-202401058</t>
  </si>
  <si>
    <t>15/11/1988</t>
  </si>
  <si>
    <t>ORD-202401059</t>
  </si>
  <si>
    <t>19/06/2021</t>
  </si>
  <si>
    <t>12/05/1995</t>
  </si>
  <si>
    <t>ORD-202401060</t>
  </si>
  <si>
    <t>17/03/1983</t>
  </si>
  <si>
    <t>ORD-202401061</t>
  </si>
  <si>
    <t>18/10/1998</t>
  </si>
  <si>
    <t>ORD-202401062</t>
  </si>
  <si>
    <t>11/03/2024</t>
  </si>
  <si>
    <t>26/06/1999</t>
  </si>
  <si>
    <t>ORD-202401063</t>
  </si>
  <si>
    <t>22/03/1988</t>
  </si>
  <si>
    <t>ORD-202401064</t>
  </si>
  <si>
    <t>17/12/2020</t>
  </si>
  <si>
    <t>15/07/1976</t>
  </si>
  <si>
    <t>ORD-202401065</t>
  </si>
  <si>
    <t>21/01/2022</t>
  </si>
  <si>
    <t>28/04/1971</t>
  </si>
  <si>
    <t>ORD-202401066</t>
  </si>
  <si>
    <t>03/09/1978</t>
  </si>
  <si>
    <t>ORD-202401067</t>
  </si>
  <si>
    <t>ORD-202401068</t>
  </si>
  <si>
    <t>18/08/1982</t>
  </si>
  <si>
    <t>ORD-202401069</t>
  </si>
  <si>
    <t>20/01/1998</t>
  </si>
  <si>
    <t>ORD-202401070</t>
  </si>
  <si>
    <t>15/02/2023</t>
  </si>
  <si>
    <t>14/12/1975</t>
  </si>
  <si>
    <t>ORD-202401071</t>
  </si>
  <si>
    <t>08/01/1970</t>
  </si>
  <si>
    <t>ORD-202401072</t>
  </si>
  <si>
    <t>16/06/1994</t>
  </si>
  <si>
    <t>ORD-202401073</t>
  </si>
  <si>
    <t>10/08/1980</t>
  </si>
  <si>
    <t>ORD-202401074</t>
  </si>
  <si>
    <t>16/05/1973</t>
  </si>
  <si>
    <t>ORD-202401075</t>
  </si>
  <si>
    <t>16/03/1997</t>
  </si>
  <si>
    <t>ORD-202401076</t>
  </si>
  <si>
    <t>03/03/1990</t>
  </si>
  <si>
    <t>ORD-202401077</t>
  </si>
  <si>
    <t>11/09/1970</t>
  </si>
  <si>
    <t>ORD-202401078</t>
  </si>
  <si>
    <t>08/01/2023</t>
  </si>
  <si>
    <t>11/01/1985</t>
  </si>
  <si>
    <t>ORD-202401079</t>
  </si>
  <si>
    <t>22/08/2023</t>
  </si>
  <si>
    <t>26/08/1996</t>
  </si>
  <si>
    <t>ORD-202401080</t>
  </si>
  <si>
    <t>28/04/2023</t>
  </si>
  <si>
    <t>17/09/1999</t>
  </si>
  <si>
    <t>ORD-202401081</t>
  </si>
  <si>
    <t>13/01/1999</t>
  </si>
  <si>
    <t>ORD-202401082</t>
  </si>
  <si>
    <t>17/06/1999</t>
  </si>
  <si>
    <t>ORD-202401083</t>
  </si>
  <si>
    <t>11/10/1995</t>
  </si>
  <si>
    <t>ORD-202401084</t>
  </si>
  <si>
    <t>18/11/1987</t>
  </si>
  <si>
    <t>ORD-202401085</t>
  </si>
  <si>
    <t>08/08/1975</t>
  </si>
  <si>
    <t>ORD-202401086</t>
  </si>
  <si>
    <t>13/03/1983</t>
  </si>
  <si>
    <t>ORD-202401087</t>
  </si>
  <si>
    <t>11/07/2000</t>
  </si>
  <si>
    <t>ORD-202401088</t>
  </si>
  <si>
    <t>25/06/2023</t>
  </si>
  <si>
    <t>06/10/1993</t>
  </si>
  <si>
    <t>ORD-202401089</t>
  </si>
  <si>
    <t>ORD-202401090</t>
  </si>
  <si>
    <t>29/01/1975</t>
  </si>
  <si>
    <t>ORD-202401091</t>
  </si>
  <si>
    <t>25/02/2022</t>
  </si>
  <si>
    <t>28/08/1984</t>
  </si>
  <si>
    <t>ORD-202401092</t>
  </si>
  <si>
    <t>05/11/1997</t>
  </si>
  <si>
    <t>ORD-202401093</t>
  </si>
  <si>
    <t>29/06/1993</t>
  </si>
  <si>
    <t>ORD-202401094</t>
  </si>
  <si>
    <t>02/01/1995</t>
  </si>
  <si>
    <t>ORD-202401095</t>
  </si>
  <si>
    <t>18/07/1982</t>
  </si>
  <si>
    <t>ORD-202401096</t>
  </si>
  <si>
    <t>07/08/2024</t>
  </si>
  <si>
    <t>27/11/1984</t>
  </si>
  <si>
    <t>ORD-202401097</t>
  </si>
  <si>
    <t>26/11/2021</t>
  </si>
  <si>
    <t>12/03/1975</t>
  </si>
  <si>
    <t>ORD-202401098</t>
  </si>
  <si>
    <t>26/05/2022</t>
  </si>
  <si>
    <t>26/04/1993</t>
  </si>
  <si>
    <t>ORD-202401099</t>
  </si>
  <si>
    <t>07/11/1998</t>
  </si>
  <si>
    <t>ORD-202401100</t>
  </si>
  <si>
    <t>31/12/1975</t>
  </si>
  <si>
    <t>ORD-202401101</t>
  </si>
  <si>
    <t>08/03/1977</t>
  </si>
  <si>
    <t>ORD-202401102</t>
  </si>
  <si>
    <t>19/03/1995</t>
  </si>
  <si>
    <t>ORD-202401103</t>
  </si>
  <si>
    <t>10/08/1987</t>
  </si>
  <si>
    <t>ORD-202401104</t>
  </si>
  <si>
    <t>08/05/1978</t>
  </si>
  <si>
    <t>ORD-202401105</t>
  </si>
  <si>
    <t>24/11/2023</t>
  </si>
  <si>
    <t>08/08/1983</t>
  </si>
  <si>
    <t>ORD-202401106</t>
  </si>
  <si>
    <t>04/03/2022</t>
  </si>
  <si>
    <t>10/12/1991</t>
  </si>
  <si>
    <t>ORD-202401107</t>
  </si>
  <si>
    <t>02/04/2024</t>
  </si>
  <si>
    <t>16/01/1990</t>
  </si>
  <si>
    <t>ORD-202401108</t>
  </si>
  <si>
    <t>19/04/2024</t>
  </si>
  <si>
    <t>30/12/1991</t>
  </si>
  <si>
    <t>ORD-202401109</t>
  </si>
  <si>
    <t>28/01/2024</t>
  </si>
  <si>
    <t>01/08/1994</t>
  </si>
  <si>
    <t>ORD-202401110</t>
  </si>
  <si>
    <t>26/12/2024</t>
  </si>
  <si>
    <t>12/09/1986</t>
  </si>
  <si>
    <t>ORD-202401111</t>
  </si>
  <si>
    <t>21/05/1984</t>
  </si>
  <si>
    <t>ORD-202401112</t>
  </si>
  <si>
    <t>15/08/1985</t>
  </si>
  <si>
    <t>ORD-202401113</t>
  </si>
  <si>
    <t>03/03/1974</t>
  </si>
  <si>
    <t>ORD-202401114</t>
  </si>
  <si>
    <t>02/03/1975</t>
  </si>
  <si>
    <t>ORD-202401115</t>
  </si>
  <si>
    <t>12/08/2024</t>
  </si>
  <si>
    <t>26/02/1981</t>
  </si>
  <si>
    <t>ORD-202401116</t>
  </si>
  <si>
    <t>17/09/1976</t>
  </si>
  <si>
    <t>ORD-202401117</t>
  </si>
  <si>
    <t>27/05/2021</t>
  </si>
  <si>
    <t>06/11/1986</t>
  </si>
  <si>
    <t>ORD-202401118</t>
  </si>
  <si>
    <t>08/12/2021</t>
  </si>
  <si>
    <t>09/07/1995</t>
  </si>
  <si>
    <t>ORD-202401119</t>
  </si>
  <si>
    <t>18/07/2023</t>
  </si>
  <si>
    <t>08/10/1983</t>
  </si>
  <si>
    <t>ORD-202401120</t>
  </si>
  <si>
    <t>13/10/2023</t>
  </si>
  <si>
    <t>13/03/1992</t>
  </si>
  <si>
    <t>ORD-202401121</t>
  </si>
  <si>
    <t>ORD-202401122</t>
  </si>
  <si>
    <t>02/04/1990</t>
  </si>
  <si>
    <t>ORD-202401123</t>
  </si>
  <si>
    <t>07/07/1991</t>
  </si>
  <si>
    <t>ORD-202401124</t>
  </si>
  <si>
    <t>05/11/1994</t>
  </si>
  <si>
    <t>ORD-202401125</t>
  </si>
  <si>
    <t>03/08/1996</t>
  </si>
  <si>
    <t>ORD-202401126</t>
  </si>
  <si>
    <t>28/11/1982</t>
  </si>
  <si>
    <t>ORD-202401127</t>
  </si>
  <si>
    <t>ORD-202401128</t>
  </si>
  <si>
    <t>28/05/1981</t>
  </si>
  <si>
    <t>ORD-202401129</t>
  </si>
  <si>
    <t>25/07/2024</t>
  </si>
  <si>
    <t>10/08/1988</t>
  </si>
  <si>
    <t>ORD-202401130</t>
  </si>
  <si>
    <t>07/04/1996</t>
  </si>
  <si>
    <t>ORD-202401131</t>
  </si>
  <si>
    <t>14/09/2023</t>
  </si>
  <si>
    <t>13/09/1971</t>
  </si>
  <si>
    <t>ORD-202401132</t>
  </si>
  <si>
    <t>12/10/2022</t>
  </si>
  <si>
    <t>16/02/1983</t>
  </si>
  <si>
    <t>ORD-202401133</t>
  </si>
  <si>
    <t>07/08/1989</t>
  </si>
  <si>
    <t>ORD-202401134</t>
  </si>
  <si>
    <t>25/03/2024</t>
  </si>
  <si>
    <t>29/04/1989</t>
  </si>
  <si>
    <t>ORD-202401135</t>
  </si>
  <si>
    <t>17/11/2024</t>
  </si>
  <si>
    <t>22/08/1981</t>
  </si>
  <si>
    <t>ORD-202401136</t>
  </si>
  <si>
    <t>29/05/2023</t>
  </si>
  <si>
    <t>03/09/1999</t>
  </si>
  <si>
    <t>ORD-202401137</t>
  </si>
  <si>
    <t>14/08/1995</t>
  </si>
  <si>
    <t>ORD-202401138</t>
  </si>
  <si>
    <t>22/01/1987</t>
  </si>
  <si>
    <t>ORD-202401139</t>
  </si>
  <si>
    <t>16/09/2022</t>
  </si>
  <si>
    <t>30/09/1976</t>
  </si>
  <si>
    <t>ORD-202401140</t>
  </si>
  <si>
    <t>30/12/1988</t>
  </si>
  <si>
    <t>ORD-202401141</t>
  </si>
  <si>
    <t>ORD-202401142</t>
  </si>
  <si>
    <t>17/05/2022</t>
  </si>
  <si>
    <t>ORD-202401143</t>
  </si>
  <si>
    <t>11/07/1994</t>
  </si>
  <si>
    <t>ORD-202401144</t>
  </si>
  <si>
    <t>03/09/2022</t>
  </si>
  <si>
    <t>15/10/1976</t>
  </si>
  <si>
    <t>ORD-202401145</t>
  </si>
  <si>
    <t>18/09/1998</t>
  </si>
  <si>
    <t>ORD-202401146</t>
  </si>
  <si>
    <t>25/07/2023</t>
  </si>
  <si>
    <t>29/11/1984</t>
  </si>
  <si>
    <t>ORD-202401147</t>
  </si>
  <si>
    <t>21/05/2023</t>
  </si>
  <si>
    <t>08/04/1971</t>
  </si>
  <si>
    <t>ORD-202401148</t>
  </si>
  <si>
    <t>07/10/2023</t>
  </si>
  <si>
    <t>ORD-202401149</t>
  </si>
  <si>
    <t>22/11/1986</t>
  </si>
  <si>
    <t>ORD-202401150</t>
  </si>
  <si>
    <t>06/09/1984</t>
  </si>
  <si>
    <t>ORD-202401151</t>
  </si>
  <si>
    <t>11/02/1987</t>
  </si>
  <si>
    <t>ORD-202401152</t>
  </si>
  <si>
    <t>19/01/1999</t>
  </si>
  <si>
    <t>ORD-202401153</t>
  </si>
  <si>
    <t>01/06/2024</t>
  </si>
  <si>
    <t>16/10/1993</t>
  </si>
  <si>
    <t>ORD-202401154</t>
  </si>
  <si>
    <t>04/10/1981</t>
  </si>
  <si>
    <t>ORD-202401155</t>
  </si>
  <si>
    <t>26/11/1979</t>
  </si>
  <si>
    <t>ORD-202401156</t>
  </si>
  <si>
    <t>15/10/1987</t>
  </si>
  <si>
    <t>ORD-202401157</t>
  </si>
  <si>
    <t>16/06/1999</t>
  </si>
  <si>
    <t>ORD-202401158</t>
  </si>
  <si>
    <t>08/04/1981</t>
  </si>
  <si>
    <t>ORD-202401159</t>
  </si>
  <si>
    <t>ORD-202401160</t>
  </si>
  <si>
    <t>26/02/2020</t>
  </si>
  <si>
    <t>21/05/1977</t>
  </si>
  <si>
    <t>ORD-202401161</t>
  </si>
  <si>
    <t>28/07/1977</t>
  </si>
  <si>
    <t>ORD-202401162</t>
  </si>
  <si>
    <t>12/02/1972</t>
  </si>
  <si>
    <t>ORD-202401163</t>
  </si>
  <si>
    <t>27/01/1990</t>
  </si>
  <si>
    <t>ORD-202401164</t>
  </si>
  <si>
    <t>27/03/2023</t>
  </si>
  <si>
    <t>13/12/1991</t>
  </si>
  <si>
    <t>ORD-202401165</t>
  </si>
  <si>
    <t>20/03/1997</t>
  </si>
  <si>
    <t>ORD-202401166</t>
  </si>
  <si>
    <t>ORD-202401167</t>
  </si>
  <si>
    <t>25/06/2024</t>
  </si>
  <si>
    <t>23/09/1977</t>
  </si>
  <si>
    <t>ORD-202401168</t>
  </si>
  <si>
    <t>14/11/2023</t>
  </si>
  <si>
    <t>03/10/1979</t>
  </si>
  <si>
    <t>ORD-202401169</t>
  </si>
  <si>
    <t>14/11/2024</t>
  </si>
  <si>
    <t>ORD-202401170</t>
  </si>
  <si>
    <t>30/04/2022</t>
  </si>
  <si>
    <t>20/08/1971</t>
  </si>
  <si>
    <t>ORD-202401171</t>
  </si>
  <si>
    <t>25/12/1998</t>
  </si>
  <si>
    <t>ORD-202401172</t>
  </si>
  <si>
    <t>01/03/2021</t>
  </si>
  <si>
    <t>02/09/1970</t>
  </si>
  <si>
    <t>ORD-202401173</t>
  </si>
  <si>
    <t>14/01/1995</t>
  </si>
  <si>
    <t>ORD-202401174</t>
  </si>
  <si>
    <t>13/06/2022</t>
  </si>
  <si>
    <t>25/02/1999</t>
  </si>
  <si>
    <t>ORD-202401175</t>
  </si>
  <si>
    <t>29/10/2022</t>
  </si>
  <si>
    <t>11/03/1984</t>
  </si>
  <si>
    <t>ORD-202401176</t>
  </si>
  <si>
    <t>08/02/2022</t>
  </si>
  <si>
    <t>12/11/1984</t>
  </si>
  <si>
    <t>ORD-202401177</t>
  </si>
  <si>
    <t>01/02/1980</t>
  </si>
  <si>
    <t>ORD-202401178</t>
  </si>
  <si>
    <t>08/07/2023</t>
  </si>
  <si>
    <t>13/03/1995</t>
  </si>
  <si>
    <t>ORD-202401179</t>
  </si>
  <si>
    <t>22/03/1994</t>
  </si>
  <si>
    <t>ORD-202401180</t>
  </si>
  <si>
    <t>30/11/1986</t>
  </si>
  <si>
    <t>ORD-202401181</t>
  </si>
  <si>
    <t>10/02/2022</t>
  </si>
  <si>
    <t>27/10/1994</t>
  </si>
  <si>
    <t>ORD-202401182</t>
  </si>
  <si>
    <t>26/11/1991</t>
  </si>
  <si>
    <t>ORD-202401183</t>
  </si>
  <si>
    <t>21/01/1997</t>
  </si>
  <si>
    <t>ORD-202401184</t>
  </si>
  <si>
    <t>06/09/2022</t>
  </si>
  <si>
    <t>14/01/1972</t>
  </si>
  <si>
    <t>ORD-202401185</t>
  </si>
  <si>
    <t>23/04/2023</t>
  </si>
  <si>
    <t>08/05/1985</t>
  </si>
  <si>
    <t>ORD-202401186</t>
  </si>
  <si>
    <t>24/03/1970</t>
  </si>
  <si>
    <t>ORD-202401187</t>
  </si>
  <si>
    <t>13/04/1970</t>
  </si>
  <si>
    <t>ORD-202401188</t>
  </si>
  <si>
    <t>12/11/1973</t>
  </si>
  <si>
    <t>ORD-202401189</t>
  </si>
  <si>
    <t>07/03/1973</t>
  </si>
  <si>
    <t>ORD-202401190</t>
  </si>
  <si>
    <t>26/04/1976</t>
  </si>
  <si>
    <t>ORD-202401191</t>
  </si>
  <si>
    <t>01/02/1993</t>
  </si>
  <si>
    <t>ORD-202401192</t>
  </si>
  <si>
    <t>21/03/1978</t>
  </si>
  <si>
    <t>ORD-202401193</t>
  </si>
  <si>
    <t>ORD-202401194</t>
  </si>
  <si>
    <t>01/03/1987</t>
  </si>
  <si>
    <t>ORD-202401195</t>
  </si>
  <si>
    <t>ORD-202401196</t>
  </si>
  <si>
    <t>18/11/1999</t>
  </si>
  <si>
    <t>ORD-202401197</t>
  </si>
  <si>
    <t>04/08/2000</t>
  </si>
  <si>
    <t>ORD-202401198</t>
  </si>
  <si>
    <t>12/02/2024</t>
  </si>
  <si>
    <t>30/11/1999</t>
  </si>
  <si>
    <t>ORD-202401199</t>
  </si>
  <si>
    <t>04/04/2022</t>
  </si>
  <si>
    <t>26/07/1985</t>
  </si>
  <si>
    <t>ORD-202401200</t>
  </si>
  <si>
    <t>01/11/2021</t>
  </si>
  <si>
    <t>15/09/1994</t>
  </si>
  <si>
    <t>ORD-202401201</t>
  </si>
  <si>
    <t>ORD-202401202</t>
  </si>
  <si>
    <t>21/11/1972</t>
  </si>
  <si>
    <t>ORD-202401203</t>
  </si>
  <si>
    <t>09/10/2000</t>
  </si>
  <si>
    <t>ORD-202401204</t>
  </si>
  <si>
    <t>21/08/1972</t>
  </si>
  <si>
    <t>ORD-202401205</t>
  </si>
  <si>
    <t>01/08/1995</t>
  </si>
  <si>
    <t>ORD-202401206</t>
  </si>
  <si>
    <t>23/05/1998</t>
  </si>
  <si>
    <t>ORD-202401207</t>
  </si>
  <si>
    <t>19/05/1978</t>
  </si>
  <si>
    <t>ORD-202401208</t>
  </si>
  <si>
    <t>05/05/2020</t>
  </si>
  <si>
    <t>03/04/1970</t>
  </si>
  <si>
    <t>ORD-202401209</t>
  </si>
  <si>
    <t>26/12/1984</t>
  </si>
  <si>
    <t>ORD-202401210</t>
  </si>
  <si>
    <t>19/10/1988</t>
  </si>
  <si>
    <t>ORD-202401211</t>
  </si>
  <si>
    <t>15/08/2020</t>
  </si>
  <si>
    <t>20/02/1975</t>
  </si>
  <si>
    <t>ORD-202401212</t>
  </si>
  <si>
    <t>11/07/1993</t>
  </si>
  <si>
    <t>ORD-202401213</t>
  </si>
  <si>
    <t>15/01/1984</t>
  </si>
  <si>
    <t>ORD-202401214</t>
  </si>
  <si>
    <t>09/09/1979</t>
  </si>
  <si>
    <t>ORD-202401215</t>
  </si>
  <si>
    <t>22/05/1991</t>
  </si>
  <si>
    <t>ORD-202401216</t>
  </si>
  <si>
    <t>10/11/1991</t>
  </si>
  <si>
    <t>ORD-202401217</t>
  </si>
  <si>
    <t>02/08/1970</t>
  </si>
  <si>
    <t>ORD-202401218</t>
  </si>
  <si>
    <t>06/12/1980</t>
  </si>
  <si>
    <t>ORD-202401219</t>
  </si>
  <si>
    <t>30/01/2024</t>
  </si>
  <si>
    <t>14/06/1985</t>
  </si>
  <si>
    <t>ORD-202401220</t>
  </si>
  <si>
    <t>15/12/2020</t>
  </si>
  <si>
    <t>05/10/2000</t>
  </si>
  <si>
    <t>ORD-202401221</t>
  </si>
  <si>
    <t>18/05/1982</t>
  </si>
  <si>
    <t>ORD-202401222</t>
  </si>
  <si>
    <t>23/08/1987</t>
  </si>
  <si>
    <t>ORD-202401223</t>
  </si>
  <si>
    <t>10/05/2024</t>
  </si>
  <si>
    <t>25/06/1983</t>
  </si>
  <si>
    <t>ORD-202401224</t>
  </si>
  <si>
    <t>03/07/1977</t>
  </si>
  <si>
    <t>ORD-202401225</t>
  </si>
  <si>
    <t>13/05/1999</t>
  </si>
  <si>
    <t>ORD-202401226</t>
  </si>
  <si>
    <t>08/10/1980</t>
  </si>
  <si>
    <t>ORD-202401227</t>
  </si>
  <si>
    <t>17/05/1978</t>
  </si>
  <si>
    <t>ORD-202401228</t>
  </si>
  <si>
    <t>24/09/1993</t>
  </si>
  <si>
    <t>ORD-202401229</t>
  </si>
  <si>
    <t>24/07/2024</t>
  </si>
  <si>
    <t>28/04/1996</t>
  </si>
  <si>
    <t>ORD-202401230</t>
  </si>
  <si>
    <t>30/04/1989</t>
  </si>
  <si>
    <t>ORD-202401231</t>
  </si>
  <si>
    <t>14/02/2022</t>
  </si>
  <si>
    <t>30/04/1985</t>
  </si>
  <si>
    <t>ORD-202401232</t>
  </si>
  <si>
    <t>21/05/2024</t>
  </si>
  <si>
    <t>18/02/1976</t>
  </si>
  <si>
    <t>ORD-202401233</t>
  </si>
  <si>
    <t>07/10/1978</t>
  </si>
  <si>
    <t>ORD-202401234</t>
  </si>
  <si>
    <t>14/07/2000</t>
  </si>
  <si>
    <t>ORD-202401235</t>
  </si>
  <si>
    <t>26/12/1994</t>
  </si>
  <si>
    <t>ORD-202401236</t>
  </si>
  <si>
    <t>17/01/1975</t>
  </si>
  <si>
    <t>ORD-202401237</t>
  </si>
  <si>
    <t>09/03/2023</t>
  </si>
  <si>
    <t>24/11/1995</t>
  </si>
  <si>
    <t>ORD-202401238</t>
  </si>
  <si>
    <t>02/02/1994</t>
  </si>
  <si>
    <t>ORD-202401239</t>
  </si>
  <si>
    <t>26/08/2021</t>
  </si>
  <si>
    <t>21/09/1999</t>
  </si>
  <si>
    <t>ORD-202401240</t>
  </si>
  <si>
    <t>29/07/1971</t>
  </si>
  <si>
    <t>ORD-202401241</t>
  </si>
  <si>
    <t>05/09/2024</t>
  </si>
  <si>
    <t>15/01/1981</t>
  </si>
  <si>
    <t>ORD-202401242</t>
  </si>
  <si>
    <t>25/09/2023</t>
  </si>
  <si>
    <t>ORD-202401243</t>
  </si>
  <si>
    <t>23/09/1994</t>
  </si>
  <si>
    <t>ORD-202401244</t>
  </si>
  <si>
    <t>23/06/1974</t>
  </si>
  <si>
    <t>ORD-202401245</t>
  </si>
  <si>
    <t>13/05/2023</t>
  </si>
  <si>
    <t>22/01/1988</t>
  </si>
  <si>
    <t>ORD-202401246</t>
  </si>
  <si>
    <t>04/10/1970</t>
  </si>
  <si>
    <t>ORD-202401247</t>
  </si>
  <si>
    <t>22/06/2023</t>
  </si>
  <si>
    <t>21/06/1979</t>
  </si>
  <si>
    <t>ORD-202401248</t>
  </si>
  <si>
    <t>14/04/1970</t>
  </si>
  <si>
    <t>ORD-202401249</t>
  </si>
  <si>
    <t>18/09/2023</t>
  </si>
  <si>
    <t>13/11/1982</t>
  </si>
  <si>
    <t>ORD-202401250</t>
  </si>
  <si>
    <t>ORD-202401251</t>
  </si>
  <si>
    <t>06/11/1995</t>
  </si>
  <si>
    <t>ORD-202401252</t>
  </si>
  <si>
    <t>11/03/1973</t>
  </si>
  <si>
    <t>ORD-202401253</t>
  </si>
  <si>
    <t>28/11/2023</t>
  </si>
  <si>
    <t>12/05/1990</t>
  </si>
  <si>
    <t>ORD-202401254</t>
  </si>
  <si>
    <t>13/08/2021</t>
  </si>
  <si>
    <t>01/04/1999</t>
  </si>
  <si>
    <t>ORD-202401255</t>
  </si>
  <si>
    <t>07/11/1983</t>
  </si>
  <si>
    <t>ORD-202401256</t>
  </si>
  <si>
    <t>29/06/1976</t>
  </si>
  <si>
    <t>ORD-202401257</t>
  </si>
  <si>
    <t>29/03/1972</t>
  </si>
  <si>
    <t>ORD-202401258</t>
  </si>
  <si>
    <t>29/12/1973</t>
  </si>
  <si>
    <t>ORD-202401259</t>
  </si>
  <si>
    <t>16/07/2020</t>
  </si>
  <si>
    <t>21/03/1982</t>
  </si>
  <si>
    <t>ORD-202401260</t>
  </si>
  <si>
    <t>26/11/1990</t>
  </si>
  <si>
    <t>ORD-202401261</t>
  </si>
  <si>
    <t>07/02/1995</t>
  </si>
  <si>
    <t>ORD-202401262</t>
  </si>
  <si>
    <t>05/06/2024</t>
  </si>
  <si>
    <t>14/06/1997</t>
  </si>
  <si>
    <t>ORD-202401263</t>
  </si>
  <si>
    <t>19/05/2023</t>
  </si>
  <si>
    <t>22/05/1988</t>
  </si>
  <si>
    <t>ORD-202401264</t>
  </si>
  <si>
    <t>05/01/2000</t>
  </si>
  <si>
    <t>ORD-202401265</t>
  </si>
  <si>
    <t>07/08/1985</t>
  </si>
  <si>
    <t>ORD-202401266</t>
  </si>
  <si>
    <t>28/08/1983</t>
  </si>
  <si>
    <t>ORD-202401267</t>
  </si>
  <si>
    <t>26/08/1987</t>
  </si>
  <si>
    <t>ORD-202401268</t>
  </si>
  <si>
    <t>04/03/1986</t>
  </si>
  <si>
    <t>ORD-202401269</t>
  </si>
  <si>
    <t>25/01/1977</t>
  </si>
  <si>
    <t>ORD-202401270</t>
  </si>
  <si>
    <t>31/07/2024</t>
  </si>
  <si>
    <t>17/08/1992</t>
  </si>
  <si>
    <t>ORD-202401271</t>
  </si>
  <si>
    <t>23/09/1999</t>
  </si>
  <si>
    <t>ORD-202401272</t>
  </si>
  <si>
    <t>25/01/2024</t>
  </si>
  <si>
    <t>30/04/1977</t>
  </si>
  <si>
    <t>ORD-202401273</t>
  </si>
  <si>
    <t>18/06/2020</t>
  </si>
  <si>
    <t>01/01/1988</t>
  </si>
  <si>
    <t>ORD-202401274</t>
  </si>
  <si>
    <t>20/05/1986</t>
  </si>
  <si>
    <t>ORD-202401275</t>
  </si>
  <si>
    <t>07/07/1972</t>
  </si>
  <si>
    <t>ORD-202401276</t>
  </si>
  <si>
    <t>23/08/2023</t>
  </si>
  <si>
    <t>20/01/1973</t>
  </si>
  <si>
    <t>ORD-202401277</t>
  </si>
  <si>
    <t>07/07/1994</t>
  </si>
  <si>
    <t>ORD-202401278</t>
  </si>
  <si>
    <t>13/09/1998</t>
  </si>
  <si>
    <t>ORD-202401279</t>
  </si>
  <si>
    <t>12/11/2000</t>
  </si>
  <si>
    <t>ORD-202401280</t>
  </si>
  <si>
    <t>22/06/1974</t>
  </si>
  <si>
    <t>ORD-202401281</t>
  </si>
  <si>
    <t>21/05/1990</t>
  </si>
  <si>
    <t>ORD-202401282</t>
  </si>
  <si>
    <t>28/02/1992</t>
  </si>
  <si>
    <t>ORD-202401283</t>
  </si>
  <si>
    <t>08/11/1986</t>
  </si>
  <si>
    <t>ORD-202401284</t>
  </si>
  <si>
    <t>02/01/1983</t>
  </si>
  <si>
    <t>ORD-202401285</t>
  </si>
  <si>
    <t>19/06/1970</t>
  </si>
  <si>
    <t>ORD-202401286</t>
  </si>
  <si>
    <t>07/07/1999</t>
  </si>
  <si>
    <t>ORD-202401287</t>
  </si>
  <si>
    <t>15/10/1970</t>
  </si>
  <si>
    <t>ORD-202401288</t>
  </si>
  <si>
    <t>21/06/1984</t>
  </si>
  <si>
    <t>ORD-202401289</t>
  </si>
  <si>
    <t>23/04/1983</t>
  </si>
  <si>
    <t>ORD-202401290</t>
  </si>
  <si>
    <t>ORD-202401291</t>
  </si>
  <si>
    <t>09/02/2021</t>
  </si>
  <si>
    <t>10/09/1986</t>
  </si>
  <si>
    <t>ORD-202401292</t>
  </si>
  <si>
    <t>ORD-202401293</t>
  </si>
  <si>
    <t>ORD-202401294</t>
  </si>
  <si>
    <t>03/04/2022</t>
  </si>
  <si>
    <t>ORD-202401295</t>
  </si>
  <si>
    <t>16/08/1982</t>
  </si>
  <si>
    <t>ORD-202401296</t>
  </si>
  <si>
    <t>21/09/2023</t>
  </si>
  <si>
    <t>08/12/1978</t>
  </si>
  <si>
    <t>ORD-202401297</t>
  </si>
  <si>
    <t>10/03/1994</t>
  </si>
  <si>
    <t>ORD-202401298</t>
  </si>
  <si>
    <t>08/12/1985</t>
  </si>
  <si>
    <t>ORD-202401299</t>
  </si>
  <si>
    <t>07/12/1994</t>
  </si>
  <si>
    <t>ORD-202401300</t>
  </si>
  <si>
    <t>10/12/1977</t>
  </si>
  <si>
    <t>ORD-202401301</t>
  </si>
  <si>
    <t>01/11/1976</t>
  </si>
  <si>
    <t>ORD-202401302</t>
  </si>
  <si>
    <t>20/04/1987</t>
  </si>
  <si>
    <t>ORD-202401303</t>
  </si>
  <si>
    <t>08/02/2021</t>
  </si>
  <si>
    <t>12/11/1997</t>
  </si>
  <si>
    <t>ORD-202401304</t>
  </si>
  <si>
    <t>ORD-202401305</t>
  </si>
  <si>
    <t>16/03/1976</t>
  </si>
  <si>
    <t>ORD-202401306</t>
  </si>
  <si>
    <t>27/12/1995</t>
  </si>
  <si>
    <t>ORD-202401307</t>
  </si>
  <si>
    <t>14/09/1996</t>
  </si>
  <si>
    <t>ORD-202401308</t>
  </si>
  <si>
    <t>24/07/1983</t>
  </si>
  <si>
    <t>ORD-202401309</t>
  </si>
  <si>
    <t>10/12/1993</t>
  </si>
  <si>
    <t>ORD-202401310</t>
  </si>
  <si>
    <t>24/03/2024</t>
  </si>
  <si>
    <t>16/11/1987</t>
  </si>
  <si>
    <t>ORD-202401311</t>
  </si>
  <si>
    <t>17/09/1995</t>
  </si>
  <si>
    <t>ORD-202401312</t>
  </si>
  <si>
    <t>27/08/1970</t>
  </si>
  <si>
    <t>ORD-202401313</t>
  </si>
  <si>
    <t>18/12/1985</t>
  </si>
  <si>
    <t>ORD-202401314</t>
  </si>
  <si>
    <t>30/05/2024</t>
  </si>
  <si>
    <t>18/05/1989</t>
  </si>
  <si>
    <t>ORD-202401315</t>
  </si>
  <si>
    <t>06/08/2024</t>
  </si>
  <si>
    <t>14/09/1986</t>
  </si>
  <si>
    <t>ORD-202401316</t>
  </si>
  <si>
    <t>25/07/2022</t>
  </si>
  <si>
    <t>15/10/1986</t>
  </si>
  <si>
    <t>ORD-202401317</t>
  </si>
  <si>
    <t>07/04/1978</t>
  </si>
  <si>
    <t>ORD-202401318</t>
  </si>
  <si>
    <t>ORD-202401319</t>
  </si>
  <si>
    <t>16/06/1977</t>
  </si>
  <si>
    <t>ORD-202401320</t>
  </si>
  <si>
    <t>10/09/2024</t>
  </si>
  <si>
    <t>17/01/1977</t>
  </si>
  <si>
    <t>ORD-202401321</t>
  </si>
  <si>
    <t>23/07/2000</t>
  </si>
  <si>
    <t>ORD-202401322</t>
  </si>
  <si>
    <t>ORD-202401323</t>
  </si>
  <si>
    <t>31/05/2024</t>
  </si>
  <si>
    <t>12/01/1975</t>
  </si>
  <si>
    <t>ORD-202401324</t>
  </si>
  <si>
    <t>04/10/1978</t>
  </si>
  <si>
    <t>ORD-202401325</t>
  </si>
  <si>
    <t>30/12/1993</t>
  </si>
  <si>
    <t>ORD-202401326</t>
  </si>
  <si>
    <t>19/09/1983</t>
  </si>
  <si>
    <t>ORD-202401327</t>
  </si>
  <si>
    <t>02/10/2000</t>
  </si>
  <si>
    <t>ORD-202401328</t>
  </si>
  <si>
    <t>26/01/1980</t>
  </si>
  <si>
    <t>ORD-202401329</t>
  </si>
  <si>
    <t>ORD-202401330</t>
  </si>
  <si>
    <t>28/03/2024</t>
  </si>
  <si>
    <t>ORD-202401331</t>
  </si>
  <si>
    <t>28/06/1998</t>
  </si>
  <si>
    <t>ORD-202401332</t>
  </si>
  <si>
    <t>20/11/2023</t>
  </si>
  <si>
    <t>27/04/1973</t>
  </si>
  <si>
    <t>ORD-202401333</t>
  </si>
  <si>
    <t>16/05/2024</t>
  </si>
  <si>
    <t>31/03/1979</t>
  </si>
  <si>
    <t>ORD-202401334</t>
  </si>
  <si>
    <t>13/02/1975</t>
  </si>
  <si>
    <t>ORD-202401335</t>
  </si>
  <si>
    <t>10/04/1998</t>
  </si>
  <si>
    <t>ORD-202401336</t>
  </si>
  <si>
    <t>22/06/1999</t>
  </si>
  <si>
    <t>ORD-202401337</t>
  </si>
  <si>
    <t>31/07/1973</t>
  </si>
  <si>
    <t>ORD-202401338</t>
  </si>
  <si>
    <t>28/09/2020</t>
  </si>
  <si>
    <t>19/09/1984</t>
  </si>
  <si>
    <t>ORD-202401339</t>
  </si>
  <si>
    <t>25/10/1993</t>
  </si>
  <si>
    <t>ORD-202401340</t>
  </si>
  <si>
    <t>15/09/1972</t>
  </si>
  <si>
    <t>ORD-202401341</t>
  </si>
  <si>
    <t>27/09/1980</t>
  </si>
  <si>
    <t>ORD-202401342</t>
  </si>
  <si>
    <t>25/02/1991</t>
  </si>
  <si>
    <t>ORD-202401343</t>
  </si>
  <si>
    <t>30/01/1973</t>
  </si>
  <si>
    <t>ORD-202401344</t>
  </si>
  <si>
    <t>01/08/1975</t>
  </si>
  <si>
    <t>ORD-202401345</t>
  </si>
  <si>
    <t>23/10/1981</t>
  </si>
  <si>
    <t>ORD-202401346</t>
  </si>
  <si>
    <t>22/12/2022</t>
  </si>
  <si>
    <t>29/07/1999</t>
  </si>
  <si>
    <t>ORD-202401347</t>
  </si>
  <si>
    <t>12/02/1994</t>
  </si>
  <si>
    <t>ORD-202401348</t>
  </si>
  <si>
    <t>18/05/2024</t>
  </si>
  <si>
    <t>30/07/1971</t>
  </si>
  <si>
    <t>ORD-202401349</t>
  </si>
  <si>
    <t>27/09/1982</t>
  </si>
  <si>
    <t>ORD-202401350</t>
  </si>
  <si>
    <t>15/01/1971</t>
  </si>
  <si>
    <t>ORD-202401351</t>
  </si>
  <si>
    <t>19/09/1990</t>
  </si>
  <si>
    <t>ORD-202401352</t>
  </si>
  <si>
    <t>16/09/1994</t>
  </si>
  <si>
    <t>ORD-202401353</t>
  </si>
  <si>
    <t>22/06/1981</t>
  </si>
  <si>
    <t>ORD-202401354</t>
  </si>
  <si>
    <t>30/09/2020</t>
  </si>
  <si>
    <t>23/11/1997</t>
  </si>
  <si>
    <t>ORD-202401355</t>
  </si>
  <si>
    <t>19/03/2021</t>
  </si>
  <si>
    <t>ORD-202401356</t>
  </si>
  <si>
    <t>ORD-202401357</t>
  </si>
  <si>
    <t>18/01/2024</t>
  </si>
  <si>
    <t>09/05/1999</t>
  </si>
  <si>
    <t>ORD-202401358</t>
  </si>
  <si>
    <t>10/05/2021</t>
  </si>
  <si>
    <t>ORD-202401359</t>
  </si>
  <si>
    <t>31/05/1972</t>
  </si>
  <si>
    <t>ORD-202401360</t>
  </si>
  <si>
    <t>12/02/2023</t>
  </si>
  <si>
    <t>14/05/1976</t>
  </si>
  <si>
    <t>ORD-202401361</t>
  </si>
  <si>
    <t>07/03/2020</t>
  </si>
  <si>
    <t>05/02/1991</t>
  </si>
  <si>
    <t>ORD-202401362</t>
  </si>
  <si>
    <t>25/09/1985</t>
  </si>
  <si>
    <t>ORD-202401363</t>
  </si>
  <si>
    <t>25/12/2024</t>
  </si>
  <si>
    <t>23/10/1982</t>
  </si>
  <si>
    <t>ORD-202401364</t>
  </si>
  <si>
    <t>08/05/1980</t>
  </si>
  <si>
    <t>ORD-202401365</t>
  </si>
  <si>
    <t>17/01/1979</t>
  </si>
  <si>
    <t>ORD-202401366</t>
  </si>
  <si>
    <t>04/09/1993</t>
  </si>
  <si>
    <t>ORD-202401367</t>
  </si>
  <si>
    <t>25/01/1970</t>
  </si>
  <si>
    <t>ORD-202401368</t>
  </si>
  <si>
    <t>25/08/1995</t>
  </si>
  <si>
    <t>ORD-202401369</t>
  </si>
  <si>
    <t>01/10/2000</t>
  </si>
  <si>
    <t>ORD-202401370</t>
  </si>
  <si>
    <t>28/01/1989</t>
  </si>
  <si>
    <t>ORD-202401371</t>
  </si>
  <si>
    <t>13/09/1973</t>
  </si>
  <si>
    <t>ORD-202401372</t>
  </si>
  <si>
    <t>27/08/1981</t>
  </si>
  <si>
    <t>ORD-202401373</t>
  </si>
  <si>
    <t>06/04/1982</t>
  </si>
  <si>
    <t>ORD-202401374</t>
  </si>
  <si>
    <t>16/02/2023</t>
  </si>
  <si>
    <t>22/11/2000</t>
  </si>
  <si>
    <t>ORD-202401375</t>
  </si>
  <si>
    <t>03/10/1981</t>
  </si>
  <si>
    <t>ORD-202401376</t>
  </si>
  <si>
    <t>20/10/1997</t>
  </si>
  <si>
    <t>ORD-202401377</t>
  </si>
  <si>
    <t>18/02/1975</t>
  </si>
  <si>
    <t>ORD-202401378</t>
  </si>
  <si>
    <t>15/02/2020</t>
  </si>
  <si>
    <t>19/11/1977</t>
  </si>
  <si>
    <t>ORD-202401379</t>
  </si>
  <si>
    <t>08/08/2023</t>
  </si>
  <si>
    <t>10/07/1989</t>
  </si>
  <si>
    <t>ORD-202401380</t>
  </si>
  <si>
    <t>10/06/1998</t>
  </si>
  <si>
    <t>ORD-202401381</t>
  </si>
  <si>
    <t>ORD-202401382</t>
  </si>
  <si>
    <t>08/09/1987</t>
  </si>
  <si>
    <t>ORD-202401383</t>
  </si>
  <si>
    <t>26/06/1994</t>
  </si>
  <si>
    <t>ORD-202401384</t>
  </si>
  <si>
    <t>19/09/2021</t>
  </si>
  <si>
    <t>10/08/1983</t>
  </si>
  <si>
    <t>ORD-202401385</t>
  </si>
  <si>
    <t>27/07/1994</t>
  </si>
  <si>
    <t>ORD-202401386</t>
  </si>
  <si>
    <t>26/05/1982</t>
  </si>
  <si>
    <t>ORD-202401387</t>
  </si>
  <si>
    <t>22/06/2022</t>
  </si>
  <si>
    <t>17/05/2000</t>
  </si>
  <si>
    <t>ORD-202401388</t>
  </si>
  <si>
    <t>18/12/1971</t>
  </si>
  <si>
    <t>ORD-202401389</t>
  </si>
  <si>
    <t>08/11/2020</t>
  </si>
  <si>
    <t>05/09/1993</t>
  </si>
  <si>
    <t>ORD-202401390</t>
  </si>
  <si>
    <t>ORD-202401391</t>
  </si>
  <si>
    <t>26/08/2020</t>
  </si>
  <si>
    <t>ORD-202401392</t>
  </si>
  <si>
    <t>07/12/1990</t>
  </si>
  <si>
    <t>ORD-202401393</t>
  </si>
  <si>
    <t>ORD-202401394</t>
  </si>
  <si>
    <t>19/12/1992</t>
  </si>
  <si>
    <t>ORD-202401395</t>
  </si>
  <si>
    <t>06/09/2023</t>
  </si>
  <si>
    <t>14/03/1985</t>
  </si>
  <si>
    <t>ORD-202401396</t>
  </si>
  <si>
    <t>14/09/2022</t>
  </si>
  <si>
    <t>31/05/1971</t>
  </si>
  <si>
    <t>ORD-202401397</t>
  </si>
  <si>
    <t>15/07/2020</t>
  </si>
  <si>
    <t>09/01/1997</t>
  </si>
  <si>
    <t>ORD-202401398</t>
  </si>
  <si>
    <t>06/07/2021</t>
  </si>
  <si>
    <t>16/05/1976</t>
  </si>
  <si>
    <t>ORD-202401399</t>
  </si>
  <si>
    <t>12/06/1993</t>
  </si>
  <si>
    <t>ORD-202401400</t>
  </si>
  <si>
    <t>10/07/1983</t>
  </si>
  <si>
    <t>ORD-202401401</t>
  </si>
  <si>
    <t>31/05/1987</t>
  </si>
  <si>
    <t>ORD-202401402</t>
  </si>
  <si>
    <t>13/09/2022</t>
  </si>
  <si>
    <t>13/11/1988</t>
  </si>
  <si>
    <t>ORD-202401403</t>
  </si>
  <si>
    <t>07/02/1992</t>
  </si>
  <si>
    <t>ORD-202401404</t>
  </si>
  <si>
    <t>03/11/2023</t>
  </si>
  <si>
    <t>20/09/1990</t>
  </si>
  <si>
    <t>ORD-202401405</t>
  </si>
  <si>
    <t>19/01/2023</t>
  </si>
  <si>
    <t>24/01/1986</t>
  </si>
  <si>
    <t>ORD-202401406</t>
  </si>
  <si>
    <t>02/08/1991</t>
  </si>
  <si>
    <t>ORD-202401407</t>
  </si>
  <si>
    <t>18/02/2000</t>
  </si>
  <si>
    <t>ORD-202401408</t>
  </si>
  <si>
    <t>24/01/2024</t>
  </si>
  <si>
    <t>16/02/1990</t>
  </si>
  <si>
    <t>ORD-202401409</t>
  </si>
  <si>
    <t>07/05/1991</t>
  </si>
  <si>
    <t>ORD-202401410</t>
  </si>
  <si>
    <t>25/09/2022</t>
  </si>
  <si>
    <t>25/08/1987</t>
  </si>
  <si>
    <t>ORD-202401411</t>
  </si>
  <si>
    <t>03/10/1988</t>
  </si>
  <si>
    <t>ORD-202401412</t>
  </si>
  <si>
    <t>26/08/2023</t>
  </si>
  <si>
    <t>02/06/1992</t>
  </si>
  <si>
    <t>ORD-202401413</t>
  </si>
  <si>
    <t>ORD-202401414</t>
  </si>
  <si>
    <t>03/03/2022</t>
  </si>
  <si>
    <t>23/01/1992</t>
  </si>
  <si>
    <t>ORD-202401415</t>
  </si>
  <si>
    <t>23/02/2022</t>
  </si>
  <si>
    <t>21/01/1989</t>
  </si>
  <si>
    <t>ORD-202401416</t>
  </si>
  <si>
    <t>09/04/1978</t>
  </si>
  <si>
    <t>ORD-202401417</t>
  </si>
  <si>
    <t>ORD-202401418</t>
  </si>
  <si>
    <t>16/10/2022</t>
  </si>
  <si>
    <t>02/07/1982</t>
  </si>
  <si>
    <t>ORD-202401419</t>
  </si>
  <si>
    <t>29/06/2021</t>
  </si>
  <si>
    <t>15/08/1997</t>
  </si>
  <si>
    <t>ORD-202401420</t>
  </si>
  <si>
    <t>20/12/1979</t>
  </si>
  <si>
    <t>ORD-202401421</t>
  </si>
  <si>
    <t>21/10/1994</t>
  </si>
  <si>
    <t>ORD-202401422</t>
  </si>
  <si>
    <t>18/03/1992</t>
  </si>
  <si>
    <t>ORD-202401423</t>
  </si>
  <si>
    <t>30/08/1986</t>
  </si>
  <si>
    <t>ORD-202401424</t>
  </si>
  <si>
    <t>06/01/1973</t>
  </si>
  <si>
    <t>ORD-202401425</t>
  </si>
  <si>
    <t>21/02/1980</t>
  </si>
  <si>
    <t>ORD-202401426</t>
  </si>
  <si>
    <t>13/03/1971</t>
  </si>
  <si>
    <t>ORD-202401427</t>
  </si>
  <si>
    <t>09/11/2024</t>
  </si>
  <si>
    <t>19/12/1996</t>
  </si>
  <si>
    <t>ORD-202401428</t>
  </si>
  <si>
    <t>ORD-202401429</t>
  </si>
  <si>
    <t>ORD-202401430</t>
  </si>
  <si>
    <t>28/04/2022</t>
  </si>
  <si>
    <t>10/03/1971</t>
  </si>
  <si>
    <t>ORD-202401431</t>
  </si>
  <si>
    <t>12/06/1970</t>
  </si>
  <si>
    <t>ORD-202401432</t>
  </si>
  <si>
    <t>05/09/1990</t>
  </si>
  <si>
    <t>ORD-202401433</t>
  </si>
  <si>
    <t>31/05/1984</t>
  </si>
  <si>
    <t>ORD-202401434</t>
  </si>
  <si>
    <t>19/08/1977</t>
  </si>
  <si>
    <t>ORD-202401435</t>
  </si>
  <si>
    <t>01/08/1992</t>
  </si>
  <si>
    <t>ORD-202401436</t>
  </si>
  <si>
    <t>04/09/2022</t>
  </si>
  <si>
    <t>16/08/1975</t>
  </si>
  <si>
    <t>ORD-202401437</t>
  </si>
  <si>
    <t>03/12/1993</t>
  </si>
  <si>
    <t>ORD-202401438</t>
  </si>
  <si>
    <t>09/08/1977</t>
  </si>
  <si>
    <t>ORD-202401439</t>
  </si>
  <si>
    <t>21/05/1988</t>
  </si>
  <si>
    <t>ORD-202401440</t>
  </si>
  <si>
    <t>26/07/1997</t>
  </si>
  <si>
    <t>ORD-202401441</t>
  </si>
  <si>
    <t>30/10/2020</t>
  </si>
  <si>
    <t>ORD-202401442</t>
  </si>
  <si>
    <t>03/08/2023</t>
  </si>
  <si>
    <t>18/06/1972</t>
  </si>
  <si>
    <t>ORD-202401443</t>
  </si>
  <si>
    <t>16/01/1974</t>
  </si>
  <si>
    <t>ORD-202401444</t>
  </si>
  <si>
    <t>11/06/1983</t>
  </si>
  <si>
    <t>ORD-202401445</t>
  </si>
  <si>
    <t>ORD-202401446</t>
  </si>
  <si>
    <t>13/12/1992</t>
  </si>
  <si>
    <t>ORD-202401447</t>
  </si>
  <si>
    <t>ORD-202401448</t>
  </si>
  <si>
    <t>ORD-202401449</t>
  </si>
  <si>
    <t>ORD-202401450</t>
  </si>
  <si>
    <t>23/05/2022</t>
  </si>
  <si>
    <t>08/07/1980</t>
  </si>
  <si>
    <t>ORD-202401451</t>
  </si>
  <si>
    <t>19/12/1979</t>
  </si>
  <si>
    <t>ORD-202401452</t>
  </si>
  <si>
    <t>19/12/1990</t>
  </si>
  <si>
    <t>ORD-202401453</t>
  </si>
  <si>
    <t>31/01/2020</t>
  </si>
  <si>
    <t>09/09/1976</t>
  </si>
  <si>
    <t>ORD-202401454</t>
  </si>
  <si>
    <t>19/04/1986</t>
  </si>
  <si>
    <t>ORD-202401455</t>
  </si>
  <si>
    <t>14/11/1999</t>
  </si>
  <si>
    <t>ORD-202401456</t>
  </si>
  <si>
    <t>11/02/2023</t>
  </si>
  <si>
    <t>22/07/1997</t>
  </si>
  <si>
    <t>ORD-202401457</t>
  </si>
  <si>
    <t>03/08/1977</t>
  </si>
  <si>
    <t>ORD-202401458</t>
  </si>
  <si>
    <t>19/08/1972</t>
  </si>
  <si>
    <t>ORD-202401459</t>
  </si>
  <si>
    <t>31/08/1970</t>
  </si>
  <si>
    <t>ORD-202401460</t>
  </si>
  <si>
    <t>26/12/2021</t>
  </si>
  <si>
    <t>25/06/1984</t>
  </si>
  <si>
    <t>ORD-202401461</t>
  </si>
  <si>
    <t>22/12/2020</t>
  </si>
  <si>
    <t>11/07/1996</t>
  </si>
  <si>
    <t>ORD-202401462</t>
  </si>
  <si>
    <t>ORD-202401463</t>
  </si>
  <si>
    <t>22/05/2024</t>
  </si>
  <si>
    <t>ORD-202401464</t>
  </si>
  <si>
    <t>28/05/2000</t>
  </si>
  <si>
    <t>ORD-202401465</t>
  </si>
  <si>
    <t>07/03/1974</t>
  </si>
  <si>
    <t>ORD-202401466</t>
  </si>
  <si>
    <t>25/05/1971</t>
  </si>
  <si>
    <t>ORD-202401467</t>
  </si>
  <si>
    <t>ORD-202401468</t>
  </si>
  <si>
    <t>26/12/1973</t>
  </si>
  <si>
    <t>ORD-202401469</t>
  </si>
  <si>
    <t>27/06/1971</t>
  </si>
  <si>
    <t>ORD-202401470</t>
  </si>
  <si>
    <t>ORD-202401471</t>
  </si>
  <si>
    <t>23/08/1979</t>
  </si>
  <si>
    <t>ORD-202401472</t>
  </si>
  <si>
    <t>ORD-202401473</t>
  </si>
  <si>
    <t>23/06/1981</t>
  </si>
  <si>
    <t>ORD-202401474</t>
  </si>
  <si>
    <t>19/10/2021</t>
  </si>
  <si>
    <t>07/04/1990</t>
  </si>
  <si>
    <t>ORD-202401475</t>
  </si>
  <si>
    <t>23/09/1993</t>
  </si>
  <si>
    <t>ORD-202401476</t>
  </si>
  <si>
    <t>17/02/1997</t>
  </si>
  <si>
    <t>ORD-202401477</t>
  </si>
  <si>
    <t>29/11/1986</t>
  </si>
  <si>
    <t>ORD-202401478</t>
  </si>
  <si>
    <t>13/06/1975</t>
  </si>
  <si>
    <t>ORD-202401479</t>
  </si>
  <si>
    <t>11/06/1970</t>
  </si>
  <si>
    <t>ORD-202401480</t>
  </si>
  <si>
    <t>30/11/2022</t>
  </si>
  <si>
    <t>01/09/1999</t>
  </si>
  <si>
    <t>ORD-202401481</t>
  </si>
  <si>
    <t>10/12/1975</t>
  </si>
  <si>
    <t>ORD-202401482</t>
  </si>
  <si>
    <t>ORD-202401483</t>
  </si>
  <si>
    <t>06/03/2023</t>
  </si>
  <si>
    <t>01/07/1995</t>
  </si>
  <si>
    <t>ORD-202401484</t>
  </si>
  <si>
    <t>07/05/1988</t>
  </si>
  <si>
    <t>ORD-202401485</t>
  </si>
  <si>
    <t>25/03/2021</t>
  </si>
  <si>
    <t>06/04/1984</t>
  </si>
  <si>
    <t>ORD-202401486</t>
  </si>
  <si>
    <t>14/10/1972</t>
  </si>
  <si>
    <t>ORD-202401487</t>
  </si>
  <si>
    <t>22/09/2023</t>
  </si>
  <si>
    <t>22/09/1991</t>
  </si>
  <si>
    <t>ORD-202401488</t>
  </si>
  <si>
    <t>29/08/1988</t>
  </si>
  <si>
    <t>ORD-202401489</t>
  </si>
  <si>
    <t>18/12/2024</t>
  </si>
  <si>
    <t>ORD-202401490</t>
  </si>
  <si>
    <t>12/10/2024</t>
  </si>
  <si>
    <t>18/11/1985</t>
  </si>
  <si>
    <t>ORD-202401491</t>
  </si>
  <si>
    <t>05/11/2022</t>
  </si>
  <si>
    <t>23/11/1999</t>
  </si>
  <si>
    <t>ORD-202401492</t>
  </si>
  <si>
    <t>22/05/2021</t>
  </si>
  <si>
    <t>29/10/1970</t>
  </si>
  <si>
    <t>ORD-202401493</t>
  </si>
  <si>
    <t>10/07/2021</t>
  </si>
  <si>
    <t>27/05/1994</t>
  </si>
  <si>
    <t>ORD-202401494</t>
  </si>
  <si>
    <t>03/09/1982</t>
  </si>
  <si>
    <t>ORD-202401495</t>
  </si>
  <si>
    <t>02/10/1992</t>
  </si>
  <si>
    <t>ORD-202401496</t>
  </si>
  <si>
    <t>21/12/2023</t>
  </si>
  <si>
    <t>23/03/1998</t>
  </si>
  <si>
    <t>ORD-202401497</t>
  </si>
  <si>
    <t>24/07/2021</t>
  </si>
  <si>
    <t>23/10/1980</t>
  </si>
  <si>
    <t>ORD-202401498</t>
  </si>
  <si>
    <t>25/04/1970</t>
  </si>
  <si>
    <t>ORD-202401499</t>
  </si>
  <si>
    <t>28/10/1978</t>
  </si>
  <si>
    <t>ORD-202401500</t>
  </si>
  <si>
    <t>08/03/2024</t>
  </si>
  <si>
    <t>11/04/1988</t>
  </si>
  <si>
    <t>ORD-202401501</t>
  </si>
  <si>
    <t>23/10/1991</t>
  </si>
  <si>
    <t>ORD-202401502</t>
  </si>
  <si>
    <t>08/07/2024</t>
  </si>
  <si>
    <t>23/12/1971</t>
  </si>
  <si>
    <t>ORD-202401503</t>
  </si>
  <si>
    <t>01/09/1998</t>
  </si>
  <si>
    <t>ORD-202401504</t>
  </si>
  <si>
    <t>29/04/2023</t>
  </si>
  <si>
    <t>11/01/1975</t>
  </si>
  <si>
    <t>ORD-202401505</t>
  </si>
  <si>
    <t>28/06/1996</t>
  </si>
  <si>
    <t>ORD-202401506</t>
  </si>
  <si>
    <t>ORD-202401507</t>
  </si>
  <si>
    <t>16/03/1992</t>
  </si>
  <si>
    <t>ORD-202401508</t>
  </si>
  <si>
    <t>02/12/1976</t>
  </si>
  <si>
    <t>ORD-202401509</t>
  </si>
  <si>
    <t>17/01/1974</t>
  </si>
  <si>
    <t>ORD-202401510</t>
  </si>
  <si>
    <t>19/10/1983</t>
  </si>
  <si>
    <t>ORD-202401511</t>
  </si>
  <si>
    <t>11/07/1975</t>
  </si>
  <si>
    <t>ORD-202401512</t>
  </si>
  <si>
    <t>31/12/2024</t>
  </si>
  <si>
    <t>29/03/1997</t>
  </si>
  <si>
    <t>ORD-202401513</t>
  </si>
  <si>
    <t>26/04/1994</t>
  </si>
  <si>
    <t>ORD-202401514</t>
  </si>
  <si>
    <t>30/01/1997</t>
  </si>
  <si>
    <t>ORD-202401515</t>
  </si>
  <si>
    <t>14/11/1986</t>
  </si>
  <si>
    <t>ORD-202401516</t>
  </si>
  <si>
    <t>21/10/1995</t>
  </si>
  <si>
    <t>ORD-202401517</t>
  </si>
  <si>
    <t>04/12/2022</t>
  </si>
  <si>
    <t>02/03/1973</t>
  </si>
  <si>
    <t>ORD-202401518</t>
  </si>
  <si>
    <t>14/08/2020</t>
  </si>
  <si>
    <t>07/07/1984</t>
  </si>
  <si>
    <t>ORD-202401519</t>
  </si>
  <si>
    <t>ORD-202401520</t>
  </si>
  <si>
    <t>09/04/1971</t>
  </si>
  <si>
    <t>ORD-202401521</t>
  </si>
  <si>
    <t>20/01/2022</t>
  </si>
  <si>
    <t>21/09/1998</t>
  </si>
  <si>
    <t>ORD-202401522</t>
  </si>
  <si>
    <t>06/03/1976</t>
  </si>
  <si>
    <t>ORD-202401523</t>
  </si>
  <si>
    <t>08/10/1981</t>
  </si>
  <si>
    <t>ORD-202401524</t>
  </si>
  <si>
    <t>06/10/1995</t>
  </si>
  <si>
    <t>ORD-202401525</t>
  </si>
  <si>
    <t>27/08/1982</t>
  </si>
  <si>
    <t>ORD-202401526</t>
  </si>
  <si>
    <t>10/04/1996</t>
  </si>
  <si>
    <t>ORD-202401527</t>
  </si>
  <si>
    <t>12/08/2023</t>
  </si>
  <si>
    <t>ORD-202401528</t>
  </si>
  <si>
    <t>21/01/1992</t>
  </si>
  <si>
    <t>ORD-202401529</t>
  </si>
  <si>
    <t>16/07/2023</t>
  </si>
  <si>
    <t>16/06/1973</t>
  </si>
  <si>
    <t>ORD-202401530</t>
  </si>
  <si>
    <t>20/12/1997</t>
  </si>
  <si>
    <t>ORD-202401531</t>
  </si>
  <si>
    <t>24/04/1976</t>
  </si>
  <si>
    <t>ORD-202401532</t>
  </si>
  <si>
    <t>ORD-202401533</t>
  </si>
  <si>
    <t>21/02/1985</t>
  </si>
  <si>
    <t>ORD-202401534</t>
  </si>
  <si>
    <t>31/08/1981</t>
  </si>
  <si>
    <t>ORD-202401535</t>
  </si>
  <si>
    <t>06/11/1972</t>
  </si>
  <si>
    <t>ORD-202401536</t>
  </si>
  <si>
    <t>05/12/1984</t>
  </si>
  <si>
    <t>ORD-202401537</t>
  </si>
  <si>
    <t>02/10/1996</t>
  </si>
  <si>
    <t>ORD-202401538</t>
  </si>
  <si>
    <t>07/03/1979</t>
  </si>
  <si>
    <t>ORD-202401539</t>
  </si>
  <si>
    <t>09/08/1994</t>
  </si>
  <si>
    <t>ORD-202401540</t>
  </si>
  <si>
    <t>13/03/2023</t>
  </si>
  <si>
    <t>24/11/1984</t>
  </si>
  <si>
    <t>ORD-202401541</t>
  </si>
  <si>
    <t>25/08/1990</t>
  </si>
  <si>
    <t>ORD-202401542</t>
  </si>
  <si>
    <t>14/03/1997</t>
  </si>
  <si>
    <t>ORD-202401543</t>
  </si>
  <si>
    <t>25/11/1986</t>
  </si>
  <si>
    <t>ORD-202401544</t>
  </si>
  <si>
    <t>ORD-202401545</t>
  </si>
  <si>
    <t>01/08/2023</t>
  </si>
  <si>
    <t>09/12/1997</t>
  </si>
  <si>
    <t>ORD-202401546</t>
  </si>
  <si>
    <t>06/09/1977</t>
  </si>
  <si>
    <t>ORD-202401547</t>
  </si>
  <si>
    <t>02/08/1982</t>
  </si>
  <si>
    <t>ORD-202401548</t>
  </si>
  <si>
    <t>05/10/2024</t>
  </si>
  <si>
    <t>05/04/1994</t>
  </si>
  <si>
    <t>ORD-202401549</t>
  </si>
  <si>
    <t>30/12/2024</t>
  </si>
  <si>
    <t>18/02/1998</t>
  </si>
  <si>
    <t>ORD-202401550</t>
  </si>
  <si>
    <t>01/09/1980</t>
  </si>
  <si>
    <t>ORD-202401551</t>
  </si>
  <si>
    <t>12/05/1987</t>
  </si>
  <si>
    <t>ORD-202401552</t>
  </si>
  <si>
    <t>31/07/1991</t>
  </si>
  <si>
    <t>ORD-202401553</t>
  </si>
  <si>
    <t>04/05/2024</t>
  </si>
  <si>
    <t>ORD-202401554</t>
  </si>
  <si>
    <t>30/08/1977</t>
  </si>
  <si>
    <t>ORD-202401555</t>
  </si>
  <si>
    <t>27/12/1979</t>
  </si>
  <si>
    <t>ORD-202401556</t>
  </si>
  <si>
    <t>22/03/1999</t>
  </si>
  <si>
    <t>ORD-202401557</t>
  </si>
  <si>
    <t>08/05/1973</t>
  </si>
  <si>
    <t>ORD-202401558</t>
  </si>
  <si>
    <t>25/10/1981</t>
  </si>
  <si>
    <t>ORD-202401559</t>
  </si>
  <si>
    <t>12/09/1992</t>
  </si>
  <si>
    <t>ORD-202401560</t>
  </si>
  <si>
    <t>14/10/2022</t>
  </si>
  <si>
    <t>08/05/1979</t>
  </si>
  <si>
    <t>ORD-202401561</t>
  </si>
  <si>
    <t>04/02/1973</t>
  </si>
  <si>
    <t>ORD-202401562</t>
  </si>
  <si>
    <t>29/06/1985</t>
  </si>
  <si>
    <t>ORD-202401563</t>
  </si>
  <si>
    <t>21/03/1974</t>
  </si>
  <si>
    <t>ORD-202401564</t>
  </si>
  <si>
    <t>15/10/2022</t>
  </si>
  <si>
    <t>15/02/1979</t>
  </si>
  <si>
    <t>ORD-202401565</t>
  </si>
  <si>
    <t>20/01/1989</t>
  </si>
  <si>
    <t>ORD-202401566</t>
  </si>
  <si>
    <t>25/07/1988</t>
  </si>
  <si>
    <t>ORD-202401567</t>
  </si>
  <si>
    <t>19/01/1982</t>
  </si>
  <si>
    <t>ORD-202401568</t>
  </si>
  <si>
    <t>28/03/1973</t>
  </si>
  <si>
    <t>ORD-202401569</t>
  </si>
  <si>
    <t>ORD-202401570</t>
  </si>
  <si>
    <t>02/11/1998</t>
  </si>
  <si>
    <t>ORD-202401571</t>
  </si>
  <si>
    <t>04/07/1984</t>
  </si>
  <si>
    <t>ORD-202401572</t>
  </si>
  <si>
    <t>23/04/1976</t>
  </si>
  <si>
    <t>ORD-202401573</t>
  </si>
  <si>
    <t>11/01/1996</t>
  </si>
  <si>
    <t>ORD-202401574</t>
  </si>
  <si>
    <t>21/10/1982</t>
  </si>
  <si>
    <t>ORD-202401575</t>
  </si>
  <si>
    <t>03/09/2023</t>
  </si>
  <si>
    <t>28/11/1980</t>
  </si>
  <si>
    <t>ORD-202401576</t>
  </si>
  <si>
    <t>25/06/1973</t>
  </si>
  <si>
    <t>ORD-202401577</t>
  </si>
  <si>
    <t>02/01/2023</t>
  </si>
  <si>
    <t>28/05/1976</t>
  </si>
  <si>
    <t>ORD-202401578</t>
  </si>
  <si>
    <t>14/05/1989</t>
  </si>
  <si>
    <t>ORD-202401579</t>
  </si>
  <si>
    <t>18/02/1984</t>
  </si>
  <si>
    <t>ORD-202401580</t>
  </si>
  <si>
    <t>19/06/1982</t>
  </si>
  <si>
    <t>ORD-202401581</t>
  </si>
  <si>
    <t>09/02/1975</t>
  </si>
  <si>
    <t>ORD-202401582</t>
  </si>
  <si>
    <t>03/11/2021</t>
  </si>
  <si>
    <t>27/05/1981</t>
  </si>
  <si>
    <t>ORD-202401583</t>
  </si>
  <si>
    <t>ORD-202401584</t>
  </si>
  <si>
    <t>31/05/1982</t>
  </si>
  <si>
    <t>ORD-202401585</t>
  </si>
  <si>
    <t>03/02/2022</t>
  </si>
  <si>
    <t>31/12/1981</t>
  </si>
  <si>
    <t>ORD-202401586</t>
  </si>
  <si>
    <t>07/03/1981</t>
  </si>
  <si>
    <t>ORD-202401587</t>
  </si>
  <si>
    <t>17/09/1975</t>
  </si>
  <si>
    <t>ORD-202401588</t>
  </si>
  <si>
    <t>25/10/1978</t>
  </si>
  <si>
    <t>ORD-202401589</t>
  </si>
  <si>
    <t>07/08/1976</t>
  </si>
  <si>
    <t>ORD-202401590</t>
  </si>
  <si>
    <t>11/04/2023</t>
  </si>
  <si>
    <t>ORD-202401591</t>
  </si>
  <si>
    <t>11/11/2022</t>
  </si>
  <si>
    <t>01/01/1989</t>
  </si>
  <si>
    <t>ORD-202401592</t>
  </si>
  <si>
    <t>15/08/2022</t>
  </si>
  <si>
    <t>21/10/1987</t>
  </si>
  <si>
    <t>ORD-202401593</t>
  </si>
  <si>
    <t>15/04/1998</t>
  </si>
  <si>
    <t>ORD-202401594</t>
  </si>
  <si>
    <t>30/10/1997</t>
  </si>
  <si>
    <t>ORD-202401595</t>
  </si>
  <si>
    <t>28/03/1971</t>
  </si>
  <si>
    <t>ORD-202401596</t>
  </si>
  <si>
    <t>22/10/1988</t>
  </si>
  <si>
    <t>ORD-202401597</t>
  </si>
  <si>
    <t>22/02/1992</t>
  </si>
  <si>
    <t>ORD-202401598</t>
  </si>
  <si>
    <t>23/12/1983</t>
  </si>
  <si>
    <t>ORD-202401599</t>
  </si>
  <si>
    <t>05/02/1983</t>
  </si>
  <si>
    <t>ORD-202401600</t>
  </si>
  <si>
    <t>12/06/1991</t>
  </si>
  <si>
    <t>ORD-202401601</t>
  </si>
  <si>
    <t>29/02/2024</t>
  </si>
  <si>
    <t>13/02/1979</t>
  </si>
  <si>
    <t>ORD-202401602</t>
  </si>
  <si>
    <t>16/02/1974</t>
  </si>
  <si>
    <t>ORD-202401603</t>
  </si>
  <si>
    <t>13/07/1986</t>
  </si>
  <si>
    <t>ORD-202401604</t>
  </si>
  <si>
    <t>24/06/1975</t>
  </si>
  <si>
    <t>ORD-202401605</t>
  </si>
  <si>
    <t>05/12/2023</t>
  </si>
  <si>
    <t>28/04/1978</t>
  </si>
  <si>
    <t>ORD-202401606</t>
  </si>
  <si>
    <t>20/11/2020</t>
  </si>
  <si>
    <t>ORD-202401607</t>
  </si>
  <si>
    <t>31/07/1995</t>
  </si>
  <si>
    <t>ORD-202401608</t>
  </si>
  <si>
    <t>ORD-202401609</t>
  </si>
  <si>
    <t>30/05/2020</t>
  </si>
  <si>
    <t>02/05/1999</t>
  </si>
  <si>
    <t>ORD-202401610</t>
  </si>
  <si>
    <t>22/06/1988</t>
  </si>
  <si>
    <t>ORD-202401611</t>
  </si>
  <si>
    <t>04/12/2021</t>
  </si>
  <si>
    <t>28/03/1977</t>
  </si>
  <si>
    <t>ORD-202401612</t>
  </si>
  <si>
    <t>07/11/2022</t>
  </si>
  <si>
    <t>06/07/1996</t>
  </si>
  <si>
    <t>ORD-202401613</t>
  </si>
  <si>
    <t>18/09/1978</t>
  </si>
  <si>
    <t>ORD-202401614</t>
  </si>
  <si>
    <t>25/08/2020</t>
  </si>
  <si>
    <t>07/07/1993</t>
  </si>
  <si>
    <t>ORD-202401615</t>
  </si>
  <si>
    <t>25/11/1992</t>
  </si>
  <si>
    <t>ORD-202401616</t>
  </si>
  <si>
    <t>17/12/1979</t>
  </si>
  <si>
    <t>ORD-202401617</t>
  </si>
  <si>
    <t>16/08/2023</t>
  </si>
  <si>
    <t>29/03/1981</t>
  </si>
  <si>
    <t>ORD-202401618</t>
  </si>
  <si>
    <t>15/05/1978</t>
  </si>
  <si>
    <t>ORD-202401619</t>
  </si>
  <si>
    <t>06/06/1987</t>
  </si>
  <si>
    <t>ORD-202401620</t>
  </si>
  <si>
    <t>16/02/1995</t>
  </si>
  <si>
    <t>ORD-202401621</t>
  </si>
  <si>
    <t>05/11/1987</t>
  </si>
  <si>
    <t>ORD-202401622</t>
  </si>
  <si>
    <t>ORD-202401623</t>
  </si>
  <si>
    <t>11/09/1984</t>
  </si>
  <si>
    <t>ORD-202401624</t>
  </si>
  <si>
    <t>21/07/1979</t>
  </si>
  <si>
    <t>ORD-202401625</t>
  </si>
  <si>
    <t>24/05/2021</t>
  </si>
  <si>
    <t>28/11/1970</t>
  </si>
  <si>
    <t>ORD-202401626</t>
  </si>
  <si>
    <t>ORD-202401627</t>
  </si>
  <si>
    <t>20/04/2024</t>
  </si>
  <si>
    <t>08/06/1975</t>
  </si>
  <si>
    <t>ORD-202401628</t>
  </si>
  <si>
    <t>19/04/2023</t>
  </si>
  <si>
    <t>06/10/1986</t>
  </si>
  <si>
    <t>ORD-202401629</t>
  </si>
  <si>
    <t>ORD-202401630</t>
  </si>
  <si>
    <t>29/09/1979</t>
  </si>
  <si>
    <t>ORD-202401631</t>
  </si>
  <si>
    <t>22/04/1975</t>
  </si>
  <si>
    <t>ORD-202401632</t>
  </si>
  <si>
    <t>27/01/1999</t>
  </si>
  <si>
    <t>ORD-202401633</t>
  </si>
  <si>
    <t>07/09/1972</t>
  </si>
  <si>
    <t>ORD-202401634</t>
  </si>
  <si>
    <t>06/05/2021</t>
  </si>
  <si>
    <t>ORD-202401635</t>
  </si>
  <si>
    <t>03/05/1992</t>
  </si>
  <si>
    <t>ORD-202401636</t>
  </si>
  <si>
    <t>30/04/1995</t>
  </si>
  <si>
    <t>ORD-202401637</t>
  </si>
  <si>
    <t>06/01/1994</t>
  </si>
  <si>
    <t>ORD-202401638</t>
  </si>
  <si>
    <t>08/12/1999</t>
  </si>
  <si>
    <t>ORD-202401639</t>
  </si>
  <si>
    <t>04/04/2021</t>
  </si>
  <si>
    <t>ORD-202401640</t>
  </si>
  <si>
    <t>28/05/1996</t>
  </si>
  <si>
    <t>ORD-202401641</t>
  </si>
  <si>
    <t>16/06/1995</t>
  </si>
  <si>
    <t>ORD-202401642</t>
  </si>
  <si>
    <t>02/05/1984</t>
  </si>
  <si>
    <t>ORD-202401643</t>
  </si>
  <si>
    <t>16/03/2020</t>
  </si>
  <si>
    <t>15/10/1978</t>
  </si>
  <si>
    <t>ORD-202401644</t>
  </si>
  <si>
    <t>27/05/1999</t>
  </si>
  <si>
    <t>ORD-202401645</t>
  </si>
  <si>
    <t>08/07/1972</t>
  </si>
  <si>
    <t>ORD-202401646</t>
  </si>
  <si>
    <t>15/02/1989</t>
  </si>
  <si>
    <t>ORD-202401647</t>
  </si>
  <si>
    <t>17/02/1979</t>
  </si>
  <si>
    <t>ORD-202401648</t>
  </si>
  <si>
    <t>12/04/1979</t>
  </si>
  <si>
    <t>ORD-202401649</t>
  </si>
  <si>
    <t>29/06/1995</t>
  </si>
  <si>
    <t>ORD-202401650</t>
  </si>
  <si>
    <t>25/07/1987</t>
  </si>
  <si>
    <t>ORD-202401651</t>
  </si>
  <si>
    <t>23/11/2022</t>
  </si>
  <si>
    <t>ORD-202401652</t>
  </si>
  <si>
    <t>ORD-202401653</t>
  </si>
  <si>
    <t>25/01/1990</t>
  </si>
  <si>
    <t>ORD-202401654</t>
  </si>
  <si>
    <t>24/01/1995</t>
  </si>
  <si>
    <t>ORD-202401655</t>
  </si>
  <si>
    <t>17/07/2023</t>
  </si>
  <si>
    <t>03/09/1989</t>
  </si>
  <si>
    <t>ORD-202401656</t>
  </si>
  <si>
    <t>ORD-202401657</t>
  </si>
  <si>
    <t>26/04/1977</t>
  </si>
  <si>
    <t>ORD-202401658</t>
  </si>
  <si>
    <t>16/02/1997</t>
  </si>
  <si>
    <t>ORD-202401659</t>
  </si>
  <si>
    <t>16/12/1979</t>
  </si>
  <si>
    <t>ORD-202401660</t>
  </si>
  <si>
    <t>06/05/1970</t>
  </si>
  <si>
    <t>ORD-202401661</t>
  </si>
  <si>
    <t>01/03/2023</t>
  </si>
  <si>
    <t>04/06/1975</t>
  </si>
  <si>
    <t>ORD-202401662</t>
  </si>
  <si>
    <t>08/05/1976</t>
  </si>
  <si>
    <t>ORD-202401663</t>
  </si>
  <si>
    <t>31/12/2023</t>
  </si>
  <si>
    <t>01/03/1989</t>
  </si>
  <si>
    <t>ORD-202401664</t>
  </si>
  <si>
    <t>27/09/1978</t>
  </si>
  <si>
    <t>ORD-202401665</t>
  </si>
  <si>
    <t>30/12/1997</t>
  </si>
  <si>
    <t>ORD-202401666</t>
  </si>
  <si>
    <t>04/08/2023</t>
  </si>
  <si>
    <t>31/03/1972</t>
  </si>
  <si>
    <t>ORD-202401667</t>
  </si>
  <si>
    <t>19/05/1971</t>
  </si>
  <si>
    <t>ORD-202401668</t>
  </si>
  <si>
    <t>13/06/2021</t>
  </si>
  <si>
    <t>19/12/1982</t>
  </si>
  <si>
    <t>ORD-202401669</t>
  </si>
  <si>
    <t>14/07/1988</t>
  </si>
  <si>
    <t>ORD-202401670</t>
  </si>
  <si>
    <t>15/05/1976</t>
  </si>
  <si>
    <t>ORD-202401671</t>
  </si>
  <si>
    <t>07/12/1970</t>
  </si>
  <si>
    <t>ORD-202401672</t>
  </si>
  <si>
    <t>07/02/1979</t>
  </si>
  <si>
    <t>ORD-202401673</t>
  </si>
  <si>
    <t>ORD-202401674</t>
  </si>
  <si>
    <t>25/01/1985</t>
  </si>
  <si>
    <t>ORD-202401675</t>
  </si>
  <si>
    <t>23/09/1988</t>
  </si>
  <si>
    <t>ORD-202401676</t>
  </si>
  <si>
    <t>ORD-202401677</t>
  </si>
  <si>
    <t>29/05/1989</t>
  </si>
  <si>
    <t>ORD-202401678</t>
  </si>
  <si>
    <t>20/12/1985</t>
  </si>
  <si>
    <t>ORD-202401679</t>
  </si>
  <si>
    <t>26/05/1989</t>
  </si>
  <si>
    <t>ORD-202401680</t>
  </si>
  <si>
    <t>04/02/1993</t>
  </si>
  <si>
    <t>ORD-202401681</t>
  </si>
  <si>
    <t>27/01/1983</t>
  </si>
  <si>
    <t>ORD-202401682</t>
  </si>
  <si>
    <t>18/08/1994</t>
  </si>
  <si>
    <t>ORD-202401683</t>
  </si>
  <si>
    <t>17/07/2024</t>
  </si>
  <si>
    <t>15/10/1984</t>
  </si>
  <si>
    <t>ORD-202401684</t>
  </si>
  <si>
    <t>30/07/1993</t>
  </si>
  <si>
    <t>ORD-202401685</t>
  </si>
  <si>
    <t>09/09/2023</t>
  </si>
  <si>
    <t>ORD-202401686</t>
  </si>
  <si>
    <t>ORD-202401687</t>
  </si>
  <si>
    <t>ORD-202401688</t>
  </si>
  <si>
    <t>13/05/2022</t>
  </si>
  <si>
    <t>04/10/1995</t>
  </si>
  <si>
    <t>ORD-202401689</t>
  </si>
  <si>
    <t>26/06/1986</t>
  </si>
  <si>
    <t>ORD-202401690</t>
  </si>
  <si>
    <t>01/04/1989</t>
  </si>
  <si>
    <t>ORD-202401691</t>
  </si>
  <si>
    <t>16/07/1994</t>
  </si>
  <si>
    <t>ORD-202401692</t>
  </si>
  <si>
    <t>16/02/1991</t>
  </si>
  <si>
    <t>ORD-202401693</t>
  </si>
  <si>
    <t>09/01/1994</t>
  </si>
  <si>
    <t>ORD-202401694</t>
  </si>
  <si>
    <t>17/04/1972</t>
  </si>
  <si>
    <t>ORD-202401695</t>
  </si>
  <si>
    <t>25/06/1998</t>
  </si>
  <si>
    <t>ORD-202401696</t>
  </si>
  <si>
    <t>15/06/1983</t>
  </si>
  <si>
    <t>ORD-202401697</t>
  </si>
  <si>
    <t>15/09/2000</t>
  </si>
  <si>
    <t>ORD-202401698</t>
  </si>
  <si>
    <t>26/06/1977</t>
  </si>
  <si>
    <t>ORD-202401699</t>
  </si>
  <si>
    <t>05/07/2020</t>
  </si>
  <si>
    <t>30/03/1992</t>
  </si>
  <si>
    <t>ORD-202401700</t>
  </si>
  <si>
    <t>31/05/1980</t>
  </si>
  <si>
    <t>ORD-202401701</t>
  </si>
  <si>
    <t>14/05/1978</t>
  </si>
  <si>
    <t>ORD-202401702</t>
  </si>
  <si>
    <t>27/03/2022</t>
  </si>
  <si>
    <t>30/01/1989</t>
  </si>
  <si>
    <t>ORD-202401703</t>
  </si>
  <si>
    <t>13/08/1995</t>
  </si>
  <si>
    <t>ORD-202401704</t>
  </si>
  <si>
    <t>12/08/1997</t>
  </si>
  <si>
    <t>ORD-202401705</t>
  </si>
  <si>
    <t>29/09/2021</t>
  </si>
  <si>
    <t>11/12/1994</t>
  </si>
  <si>
    <t>ORD-202401706</t>
  </si>
  <si>
    <t>ORD-202401707</t>
  </si>
  <si>
    <t>18/10/1982</t>
  </si>
  <si>
    <t>ORD-202401708</t>
  </si>
  <si>
    <t>22/03/2023</t>
  </si>
  <si>
    <t>22/10/1999</t>
  </si>
  <si>
    <t>ORD-202401709</t>
  </si>
  <si>
    <t>22/06/2024</t>
  </si>
  <si>
    <t>18/11/1972</t>
  </si>
  <si>
    <t>ORD-202401710</t>
  </si>
  <si>
    <t>16/01/1981</t>
  </si>
  <si>
    <t>ORD-202401711</t>
  </si>
  <si>
    <t>06/02/1983</t>
  </si>
  <si>
    <t>ORD-202401712</t>
  </si>
  <si>
    <t>21/02/1995</t>
  </si>
  <si>
    <t>ORD-202401713</t>
  </si>
  <si>
    <t>18/02/1972</t>
  </si>
  <si>
    <t>ORD-202401714</t>
  </si>
  <si>
    <t>02/05/2024</t>
  </si>
  <si>
    <t>07/01/1989</t>
  </si>
  <si>
    <t>ORD-202401715</t>
  </si>
  <si>
    <t>06/10/2020</t>
  </si>
  <si>
    <t>06/12/1983</t>
  </si>
  <si>
    <t>ORD-202401716</t>
  </si>
  <si>
    <t>17/06/1993</t>
  </si>
  <si>
    <t>ORD-202401717</t>
  </si>
  <si>
    <t>26/07/1970</t>
  </si>
  <si>
    <t>ORD-202401718</t>
  </si>
  <si>
    <t>28/06/1990</t>
  </si>
  <si>
    <t>ORD-202401719</t>
  </si>
  <si>
    <t>15/03/1996</t>
  </si>
  <si>
    <t>ORD-202401720</t>
  </si>
  <si>
    <t>10/03/1989</t>
  </si>
  <si>
    <t>ORD-202401721</t>
  </si>
  <si>
    <t>25/07/2021</t>
  </si>
  <si>
    <t>14/02/1987</t>
  </si>
  <si>
    <t>ORD-202401722</t>
  </si>
  <si>
    <t>ORD-202401723</t>
  </si>
  <si>
    <t>05/05/1974</t>
  </si>
  <si>
    <t>ORD-202401724</t>
  </si>
  <si>
    <t>22/03/1971</t>
  </si>
  <si>
    <t>ORD-202401725</t>
  </si>
  <si>
    <t>26/06/1982</t>
  </si>
  <si>
    <t>ORD-202401726</t>
  </si>
  <si>
    <t>21/08/1996</t>
  </si>
  <si>
    <t>ORD-202401727</t>
  </si>
  <si>
    <t>04/09/1973</t>
  </si>
  <si>
    <t>ORD-202401728</t>
  </si>
  <si>
    <t>ORD-202401729</t>
  </si>
  <si>
    <t>11/10/1974</t>
  </si>
  <si>
    <t>ORD-202401730</t>
  </si>
  <si>
    <t>ORD-202401731</t>
  </si>
  <si>
    <t>30/06/2022</t>
  </si>
  <si>
    <t>15/02/1990</t>
  </si>
  <si>
    <t>ORD-202401732</t>
  </si>
  <si>
    <t>30/01/1999</t>
  </si>
  <si>
    <t>ORD-202401733</t>
  </si>
  <si>
    <t>14/09/1977</t>
  </si>
  <si>
    <t>ORD-202401734</t>
  </si>
  <si>
    <t>05/12/1983</t>
  </si>
  <si>
    <t>ORD-202401735</t>
  </si>
  <si>
    <t>04/07/2000</t>
  </si>
  <si>
    <t>ORD-202401736</t>
  </si>
  <si>
    <t>ORD-202401737</t>
  </si>
  <si>
    <t>22/01/1986</t>
  </si>
  <si>
    <t>ORD-202401738</t>
  </si>
  <si>
    <t>10/12/1987</t>
  </si>
  <si>
    <t>ORD-202401739</t>
  </si>
  <si>
    <t>14/10/2024</t>
  </si>
  <si>
    <t>03/06/1997</t>
  </si>
  <si>
    <t>ORD-202401740</t>
  </si>
  <si>
    <t>ORD-202401741</t>
  </si>
  <si>
    <t>22/03/1974</t>
  </si>
  <si>
    <t>ORD-202401742</t>
  </si>
  <si>
    <t>28/05/2024</t>
  </si>
  <si>
    <t>ORD-202401743</t>
  </si>
  <si>
    <t>28/01/1974</t>
  </si>
  <si>
    <t>ORD-202401744</t>
  </si>
  <si>
    <t>28/12/2023</t>
  </si>
  <si>
    <t>30/11/1972</t>
  </si>
  <si>
    <t>ORD-202401745</t>
  </si>
  <si>
    <t>06/02/2020</t>
  </si>
  <si>
    <t>ORD-202401746</t>
  </si>
  <si>
    <t>27/02/1996</t>
  </si>
  <si>
    <t>ORD-202401747</t>
  </si>
  <si>
    <t>08/04/2024</t>
  </si>
  <si>
    <t>24/04/1997</t>
  </si>
  <si>
    <t>ORD-202401748</t>
  </si>
  <si>
    <t>ORD-202401749</t>
  </si>
  <si>
    <t>ORD-202401750</t>
  </si>
  <si>
    <t>29/11/1995</t>
  </si>
  <si>
    <t>ORD-202401751</t>
  </si>
  <si>
    <t>05/12/1988</t>
  </si>
  <si>
    <t>ORD-202401752</t>
  </si>
  <si>
    <t>06/04/1985</t>
  </si>
  <si>
    <t>ORD-202401753</t>
  </si>
  <si>
    <t>05/03/1994</t>
  </si>
  <si>
    <t>ORD-202401754</t>
  </si>
  <si>
    <t>16/08/1973</t>
  </si>
  <si>
    <t>ORD-202401755</t>
  </si>
  <si>
    <t>29/08/1992</t>
  </si>
  <si>
    <t>ORD-202401756</t>
  </si>
  <si>
    <t>06/07/1989</t>
  </si>
  <si>
    <t>ORD-202401757</t>
  </si>
  <si>
    <t>25/06/2021</t>
  </si>
  <si>
    <t>12/12/1983</t>
  </si>
  <si>
    <t>ORD-202401758</t>
  </si>
  <si>
    <t>28/06/1983</t>
  </si>
  <si>
    <t>ORD-202401759</t>
  </si>
  <si>
    <t>ORD-202401760</t>
  </si>
  <si>
    <t>13/02/2021</t>
  </si>
  <si>
    <t>23/12/1970</t>
  </si>
  <si>
    <t>ORD-202401761</t>
  </si>
  <si>
    <t>20/12/1991</t>
  </si>
  <si>
    <t>ORD-202401762</t>
  </si>
  <si>
    <t>18/03/1998</t>
  </si>
  <si>
    <t>ORD-202401763</t>
  </si>
  <si>
    <t>23/02/1972</t>
  </si>
  <si>
    <t>ORD-202401764</t>
  </si>
  <si>
    <t>21/02/1994</t>
  </si>
  <si>
    <t>ORD-202401765</t>
  </si>
  <si>
    <t>15/07/1992</t>
  </si>
  <si>
    <t>ORD-202401766</t>
  </si>
  <si>
    <t>28/04/1991</t>
  </si>
  <si>
    <t>ORD-202401767</t>
  </si>
  <si>
    <t>ORD-202401768</t>
  </si>
  <si>
    <t>17/03/2024</t>
  </si>
  <si>
    <t>11/11/1980</t>
  </si>
  <si>
    <t>ORD-202401769</t>
  </si>
  <si>
    <t>27/04/1998</t>
  </si>
  <si>
    <t>ORD-202401770</t>
  </si>
  <si>
    <t>30/11/1996</t>
  </si>
  <si>
    <t>ORD-202401771</t>
  </si>
  <si>
    <t>07/06/1973</t>
  </si>
  <si>
    <t>ORD-202401772</t>
  </si>
  <si>
    <t>14/03/1987</t>
  </si>
  <si>
    <t>ORD-202401773</t>
  </si>
  <si>
    <t>12/05/1977</t>
  </si>
  <si>
    <t>ORD-202401774</t>
  </si>
  <si>
    <t>02/11/1977</t>
  </si>
  <si>
    <t>ORD-202401775</t>
  </si>
  <si>
    <t>13/05/1981</t>
  </si>
  <si>
    <t>ORD-202401776</t>
  </si>
  <si>
    <t>19/08/1992</t>
  </si>
  <si>
    <t>ORD-202401777</t>
  </si>
  <si>
    <t>04/06/1973</t>
  </si>
  <si>
    <t>ORD-202401778</t>
  </si>
  <si>
    <t>18/02/1994</t>
  </si>
  <si>
    <t>ORD-202401779</t>
  </si>
  <si>
    <t>ORD-202401780</t>
  </si>
  <si>
    <t>11/02/1974</t>
  </si>
  <si>
    <t>ORD-202401781</t>
  </si>
  <si>
    <t>14/04/1997</t>
  </si>
  <si>
    <t>ORD-202401782</t>
  </si>
  <si>
    <t>06/01/1988</t>
  </si>
  <si>
    <t>ORD-202401783</t>
  </si>
  <si>
    <t>06/03/1990</t>
  </si>
  <si>
    <t>ORD-202401784</t>
  </si>
  <si>
    <t>21/05/1989</t>
  </si>
  <si>
    <t>ORD-202401785</t>
  </si>
  <si>
    <t>02/08/2021</t>
  </si>
  <si>
    <t>ORD-202401786</t>
  </si>
  <si>
    <t>23/03/2023</t>
  </si>
  <si>
    <t>17/10/1999</t>
  </si>
  <si>
    <t>ORD-202401787</t>
  </si>
  <si>
    <t>05/03/1999</t>
  </si>
  <si>
    <t>ORD-202401788</t>
  </si>
  <si>
    <t>13/09/1999</t>
  </si>
  <si>
    <t>ORD-202401789</t>
  </si>
  <si>
    <t>25/05/1981</t>
  </si>
  <si>
    <t>ORD-202401790</t>
  </si>
  <si>
    <t>12/08/1976</t>
  </si>
  <si>
    <t>ORD-202401791</t>
  </si>
  <si>
    <t>27/10/1981</t>
  </si>
  <si>
    <t>ORD-202401792</t>
  </si>
  <si>
    <t>08/11/2000</t>
  </si>
  <si>
    <t>ORD-202401793</t>
  </si>
  <si>
    <t>04/08/1985</t>
  </si>
  <si>
    <t>ORD-202401794</t>
  </si>
  <si>
    <t>10/12/1994</t>
  </si>
  <si>
    <t>ORD-202401795</t>
  </si>
  <si>
    <t>02/07/1981</t>
  </si>
  <si>
    <t>ORD-202401796</t>
  </si>
  <si>
    <t>20/10/1983</t>
  </si>
  <si>
    <t>ORD-202401797</t>
  </si>
  <si>
    <t>ORD-202401798</t>
  </si>
  <si>
    <t>15/02/1977</t>
  </si>
  <si>
    <t>ORD-202401799</t>
  </si>
  <si>
    <t>27/07/2000</t>
  </si>
  <si>
    <t>ORD-202401800</t>
  </si>
  <si>
    <t>22/04/1991</t>
  </si>
  <si>
    <t>ORD-202401801</t>
  </si>
  <si>
    <t>ORD-202401802</t>
  </si>
  <si>
    <t>15/04/1975</t>
  </si>
  <si>
    <t>ORD-202401803</t>
  </si>
  <si>
    <t>22/02/1989</t>
  </si>
  <si>
    <t>ORD-202401804</t>
  </si>
  <si>
    <t>27/10/1995</t>
  </si>
  <si>
    <t>ORD-202401805</t>
  </si>
  <si>
    <t>ORD-202401806</t>
  </si>
  <si>
    <t>31/10/1979</t>
  </si>
  <si>
    <t>ORD-202401807</t>
  </si>
  <si>
    <t>21/07/2023</t>
  </si>
  <si>
    <t>02/11/1971</t>
  </si>
  <si>
    <t>ORD-202401808</t>
  </si>
  <si>
    <t>02/06/2024</t>
  </si>
  <si>
    <t>29/12/1997</t>
  </si>
  <si>
    <t>ORD-202401809</t>
  </si>
  <si>
    <t>12/01/1986</t>
  </si>
  <si>
    <t>ORD-202401810</t>
  </si>
  <si>
    <t>19/08/1986</t>
  </si>
  <si>
    <t>ORD-202401811</t>
  </si>
  <si>
    <t>15/10/2024</t>
  </si>
  <si>
    <t>19/07/1995</t>
  </si>
  <si>
    <t>ORD-202401812</t>
  </si>
  <si>
    <t>11/12/2022</t>
  </si>
  <si>
    <t>02/07/1974</t>
  </si>
  <si>
    <t>ORD-202401813</t>
  </si>
  <si>
    <t>06/08/1991</t>
  </si>
  <si>
    <t>ORD-202401814</t>
  </si>
  <si>
    <t>15/04/1995</t>
  </si>
  <si>
    <t>ORD-202401815</t>
  </si>
  <si>
    <t>26/08/2022</t>
  </si>
  <si>
    <t>ORD-202401816</t>
  </si>
  <si>
    <t>09/10/1981</t>
  </si>
  <si>
    <t>ORD-202401817</t>
  </si>
  <si>
    <t>10/04/1974</t>
  </si>
  <si>
    <t>ORD-202401818</t>
  </si>
  <si>
    <t>10/02/1996</t>
  </si>
  <si>
    <t>ORD-202401819</t>
  </si>
  <si>
    <t>11/04/1975</t>
  </si>
  <si>
    <t>ORD-202401820</t>
  </si>
  <si>
    <t>01/06/1981</t>
  </si>
  <si>
    <t>ORD-202401821</t>
  </si>
  <si>
    <t>ORD-202401822</t>
  </si>
  <si>
    <t>11/03/1987</t>
  </si>
  <si>
    <t>ORD-202401823</t>
  </si>
  <si>
    <t>10/12/1995</t>
  </si>
  <si>
    <t>ORD-202401824</t>
  </si>
  <si>
    <t>04/08/1972</t>
  </si>
  <si>
    <t>ORD-202401825</t>
  </si>
  <si>
    <t>28/01/1997</t>
  </si>
  <si>
    <t>ORD-202401826</t>
  </si>
  <si>
    <t>09/01/1982</t>
  </si>
  <si>
    <t>ORD-202401827</t>
  </si>
  <si>
    <t>ORD-202401828</t>
  </si>
  <si>
    <t>06/07/1987</t>
  </si>
  <si>
    <t>ORD-202401829</t>
  </si>
  <si>
    <t>08/04/1996</t>
  </si>
  <si>
    <t>ORD-202401830</t>
  </si>
  <si>
    <t>ORD-202401831</t>
  </si>
  <si>
    <t>27/10/1970</t>
  </si>
  <si>
    <t>ORD-202401832</t>
  </si>
  <si>
    <t>24/05/2023</t>
  </si>
  <si>
    <t>12/04/1992</t>
  </si>
  <si>
    <t>ORD-202401833</t>
  </si>
  <si>
    <t>31/07/1977</t>
  </si>
  <si>
    <t>ORD-202401834</t>
  </si>
  <si>
    <t>02/09/1999</t>
  </si>
  <si>
    <t>ORD-202401835</t>
  </si>
  <si>
    <t>ORD-202401836</t>
  </si>
  <si>
    <t>05/04/1977</t>
  </si>
  <si>
    <t>ORD-202401837</t>
  </si>
  <si>
    <t>30/04/1997</t>
  </si>
  <si>
    <t>ORD-202401838</t>
  </si>
  <si>
    <t>20/03/1990</t>
  </si>
  <si>
    <t>ORD-202401839</t>
  </si>
  <si>
    <t>21/05/2020</t>
  </si>
  <si>
    <t>09/11/1977</t>
  </si>
  <si>
    <t>ORD-202401840</t>
  </si>
  <si>
    <t>29/12/1988</t>
  </si>
  <si>
    <t>ORD-202401841</t>
  </si>
  <si>
    <t>ORD-202401842</t>
  </si>
  <si>
    <t>28/08/1973</t>
  </si>
  <si>
    <t>ORD-202401843</t>
  </si>
  <si>
    <t>24/10/2023</t>
  </si>
  <si>
    <t>15/07/1970</t>
  </si>
  <si>
    <t>ORD-202401844</t>
  </si>
  <si>
    <t>20/08/2022</t>
  </si>
  <si>
    <t>22/07/1972</t>
  </si>
  <si>
    <t>ORD-202401845</t>
  </si>
  <si>
    <t>21/09/1980</t>
  </si>
  <si>
    <t>ORD-202401846</t>
  </si>
  <si>
    <t>03/05/1996</t>
  </si>
  <si>
    <t>ORD-202401847</t>
  </si>
  <si>
    <t>03/06/1992</t>
  </si>
  <si>
    <t>ORD-202401848</t>
  </si>
  <si>
    <t>ORD-202401849</t>
  </si>
  <si>
    <t>07/04/1975</t>
  </si>
  <si>
    <t>ORD-202401850</t>
  </si>
  <si>
    <t>14/06/1990</t>
  </si>
  <si>
    <t>ORD-202401851</t>
  </si>
  <si>
    <t>17/12/2023</t>
  </si>
  <si>
    <t>21/01/1987</t>
  </si>
  <si>
    <t>ORD-202401852</t>
  </si>
  <si>
    <t>29/07/2023</t>
  </si>
  <si>
    <t>30/07/1994</t>
  </si>
  <si>
    <t>ORD-202401853</t>
  </si>
  <si>
    <t>30/12/1979</t>
  </si>
  <si>
    <t>ORD-202401854</t>
  </si>
  <si>
    <t>29/05/1978</t>
  </si>
  <si>
    <t>ORD-202401855</t>
  </si>
  <si>
    <t>25/04/1981</t>
  </si>
  <si>
    <t>ORD-202401856</t>
  </si>
  <si>
    <t>22/07/1978</t>
  </si>
  <si>
    <t>ORD-202401857</t>
  </si>
  <si>
    <t>21/05/1981</t>
  </si>
  <si>
    <t>ORD-202401858</t>
  </si>
  <si>
    <t>09/06/2022</t>
  </si>
  <si>
    <t>03/06/1976</t>
  </si>
  <si>
    <t>ORD-202401859</t>
  </si>
  <si>
    <t>17/08/2023</t>
  </si>
  <si>
    <t>02/06/1994</t>
  </si>
  <si>
    <t>ORD-202401860</t>
  </si>
  <si>
    <t>15/06/2024</t>
  </si>
  <si>
    <t>ORD-202401861</t>
  </si>
  <si>
    <t>03/06/1973</t>
  </si>
  <si>
    <t>ORD-202401862</t>
  </si>
  <si>
    <t>25/09/1978</t>
  </si>
  <si>
    <t>ORD-202401863</t>
  </si>
  <si>
    <t>23/03/2021</t>
  </si>
  <si>
    <t>ORD-202401864</t>
  </si>
  <si>
    <t>17/05/2020</t>
  </si>
  <si>
    <t>15/03/1988</t>
  </si>
  <si>
    <t>ORD-202401865</t>
  </si>
  <si>
    <t>26/06/1972</t>
  </si>
  <si>
    <t>ORD-202401866</t>
  </si>
  <si>
    <t>01/10/2021</t>
  </si>
  <si>
    <t>25/11/1998</t>
  </si>
  <si>
    <t>ORD-202401867</t>
  </si>
  <si>
    <t>08/06/1992</t>
  </si>
  <si>
    <t>ORD-202401868</t>
  </si>
  <si>
    <t>12/11/1975</t>
  </si>
  <si>
    <t>ORD-202401869</t>
  </si>
  <si>
    <t>12/04/2023</t>
  </si>
  <si>
    <t>19/05/1991</t>
  </si>
  <si>
    <t>ORD-202401870</t>
  </si>
  <si>
    <t>10/01/2021</t>
  </si>
  <si>
    <t>ORD-202401871</t>
  </si>
  <si>
    <t>13/03/1993</t>
  </si>
  <si>
    <t>ORD-202401872</t>
  </si>
  <si>
    <t>30/04/1983</t>
  </si>
  <si>
    <t>ORD-202401873</t>
  </si>
  <si>
    <t>16/10/1983</t>
  </si>
  <si>
    <t>ORD-202401874</t>
  </si>
  <si>
    <t>26/01/2024</t>
  </si>
  <si>
    <t>ORD-202401875</t>
  </si>
  <si>
    <t>17/03/1976</t>
  </si>
  <si>
    <t>ORD-202401876</t>
  </si>
  <si>
    <t>18/08/1972</t>
  </si>
  <si>
    <t>ORD-202401877</t>
  </si>
  <si>
    <t>07/01/2024</t>
  </si>
  <si>
    <t>08/07/1970</t>
  </si>
  <si>
    <t>ORD-202401878</t>
  </si>
  <si>
    <t>23/11/2023</t>
  </si>
  <si>
    <t>ORD-202401879</t>
  </si>
  <si>
    <t>06/07/1983</t>
  </si>
  <si>
    <t>ORD-202401880</t>
  </si>
  <si>
    <t>ORD-202401881</t>
  </si>
  <si>
    <t>11/10/1997</t>
  </si>
  <si>
    <t>ORD-202401882</t>
  </si>
  <si>
    <t>ORD-202401883</t>
  </si>
  <si>
    <t>ORD-202401884</t>
  </si>
  <si>
    <t>02/04/2021</t>
  </si>
  <si>
    <t>04/11/1976</t>
  </si>
  <si>
    <t>ORD-202401885</t>
  </si>
  <si>
    <t>26/08/1984</t>
  </si>
  <si>
    <t>ORD-202401886</t>
  </si>
  <si>
    <t>20/05/2023</t>
  </si>
  <si>
    <t>24/10/1976</t>
  </si>
  <si>
    <t>ORD-202401887</t>
  </si>
  <si>
    <t>25/10/1991</t>
  </si>
  <si>
    <t>ORD-202401888</t>
  </si>
  <si>
    <t>11/11/2024</t>
  </si>
  <si>
    <t>07/02/1991</t>
  </si>
  <si>
    <t>ORD-202401889</t>
  </si>
  <si>
    <t>29/11/2023</t>
  </si>
  <si>
    <t>24/11/1975</t>
  </si>
  <si>
    <t>ORD-202401890</t>
  </si>
  <si>
    <t>26/08/1980</t>
  </si>
  <si>
    <t>ORD-202401891</t>
  </si>
  <si>
    <t>13/12/1999</t>
  </si>
  <si>
    <t>ORD-202401892</t>
  </si>
  <si>
    <t>25/05/2020</t>
  </si>
  <si>
    <t>24/09/1988</t>
  </si>
  <si>
    <t>ORD-202401893</t>
  </si>
  <si>
    <t>21/02/1975</t>
  </si>
  <si>
    <t>ORD-202401894</t>
  </si>
  <si>
    <t>27/02/1998</t>
  </si>
  <si>
    <t>ORD-202401895</t>
  </si>
  <si>
    <t>07/11/1994</t>
  </si>
  <si>
    <t>ORD-202401896</t>
  </si>
  <si>
    <t>ORD-202401897</t>
  </si>
  <si>
    <t>26/10/1981</t>
  </si>
  <si>
    <t>ORD-202401898</t>
  </si>
  <si>
    <t>01/10/1985</t>
  </si>
  <si>
    <t>ORD-202401899</t>
  </si>
  <si>
    <t>ORD-202401900</t>
  </si>
  <si>
    <t>25/02/2023</t>
  </si>
  <si>
    <t>20/07/1996</t>
  </si>
  <si>
    <t>ORD-202401901</t>
  </si>
  <si>
    <t>12/02/1985</t>
  </si>
  <si>
    <t>ORD-202401902</t>
  </si>
  <si>
    <t>01/04/1992</t>
  </si>
  <si>
    <t>ORD-202401903</t>
  </si>
  <si>
    <t>31/08/1972</t>
  </si>
  <si>
    <t>ORD-202401904</t>
  </si>
  <si>
    <t>29/05/1995</t>
  </si>
  <si>
    <t>ORD-202401905</t>
  </si>
  <si>
    <t>17/12/1976</t>
  </si>
  <si>
    <t>ORD-202401906</t>
  </si>
  <si>
    <t>11/04/1978</t>
  </si>
  <si>
    <t>ORD-202401907</t>
  </si>
  <si>
    <t>05/02/2020</t>
  </si>
  <si>
    <t>08/07/1988</t>
  </si>
  <si>
    <t>ORD-202401908</t>
  </si>
  <si>
    <t>ORD-202401909</t>
  </si>
  <si>
    <t>29/11/1994</t>
  </si>
  <si>
    <t>ORD-202401910</t>
  </si>
  <si>
    <t>28/11/1993</t>
  </si>
  <si>
    <t>ORD-202401911</t>
  </si>
  <si>
    <t>17/02/2022</t>
  </si>
  <si>
    <t>ORD-202401912</t>
  </si>
  <si>
    <t>ORD-202401913</t>
  </si>
  <si>
    <t>25/06/2022</t>
  </si>
  <si>
    <t>08/11/1973</t>
  </si>
  <si>
    <t>ORD-202401914</t>
  </si>
  <si>
    <t>01/05/1990</t>
  </si>
  <si>
    <t>ORD-202401915</t>
  </si>
  <si>
    <t>14/07/1990</t>
  </si>
  <si>
    <t>ORD-202401916</t>
  </si>
  <si>
    <t>ORD-202401917</t>
  </si>
  <si>
    <t>09/01/2024</t>
  </si>
  <si>
    <t>21/01/1980</t>
  </si>
  <si>
    <t>ORD-202401918</t>
  </si>
  <si>
    <t>11/01/1997</t>
  </si>
  <si>
    <t>ORD-202401919</t>
  </si>
  <si>
    <t>23/10/1990</t>
  </si>
  <si>
    <t>ORD-202401920</t>
  </si>
  <si>
    <t>21/08/2020</t>
  </si>
  <si>
    <t>07/01/1991</t>
  </si>
  <si>
    <t>ORD-202401921</t>
  </si>
  <si>
    <t>ORD-202401922</t>
  </si>
  <si>
    <t>ORD-202401923</t>
  </si>
  <si>
    <t>12/10/1986</t>
  </si>
  <si>
    <t>ORD-202401924</t>
  </si>
  <si>
    <t>ORD-202401925</t>
  </si>
  <si>
    <t>05/06/2023</t>
  </si>
  <si>
    <t>ORD-202401926</t>
  </si>
  <si>
    <t>22/07/1999</t>
  </si>
  <si>
    <t>ORD-202401927</t>
  </si>
  <si>
    <t>04/01/2020</t>
  </si>
  <si>
    <t>21/05/1986</t>
  </si>
  <si>
    <t>ORD-202401928</t>
  </si>
  <si>
    <t>31/12/1994</t>
  </si>
  <si>
    <t>ORD-202401929</t>
  </si>
  <si>
    <t>06/03/1986</t>
  </si>
  <si>
    <t>ORD-202401930</t>
  </si>
  <si>
    <t>ORD-202401931</t>
  </si>
  <si>
    <t>ORD-202401932</t>
  </si>
  <si>
    <t>08/12/1973</t>
  </si>
  <si>
    <t>ORD-202401933</t>
  </si>
  <si>
    <t>29/12/2023</t>
  </si>
  <si>
    <t>25/02/1995</t>
  </si>
  <si>
    <t>ORD-202401934</t>
  </si>
  <si>
    <t>11/04/1986</t>
  </si>
  <si>
    <t>ORD-202401935</t>
  </si>
  <si>
    <t>27/05/2024</t>
  </si>
  <si>
    <t>15/06/1975</t>
  </si>
  <si>
    <t>ORD-202401936</t>
  </si>
  <si>
    <t>07/04/2022</t>
  </si>
  <si>
    <t>ORD-202401937</t>
  </si>
  <si>
    <t>ORD-202401938</t>
  </si>
  <si>
    <t>03/06/1977</t>
  </si>
  <si>
    <t>ORD-202401939</t>
  </si>
  <si>
    <t>07/07/1989</t>
  </si>
  <si>
    <t>ORD-202401940</t>
  </si>
  <si>
    <t>27/10/1973</t>
  </si>
  <si>
    <t>ORD-202401941</t>
  </si>
  <si>
    <t>25/05/1974</t>
  </si>
  <si>
    <t>ORD-202401942</t>
  </si>
  <si>
    <t>14/07/1984</t>
  </si>
  <si>
    <t>ORD-202401943</t>
  </si>
  <si>
    <t>10/10/1978</t>
  </si>
  <si>
    <t>ORD-202401944</t>
  </si>
  <si>
    <t>02/09/2020</t>
  </si>
  <si>
    <t>18/04/2000</t>
  </si>
  <si>
    <t>ORD-202401945</t>
  </si>
  <si>
    <t>13/05/1986</t>
  </si>
  <si>
    <t>ORD-202401946</t>
  </si>
  <si>
    <t>08/03/1998</t>
  </si>
  <si>
    <t>ORD-202401947</t>
  </si>
  <si>
    <t>ORD-202401948</t>
  </si>
  <si>
    <t>06/08/1989</t>
  </si>
  <si>
    <t>ORD-202401949</t>
  </si>
  <si>
    <t>10/01/2023</t>
  </si>
  <si>
    <t>28/10/1970</t>
  </si>
  <si>
    <t>ORD-202401950</t>
  </si>
  <si>
    <t>ORD-202401951</t>
  </si>
  <si>
    <t>20/05/2024</t>
  </si>
  <si>
    <t>10/11/1978</t>
  </si>
  <si>
    <t>ORD-202401952</t>
  </si>
  <si>
    <t>14/02/1989</t>
  </si>
  <si>
    <t>ORD-202401953</t>
  </si>
  <si>
    <t>12/01/1996</t>
  </si>
  <si>
    <t>ORD-202401954</t>
  </si>
  <si>
    <t>16/08/1977</t>
  </si>
  <si>
    <t>ORD-202401955</t>
  </si>
  <si>
    <t>06/06/1974</t>
  </si>
  <si>
    <t>ORD-202401956</t>
  </si>
  <si>
    <t>30/08/1978</t>
  </si>
  <si>
    <t>ORD-202401957</t>
  </si>
  <si>
    <t>13/12/2022</t>
  </si>
  <si>
    <t>26/11/1978</t>
  </si>
  <si>
    <t>ORD-202401958</t>
  </si>
  <si>
    <t>24/10/1971</t>
  </si>
  <si>
    <t>ORD-202401959</t>
  </si>
  <si>
    <t>13/04/1975</t>
  </si>
  <si>
    <t>ORD-202401960</t>
  </si>
  <si>
    <t>08/05/1986</t>
  </si>
  <si>
    <t>ORD-202401961</t>
  </si>
  <si>
    <t>10/01/1980</t>
  </si>
  <si>
    <t>ORD-202401962</t>
  </si>
  <si>
    <t>20/10/1993</t>
  </si>
  <si>
    <t>ORD-202401963</t>
  </si>
  <si>
    <t>21/01/1993</t>
  </si>
  <si>
    <t>ORD-202401964</t>
  </si>
  <si>
    <t>06/08/1982</t>
  </si>
  <si>
    <t>ORD-202401965</t>
  </si>
  <si>
    <t>24/06/1979</t>
  </si>
  <si>
    <t>ORD-202401966</t>
  </si>
  <si>
    <t>01/08/1981</t>
  </si>
  <si>
    <t>ORD-202401967</t>
  </si>
  <si>
    <t>30/11/2024</t>
  </si>
  <si>
    <t>02/05/1983</t>
  </si>
  <si>
    <t>ORD-202401968</t>
  </si>
  <si>
    <t>24/11/2021</t>
  </si>
  <si>
    <t>27/05/1985</t>
  </si>
  <si>
    <t>ORD-202401969</t>
  </si>
  <si>
    <t>02/06/1997</t>
  </si>
  <si>
    <t>ORD-202401970</t>
  </si>
  <si>
    <t>10/12/2024</t>
  </si>
  <si>
    <t>15/04/1992</t>
  </si>
  <si>
    <t>ORD-202401971</t>
  </si>
  <si>
    <t>12/06/1979</t>
  </si>
  <si>
    <t>ORD-202401972</t>
  </si>
  <si>
    <t>25/01/1992</t>
  </si>
  <si>
    <t>ORD-202401973</t>
  </si>
  <si>
    <t>11/10/2021</t>
  </si>
  <si>
    <t>09/12/1984</t>
  </si>
  <si>
    <t>ORD-202401974</t>
  </si>
  <si>
    <t>13/12/1997</t>
  </si>
  <si>
    <t>ORD-202401975</t>
  </si>
  <si>
    <t>04/05/2020</t>
  </si>
  <si>
    <t>05/01/1986</t>
  </si>
  <si>
    <t>ORD-202401976</t>
  </si>
  <si>
    <t>04/07/2022</t>
  </si>
  <si>
    <t>14/04/1995</t>
  </si>
  <si>
    <t>ORD-202401977</t>
  </si>
  <si>
    <t>09/10/1988</t>
  </si>
  <si>
    <t>ORD-202401978</t>
  </si>
  <si>
    <t>21/10/1988</t>
  </si>
  <si>
    <t>ORD-202401979</t>
  </si>
  <si>
    <t>01/06/1992</t>
  </si>
  <si>
    <t>ORD-202401980</t>
  </si>
  <si>
    <t>03/08/1971</t>
  </si>
  <si>
    <t>ORD-202401981</t>
  </si>
  <si>
    <t>03/10/2000</t>
  </si>
  <si>
    <t>ORD-202401982</t>
  </si>
  <si>
    <t>04/02/2023</t>
  </si>
  <si>
    <t>15/04/1985</t>
  </si>
  <si>
    <t>ORD-202401983</t>
  </si>
  <si>
    <t>07/02/2022</t>
  </si>
  <si>
    <t>ORD-202401984</t>
  </si>
  <si>
    <t>20/07/1991</t>
  </si>
  <si>
    <t>ORD-202401985</t>
  </si>
  <si>
    <t>27/02/1984</t>
  </si>
  <si>
    <t>ORD-202401986</t>
  </si>
  <si>
    <t>20/07/1973</t>
  </si>
  <si>
    <t>ORD-202401987</t>
  </si>
  <si>
    <t>22/06/1995</t>
  </si>
  <si>
    <t>ORD-202401988</t>
  </si>
  <si>
    <t>ORD-202401989</t>
  </si>
  <si>
    <t>20/06/1989</t>
  </si>
  <si>
    <t>ORD-202401990</t>
  </si>
  <si>
    <t>26/10/2000</t>
  </si>
  <si>
    <t>ORD-202401991</t>
  </si>
  <si>
    <t>ORD-202401992</t>
  </si>
  <si>
    <t>ORD-202401993</t>
  </si>
  <si>
    <t>03/11/1973</t>
  </si>
  <si>
    <t>ORD-202401994</t>
  </si>
  <si>
    <t>08/02/1999</t>
  </si>
  <si>
    <t>ORD-202401995</t>
  </si>
  <si>
    <t>05/03/1983</t>
  </si>
  <si>
    <t>ORD-202401996</t>
  </si>
  <si>
    <t>ORD-202401997</t>
  </si>
  <si>
    <t>05/04/2000</t>
  </si>
  <si>
    <t>ORD-202401998</t>
  </si>
  <si>
    <t>15/11/1983</t>
  </si>
  <si>
    <t>ORD-202401999</t>
  </si>
  <si>
    <t>08/06/1986</t>
  </si>
  <si>
    <t>ORD-202402000</t>
  </si>
  <si>
    <t>28/02/2022</t>
  </si>
  <si>
    <t>29/04/2000</t>
  </si>
  <si>
    <t>ORD-202402001</t>
  </si>
  <si>
    <t>10/02/2023</t>
  </si>
  <si>
    <t>04/05/1982</t>
  </si>
  <si>
    <t>ORD-202402002</t>
  </si>
  <si>
    <t>12/11/2020</t>
  </si>
  <si>
    <t>28/11/1995</t>
  </si>
  <si>
    <t>ORD-202402003</t>
  </si>
  <si>
    <t>29/03/1993</t>
  </si>
  <si>
    <t>ORD-202402004</t>
  </si>
  <si>
    <t>23/10/2022</t>
  </si>
  <si>
    <t>26/06/1988</t>
  </si>
  <si>
    <t>ORD-202402005</t>
  </si>
  <si>
    <t>15/11/1981</t>
  </si>
  <si>
    <t>ORD-202402006</t>
  </si>
  <si>
    <t>29/07/1974</t>
  </si>
  <si>
    <t>ORD-202402007</t>
  </si>
  <si>
    <t>26/08/1974</t>
  </si>
  <si>
    <t>ORD-202402008</t>
  </si>
  <si>
    <t>17/11/1997</t>
  </si>
  <si>
    <t>ORD-202402009</t>
  </si>
  <si>
    <t>04/07/1982</t>
  </si>
  <si>
    <t>ORD-202402010</t>
  </si>
  <si>
    <t>ORD-202402011</t>
  </si>
  <si>
    <t>05/11/1982</t>
  </si>
  <si>
    <t>ORD-202402012</t>
  </si>
  <si>
    <t>03/05/2021</t>
  </si>
  <si>
    <t>ORD-202402013</t>
  </si>
  <si>
    <t>03/06/2022</t>
  </si>
  <si>
    <t>28/10/1980</t>
  </si>
  <si>
    <t>ORD-202402014</t>
  </si>
  <si>
    <t>09/06/1978</t>
  </si>
  <si>
    <t>ORD-202402015</t>
  </si>
  <si>
    <t>28/05/1983</t>
  </si>
  <si>
    <t>ORD-202402016</t>
  </si>
  <si>
    <t>23/11/1977</t>
  </si>
  <si>
    <t>ORD-202402017</t>
  </si>
  <si>
    <t>ORD-202402018</t>
  </si>
  <si>
    <t>ORD-202402019</t>
  </si>
  <si>
    <t>17/06/1987</t>
  </si>
  <si>
    <t>ORD-202402020</t>
  </si>
  <si>
    <t>18/02/1990</t>
  </si>
  <si>
    <t>ORD-202402021</t>
  </si>
  <si>
    <t>21/11/2024</t>
  </si>
  <si>
    <t>09/07/1986</t>
  </si>
  <si>
    <t>ORD-202402022</t>
  </si>
  <si>
    <t>ORD-202402023</t>
  </si>
  <si>
    <t>02/01/1984</t>
  </si>
  <si>
    <t>ORD-202402024</t>
  </si>
  <si>
    <t>18/08/2024</t>
  </si>
  <si>
    <t>21/07/1990</t>
  </si>
  <si>
    <t>ORD-202402025</t>
  </si>
  <si>
    <t>19/01/1987</t>
  </si>
  <si>
    <t>ORD-202402026</t>
  </si>
  <si>
    <t>18/09/1982</t>
  </si>
  <si>
    <t>ORD-202402027</t>
  </si>
  <si>
    <t>31/10/2022</t>
  </si>
  <si>
    <t>ORD-202402028</t>
  </si>
  <si>
    <t>05/05/2024</t>
  </si>
  <si>
    <t>ORD-202402029</t>
  </si>
  <si>
    <t>25/05/1973</t>
  </si>
  <si>
    <t>ORD-202402030</t>
  </si>
  <si>
    <t>07/06/1977</t>
  </si>
  <si>
    <t>ORD-202402031</t>
  </si>
  <si>
    <t>12/04/1985</t>
  </si>
  <si>
    <t>ORD-202402032</t>
  </si>
  <si>
    <t>03/11/1982</t>
  </si>
  <si>
    <t>ORD-202402033</t>
  </si>
  <si>
    <t>08/02/2023</t>
  </si>
  <si>
    <t>10/09/1987</t>
  </si>
  <si>
    <t>ORD-202402034</t>
  </si>
  <si>
    <t>21/01/2024</t>
  </si>
  <si>
    <t>ORD-202402035</t>
  </si>
  <si>
    <t>08/11/1980</t>
  </si>
  <si>
    <t>ORD-202402036</t>
  </si>
  <si>
    <t>ORD-202402037</t>
  </si>
  <si>
    <t>06/04/1997</t>
  </si>
  <si>
    <t>ORD-202402038</t>
  </si>
  <si>
    <t>29/07/1983</t>
  </si>
  <si>
    <t>ORD-202402039</t>
  </si>
  <si>
    <t>29/11/1973</t>
  </si>
  <si>
    <t>ORD-202402040</t>
  </si>
  <si>
    <t>09/10/1971</t>
  </si>
  <si>
    <t>ORD-202402041</t>
  </si>
  <si>
    <t>27/06/1988</t>
  </si>
  <si>
    <t>ORD-202402042</t>
  </si>
  <si>
    <t>13/04/1979</t>
  </si>
  <si>
    <t>ORD-202402043</t>
  </si>
  <si>
    <t>01/12/2020</t>
  </si>
  <si>
    <t>07/10/1979</t>
  </si>
  <si>
    <t>ORD-202402044</t>
  </si>
  <si>
    <t>ORD-202402045</t>
  </si>
  <si>
    <t>ORD-202402046</t>
  </si>
  <si>
    <t>17/06/1972</t>
  </si>
  <si>
    <t>ORD-202402047</t>
  </si>
  <si>
    <t>08/08/1982</t>
  </si>
  <si>
    <t>ORD-202402048</t>
  </si>
  <si>
    <t>07/01/1996</t>
  </si>
  <si>
    <t>ORD-202402049</t>
  </si>
  <si>
    <t>25/02/1983</t>
  </si>
  <si>
    <t>ORD-202402050</t>
  </si>
  <si>
    <t>05/05/1976</t>
  </si>
  <si>
    <t>ORD-202402051</t>
  </si>
  <si>
    <t>20/07/1980</t>
  </si>
  <si>
    <t>ORD-202402052</t>
  </si>
  <si>
    <t>23/07/1980</t>
  </si>
  <si>
    <t>ORD-202402053</t>
  </si>
  <si>
    <t>25/09/1971</t>
  </si>
  <si>
    <t>ORD-202402054</t>
  </si>
  <si>
    <t>18/05/2021</t>
  </si>
  <si>
    <t>09/05/1981</t>
  </si>
  <si>
    <t>ORD-202402055</t>
  </si>
  <si>
    <t>ORD-202402056</t>
  </si>
  <si>
    <t>30/03/2024</t>
  </si>
  <si>
    <t>12/11/1987</t>
  </si>
  <si>
    <t>ORD-202402057</t>
  </si>
  <si>
    <t>ORD-202402058</t>
  </si>
  <si>
    <t>ORD-202402059</t>
  </si>
  <si>
    <t>22/01/1996</t>
  </si>
  <si>
    <t>ORD-202402060</t>
  </si>
  <si>
    <t>ORD-202402061</t>
  </si>
  <si>
    <t>03/08/1995</t>
  </si>
  <si>
    <t>ORD-202402062</t>
  </si>
  <si>
    <t>09/05/1991</t>
  </si>
  <si>
    <t>ORD-202402063</t>
  </si>
  <si>
    <t>ORD-202402064</t>
  </si>
  <si>
    <t>ORD-202402065</t>
  </si>
  <si>
    <t>27/05/1995</t>
  </si>
  <si>
    <t>ORD-202402066</t>
  </si>
  <si>
    <t>04/04/2000</t>
  </si>
  <si>
    <t>ORD-202402067</t>
  </si>
  <si>
    <t>11/03/1991</t>
  </si>
  <si>
    <t>ORD-202402068</t>
  </si>
  <si>
    <t>16/11/1991</t>
  </si>
  <si>
    <t>ORD-202402069</t>
  </si>
  <si>
    <t>23/10/2021</t>
  </si>
  <si>
    <t>10/07/1990</t>
  </si>
  <si>
    <t>ORD-202402070</t>
  </si>
  <si>
    <t>08/12/2024</t>
  </si>
  <si>
    <t>30/08/1991</t>
  </si>
  <si>
    <t>ORD-202402071</t>
  </si>
  <si>
    <t>13/09/1994</t>
  </si>
  <si>
    <t>ORD-202402072</t>
  </si>
  <si>
    <t>22/08/1994</t>
  </si>
  <si>
    <t>ORD-202402073</t>
  </si>
  <si>
    <t>07/06/1970</t>
  </si>
  <si>
    <t>ORD-202402074</t>
  </si>
  <si>
    <t>14/05/1977</t>
  </si>
  <si>
    <t>ORD-202402075</t>
  </si>
  <si>
    <t>ORD-202402076</t>
  </si>
  <si>
    <t>15/02/1991</t>
  </si>
  <si>
    <t>ORD-202402077</t>
  </si>
  <si>
    <t>11/09/1978</t>
  </si>
  <si>
    <t>ORD-202402078</t>
  </si>
  <si>
    <t>ORD-202402079</t>
  </si>
  <si>
    <t>14/02/2021</t>
  </si>
  <si>
    <t>30/05/1989</t>
  </si>
  <si>
    <t>ORD-202402080</t>
  </si>
  <si>
    <t>10/10/1972</t>
  </si>
  <si>
    <t>ORD-202402081</t>
  </si>
  <si>
    <t>ORD-202402082</t>
  </si>
  <si>
    <t>21/05/1972</t>
  </si>
  <si>
    <t>ORD-202402083</t>
  </si>
  <si>
    <t>31/01/1993</t>
  </si>
  <si>
    <t>ORD-202402084</t>
  </si>
  <si>
    <t>30/06/1993</t>
  </si>
  <si>
    <t>ORD-202402085</t>
  </si>
  <si>
    <t>18/06/1976</t>
  </si>
  <si>
    <t>ORD-202402086</t>
  </si>
  <si>
    <t>11/04/2024</t>
  </si>
  <si>
    <t>20/01/1999</t>
  </si>
  <si>
    <t>ORD-202402087</t>
  </si>
  <si>
    <t>25/02/2000</t>
  </si>
  <si>
    <t>ORD-202402088</t>
  </si>
  <si>
    <t>15/08/1973</t>
  </si>
  <si>
    <t>ORD-202402089</t>
  </si>
  <si>
    <t>17/02/1991</t>
  </si>
  <si>
    <t>ORD-202402090</t>
  </si>
  <si>
    <t>04/12/1983</t>
  </si>
  <si>
    <t>ORD-202402091</t>
  </si>
  <si>
    <t>05/10/1996</t>
  </si>
  <si>
    <t>ORD-202402092</t>
  </si>
  <si>
    <t>05/05/1973</t>
  </si>
  <si>
    <t>ORD-202402093</t>
  </si>
  <si>
    <t>28/09/1985</t>
  </si>
  <si>
    <t>ORD-202402094</t>
  </si>
  <si>
    <t>25/03/1970</t>
  </si>
  <si>
    <t>ORD-202402095</t>
  </si>
  <si>
    <t>ORD-202402096</t>
  </si>
  <si>
    <t>ORD-202402097</t>
  </si>
  <si>
    <t>16/03/1994</t>
  </si>
  <si>
    <t>ORD-202402098</t>
  </si>
  <si>
    <t>06/11/1989</t>
  </si>
  <si>
    <t>ORD-202402099</t>
  </si>
  <si>
    <t>27/10/1971</t>
  </si>
  <si>
    <t>ORD-202402100</t>
  </si>
  <si>
    <t>24/11/1981</t>
  </si>
  <si>
    <t>ORD-202402101</t>
  </si>
  <si>
    <t>ORD-202402102</t>
  </si>
  <si>
    <t>01/09/2020</t>
  </si>
  <si>
    <t>19/01/1988</t>
  </si>
  <si>
    <t>ORD-202402103</t>
  </si>
  <si>
    <t>12/07/2000</t>
  </si>
  <si>
    <t>ORD-202402104</t>
  </si>
  <si>
    <t>03/07/1975</t>
  </si>
  <si>
    <t>ORD-202402105</t>
  </si>
  <si>
    <t>26/03/2024</t>
  </si>
  <si>
    <t>ORD-202402106</t>
  </si>
  <si>
    <t>27/01/1995</t>
  </si>
  <si>
    <t>ORD-202402107</t>
  </si>
  <si>
    <t>24/12/1985</t>
  </si>
  <si>
    <t>ORD-202402108</t>
  </si>
  <si>
    <t>06/01/2020</t>
  </si>
  <si>
    <t>19/10/1998</t>
  </si>
  <si>
    <t>ORD-202402109</t>
  </si>
  <si>
    <t>24/04/1979</t>
  </si>
  <si>
    <t>ORD-202402110</t>
  </si>
  <si>
    <t>02/05/2000</t>
  </si>
  <si>
    <t>ORD-202402111</t>
  </si>
  <si>
    <t>05/08/1988</t>
  </si>
  <si>
    <t>ORD-202402112</t>
  </si>
  <si>
    <t>08/11/1998</t>
  </si>
  <si>
    <t>ORD-202402113</t>
  </si>
  <si>
    <t>14/10/1992</t>
  </si>
  <si>
    <t>ORD-202402114</t>
  </si>
  <si>
    <t>27/11/1970</t>
  </si>
  <si>
    <t>ORD-202402115</t>
  </si>
  <si>
    <t>04/01/2024</t>
  </si>
  <si>
    <t>11/04/1993</t>
  </si>
  <si>
    <t>ORD-202402116</t>
  </si>
  <si>
    <t>07/07/1981</t>
  </si>
  <si>
    <t>ORD-202402117</t>
  </si>
  <si>
    <t>24/07/1971</t>
  </si>
  <si>
    <t>ORD-202402118</t>
  </si>
  <si>
    <t>12/05/2020</t>
  </si>
  <si>
    <t>09/05/1976</t>
  </si>
  <si>
    <t>ORD-202402119</t>
  </si>
  <si>
    <t>17/02/1998</t>
  </si>
  <si>
    <t>ORD-202402120</t>
  </si>
  <si>
    <t>02/03/1983</t>
  </si>
  <si>
    <t>ORD-202402121</t>
  </si>
  <si>
    <t>25/11/1987</t>
  </si>
  <si>
    <t>ORD-202402122</t>
  </si>
  <si>
    <t>04/10/1987</t>
  </si>
  <si>
    <t>ORD-202402123</t>
  </si>
  <si>
    <t>16/06/1984</t>
  </si>
  <si>
    <t>ORD-202402124</t>
  </si>
  <si>
    <t>21/10/1972</t>
  </si>
  <si>
    <t>ORD-202402125</t>
  </si>
  <si>
    <t>07/02/1993</t>
  </si>
  <si>
    <t>ORD-202402126</t>
  </si>
  <si>
    <t>24/02/1982</t>
  </si>
  <si>
    <t>ORD-202402127</t>
  </si>
  <si>
    <t>11/04/2022</t>
  </si>
  <si>
    <t>18/07/2000</t>
  </si>
  <si>
    <t>ORD-202402128</t>
  </si>
  <si>
    <t>26/07/2000</t>
  </si>
  <si>
    <t>ORD-202402129</t>
  </si>
  <si>
    <t>12/11/2023</t>
  </si>
  <si>
    <t>ORD-202402130</t>
  </si>
  <si>
    <t>ORD-202402131</t>
  </si>
  <si>
    <t>08/11/1984</t>
  </si>
  <si>
    <t>ORD-202402132</t>
  </si>
  <si>
    <t>23/01/2022</t>
  </si>
  <si>
    <t>16/11/1993</t>
  </si>
  <si>
    <t>ORD-202402133</t>
  </si>
  <si>
    <t>06/02/1997</t>
  </si>
  <si>
    <t>ORD-202402134</t>
  </si>
  <si>
    <t>12/11/1979</t>
  </si>
  <si>
    <t>ORD-202402135</t>
  </si>
  <si>
    <t>09/03/1979</t>
  </si>
  <si>
    <t>ORD-202402136</t>
  </si>
  <si>
    <t>29/11/1997</t>
  </si>
  <si>
    <t>ORD-202402137</t>
  </si>
  <si>
    <t>19/12/1985</t>
  </si>
  <si>
    <t>ORD-202402138</t>
  </si>
  <si>
    <t>11/05/2023</t>
  </si>
  <si>
    <t>02/10/1979</t>
  </si>
  <si>
    <t>ORD-202402139</t>
  </si>
  <si>
    <t>03/06/1984</t>
  </si>
  <si>
    <t>ORD-202402140</t>
  </si>
  <si>
    <t>03/12/1994</t>
  </si>
  <si>
    <t>ORD-202402141</t>
  </si>
  <si>
    <t>10/12/1986</t>
  </si>
  <si>
    <t>ORD-202402142</t>
  </si>
  <si>
    <t>27/05/1977</t>
  </si>
  <si>
    <t>ORD-202402143</t>
  </si>
  <si>
    <t>26/07/1995</t>
  </si>
  <si>
    <t>ORD-202402144</t>
  </si>
  <si>
    <t>24/06/2022</t>
  </si>
  <si>
    <t>16/05/1993</t>
  </si>
  <si>
    <t>ORD-202402145</t>
  </si>
  <si>
    <t>18/12/1973</t>
  </si>
  <si>
    <t>ORD-202402146</t>
  </si>
  <si>
    <t>13/10/1994</t>
  </si>
  <si>
    <t>ORD-202402147</t>
  </si>
  <si>
    <t>06/12/1991</t>
  </si>
  <si>
    <t>ORD-202402148</t>
  </si>
  <si>
    <t>01/11/2022</t>
  </si>
  <si>
    <t>10/04/1973</t>
  </si>
  <si>
    <t>ORD-202402149</t>
  </si>
  <si>
    <t>25/12/1991</t>
  </si>
  <si>
    <t>ORD-202402150</t>
  </si>
  <si>
    <t>12/04/2021</t>
  </si>
  <si>
    <t>06/07/1988</t>
  </si>
  <si>
    <t>ORD-202402151</t>
  </si>
  <si>
    <t>ORD-202402152</t>
  </si>
  <si>
    <t>08/12/2022</t>
  </si>
  <si>
    <t>15/05/1980</t>
  </si>
  <si>
    <t>ORD-202402153</t>
  </si>
  <si>
    <t>30/10/1992</t>
  </si>
  <si>
    <t>ORD-202402154</t>
  </si>
  <si>
    <t>11/12/1990</t>
  </si>
  <si>
    <t>ORD-202402155</t>
  </si>
  <si>
    <t>ORD-202402156</t>
  </si>
  <si>
    <t>08/07/1996</t>
  </si>
  <si>
    <t>ORD-202402157</t>
  </si>
  <si>
    <t>24/09/1985</t>
  </si>
  <si>
    <t>ORD-202402158</t>
  </si>
  <si>
    <t>14/09/1980</t>
  </si>
  <si>
    <t>ORD-202402159</t>
  </si>
  <si>
    <t>20/06/2000</t>
  </si>
  <si>
    <t>ORD-202402160</t>
  </si>
  <si>
    <t>04/01/2023</t>
  </si>
  <si>
    <t>21/10/1986</t>
  </si>
  <si>
    <t>ORD-202402161</t>
  </si>
  <si>
    <t>ORD-202402162</t>
  </si>
  <si>
    <t>ORD-202402163</t>
  </si>
  <si>
    <t>21/12/2022</t>
  </si>
  <si>
    <t>05/09/1987</t>
  </si>
  <si>
    <t>ORD-202402164</t>
  </si>
  <si>
    <t>ORD-202402165</t>
  </si>
  <si>
    <t>ORD-202402166</t>
  </si>
  <si>
    <t>22/03/1991</t>
  </si>
  <si>
    <t>ORD-202402167</t>
  </si>
  <si>
    <t>10/08/2023</t>
  </si>
  <si>
    <t>ORD-202402168</t>
  </si>
  <si>
    <t>09/09/2021</t>
  </si>
  <si>
    <t>17/09/1990</t>
  </si>
  <si>
    <t>ORD-202402169</t>
  </si>
  <si>
    <t>27/08/1992</t>
  </si>
  <si>
    <t>ORD-202402170</t>
  </si>
  <si>
    <t>16/02/1994</t>
  </si>
  <si>
    <t>ORD-202402171</t>
  </si>
  <si>
    <t>15/12/2000</t>
  </si>
  <si>
    <t>ORD-202402172</t>
  </si>
  <si>
    <t>ORD-202402173</t>
  </si>
  <si>
    <t>04/12/2023</t>
  </si>
  <si>
    <t>ORD-202402174</t>
  </si>
  <si>
    <t>04/07/2020</t>
  </si>
  <si>
    <t>ORD-202402175</t>
  </si>
  <si>
    <t>22/02/1970</t>
  </si>
  <si>
    <t>ORD-202402176</t>
  </si>
  <si>
    <t>03/03/1998</t>
  </si>
  <si>
    <t>ORD-202402177</t>
  </si>
  <si>
    <t>20/12/2024</t>
  </si>
  <si>
    <t>01/04/1987</t>
  </si>
  <si>
    <t>ORD-202402178</t>
  </si>
  <si>
    <t>18/08/2022</t>
  </si>
  <si>
    <t>04/10/1979</t>
  </si>
  <si>
    <t>ORD-202402179</t>
  </si>
  <si>
    <t>02/05/2023</t>
  </si>
  <si>
    <t>10/08/1993</t>
  </si>
  <si>
    <t>ORD-202402180</t>
  </si>
  <si>
    <t>ORD-202402181</t>
  </si>
  <si>
    <t>05/05/2023</t>
  </si>
  <si>
    <t>28/05/1972</t>
  </si>
  <si>
    <t>ORD-202402182</t>
  </si>
  <si>
    <t>27/12/1992</t>
  </si>
  <si>
    <t>ORD-202402183</t>
  </si>
  <si>
    <t>11/07/1988</t>
  </si>
  <si>
    <t>ORD-202402184</t>
  </si>
  <si>
    <t>16/10/1984</t>
  </si>
  <si>
    <t>ORD-202402185</t>
  </si>
  <si>
    <t>18/08/2021</t>
  </si>
  <si>
    <t>28/08/1976</t>
  </si>
  <si>
    <t>ORD-202402186</t>
  </si>
  <si>
    <t>ORD-202402187</t>
  </si>
  <si>
    <t>18/06/2021</t>
  </si>
  <si>
    <t>01/05/1986</t>
  </si>
  <si>
    <t>ORD-202402188</t>
  </si>
  <si>
    <t>07/01/1992</t>
  </si>
  <si>
    <t>ORD-202402189</t>
  </si>
  <si>
    <t>04/07/1972</t>
  </si>
  <si>
    <t>ORD-202402190</t>
  </si>
  <si>
    <t>07/10/1999</t>
  </si>
  <si>
    <t>ORD-202402191</t>
  </si>
  <si>
    <t>ORD-202402192</t>
  </si>
  <si>
    <t>29/06/1990</t>
  </si>
  <si>
    <t>ORD-202402193</t>
  </si>
  <si>
    <t>16/09/2024</t>
  </si>
  <si>
    <t>04/07/1994</t>
  </si>
  <si>
    <t>ORD-202402194</t>
  </si>
  <si>
    <t>25/06/1971</t>
  </si>
  <si>
    <t>ORD-202402195</t>
  </si>
  <si>
    <t>23/09/2023</t>
  </si>
  <si>
    <t>10/08/1977</t>
  </si>
  <si>
    <t>ORD-202402196</t>
  </si>
  <si>
    <t>11/03/2022</t>
  </si>
  <si>
    <t>10/05/1970</t>
  </si>
  <si>
    <t>ORD-202402197</t>
  </si>
  <si>
    <t>21/05/2022</t>
  </si>
  <si>
    <t>07/05/1971</t>
  </si>
  <si>
    <t>ORD-202402198</t>
  </si>
  <si>
    <t>20/12/2020</t>
  </si>
  <si>
    <t>28/08/1994</t>
  </si>
  <si>
    <t>ORD-202402199</t>
  </si>
  <si>
    <t>19/10/2023</t>
  </si>
  <si>
    <t>29/08/1997</t>
  </si>
  <si>
    <t>ORD-202402200</t>
  </si>
  <si>
    <t>25/10/2024</t>
  </si>
  <si>
    <t>02/07/1970</t>
  </si>
  <si>
    <t>ORD-202402201</t>
  </si>
  <si>
    <t>ORD-202402202</t>
  </si>
  <si>
    <t>19/11/1972</t>
  </si>
  <si>
    <t>ORD-202402203</t>
  </si>
  <si>
    <t>24/04/2000</t>
  </si>
  <si>
    <t>ORD-202402204</t>
  </si>
  <si>
    <t>21/07/2024</t>
  </si>
  <si>
    <t>01/08/1998</t>
  </si>
  <si>
    <t>ORD-202402205</t>
  </si>
  <si>
    <t>10/04/1981</t>
  </si>
  <si>
    <t>ORD-202402206</t>
  </si>
  <si>
    <t>01/05/1998</t>
  </si>
  <si>
    <t>ORD-202402207</t>
  </si>
  <si>
    <t>ORD-202402208</t>
  </si>
  <si>
    <t>06/03/2024</t>
  </si>
  <si>
    <t>18/04/1979</t>
  </si>
  <si>
    <t>ORD-202402209</t>
  </si>
  <si>
    <t>04/04/1983</t>
  </si>
  <si>
    <t>ORD-202402210</t>
  </si>
  <si>
    <t>10/09/1978</t>
  </si>
  <si>
    <t>ORD-202402211</t>
  </si>
  <si>
    <t>25/02/2024</t>
  </si>
  <si>
    <t>04/01/1988</t>
  </si>
  <si>
    <t>ORD-202402212</t>
  </si>
  <si>
    <t>25/05/2021</t>
  </si>
  <si>
    <t>02/03/1981</t>
  </si>
  <si>
    <t>ORD-202402213</t>
  </si>
  <si>
    <t>28/03/1981</t>
  </si>
  <si>
    <t>ORD-202402214</t>
  </si>
  <si>
    <t>07/05/1970</t>
  </si>
  <si>
    <t>ORD-202402215</t>
  </si>
  <si>
    <t>11/11/1996</t>
  </si>
  <si>
    <t>ORD-202402216</t>
  </si>
  <si>
    <t>04/05/1984</t>
  </si>
  <si>
    <t>ORD-202402217</t>
  </si>
  <si>
    <t>21/11/1981</t>
  </si>
  <si>
    <t>ORD-202402218</t>
  </si>
  <si>
    <t>06/06/2022</t>
  </si>
  <si>
    <t>03/06/1994</t>
  </si>
  <si>
    <t>ORD-202402219</t>
  </si>
  <si>
    <t>15/08/1991</t>
  </si>
  <si>
    <t>ORD-202402220</t>
  </si>
  <si>
    <t>17/01/2024</t>
  </si>
  <si>
    <t>ORD-202402221</t>
  </si>
  <si>
    <t>09/07/1979</t>
  </si>
  <si>
    <t>ORD-202402222</t>
  </si>
  <si>
    <t>04/12/2000</t>
  </si>
  <si>
    <t>ORD-202402223</t>
  </si>
  <si>
    <t>07/03/1999</t>
  </si>
  <si>
    <t>ORD-202402224</t>
  </si>
  <si>
    <t>12/04/1983</t>
  </si>
  <si>
    <t>ORD-202402225</t>
  </si>
  <si>
    <t>14/01/1991</t>
  </si>
  <si>
    <t>ORD-202402226</t>
  </si>
  <si>
    <t>08/03/1987</t>
  </si>
  <si>
    <t>ORD-202402227</t>
  </si>
  <si>
    <t>ORD-202402228</t>
  </si>
  <si>
    <t>09/01/1992</t>
  </si>
  <si>
    <t>ORD-202402229</t>
  </si>
  <si>
    <t>31/12/1987</t>
  </si>
  <si>
    <t>ORD-202402230</t>
  </si>
  <si>
    <t>12/09/1976</t>
  </si>
  <si>
    <t>ORD-202402231</t>
  </si>
  <si>
    <t>28/09/2024</t>
  </si>
  <si>
    <t>24/01/2000</t>
  </si>
  <si>
    <t>ORD-202402232</t>
  </si>
  <si>
    <t>19/09/1994</t>
  </si>
  <si>
    <t>ORD-202402233</t>
  </si>
  <si>
    <t>ORD-202402234</t>
  </si>
  <si>
    <t>23/09/1998</t>
  </si>
  <si>
    <t>ORD-202402235</t>
  </si>
  <si>
    <t>25/11/1994</t>
  </si>
  <si>
    <t>ORD-202402236</t>
  </si>
  <si>
    <t>12/12/2021</t>
  </si>
  <si>
    <t>01/06/1982</t>
  </si>
  <si>
    <t>ORD-202402237</t>
  </si>
  <si>
    <t>06/08/1995</t>
  </si>
  <si>
    <t>ORD-202402238</t>
  </si>
  <si>
    <t>03/10/1986</t>
  </si>
  <si>
    <t>ORD-202402239</t>
  </si>
  <si>
    <t>16/07/1983</t>
  </si>
  <si>
    <t>ORD-202402240</t>
  </si>
  <si>
    <t>22/07/1971</t>
  </si>
  <si>
    <t>ORD-202402241</t>
  </si>
  <si>
    <t>13/07/2022</t>
  </si>
  <si>
    <t>ORD-202402242</t>
  </si>
  <si>
    <t>07/08/1996</t>
  </si>
  <si>
    <t>ORD-202402243</t>
  </si>
  <si>
    <t>11/10/1998</t>
  </si>
  <si>
    <t>ORD-202402244</t>
  </si>
  <si>
    <t>29/07/1984</t>
  </si>
  <si>
    <t>ORD-202402245</t>
  </si>
  <si>
    <t>21/06/2021</t>
  </si>
  <si>
    <t>03/07/1984</t>
  </si>
  <si>
    <t>ORD-202402246</t>
  </si>
  <si>
    <t>06/10/1982</t>
  </si>
  <si>
    <t>ORD-202402247</t>
  </si>
  <si>
    <t>09/03/1991</t>
  </si>
  <si>
    <t>ORD-202402248</t>
  </si>
  <si>
    <t>06/05/1973</t>
  </si>
  <si>
    <t>ORD-202402249</t>
  </si>
  <si>
    <t>ORD-202402250</t>
  </si>
  <si>
    <t>01/05/1984</t>
  </si>
  <si>
    <t>ORD-202402251</t>
  </si>
  <si>
    <t>04/11/1973</t>
  </si>
  <si>
    <t>ORD-202402252</t>
  </si>
  <si>
    <t>23/11/1995</t>
  </si>
  <si>
    <t>ORD-202402253</t>
  </si>
  <si>
    <t>12/10/1997</t>
  </si>
  <si>
    <t>ORD-202402254</t>
  </si>
  <si>
    <t>03/02/1981</t>
  </si>
  <si>
    <t>ORD-202402255</t>
  </si>
  <si>
    <t>28/02/2021</t>
  </si>
  <si>
    <t>09/02/1995</t>
  </si>
  <si>
    <t>ORD-202402256</t>
  </si>
  <si>
    <t>17/08/1975</t>
  </si>
  <si>
    <t>ORD-202402257</t>
  </si>
  <si>
    <t>07/10/1971</t>
  </si>
  <si>
    <t>ORD-202402258</t>
  </si>
  <si>
    <t>22/09/1987</t>
  </si>
  <si>
    <t>ORD-202402259</t>
  </si>
  <si>
    <t>23/10/1979</t>
  </si>
  <si>
    <t>ORD-202402260</t>
  </si>
  <si>
    <t>ORD-202402261</t>
  </si>
  <si>
    <t>12/11/1995</t>
  </si>
  <si>
    <t>ORD-202402262</t>
  </si>
  <si>
    <t>02/06/1980</t>
  </si>
  <si>
    <t>ORD-202402263</t>
  </si>
  <si>
    <t>19/04/1984</t>
  </si>
  <si>
    <t>ORD-202402264</t>
  </si>
  <si>
    <t>28/05/1995</t>
  </si>
  <si>
    <t>ORD-202402265</t>
  </si>
  <si>
    <t>02/07/2024</t>
  </si>
  <si>
    <t>ORD-202402266</t>
  </si>
  <si>
    <t>07/01/1973</t>
  </si>
  <si>
    <t>ORD-202402267</t>
  </si>
  <si>
    <t>16/04/1980</t>
  </si>
  <si>
    <t>ORD-202402268</t>
  </si>
  <si>
    <t>03/11/1991</t>
  </si>
  <si>
    <t>ORD-202402269</t>
  </si>
  <si>
    <t>27/11/1997</t>
  </si>
  <si>
    <t>ORD-202402270</t>
  </si>
  <si>
    <t>25/10/2022</t>
  </si>
  <si>
    <t>24/12/1988</t>
  </si>
  <si>
    <t>ORD-202402271</t>
  </si>
  <si>
    <t>04/05/2021</t>
  </si>
  <si>
    <t>01/06/1972</t>
  </si>
  <si>
    <t>ORD-202402272</t>
  </si>
  <si>
    <t>ORD-202402273</t>
  </si>
  <si>
    <t>17/01/1989</t>
  </si>
  <si>
    <t>ORD-202402274</t>
  </si>
  <si>
    <t>26/11/2022</t>
  </si>
  <si>
    <t>20/12/1983</t>
  </si>
  <si>
    <t>ORD-202402275</t>
  </si>
  <si>
    <t>20/03/1998</t>
  </si>
  <si>
    <t>ORD-202402276</t>
  </si>
  <si>
    <t>08/10/1996</t>
  </si>
  <si>
    <t>ORD-202402277</t>
  </si>
  <si>
    <t>12/11/1994</t>
  </si>
  <si>
    <t>ORD-202402278</t>
  </si>
  <si>
    <t>06/01/1980</t>
  </si>
  <si>
    <t>ORD-202402279</t>
  </si>
  <si>
    <t>10/12/1998</t>
  </si>
  <si>
    <t>ORD-202402280</t>
  </si>
  <si>
    <t>27/06/2024</t>
  </si>
  <si>
    <t>25/09/1991</t>
  </si>
  <si>
    <t>ORD-202402281</t>
  </si>
  <si>
    <t>01/05/2023</t>
  </si>
  <si>
    <t>05/03/1996</t>
  </si>
  <si>
    <t>ORD-202402282</t>
  </si>
  <si>
    <t>24/06/1998</t>
  </si>
  <si>
    <t>ORD-202402283</t>
  </si>
  <si>
    <t>23/12/1981</t>
  </si>
  <si>
    <t>ORD-202402284</t>
  </si>
  <si>
    <t>01/10/1974</t>
  </si>
  <si>
    <t>ORD-202402285</t>
  </si>
  <si>
    <t>ORD-202402286</t>
  </si>
  <si>
    <t>08/10/1988</t>
  </si>
  <si>
    <t>ORD-202402287</t>
  </si>
  <si>
    <t>10/07/1992</t>
  </si>
  <si>
    <t>ORD-202402288</t>
  </si>
  <si>
    <t>12/07/2021</t>
  </si>
  <si>
    <t>31/07/1999</t>
  </si>
  <si>
    <t>ORD-202402289</t>
  </si>
  <si>
    <t>17/06/1996</t>
  </si>
  <si>
    <t>ORD-202402290</t>
  </si>
  <si>
    <t>09/12/1982</t>
  </si>
  <si>
    <t>ORD-202402291</t>
  </si>
  <si>
    <t>20/07/1972</t>
  </si>
  <si>
    <t>ORD-202402292</t>
  </si>
  <si>
    <t>30/10/1984</t>
  </si>
  <si>
    <t>ORD-202402293</t>
  </si>
  <si>
    <t>ORD-202402294</t>
  </si>
  <si>
    <t>07/06/2024</t>
  </si>
  <si>
    <t>17/11/1981</t>
  </si>
  <si>
    <t>ORD-202402295</t>
  </si>
  <si>
    <t>ORD-202402296</t>
  </si>
  <si>
    <t>16/09/1975</t>
  </si>
  <si>
    <t>ORD-202402297</t>
  </si>
  <si>
    <t>03/04/1979</t>
  </si>
  <si>
    <t>ORD-202402298</t>
  </si>
  <si>
    <t>03/07/1979</t>
  </si>
  <si>
    <t>ORD-202402299</t>
  </si>
  <si>
    <t>09/07/1987</t>
  </si>
  <si>
    <t>ORD-202402300</t>
  </si>
  <si>
    <t>ORD-202402301</t>
  </si>
  <si>
    <t>12/01/2021</t>
  </si>
  <si>
    <t>ORD-202402302</t>
  </si>
  <si>
    <t>ORD-202402303</t>
  </si>
  <si>
    <t>06/10/1979</t>
  </si>
  <si>
    <t>ORD-202402304</t>
  </si>
  <si>
    <t>21/11/1980</t>
  </si>
  <si>
    <t>ORD-202402305</t>
  </si>
  <si>
    <t>22/06/1990</t>
  </si>
  <si>
    <t>ORD-202402306</t>
  </si>
  <si>
    <t>17/08/2000</t>
  </si>
  <si>
    <t>ORD-202402307</t>
  </si>
  <si>
    <t>ORD-202402308</t>
  </si>
  <si>
    <t>10/11/1993</t>
  </si>
  <si>
    <t>ORD-202402309</t>
  </si>
  <si>
    <t>03/08/2024</t>
  </si>
  <si>
    <t>31/12/1991</t>
  </si>
  <si>
    <t>ORD-202402310</t>
  </si>
  <si>
    <t>13/08/2024</t>
  </si>
  <si>
    <t>30/04/1993</t>
  </si>
  <si>
    <t>ORD-202402311</t>
  </si>
  <si>
    <t>18/11/2021</t>
  </si>
  <si>
    <t>09/02/1998</t>
  </si>
  <si>
    <t>ORD-202402312</t>
  </si>
  <si>
    <t>19/02/1995</t>
  </si>
  <si>
    <t>ORD-202402313</t>
  </si>
  <si>
    <t>01/09/2021</t>
  </si>
  <si>
    <t>25/08/1978</t>
  </si>
  <si>
    <t>ORD-202402314</t>
  </si>
  <si>
    <t>31/10/1970</t>
  </si>
  <si>
    <t>ORD-202402315</t>
  </si>
  <si>
    <t>ORD-202402316</t>
  </si>
  <si>
    <t>04/07/1977</t>
  </si>
  <si>
    <t>ORD-202402317</t>
  </si>
  <si>
    <t>18/06/1975</t>
  </si>
  <si>
    <t>ORD-202402318</t>
  </si>
  <si>
    <t>13/03/1985</t>
  </si>
  <si>
    <t>ORD-202402319</t>
  </si>
  <si>
    <t>07/09/1974</t>
  </si>
  <si>
    <t>ORD-202402320</t>
  </si>
  <si>
    <t>23/07/1976</t>
  </si>
  <si>
    <t>ORD-202402321</t>
  </si>
  <si>
    <t>04/07/1971</t>
  </si>
  <si>
    <t>ORD-202402322</t>
  </si>
  <si>
    <t>13/10/1976</t>
  </si>
  <si>
    <t>ORD-202402323</t>
  </si>
  <si>
    <t>17/10/1995</t>
  </si>
  <si>
    <t>ORD-202402324</t>
  </si>
  <si>
    <t>05/01/1979</t>
  </si>
  <si>
    <t>ORD-202402325</t>
  </si>
  <si>
    <t>23/12/1999</t>
  </si>
  <si>
    <t>ORD-202402326</t>
  </si>
  <si>
    <t>25/04/1985</t>
  </si>
  <si>
    <t>ORD-202402327</t>
  </si>
  <si>
    <t>19/12/1984</t>
  </si>
  <si>
    <t>ORD-202402328</t>
  </si>
  <si>
    <t>16/02/1993</t>
  </si>
  <si>
    <t>ORD-202402329</t>
  </si>
  <si>
    <t>13/07/2023</t>
  </si>
  <si>
    <t>16/06/1974</t>
  </si>
  <si>
    <t>ORD-202402330</t>
  </si>
  <si>
    <t>15/08/1999</t>
  </si>
  <si>
    <t>ORD-202402331</t>
  </si>
  <si>
    <t>22/10/1986</t>
  </si>
  <si>
    <t>ORD-202402332</t>
  </si>
  <si>
    <t>06/11/2022</t>
  </si>
  <si>
    <t>27/07/1992</t>
  </si>
  <si>
    <t>ORD-202402333</t>
  </si>
  <si>
    <t>21/02/1977</t>
  </si>
  <si>
    <t>ORD-202402334</t>
  </si>
  <si>
    <t>ORD-202402335</t>
  </si>
  <si>
    <t>04/06/1996</t>
  </si>
  <si>
    <t>ORD-202402336</t>
  </si>
  <si>
    <t>07/04/1987</t>
  </si>
  <si>
    <t>ORD-202402337</t>
  </si>
  <si>
    <t>14/06/2022</t>
  </si>
  <si>
    <t>20/04/1978</t>
  </si>
  <si>
    <t>ORD-202402338</t>
  </si>
  <si>
    <t>04/05/1989</t>
  </si>
  <si>
    <t>ORD-202402339</t>
  </si>
  <si>
    <t>07/04/1976</t>
  </si>
  <si>
    <t>ORD-202402340</t>
  </si>
  <si>
    <t>ORD-202402341</t>
  </si>
  <si>
    <t>27/12/1975</t>
  </si>
  <si>
    <t>ORD-202402342</t>
  </si>
  <si>
    <t>29/04/1990</t>
  </si>
  <si>
    <t>ORD-202402343</t>
  </si>
  <si>
    <t>05/05/1994</t>
  </si>
  <si>
    <t>ORD-202402344</t>
  </si>
  <si>
    <t>14/10/1975</t>
  </si>
  <si>
    <t>ORD-202402345</t>
  </si>
  <si>
    <t>ORD-202402346</t>
  </si>
  <si>
    <t>13/01/1984</t>
  </si>
  <si>
    <t>ORD-202402347</t>
  </si>
  <si>
    <t>03/03/1987</t>
  </si>
  <si>
    <t>ORD-202402348</t>
  </si>
  <si>
    <t>02/06/2000</t>
  </si>
  <si>
    <t>ORD-202402349</t>
  </si>
  <si>
    <t>10/06/2023</t>
  </si>
  <si>
    <t>22/01/1984</t>
  </si>
  <si>
    <t>ORD-202402350</t>
  </si>
  <si>
    <t>04/12/1996</t>
  </si>
  <si>
    <t>ORD-202402351</t>
  </si>
  <si>
    <t>09/12/2023</t>
  </si>
  <si>
    <t>ORD-202402352</t>
  </si>
  <si>
    <t>ORD-202402353</t>
  </si>
  <si>
    <t>30/01/1981</t>
  </si>
  <si>
    <t>ORD-202402354</t>
  </si>
  <si>
    <t>17/07/1995</t>
  </si>
  <si>
    <t>ORD-202402355</t>
  </si>
  <si>
    <t>18/01/1997</t>
  </si>
  <si>
    <t>ORD-202402356</t>
  </si>
  <si>
    <t>09/02/1978</t>
  </si>
  <si>
    <t>ORD-202402357</t>
  </si>
  <si>
    <t>04/07/1978</t>
  </si>
  <si>
    <t>ORD-202402358</t>
  </si>
  <si>
    <t>14/12/2000</t>
  </si>
  <si>
    <t>ORD-202402359</t>
  </si>
  <si>
    <t>19/06/1994</t>
  </si>
  <si>
    <t>ORD-202402360</t>
  </si>
  <si>
    <t>12/06/1998</t>
  </si>
  <si>
    <t>ORD-202402361</t>
  </si>
  <si>
    <t>25/08/2022</t>
  </si>
  <si>
    <t>ORD-202402362</t>
  </si>
  <si>
    <t>01/12/1972</t>
  </si>
  <si>
    <t>ORD-202402363</t>
  </si>
  <si>
    <t>12/09/2024</t>
  </si>
  <si>
    <t>05/10/1987</t>
  </si>
  <si>
    <t>ORD-202402364</t>
  </si>
  <si>
    <t>19/11/1976</t>
  </si>
  <si>
    <t>ORD-202402365</t>
  </si>
  <si>
    <t>08/06/1998</t>
  </si>
  <si>
    <t>ORD-202402366</t>
  </si>
  <si>
    <t>28/01/1972</t>
  </si>
  <si>
    <t>ORD-202402367</t>
  </si>
  <si>
    <t>07/04/2024</t>
  </si>
  <si>
    <t>10/03/1997</t>
  </si>
  <si>
    <t>ORD-202402368</t>
  </si>
  <si>
    <t>16/07/1996</t>
  </si>
  <si>
    <t>ORD-202402369</t>
  </si>
  <si>
    <t>08/09/1992</t>
  </si>
  <si>
    <t>ORD-202402370</t>
  </si>
  <si>
    <t>09/06/1979</t>
  </si>
  <si>
    <t>ORD-202402371</t>
  </si>
  <si>
    <t>ORD-202402372</t>
  </si>
  <si>
    <t>ORD-202402373</t>
  </si>
  <si>
    <t>04/11/1987</t>
  </si>
  <si>
    <t>ORD-202402374</t>
  </si>
  <si>
    <t>28/04/1993</t>
  </si>
  <si>
    <t>ORD-202402375</t>
  </si>
  <si>
    <t>07/12/1997</t>
  </si>
  <si>
    <t>ORD-202402376</t>
  </si>
  <si>
    <t>04/06/1994</t>
  </si>
  <si>
    <t>ORD-202402377</t>
  </si>
  <si>
    <t>02/05/1998</t>
  </si>
  <si>
    <t>ORD-202402378</t>
  </si>
  <si>
    <t>20/02/2021</t>
  </si>
  <si>
    <t>27/04/1986</t>
  </si>
  <si>
    <t>ORD-202402379</t>
  </si>
  <si>
    <t>18/12/1980</t>
  </si>
  <si>
    <t>ORD-202402380</t>
  </si>
  <si>
    <t>22/10/2022</t>
  </si>
  <si>
    <t>01/12/2000</t>
  </si>
  <si>
    <t>ORD-202402381</t>
  </si>
  <si>
    <t>11/09/1980</t>
  </si>
  <si>
    <t>ORD-202402382</t>
  </si>
  <si>
    <t>17/11/2021</t>
  </si>
  <si>
    <t>17/08/1972</t>
  </si>
  <si>
    <t>ORD-202402383</t>
  </si>
  <si>
    <t>25/01/1979</t>
  </si>
  <si>
    <t>ORD-202402384</t>
  </si>
  <si>
    <t>ORD-202402385</t>
  </si>
  <si>
    <t>26/09/1993</t>
  </si>
  <si>
    <t>ORD-202402386</t>
  </si>
  <si>
    <t>ORD-202402387</t>
  </si>
  <si>
    <t>ORD-202402388</t>
  </si>
  <si>
    <t>13/02/1970</t>
  </si>
  <si>
    <t>ORD-202402389</t>
  </si>
  <si>
    <t>30/01/1995</t>
  </si>
  <si>
    <t>ORD-202402390</t>
  </si>
  <si>
    <t>14/08/2024</t>
  </si>
  <si>
    <t>29/06/1977</t>
  </si>
  <si>
    <t>ORD-202402391</t>
  </si>
  <si>
    <t>02/09/1978</t>
  </si>
  <si>
    <t>ORD-202402392</t>
  </si>
  <si>
    <t>19/12/1972</t>
  </si>
  <si>
    <t>ORD-202402393</t>
  </si>
  <si>
    <t>11/10/2024</t>
  </si>
  <si>
    <t>11/03/1988</t>
  </si>
  <si>
    <t>ORD-202402394</t>
  </si>
  <si>
    <t>ORD-202402395</t>
  </si>
  <si>
    <t>19/10/1975</t>
  </si>
  <si>
    <t>ORD-202402396</t>
  </si>
  <si>
    <t>ORD-202402397</t>
  </si>
  <si>
    <t>18/03/2021</t>
  </si>
  <si>
    <t>29/08/1972</t>
  </si>
  <si>
    <t>ORD-202402398</t>
  </si>
  <si>
    <t>14/03/1998</t>
  </si>
  <si>
    <t>ORD-202402399</t>
  </si>
  <si>
    <t>16/09/1993</t>
  </si>
  <si>
    <t>ORD-202402400</t>
  </si>
  <si>
    <t>03/10/1980</t>
  </si>
  <si>
    <t>ORD-202402401</t>
  </si>
  <si>
    <t>02/02/1977</t>
  </si>
  <si>
    <t>ORD-202402402</t>
  </si>
  <si>
    <t>ORD-202402403</t>
  </si>
  <si>
    <t>01/10/1983</t>
  </si>
  <si>
    <t>ORD-202402404</t>
  </si>
  <si>
    <t>20/08/1973</t>
  </si>
  <si>
    <t>ORD-202402405</t>
  </si>
  <si>
    <t>19/05/2024</t>
  </si>
  <si>
    <t>12/01/1992</t>
  </si>
  <si>
    <t>ORD-202402406</t>
  </si>
  <si>
    <t>ORD-202402407</t>
  </si>
  <si>
    <t>19/10/2022</t>
  </si>
  <si>
    <t>16/12/1977</t>
  </si>
  <si>
    <t>ORD-202402408</t>
  </si>
  <si>
    <t>ORD-202402409</t>
  </si>
  <si>
    <t>09/12/1986</t>
  </si>
  <si>
    <t>ORD-202402410</t>
  </si>
  <si>
    <t>21/08/1989</t>
  </si>
  <si>
    <t>ORD-202402411</t>
  </si>
  <si>
    <t>24/07/1991</t>
  </si>
  <si>
    <t>ORD-202402412</t>
  </si>
  <si>
    <t>02/04/1983</t>
  </si>
  <si>
    <t>ORD-202402413</t>
  </si>
  <si>
    <t>10/01/1973</t>
  </si>
  <si>
    <t>ORD-202402414</t>
  </si>
  <si>
    <t>17/11/1985</t>
  </si>
  <si>
    <t>ORD-202402415</t>
  </si>
  <si>
    <t>23/04/1997</t>
  </si>
  <si>
    <t>ORD-202402416</t>
  </si>
  <si>
    <t>ORD-202402417</t>
  </si>
  <si>
    <t>23/06/2024</t>
  </si>
  <si>
    <t>14/06/1989</t>
  </si>
  <si>
    <t>ORD-202402418</t>
  </si>
  <si>
    <t>08/10/1970</t>
  </si>
  <si>
    <t>ORD-202402419</t>
  </si>
  <si>
    <t>12/08/1993</t>
  </si>
  <si>
    <t>ORD-202402420</t>
  </si>
  <si>
    <t>22/05/2022</t>
  </si>
  <si>
    <t>01/10/1998</t>
  </si>
  <si>
    <t>ORD-202402421</t>
  </si>
  <si>
    <t>ORD-202402422</t>
  </si>
  <si>
    <t>15/08/1977</t>
  </si>
  <si>
    <t>ORD-202402423</t>
  </si>
  <si>
    <t>06/06/1981</t>
  </si>
  <si>
    <t>ORD-202402424</t>
  </si>
  <si>
    <t>09/09/1982</t>
  </si>
  <si>
    <t>ORD-202402425</t>
  </si>
  <si>
    <t>07/05/2022</t>
  </si>
  <si>
    <t>20/12/1984</t>
  </si>
  <si>
    <t>ORD-202402426</t>
  </si>
  <si>
    <t>02/06/1973</t>
  </si>
  <si>
    <t>ORD-202402427</t>
  </si>
  <si>
    <t>ORD-202402428</t>
  </si>
  <si>
    <t>ORD-202402429</t>
  </si>
  <si>
    <t>09/09/2000</t>
  </si>
  <si>
    <t>ORD-202402430</t>
  </si>
  <si>
    <t>16/12/1983</t>
  </si>
  <si>
    <t>ORD-202402431</t>
  </si>
  <si>
    <t>ORD-202402432</t>
  </si>
  <si>
    <t>01/12/2021</t>
  </si>
  <si>
    <t>09/09/1973</t>
  </si>
  <si>
    <t>ORD-202402433</t>
  </si>
  <si>
    <t>15/12/1988</t>
  </si>
  <si>
    <t>ORD-202402434</t>
  </si>
  <si>
    <t>25/10/1982</t>
  </si>
  <si>
    <t>ORD-202402435</t>
  </si>
  <si>
    <t>05/07/1971</t>
  </si>
  <si>
    <t>ORD-202402436</t>
  </si>
  <si>
    <t>ORD-202402437</t>
  </si>
  <si>
    <t>ORD-202402438</t>
  </si>
  <si>
    <t>ORD-202402439</t>
  </si>
  <si>
    <t>ORD-202402440</t>
  </si>
  <si>
    <t>16/06/1971</t>
  </si>
  <si>
    <t>ORD-202402441</t>
  </si>
  <si>
    <t>09/12/1973</t>
  </si>
  <si>
    <t>ORD-202402442</t>
  </si>
  <si>
    <t>05/12/1987</t>
  </si>
  <si>
    <t>ORD-202402443</t>
  </si>
  <si>
    <t>ORD-202402444</t>
  </si>
  <si>
    <t>09/07/2022</t>
  </si>
  <si>
    <t>25/01/1984</t>
  </si>
  <si>
    <t>ORD-202402445</t>
  </si>
  <si>
    <t>19/09/1987</t>
  </si>
  <si>
    <t>ORD-202402446</t>
  </si>
  <si>
    <t>03/01/1996</t>
  </si>
  <si>
    <t>ORD-202402447</t>
  </si>
  <si>
    <t>11/03/1979</t>
  </si>
  <si>
    <t>ORD-202402448</t>
  </si>
  <si>
    <t>06/01/2024</t>
  </si>
  <si>
    <t>18/12/1974</t>
  </si>
  <si>
    <t>ORD-202402449</t>
  </si>
  <si>
    <t>14/03/1970</t>
  </si>
  <si>
    <t>ORD-202402450</t>
  </si>
  <si>
    <t>ORD-202402451</t>
  </si>
  <si>
    <t>26/09/2022</t>
  </si>
  <si>
    <t>ORD-202402452</t>
  </si>
  <si>
    <t>30/07/1970</t>
  </si>
  <si>
    <t>ORD-202402453</t>
  </si>
  <si>
    <t>29/12/2024</t>
  </si>
  <si>
    <t>15/08/1974</t>
  </si>
  <si>
    <t>ORD-202402454</t>
  </si>
  <si>
    <t>17/08/1983</t>
  </si>
  <si>
    <t>ORD-202402455</t>
  </si>
  <si>
    <t>29/03/2020</t>
  </si>
  <si>
    <t>16/12/1999</t>
  </si>
  <si>
    <t>ORD-202402456</t>
  </si>
  <si>
    <t>08/02/1990</t>
  </si>
  <si>
    <t>ORD-202402457</t>
  </si>
  <si>
    <t>ORD-202402458</t>
  </si>
  <si>
    <t>24/04/1973</t>
  </si>
  <si>
    <t>ORD-202402459</t>
  </si>
  <si>
    <t>17/10/1992</t>
  </si>
  <si>
    <t>ORD-202402460</t>
  </si>
  <si>
    <t>30/03/1995</t>
  </si>
  <si>
    <t>ORD-202402461</t>
  </si>
  <si>
    <t>17/01/1994</t>
  </si>
  <si>
    <t>ORD-202402462</t>
  </si>
  <si>
    <t>06/05/1979</t>
  </si>
  <si>
    <t>ORD-202402463</t>
  </si>
  <si>
    <t>19/05/1988</t>
  </si>
  <si>
    <t>ORD-202402464</t>
  </si>
  <si>
    <t>28/12/1972</t>
  </si>
  <si>
    <t>ORD-202402465</t>
  </si>
  <si>
    <t>29/07/1992</t>
  </si>
  <si>
    <t>ORD-202402466</t>
  </si>
  <si>
    <t>10/04/2022</t>
  </si>
  <si>
    <t>02/06/1996</t>
  </si>
  <si>
    <t>ORD-202402467</t>
  </si>
  <si>
    <t>19/02/1982</t>
  </si>
  <si>
    <t>ORD-202402468</t>
  </si>
  <si>
    <t>16/06/1996</t>
  </si>
  <si>
    <t>ORD-202402469</t>
  </si>
  <si>
    <t>08/03/1983</t>
  </si>
  <si>
    <t>ORD-202402470</t>
  </si>
  <si>
    <t>13/06/2023</t>
  </si>
  <si>
    <t>23/07/1981</t>
  </si>
  <si>
    <t>ORD-202402471</t>
  </si>
  <si>
    <t>24/05/1982</t>
  </si>
  <si>
    <t>ORD-202402472</t>
  </si>
  <si>
    <t>05/08/1998</t>
  </si>
  <si>
    <t>ORD-202402473</t>
  </si>
  <si>
    <t>06/09/1982</t>
  </si>
  <si>
    <t>ORD-202402474</t>
  </si>
  <si>
    <t>18/07/2024</t>
  </si>
  <si>
    <t>19/04/1989</t>
  </si>
  <si>
    <t>ORD-202402475</t>
  </si>
  <si>
    <t>10/10/1979</t>
  </si>
  <si>
    <t>ORD-202402476</t>
  </si>
  <si>
    <t>31/01/1990</t>
  </si>
  <si>
    <t>ORD-202402477</t>
  </si>
  <si>
    <t>26/06/1973</t>
  </si>
  <si>
    <t>ORD-202402478</t>
  </si>
  <si>
    <t>ORD-202402479</t>
  </si>
  <si>
    <t>25/09/1988</t>
  </si>
  <si>
    <t>ORD-202402480</t>
  </si>
  <si>
    <t>16/11/1972</t>
  </si>
  <si>
    <t>ORD-202402481</t>
  </si>
  <si>
    <t>01/05/1983</t>
  </si>
  <si>
    <t>ORD-202402482</t>
  </si>
  <si>
    <t>13/01/1975</t>
  </si>
  <si>
    <t>ORD-202402483</t>
  </si>
  <si>
    <t>31/01/2023</t>
  </si>
  <si>
    <t>27/08/1999</t>
  </si>
  <si>
    <t>ORD-202402484</t>
  </si>
  <si>
    <t>25/02/1981</t>
  </si>
  <si>
    <t>ORD-202402485</t>
  </si>
  <si>
    <t>16/02/1985</t>
  </si>
  <si>
    <t>ORD-202402486</t>
  </si>
  <si>
    <t>26/07/1993</t>
  </si>
  <si>
    <t>ORD-202402487</t>
  </si>
  <si>
    <t>19/11/2024</t>
  </si>
  <si>
    <t>21/01/1991</t>
  </si>
  <si>
    <t>ORD-202402488</t>
  </si>
  <si>
    <t>06/07/1975</t>
  </si>
  <si>
    <t>ORD-202402489</t>
  </si>
  <si>
    <t>19/07/2024</t>
  </si>
  <si>
    <t>27/04/1978</t>
  </si>
  <si>
    <t>ORD-202402490</t>
  </si>
  <si>
    <t>29/09/2023</t>
  </si>
  <si>
    <t>ORD-202402491</t>
  </si>
  <si>
    <t>05/06/2022</t>
  </si>
  <si>
    <t>21/06/1997</t>
  </si>
  <si>
    <t>ORD-202402492</t>
  </si>
  <si>
    <t>13/06/1986</t>
  </si>
  <si>
    <t>ORD-202402493</t>
  </si>
  <si>
    <t>04/11/1977</t>
  </si>
  <si>
    <t>ORD-202402494</t>
  </si>
  <si>
    <t>29/01/1979</t>
  </si>
  <si>
    <t>ORD-202402495</t>
  </si>
  <si>
    <t>24/12/1983</t>
  </si>
  <si>
    <t>ORD-202402496</t>
  </si>
  <si>
    <t>14/12/2024</t>
  </si>
  <si>
    <t>21/07/1971</t>
  </si>
  <si>
    <t>ORD-202402497</t>
  </si>
  <si>
    <t>23/09/1983</t>
  </si>
  <si>
    <t>ORD-202402498</t>
  </si>
  <si>
    <t>ORD-202402499</t>
  </si>
  <si>
    <t>16/10/1970</t>
  </si>
  <si>
    <t>ORD-202402500</t>
  </si>
  <si>
    <t>05/09/1988</t>
  </si>
  <si>
    <t>ORD-202402501</t>
  </si>
  <si>
    <t>02/09/1995</t>
  </si>
  <si>
    <t>ORD-202402502</t>
  </si>
  <si>
    <t>28/03/2022</t>
  </si>
  <si>
    <t>09/12/1980</t>
  </si>
  <si>
    <t>ORD-202402503</t>
  </si>
  <si>
    <t>05/06/1981</t>
  </si>
  <si>
    <t>ORD-202402504</t>
  </si>
  <si>
    <t>09/10/1992</t>
  </si>
  <si>
    <t>ORD-202402505</t>
  </si>
  <si>
    <t>31/01/1977</t>
  </si>
  <si>
    <t>ORD-202402506</t>
  </si>
  <si>
    <t>ORD-202402507</t>
  </si>
  <si>
    <t>09/09/1992</t>
  </si>
  <si>
    <t>ORD-202402508</t>
  </si>
  <si>
    <t>13/07/1993</t>
  </si>
  <si>
    <t>ORD-202402509</t>
  </si>
  <si>
    <t>30/11/1970</t>
  </si>
  <si>
    <t>ORD-202402510</t>
  </si>
  <si>
    <t>13/09/1974</t>
  </si>
  <si>
    <t>ORD-202402511</t>
  </si>
  <si>
    <t>29/06/1981</t>
  </si>
  <si>
    <t>ORD-202402512</t>
  </si>
  <si>
    <t>ORD-202402513</t>
  </si>
  <si>
    <t>ORD-202402514</t>
  </si>
  <si>
    <t>27/09/1984</t>
  </si>
  <si>
    <t>ORD-202402515</t>
  </si>
  <si>
    <t>21/06/1993</t>
  </si>
  <si>
    <t>ORD-202402516</t>
  </si>
  <si>
    <t>21/05/1979</t>
  </si>
  <si>
    <t>ORD-202402517</t>
  </si>
  <si>
    <t>10/05/1971</t>
  </si>
  <si>
    <t>ORD-202402518</t>
  </si>
  <si>
    <t>29/08/1971</t>
  </si>
  <si>
    <t>ORD-202402519</t>
  </si>
  <si>
    <t>03/10/1999</t>
  </si>
  <si>
    <t>ORD-202402520</t>
  </si>
  <si>
    <t>04/04/1989</t>
  </si>
  <si>
    <t>ORD-202402521</t>
  </si>
  <si>
    <t>20/05/1996</t>
  </si>
  <si>
    <t>ORD-202402522</t>
  </si>
  <si>
    <t>25/02/1990</t>
  </si>
  <si>
    <t>ORD-202402523</t>
  </si>
  <si>
    <t>08/10/1998</t>
  </si>
  <si>
    <t>ORD-202402524</t>
  </si>
  <si>
    <t>21/06/2023</t>
  </si>
  <si>
    <t>03/07/1986</t>
  </si>
  <si>
    <t>ORD-202402525</t>
  </si>
  <si>
    <t>13/07/1975</t>
  </si>
  <si>
    <t>ORD-202402526</t>
  </si>
  <si>
    <t>09/07/1975</t>
  </si>
  <si>
    <t>ORD-202402527</t>
  </si>
  <si>
    <t>15/09/1983</t>
  </si>
  <si>
    <t>ORD-202402528</t>
  </si>
  <si>
    <t>ORD-202402529</t>
  </si>
  <si>
    <t>ORD-202402530</t>
  </si>
  <si>
    <t>11/09/2023</t>
  </si>
  <si>
    <t>13/08/1990</t>
  </si>
  <si>
    <t>ORD-202402531</t>
  </si>
  <si>
    <t>05/02/1972</t>
  </si>
  <si>
    <t>ORD-202402532</t>
  </si>
  <si>
    <t>19/11/2000</t>
  </si>
  <si>
    <t>ORD-202402533</t>
  </si>
  <si>
    <t>03/11/2000</t>
  </si>
  <si>
    <t>ORD-202402534</t>
  </si>
  <si>
    <t>08/06/2024</t>
  </si>
  <si>
    <t>22/01/1981</t>
  </si>
  <si>
    <t>ORD-202402535</t>
  </si>
  <si>
    <t>25/12/1992</t>
  </si>
  <si>
    <t>ORD-202402536</t>
  </si>
  <si>
    <t>ORD-202402537</t>
  </si>
  <si>
    <t>17/06/1982</t>
  </si>
  <si>
    <t>ORD-202402538</t>
  </si>
  <si>
    <t>07/07/2023</t>
  </si>
  <si>
    <t>08/11/1994</t>
  </si>
  <si>
    <t>ORD-202402539</t>
  </si>
  <si>
    <t>20/06/2022</t>
  </si>
  <si>
    <t>13/09/1986</t>
  </si>
  <si>
    <t>ORD-202402540</t>
  </si>
  <si>
    <t>ORD-202402541</t>
  </si>
  <si>
    <t>30/03/2022</t>
  </si>
  <si>
    <t>ORD-202402542</t>
  </si>
  <si>
    <t>15/01/1990</t>
  </si>
  <si>
    <t>ORD-202402543</t>
  </si>
  <si>
    <t>20/06/2024</t>
  </si>
  <si>
    <t>09/10/1993</t>
  </si>
  <si>
    <t>ORD-202402544</t>
  </si>
  <si>
    <t>11/05/1989</t>
  </si>
  <si>
    <t>ORD-202402545</t>
  </si>
  <si>
    <t>30/03/1973</t>
  </si>
  <si>
    <t>ORD-202402546</t>
  </si>
  <si>
    <t>02/03/2024</t>
  </si>
  <si>
    <t>03/02/1976</t>
  </si>
  <si>
    <t>ORD-202402547</t>
  </si>
  <si>
    <t>ORD-202402548</t>
  </si>
  <si>
    <t>06/12/1979</t>
  </si>
  <si>
    <t>ORD-202402549</t>
  </si>
  <si>
    <t>25/02/1976</t>
  </si>
  <si>
    <t>ORD-202402550</t>
  </si>
  <si>
    <t>13/07/1978</t>
  </si>
  <si>
    <t>ORD-202402551</t>
  </si>
  <si>
    <t>10/06/1987</t>
  </si>
  <si>
    <t>ORD-202402552</t>
  </si>
  <si>
    <t>09/09/2022</t>
  </si>
  <si>
    <t>24/12/1992</t>
  </si>
  <si>
    <t>ORD-202402553</t>
  </si>
  <si>
    <t>ORD-202402554</t>
  </si>
  <si>
    <t>09/10/2024</t>
  </si>
  <si>
    <t>12/12/1991</t>
  </si>
  <si>
    <t>ORD-202402555</t>
  </si>
  <si>
    <t>ORD-202402556</t>
  </si>
  <si>
    <t>ORD-202402557</t>
  </si>
  <si>
    <t>ORD-202402558</t>
  </si>
  <si>
    <t>20/03/1985</t>
  </si>
  <si>
    <t>ORD-202402559</t>
  </si>
  <si>
    <t>18/10/1970</t>
  </si>
  <si>
    <t>ORD-202402560</t>
  </si>
  <si>
    <t>18/05/1971</t>
  </si>
  <si>
    <t>ORD-202402561</t>
  </si>
  <si>
    <t>26/10/1991</t>
  </si>
  <si>
    <t>ORD-202402562</t>
  </si>
  <si>
    <t>28/08/2021</t>
  </si>
  <si>
    <t>09/01/1995</t>
  </si>
  <si>
    <t>ORD-202402563</t>
  </si>
  <si>
    <t>16/06/2021</t>
  </si>
  <si>
    <t>02/07/1979</t>
  </si>
  <si>
    <t>ORD-202402564</t>
  </si>
  <si>
    <t>24/02/2021</t>
  </si>
  <si>
    <t>ORD-202402565</t>
  </si>
  <si>
    <t>18/12/1993</t>
  </si>
  <si>
    <t>ORD-202402566</t>
  </si>
  <si>
    <t>15/12/1983</t>
  </si>
  <si>
    <t>ORD-202402567</t>
  </si>
  <si>
    <t>ORD-202402568</t>
  </si>
  <si>
    <t>07/03/1993</t>
  </si>
  <si>
    <t>ORD-202402569</t>
  </si>
  <si>
    <t>18/02/1995</t>
  </si>
  <si>
    <t>ORD-202402570</t>
  </si>
  <si>
    <t>ORD-202402571</t>
  </si>
  <si>
    <t>22/12/1971</t>
  </si>
  <si>
    <t>ORD-202402572</t>
  </si>
  <si>
    <t>ORD-202402573</t>
  </si>
  <si>
    <t>23/11/1981</t>
  </si>
  <si>
    <t>ORD-202402574</t>
  </si>
  <si>
    <t>05/05/1983</t>
  </si>
  <si>
    <t>ORD-202402575</t>
  </si>
  <si>
    <t>24/03/1979</t>
  </si>
  <si>
    <t>ORD-202402576</t>
  </si>
  <si>
    <t>12/11/1993</t>
  </si>
  <si>
    <t>ORD-202402577</t>
  </si>
  <si>
    <t>07/03/1978</t>
  </si>
  <si>
    <t>ORD-202402578</t>
  </si>
  <si>
    <t>16/04/1991</t>
  </si>
  <si>
    <t>ORD-202402579</t>
  </si>
  <si>
    <t>10/05/1987</t>
  </si>
  <si>
    <t>ORD-202402580</t>
  </si>
  <si>
    <t>24/05/1992</t>
  </si>
  <si>
    <t>ORD-202402581</t>
  </si>
  <si>
    <t>03/05/1997</t>
  </si>
  <si>
    <t>ORD-202402582</t>
  </si>
  <si>
    <t>10/02/1985</t>
  </si>
  <si>
    <t>ORD-202402583</t>
  </si>
  <si>
    <t>27/09/1990</t>
  </si>
  <si>
    <t>ORD-202402584</t>
  </si>
  <si>
    <t>ORD-202402585</t>
  </si>
  <si>
    <t>ORD-202402586</t>
  </si>
  <si>
    <t>ORD-202402587</t>
  </si>
  <si>
    <t>ORD-202402588</t>
  </si>
  <si>
    <t>13/02/2022</t>
  </si>
  <si>
    <t>ORD-202402589</t>
  </si>
  <si>
    <t>30/09/1978</t>
  </si>
  <si>
    <t>ORD-202402590</t>
  </si>
  <si>
    <t>12/09/1978</t>
  </si>
  <si>
    <t>ORD-202402591</t>
  </si>
  <si>
    <t>ORD-202402592</t>
  </si>
  <si>
    <t>23/09/1985</t>
  </si>
  <si>
    <t>ORD-202402593</t>
  </si>
  <si>
    <t>30/08/1981</t>
  </si>
  <si>
    <t>ORD-202402594</t>
  </si>
  <si>
    <t>30/06/1980</t>
  </si>
  <si>
    <t>ORD-202402595</t>
  </si>
  <si>
    <t>19/02/1975</t>
  </si>
  <si>
    <t>ORD-202402596</t>
  </si>
  <si>
    <t>31/12/1982</t>
  </si>
  <si>
    <t>ORD-202402597</t>
  </si>
  <si>
    <t>02/11/1991</t>
  </si>
  <si>
    <t>ORD-202402598</t>
  </si>
  <si>
    <t>26/05/1980</t>
  </si>
  <si>
    <t>ORD-202402599</t>
  </si>
  <si>
    <t>24/03/1975</t>
  </si>
  <si>
    <t>ORD-202402600</t>
  </si>
  <si>
    <t>ORD-202402601</t>
  </si>
  <si>
    <t>07/02/2024</t>
  </si>
  <si>
    <t>06/11/1997</t>
  </si>
  <si>
    <t>ORD-202402602</t>
  </si>
  <si>
    <t>31/01/1975</t>
  </si>
  <si>
    <t>ORD-202402603</t>
  </si>
  <si>
    <t>20/01/1991</t>
  </si>
  <si>
    <t>ORD-202402604</t>
  </si>
  <si>
    <t>30/01/2000</t>
  </si>
  <si>
    <t>ORD-202402605</t>
  </si>
  <si>
    <t>03/08/1984</t>
  </si>
  <si>
    <t>ORD-202402606</t>
  </si>
  <si>
    <t>14/08/1989</t>
  </si>
  <si>
    <t>ORD-202402607</t>
  </si>
  <si>
    <t>26/11/1989</t>
  </si>
  <si>
    <t>ORD-202402608</t>
  </si>
  <si>
    <t>ORD-202402609</t>
  </si>
  <si>
    <t>14/03/1996</t>
  </si>
  <si>
    <t>ORD-202402610</t>
  </si>
  <si>
    <t>09/10/1984</t>
  </si>
  <si>
    <t>ORD-202402611</t>
  </si>
  <si>
    <t>05/05/1990</t>
  </si>
  <si>
    <t>ORD-202402612</t>
  </si>
  <si>
    <t>06/04/1971</t>
  </si>
  <si>
    <t>ORD-202402613</t>
  </si>
  <si>
    <t>23/03/1991</t>
  </si>
  <si>
    <t>ORD-202402614</t>
  </si>
  <si>
    <t>06/07/1992</t>
  </si>
  <si>
    <t>ORD-202402615</t>
  </si>
  <si>
    <t>29/08/1986</t>
  </si>
  <si>
    <t>ORD-202402616</t>
  </si>
  <si>
    <t>14/11/1975</t>
  </si>
  <si>
    <t>ORD-202402617</t>
  </si>
  <si>
    <t>15/03/1991</t>
  </si>
  <si>
    <t>ORD-202402618</t>
  </si>
  <si>
    <t>14/08/1970</t>
  </si>
  <si>
    <t>ORD-202402619</t>
  </si>
  <si>
    <t>ORD-202402620</t>
  </si>
  <si>
    <t>11/12/1997</t>
  </si>
  <si>
    <t>ORD-202402621</t>
  </si>
  <si>
    <t>ORD-202402622</t>
  </si>
  <si>
    <t>24/11/1972</t>
  </si>
  <si>
    <t>ORD-202402623</t>
  </si>
  <si>
    <t>14/08/1994</t>
  </si>
  <si>
    <t>ORD-202402624</t>
  </si>
  <si>
    <t>31/12/1995</t>
  </si>
  <si>
    <t>ORD-202402625</t>
  </si>
  <si>
    <t>10/02/1998</t>
  </si>
  <si>
    <t>ORD-202402626</t>
  </si>
  <si>
    <t>23/05/1980</t>
  </si>
  <si>
    <t>ORD-202402627</t>
  </si>
  <si>
    <t>28/11/1985</t>
  </si>
  <si>
    <t>ORD-202402628</t>
  </si>
  <si>
    <t>21/06/2020</t>
  </si>
  <si>
    <t>02/04/1992</t>
  </si>
  <si>
    <t>ORD-202402629</t>
  </si>
  <si>
    <t>ORD-202402630</t>
  </si>
  <si>
    <t>08/08/1999</t>
  </si>
  <si>
    <t>ORD-202402631</t>
  </si>
  <si>
    <t>ORD-202402632</t>
  </si>
  <si>
    <t>19/05/2022</t>
  </si>
  <si>
    <t>25/02/1970</t>
  </si>
  <si>
    <t>ORD-202402633</t>
  </si>
  <si>
    <t>17/12/1973</t>
  </si>
  <si>
    <t>ORD-202402634</t>
  </si>
  <si>
    <t>03/08/1991</t>
  </si>
  <si>
    <t>ORD-202402635</t>
  </si>
  <si>
    <t>19/07/2020</t>
  </si>
  <si>
    <t>10/06/1978</t>
  </si>
  <si>
    <t>ORD-202402636</t>
  </si>
  <si>
    <t>21/03/2021</t>
  </si>
  <si>
    <t>14/05/1988</t>
  </si>
  <si>
    <t>ORD-202402637</t>
  </si>
  <si>
    <t>09/02/1994</t>
  </si>
  <si>
    <t>ORD-202402638</t>
  </si>
  <si>
    <t>03/02/1988</t>
  </si>
  <si>
    <t>ORD-202402639</t>
  </si>
  <si>
    <t>08/02/2020</t>
  </si>
  <si>
    <t>20/10/1987</t>
  </si>
  <si>
    <t>ORD-202402640</t>
  </si>
  <si>
    <t>27/10/1999</t>
  </si>
  <si>
    <t>ORD-202402641</t>
  </si>
  <si>
    <t>28/11/1998</t>
  </si>
  <si>
    <t>ORD-202402642</t>
  </si>
  <si>
    <t>19/12/1970</t>
  </si>
  <si>
    <t>ORD-202402643</t>
  </si>
  <si>
    <t>15/03/2023</t>
  </si>
  <si>
    <t>13/12/1983</t>
  </si>
  <si>
    <t>ORD-202402644</t>
  </si>
  <si>
    <t>08/12/1971</t>
  </si>
  <si>
    <t>ORD-202402645</t>
  </si>
  <si>
    <t>11/11/2021</t>
  </si>
  <si>
    <t>25/06/1993</t>
  </si>
  <si>
    <t>ORD-202402646</t>
  </si>
  <si>
    <t>29/12/1994</t>
  </si>
  <si>
    <t>ORD-202402647</t>
  </si>
  <si>
    <t>09/10/1997</t>
  </si>
  <si>
    <t>ORD-202402648</t>
  </si>
  <si>
    <t>20/09/2023</t>
  </si>
  <si>
    <t>22/08/1984</t>
  </si>
  <si>
    <t>ORD-202402649</t>
  </si>
  <si>
    <t>16/06/2000</t>
  </si>
  <si>
    <t>ORD-202402650</t>
  </si>
  <si>
    <t>ORD-202402651</t>
  </si>
  <si>
    <t>23/08/1998</t>
  </si>
  <si>
    <t>ORD-202402652</t>
  </si>
  <si>
    <t>12/06/1978</t>
  </si>
  <si>
    <t>ORD-202402653</t>
  </si>
  <si>
    <t>ORD-202402654</t>
  </si>
  <si>
    <t>ORD-202402655</t>
  </si>
  <si>
    <t>02/01/1977</t>
  </si>
  <si>
    <t>ORD-202402656</t>
  </si>
  <si>
    <t>ORD-202402657</t>
  </si>
  <si>
    <t>30/10/1996</t>
  </si>
  <si>
    <t>ORD-202402658</t>
  </si>
  <si>
    <t>11/07/2024</t>
  </si>
  <si>
    <t>26/06/1991</t>
  </si>
  <si>
    <t>ORD-202402659</t>
  </si>
  <si>
    <t>03/07/1983</t>
  </si>
  <si>
    <t>ORD-202402660</t>
  </si>
  <si>
    <t>28/06/2023</t>
  </si>
  <si>
    <t>28/04/1977</t>
  </si>
  <si>
    <t>ORD-202402661</t>
  </si>
  <si>
    <t>16/03/1975</t>
  </si>
  <si>
    <t>ORD-202402662</t>
  </si>
  <si>
    <t>30/10/1981</t>
  </si>
  <si>
    <t>ORD-202402663</t>
  </si>
  <si>
    <t>19/02/1999</t>
  </si>
  <si>
    <t>ORD-202402664</t>
  </si>
  <si>
    <t>24/04/2021</t>
  </si>
  <si>
    <t>22/01/1974</t>
  </si>
  <si>
    <t>ORD-202402665</t>
  </si>
  <si>
    <t>24/03/1984</t>
  </si>
  <si>
    <t>ORD-202402666</t>
  </si>
  <si>
    <t>23/08/1999</t>
  </si>
  <si>
    <t>ORD-202402667</t>
  </si>
  <si>
    <t>05/08/2020</t>
  </si>
  <si>
    <t>ORD-202402668</t>
  </si>
  <si>
    <t>05/09/1980</t>
  </si>
  <si>
    <t>ORD-202402669</t>
  </si>
  <si>
    <t>06/06/1970</t>
  </si>
  <si>
    <t>ORD-202402670</t>
  </si>
  <si>
    <t>06/08/2022</t>
  </si>
  <si>
    <t>10/11/1980</t>
  </si>
  <si>
    <t>ORD-202402671</t>
  </si>
  <si>
    <t>20/08/1993</t>
  </si>
  <si>
    <t>ORD-202402672</t>
  </si>
  <si>
    <t>18/04/1999</t>
  </si>
  <si>
    <t>ORD-202402673</t>
  </si>
  <si>
    <t>04/09/2024</t>
  </si>
  <si>
    <t>06/05/1984</t>
  </si>
  <si>
    <t>ORD-202402674</t>
  </si>
  <si>
    <t>ORD-202402675</t>
  </si>
  <si>
    <t>ORD-202402676</t>
  </si>
  <si>
    <t>07/02/1987</t>
  </si>
  <si>
    <t>ORD-202402677</t>
  </si>
  <si>
    <t>14/04/1975</t>
  </si>
  <si>
    <t>ORD-202402678</t>
  </si>
  <si>
    <t>11/08/1979</t>
  </si>
  <si>
    <t>ORD-202402679</t>
  </si>
  <si>
    <t>ORD-202402680</t>
  </si>
  <si>
    <t>22/04/1978</t>
  </si>
  <si>
    <t>ORD-202402681</t>
  </si>
  <si>
    <t>ORD-202402682</t>
  </si>
  <si>
    <t>06/11/2024</t>
  </si>
  <si>
    <t>14/01/1980</t>
  </si>
  <si>
    <t>ORD-202402683</t>
  </si>
  <si>
    <t>23/09/1975</t>
  </si>
  <si>
    <t>ORD-202402684</t>
  </si>
  <si>
    <t>15/11/1995</t>
  </si>
  <si>
    <t>ORD-202402685</t>
  </si>
  <si>
    <t>07/06/1984</t>
  </si>
  <si>
    <t>ORD-202402686</t>
  </si>
  <si>
    <t>16/04/1993</t>
  </si>
  <si>
    <t>ORD-202402687</t>
  </si>
  <si>
    <t>12/01/1973</t>
  </si>
  <si>
    <t>ORD-202402688</t>
  </si>
  <si>
    <t>ORD-202402689</t>
  </si>
  <si>
    <t>07/09/1970</t>
  </si>
  <si>
    <t>ORD-202402690</t>
  </si>
  <si>
    <t>15/12/1999</t>
  </si>
  <si>
    <t>ORD-202402691</t>
  </si>
  <si>
    <t>02/11/1990</t>
  </si>
  <si>
    <t>ORD-202402692</t>
  </si>
  <si>
    <t>20/09/1999</t>
  </si>
  <si>
    <t>ORD-202402693</t>
  </si>
  <si>
    <t>08/09/1996</t>
  </si>
  <si>
    <t>ORD-202402694</t>
  </si>
  <si>
    <t>ORD-202402695</t>
  </si>
  <si>
    <t>15/02/1982</t>
  </si>
  <si>
    <t>ORD-202402696</t>
  </si>
  <si>
    <t>19/08/1999</t>
  </si>
  <si>
    <t>ORD-202402697</t>
  </si>
  <si>
    <t>13/08/1994</t>
  </si>
  <si>
    <t>ORD-202402698</t>
  </si>
  <si>
    <t>17/06/2022</t>
  </si>
  <si>
    <t>14/01/1990</t>
  </si>
  <si>
    <t>ORD-202402699</t>
  </si>
  <si>
    <t>16/11/1999</t>
  </si>
  <si>
    <t>ORD-202402700</t>
  </si>
  <si>
    <t>04/08/1971</t>
  </si>
  <si>
    <t>ORD-202402701</t>
  </si>
  <si>
    <t>11/03/1982</t>
  </si>
  <si>
    <t>ORD-202402702</t>
  </si>
  <si>
    <t>10/04/1987</t>
  </si>
  <si>
    <t>ORD-202402703</t>
  </si>
  <si>
    <t>09/03/1984</t>
  </si>
  <si>
    <t>ORD-202402704</t>
  </si>
  <si>
    <t>15/07/2024</t>
  </si>
  <si>
    <t>30/10/1985</t>
  </si>
  <si>
    <t>ORD-202402705</t>
  </si>
  <si>
    <t>06/02/2024</t>
  </si>
  <si>
    <t>22/04/1992</t>
  </si>
  <si>
    <t>ORD-202402706</t>
  </si>
  <si>
    <t>07/02/1981</t>
  </si>
  <si>
    <t>ORD-202402707</t>
  </si>
  <si>
    <t>28/08/1992</t>
  </si>
  <si>
    <t>ORD-202402708</t>
  </si>
  <si>
    <t>18/08/2000</t>
  </si>
  <si>
    <t>ORD-202402709</t>
  </si>
  <si>
    <t>ORD-202402710</t>
  </si>
  <si>
    <t>27/11/1998</t>
  </si>
  <si>
    <t>ORD-202402711</t>
  </si>
  <si>
    <t>24/04/1990</t>
  </si>
  <si>
    <t>ORD-202402712</t>
  </si>
  <si>
    <t>06/06/2023</t>
  </si>
  <si>
    <t>ORD-202402713</t>
  </si>
  <si>
    <t>ORD-202402714</t>
  </si>
  <si>
    <t>ORD-202402715</t>
  </si>
  <si>
    <t>ORD-202402716</t>
  </si>
  <si>
    <t>13/06/2024</t>
  </si>
  <si>
    <t>23/07/1990</t>
  </si>
  <si>
    <t>ORD-202402717</t>
  </si>
  <si>
    <t>ORD-202402718</t>
  </si>
  <si>
    <t>06/09/1979</t>
  </si>
  <si>
    <t>ORD-202402719</t>
  </si>
  <si>
    <t>ORD-202402720</t>
  </si>
  <si>
    <t>15/12/2023</t>
  </si>
  <si>
    <t>27/09/1983</t>
  </si>
  <si>
    <t>ORD-202402721</t>
  </si>
  <si>
    <t>13/12/1990</t>
  </si>
  <si>
    <t>ORD-202402722</t>
  </si>
  <si>
    <t>12/02/1991</t>
  </si>
  <si>
    <t>ORD-202402723</t>
  </si>
  <si>
    <t>15/06/1991</t>
  </si>
  <si>
    <t>ORD-202402724</t>
  </si>
  <si>
    <t>03/07/1982</t>
  </si>
  <si>
    <t>ORD-202402725</t>
  </si>
  <si>
    <t>ORD-202402726</t>
  </si>
  <si>
    <t>26/04/1999</t>
  </si>
  <si>
    <t>ORD-202402727</t>
  </si>
  <si>
    <t>22/06/1978</t>
  </si>
  <si>
    <t>ORD-202402728</t>
  </si>
  <si>
    <t>29/05/1972</t>
  </si>
  <si>
    <t>ORD-202402729</t>
  </si>
  <si>
    <t>18/06/2022</t>
  </si>
  <si>
    <t>24/10/1985</t>
  </si>
  <si>
    <t>ORD-202402730</t>
  </si>
  <si>
    <t>12/11/1991</t>
  </si>
  <si>
    <t>ORD-202402731</t>
  </si>
  <si>
    <t>20/03/1983</t>
  </si>
  <si>
    <t>ORD-202402732</t>
  </si>
  <si>
    <t>21/11/1979</t>
  </si>
  <si>
    <t>ORD-202402733</t>
  </si>
  <si>
    <t>10/07/1972</t>
  </si>
  <si>
    <t>ORD-202402734</t>
  </si>
  <si>
    <t>02/02/2021</t>
  </si>
  <si>
    <t>07/09/1999</t>
  </si>
  <si>
    <t>ORD-202402735</t>
  </si>
  <si>
    <t>10/12/1972</t>
  </si>
  <si>
    <t>ORD-202402736</t>
  </si>
  <si>
    <t>24/07/1979</t>
  </si>
  <si>
    <t>ORD-202402737</t>
  </si>
  <si>
    <t>ORD-202402738</t>
  </si>
  <si>
    <t>03/09/1977</t>
  </si>
  <si>
    <t>ORD-202402739</t>
  </si>
  <si>
    <t>02/08/1983</t>
  </si>
  <si>
    <t>ORD-202402740</t>
  </si>
  <si>
    <t>17/04/1982</t>
  </si>
  <si>
    <t>ORD-202402741</t>
  </si>
  <si>
    <t>21/11/1983</t>
  </si>
  <si>
    <t>ORD-202402742</t>
  </si>
  <si>
    <t>23/02/1977</t>
  </si>
  <si>
    <t>ORD-202402743</t>
  </si>
  <si>
    <t>20/11/1971</t>
  </si>
  <si>
    <t>ORD-202402744</t>
  </si>
  <si>
    <t>02/07/1976</t>
  </si>
  <si>
    <t>ORD-202402745</t>
  </si>
  <si>
    <t>04/06/1988</t>
  </si>
  <si>
    <t>ORD-202402746</t>
  </si>
  <si>
    <t>22/12/1989</t>
  </si>
  <si>
    <t>ORD-202402747</t>
  </si>
  <si>
    <t>21/12/1990</t>
  </si>
  <si>
    <t>ORD-202402748</t>
  </si>
  <si>
    <t>09/08/1985</t>
  </si>
  <si>
    <t>ORD-202402749</t>
  </si>
  <si>
    <t>05/09/2023</t>
  </si>
  <si>
    <t>19/08/1991</t>
  </si>
  <si>
    <t>ORD-202402750</t>
  </si>
  <si>
    <t>ORD-202402751</t>
  </si>
  <si>
    <t>10/06/1972</t>
  </si>
  <si>
    <t>ORD-202402752</t>
  </si>
  <si>
    <t>25/04/1971</t>
  </si>
  <si>
    <t>ORD-202402753</t>
  </si>
  <si>
    <t>11/07/1999</t>
  </si>
  <si>
    <t>ORD-202402754</t>
  </si>
  <si>
    <t>12/11/2024</t>
  </si>
  <si>
    <t>11/10/1985</t>
  </si>
  <si>
    <t>ORD-202402755</t>
  </si>
  <si>
    <t>22/04/1987</t>
  </si>
  <si>
    <t>ORD-202402756</t>
  </si>
  <si>
    <t>27/08/1994</t>
  </si>
  <si>
    <t>ORD-202402757</t>
  </si>
  <si>
    <t>23/12/1978</t>
  </si>
  <si>
    <t>ORD-202402758</t>
  </si>
  <si>
    <t>ORD-202402759</t>
  </si>
  <si>
    <t>10/05/1995</t>
  </si>
  <si>
    <t>ORD-202402760</t>
  </si>
  <si>
    <t>15/10/1981</t>
  </si>
  <si>
    <t>ORD-202402761</t>
  </si>
  <si>
    <t>ORD-202402762</t>
  </si>
  <si>
    <t>26/03/2021</t>
  </si>
  <si>
    <t>ORD-202402763</t>
  </si>
  <si>
    <t>16/06/1978</t>
  </si>
  <si>
    <t>ORD-202402764</t>
  </si>
  <si>
    <t>ORD-202402765</t>
  </si>
  <si>
    <t>14/01/1973</t>
  </si>
  <si>
    <t>ORD-202402766</t>
  </si>
  <si>
    <t>ORD-202402767</t>
  </si>
  <si>
    <t>07/07/1988</t>
  </si>
  <si>
    <t>ORD-202402768</t>
  </si>
  <si>
    <t>ORD-202402769</t>
  </si>
  <si>
    <t>28/09/1996</t>
  </si>
  <si>
    <t>ORD-202402770</t>
  </si>
  <si>
    <t>16/12/1993</t>
  </si>
  <si>
    <t>ORD-202402771</t>
  </si>
  <si>
    <t>23/07/1993</t>
  </si>
  <si>
    <t>ORD-202402772</t>
  </si>
  <si>
    <t>ORD-202402773</t>
  </si>
  <si>
    <t>01/02/1979</t>
  </si>
  <si>
    <t>ORD-202402774</t>
  </si>
  <si>
    <t>24/04/1995</t>
  </si>
  <si>
    <t>ORD-202402775</t>
  </si>
  <si>
    <t>ORD-202402776</t>
  </si>
  <si>
    <t>13/08/1992</t>
  </si>
  <si>
    <t>ORD-202402777</t>
  </si>
  <si>
    <t>25/05/2000</t>
  </si>
  <si>
    <t>ORD-202402778</t>
  </si>
  <si>
    <t>30/06/1994</t>
  </si>
  <si>
    <t>ORD-202402779</t>
  </si>
  <si>
    <t>ORD-202402780</t>
  </si>
  <si>
    <t>09/05/1983</t>
  </si>
  <si>
    <t>ORD-202402781</t>
  </si>
  <si>
    <t>05/10/1977</t>
  </si>
  <si>
    <t>ORD-202402782</t>
  </si>
  <si>
    <t>26/12/1978</t>
  </si>
  <si>
    <t>ORD-202402783</t>
  </si>
  <si>
    <t>28/12/1974</t>
  </si>
  <si>
    <t>ORD-202402784</t>
  </si>
  <si>
    <t>27/12/1987</t>
  </si>
  <si>
    <t>ORD-202402785</t>
  </si>
  <si>
    <t>20/05/1985</t>
  </si>
  <si>
    <t>ORD-202402786</t>
  </si>
  <si>
    <t>08/04/1977</t>
  </si>
  <si>
    <t>ORD-202402787</t>
  </si>
  <si>
    <t>28/12/1994</t>
  </si>
  <si>
    <t>ORD-202402788</t>
  </si>
  <si>
    <t>18/05/1978</t>
  </si>
  <si>
    <t>ORD-202402789</t>
  </si>
  <si>
    <t>13/09/1983</t>
  </si>
  <si>
    <t>ORD-202402790</t>
  </si>
  <si>
    <t>19/08/1971</t>
  </si>
  <si>
    <t>ORD-202402791</t>
  </si>
  <si>
    <t>ORD-202402792</t>
  </si>
  <si>
    <t>03/01/2024</t>
  </si>
  <si>
    <t>04/01/1999</t>
  </si>
  <si>
    <t>ORD-202402793</t>
  </si>
  <si>
    <t>20/07/1995</t>
  </si>
  <si>
    <t>ORD-202402794</t>
  </si>
  <si>
    <t>ORD-202402795</t>
  </si>
  <si>
    <t>06/10/2000</t>
  </si>
  <si>
    <t>ORD-202402796</t>
  </si>
  <si>
    <t>22/10/1985</t>
  </si>
  <si>
    <t>ORD-202402797</t>
  </si>
  <si>
    <t>22/05/1977</t>
  </si>
  <si>
    <t>ORD-202402798</t>
  </si>
  <si>
    <t>12/07/1982</t>
  </si>
  <si>
    <t>ORD-202402799</t>
  </si>
  <si>
    <t>ORD-202402800</t>
  </si>
  <si>
    <t>16/06/1970</t>
  </si>
  <si>
    <t>ORD-202402801</t>
  </si>
  <si>
    <t>09/02/1981</t>
  </si>
  <si>
    <t>ORD-202402802</t>
  </si>
  <si>
    <t>01/10/1982</t>
  </si>
  <si>
    <t>ORD-202402803</t>
  </si>
  <si>
    <t>17/09/1985</t>
  </si>
  <si>
    <t>ORD-202402804</t>
  </si>
  <si>
    <t>26/09/1980</t>
  </si>
  <si>
    <t>ORD-202402805</t>
  </si>
  <si>
    <t>09/07/1974</t>
  </si>
  <si>
    <t>ORD-202402806</t>
  </si>
  <si>
    <t>11/06/1990</t>
  </si>
  <si>
    <t>ORD-202402807</t>
  </si>
  <si>
    <t>16/08/2021</t>
  </si>
  <si>
    <t>26/02/1988</t>
  </si>
  <si>
    <t>ORD-202402808</t>
  </si>
  <si>
    <t>11/01/1993</t>
  </si>
  <si>
    <t>ORD-202402809</t>
  </si>
  <si>
    <t>18/05/1995</t>
  </si>
  <si>
    <t>ORD-202402810</t>
  </si>
  <si>
    <t>20/10/1970</t>
  </si>
  <si>
    <t>ORD-202402811</t>
  </si>
  <si>
    <t>14/03/1986</t>
  </si>
  <si>
    <t>ORD-202402812</t>
  </si>
  <si>
    <t>ORD-202402813</t>
  </si>
  <si>
    <t>02/01/1986</t>
  </si>
  <si>
    <t>ORD-202402814</t>
  </si>
  <si>
    <t>ORD-202402815</t>
  </si>
  <si>
    <t>15/11/1982</t>
  </si>
  <si>
    <t>ORD-202402816</t>
  </si>
  <si>
    <t>05/01/1976</t>
  </si>
  <si>
    <t>ORD-202402817</t>
  </si>
  <si>
    <t>12/10/1995</t>
  </si>
  <si>
    <t>ORD-202402818</t>
  </si>
  <si>
    <t>17/03/1990</t>
  </si>
  <si>
    <t>ORD-202402819</t>
  </si>
  <si>
    <t>08/01/1974</t>
  </si>
  <si>
    <t>ORD-202402820</t>
  </si>
  <si>
    <t>27/07/2020</t>
  </si>
  <si>
    <t>20/01/1988</t>
  </si>
  <si>
    <t>ORD-202402821</t>
  </si>
  <si>
    <t>21/08/2022</t>
  </si>
  <si>
    <t>24/12/1986</t>
  </si>
  <si>
    <t>ORD-202402822</t>
  </si>
  <si>
    <t>ORD-202402823</t>
  </si>
  <si>
    <t>19/01/1971</t>
  </si>
  <si>
    <t>ORD-202402824</t>
  </si>
  <si>
    <t>ORD-202402825</t>
  </si>
  <si>
    <t>14/08/1990</t>
  </si>
  <si>
    <t>ORD-202402826</t>
  </si>
  <si>
    <t>26/05/2023</t>
  </si>
  <si>
    <t>01/07/1988</t>
  </si>
  <si>
    <t>ORD-202402827</t>
  </si>
  <si>
    <t>ORD-202402828</t>
  </si>
  <si>
    <t>28/07/1987</t>
  </si>
  <si>
    <t>ORD-202402829</t>
  </si>
  <si>
    <t>08/12/1984</t>
  </si>
  <si>
    <t>ORD-202402830</t>
  </si>
  <si>
    <t>ORD-202402831</t>
  </si>
  <si>
    <t>ORD-202402832</t>
  </si>
  <si>
    <t>09/11/2023</t>
  </si>
  <si>
    <t>24/10/1972</t>
  </si>
  <si>
    <t>ORD-202402833</t>
  </si>
  <si>
    <t>28/09/1981</t>
  </si>
  <si>
    <t>ORD-202402834</t>
  </si>
  <si>
    <t>29/01/1998</t>
  </si>
  <si>
    <t>ORD-202402835</t>
  </si>
  <si>
    <t>31/10/1983</t>
  </si>
  <si>
    <t>ORD-202402836</t>
  </si>
  <si>
    <t>01/04/1972</t>
  </si>
  <si>
    <t>ORD-202402837</t>
  </si>
  <si>
    <t>26/12/2023</t>
  </si>
  <si>
    <t>ORD-202402838</t>
  </si>
  <si>
    <t>ORD-202402839</t>
  </si>
  <si>
    <t>12/04/1986</t>
  </si>
  <si>
    <t>ORD-202402840</t>
  </si>
  <si>
    <t>ORD-202402841</t>
  </si>
  <si>
    <t>22/02/1994</t>
  </si>
  <si>
    <t>ORD-202402842</t>
  </si>
  <si>
    <t>15/06/1979</t>
  </si>
  <si>
    <t>ORD-202402843</t>
  </si>
  <si>
    <t>ORD-202402844</t>
  </si>
  <si>
    <t>17/04/1970</t>
  </si>
  <si>
    <t>ORD-202402845</t>
  </si>
  <si>
    <t>28/08/1977</t>
  </si>
  <si>
    <t>ORD-202402846</t>
  </si>
  <si>
    <t>17/01/1971</t>
  </si>
  <si>
    <t>ORD-202402847</t>
  </si>
  <si>
    <t>15/03/2021</t>
  </si>
  <si>
    <t>06/02/1979</t>
  </si>
  <si>
    <t>ORD-202402848</t>
  </si>
  <si>
    <t>13/04/1974</t>
  </si>
  <si>
    <t>ORD-202402849</t>
  </si>
  <si>
    <t>15/05/1996</t>
  </si>
  <si>
    <t>ORD-202402850</t>
  </si>
  <si>
    <t>02/01/1980</t>
  </si>
  <si>
    <t>ORD-202402851</t>
  </si>
  <si>
    <t>01/08/1977</t>
  </si>
  <si>
    <t>ORD-202402852</t>
  </si>
  <si>
    <t>ORD-202402853</t>
  </si>
  <si>
    <t>09/07/1999</t>
  </si>
  <si>
    <t>ORD-202402854</t>
  </si>
  <si>
    <t>22/03/1992</t>
  </si>
  <si>
    <t>ORD-202402855</t>
  </si>
  <si>
    <t>ORD-202402856</t>
  </si>
  <si>
    <t>02/01/2020</t>
  </si>
  <si>
    <t>27/08/1990</t>
  </si>
  <si>
    <t>ORD-202402857</t>
  </si>
  <si>
    <t>05/09/1992</t>
  </si>
  <si>
    <t>ORD-202402858</t>
  </si>
  <si>
    <t>14/10/2021</t>
  </si>
  <si>
    <t>13/01/1980</t>
  </si>
  <si>
    <t>ORD-202402859</t>
  </si>
  <si>
    <t>29/12/1992</t>
  </si>
  <si>
    <t>ORD-202402860</t>
  </si>
  <si>
    <t>ORD-202402861</t>
  </si>
  <si>
    <t>05/10/1970</t>
  </si>
  <si>
    <t>ORD-202402862</t>
  </si>
  <si>
    <t>03/02/1971</t>
  </si>
  <si>
    <t>ORD-202402863</t>
  </si>
  <si>
    <t>10/01/2024</t>
  </si>
  <si>
    <t>11/02/1973</t>
  </si>
  <si>
    <t>ORD-202402864</t>
  </si>
  <si>
    <t>ORD-202402865</t>
  </si>
  <si>
    <t>11/01/1977</t>
  </si>
  <si>
    <t>ORD-202402866</t>
  </si>
  <si>
    <t>30/05/1978</t>
  </si>
  <si>
    <t>ORD-202402867</t>
  </si>
  <si>
    <t>ORD-202402868</t>
  </si>
  <si>
    <t>10/03/1974</t>
  </si>
  <si>
    <t>ORD-202402869</t>
  </si>
  <si>
    <t>31/12/1978</t>
  </si>
  <si>
    <t>ORD-202402870</t>
  </si>
  <si>
    <t>ORD-202402871</t>
  </si>
  <si>
    <t>11/01/1983</t>
  </si>
  <si>
    <t>ORD-202402872</t>
  </si>
  <si>
    <t>ORD-202402873</t>
  </si>
  <si>
    <t>30/08/2024</t>
  </si>
  <si>
    <t>ORD-202402874</t>
  </si>
  <si>
    <t>07/05/1989</t>
  </si>
  <si>
    <t>ORD-202402875</t>
  </si>
  <si>
    <t>ORD-202402876</t>
  </si>
  <si>
    <t>ORD-202402877</t>
  </si>
  <si>
    <t>14/09/1985</t>
  </si>
  <si>
    <t>ORD-202402878</t>
  </si>
  <si>
    <t>15/05/1995</t>
  </si>
  <si>
    <t>ORD-202402879</t>
  </si>
  <si>
    <t>28/08/1972</t>
  </si>
  <si>
    <t>ORD-202402880</t>
  </si>
  <si>
    <t>07/04/1971</t>
  </si>
  <si>
    <t>ORD-202402881</t>
  </si>
  <si>
    <t>02/11/1994</t>
  </si>
  <si>
    <t>ORD-202402882</t>
  </si>
  <si>
    <t>ORD-202402883</t>
  </si>
  <si>
    <t>04/11/1984</t>
  </si>
  <si>
    <t>ORD-202402884</t>
  </si>
  <si>
    <t>21/12/1995</t>
  </si>
  <si>
    <t>ORD-202402885</t>
  </si>
  <si>
    <t>ORD-202402886</t>
  </si>
  <si>
    <t>26/09/1978</t>
  </si>
  <si>
    <t>ORD-202402887</t>
  </si>
  <si>
    <t>30/07/1996</t>
  </si>
  <si>
    <t>ORD-202402888</t>
  </si>
  <si>
    <t>17/08/1985</t>
  </si>
  <si>
    <t>ORD-202402889</t>
  </si>
  <si>
    <t>06/06/1998</t>
  </si>
  <si>
    <t>ORD-202402890</t>
  </si>
  <si>
    <t>12/11/1981</t>
  </si>
  <si>
    <t>ORD-202402891</t>
  </si>
  <si>
    <t>23/06/1980</t>
  </si>
  <si>
    <t>ORD-202402892</t>
  </si>
  <si>
    <t>01/07/2022</t>
  </si>
  <si>
    <t>ORD-202402893</t>
  </si>
  <si>
    <t>ORD-202402894</t>
  </si>
  <si>
    <t>ORD-202402895</t>
  </si>
  <si>
    <t>ORD-202402896</t>
  </si>
  <si>
    <t>15/08/1970</t>
  </si>
  <si>
    <t>ORD-202402897</t>
  </si>
  <si>
    <t>14/04/1993</t>
  </si>
  <si>
    <t>ORD-202402898</t>
  </si>
  <si>
    <t>06/12/1994</t>
  </si>
  <si>
    <t>ORD-202402899</t>
  </si>
  <si>
    <t>03/10/1978</t>
  </si>
  <si>
    <t>ORD-202402900</t>
  </si>
  <si>
    <t>24/11/2024</t>
  </si>
  <si>
    <t>14/07/1993</t>
  </si>
  <si>
    <t>ORD-202402901</t>
  </si>
  <si>
    <t>16/02/1979</t>
  </si>
  <si>
    <t>ORD-202402902</t>
  </si>
  <si>
    <t>26/04/1978</t>
  </si>
  <si>
    <t>ORD-202402903</t>
  </si>
  <si>
    <t>31/05/1990</t>
  </si>
  <si>
    <t>ORD-202402904</t>
  </si>
  <si>
    <t>08/05/2023</t>
  </si>
  <si>
    <t>12/05/1996</t>
  </si>
  <si>
    <t>ORD-202402905</t>
  </si>
  <si>
    <t>13/12/1994</t>
  </si>
  <si>
    <t>ORD-202402906</t>
  </si>
  <si>
    <t>27/10/1977</t>
  </si>
  <si>
    <t>ORD-202402907</t>
  </si>
  <si>
    <t>11/06/1987</t>
  </si>
  <si>
    <t>ORD-202402908</t>
  </si>
  <si>
    <t>17/08/1989</t>
  </si>
  <si>
    <t>ORD-202402909</t>
  </si>
  <si>
    <t>05/02/1989</t>
  </si>
  <si>
    <t>ORD-202402910</t>
  </si>
  <si>
    <t>ORD-202402911</t>
  </si>
  <si>
    <t>ORD-202402912</t>
  </si>
  <si>
    <t>01/04/1986</t>
  </si>
  <si>
    <t>ORD-202402913</t>
  </si>
  <si>
    <t>15/06/1977</t>
  </si>
  <si>
    <t>ORD-202402914</t>
  </si>
  <si>
    <t>06/10/1977</t>
  </si>
  <si>
    <t>ORD-202402915</t>
  </si>
  <si>
    <t>ORD-202402916</t>
  </si>
  <si>
    <t>29/07/1997</t>
  </si>
  <si>
    <t>ORD-202402917</t>
  </si>
  <si>
    <t>19/01/1983</t>
  </si>
  <si>
    <t>ORD-202402918</t>
  </si>
  <si>
    <t>ORD-202402919</t>
  </si>
  <si>
    <t>10/01/1987</t>
  </si>
  <si>
    <t>ORD-202402920</t>
  </si>
  <si>
    <t>23/11/1986</t>
  </si>
  <si>
    <t>ORD-202402921</t>
  </si>
  <si>
    <t>20/12/1994</t>
  </si>
  <si>
    <t>ORD-202402922</t>
  </si>
  <si>
    <t>11/08/2023</t>
  </si>
  <si>
    <t>24/05/1996</t>
  </si>
  <si>
    <t>ORD-202402923</t>
  </si>
  <si>
    <t>20/09/1983</t>
  </si>
  <si>
    <t>ORD-202402924</t>
  </si>
  <si>
    <t>ORD-202402925</t>
  </si>
  <si>
    <t>30/04/1991</t>
  </si>
  <si>
    <t>ORD-202402926</t>
  </si>
  <si>
    <t>ORD-202402927</t>
  </si>
  <si>
    <t>17/11/1998</t>
  </si>
  <si>
    <t>ORD-202402928</t>
  </si>
  <si>
    <t>09/05/1971</t>
  </si>
  <si>
    <t>ORD-202402929</t>
  </si>
  <si>
    <t>17/01/1990</t>
  </si>
  <si>
    <t>ORD-202402930</t>
  </si>
  <si>
    <t>19/04/1993</t>
  </si>
  <si>
    <t>ORD-202402931</t>
  </si>
  <si>
    <t>24/05/2020</t>
  </si>
  <si>
    <t>21/01/1983</t>
  </si>
  <si>
    <t>ORD-202402932</t>
  </si>
  <si>
    <t>21/08/1990</t>
  </si>
  <si>
    <t>ORD-202402933</t>
  </si>
  <si>
    <t>14/10/2023</t>
  </si>
  <si>
    <t>23/05/1971</t>
  </si>
  <si>
    <t>ORD-202402934</t>
  </si>
  <si>
    <t>27/04/1971</t>
  </si>
  <si>
    <t>ORD-202402935</t>
  </si>
  <si>
    <t>11/09/1987</t>
  </si>
  <si>
    <t>ORD-202402936</t>
  </si>
  <si>
    <t>28/02/1980</t>
  </si>
  <si>
    <t>ORD-202402937</t>
  </si>
  <si>
    <t>05/05/1981</t>
  </si>
  <si>
    <t>ORD-202402938</t>
  </si>
  <si>
    <t>03/02/1985</t>
  </si>
  <si>
    <t>ORD-202402939</t>
  </si>
  <si>
    <t>03/05/1977</t>
  </si>
  <si>
    <t>ORD-202402940</t>
  </si>
  <si>
    <t>08/11/1996</t>
  </si>
  <si>
    <t>ORD-202402941</t>
  </si>
  <si>
    <t>10/06/2021</t>
  </si>
  <si>
    <t>02/08/1998</t>
  </si>
  <si>
    <t>ORD-202402942</t>
  </si>
  <si>
    <t>08/11/1978</t>
  </si>
  <si>
    <t>ORD-202402943</t>
  </si>
  <si>
    <t>11/11/1977</t>
  </si>
  <si>
    <t>ORD-202402944</t>
  </si>
  <si>
    <t>19/04/1988</t>
  </si>
  <si>
    <t>ORD-202402945</t>
  </si>
  <si>
    <t>14/06/1988</t>
  </si>
  <si>
    <t>ORD-202402946</t>
  </si>
  <si>
    <t>27/06/2000</t>
  </si>
  <si>
    <t>ORD-202402947</t>
  </si>
  <si>
    <t>08/02/1970</t>
  </si>
  <si>
    <t>ORD-202402948</t>
  </si>
  <si>
    <t>28/09/1997</t>
  </si>
  <si>
    <t>ORD-202402949</t>
  </si>
  <si>
    <t>05/01/1988</t>
  </si>
  <si>
    <t>ORD-202402950</t>
  </si>
  <si>
    <t>25/12/1986</t>
  </si>
  <si>
    <t>ORD-202402951</t>
  </si>
  <si>
    <t>27/10/1974</t>
  </si>
  <si>
    <t>ORD-202402952</t>
  </si>
  <si>
    <t>09/05/1978</t>
  </si>
  <si>
    <t>ORD-202402953</t>
  </si>
  <si>
    <t>12/09/2022</t>
  </si>
  <si>
    <t>31/08/1986</t>
  </si>
  <si>
    <t>ORD-202402954</t>
  </si>
  <si>
    <t>20/08/1992</t>
  </si>
  <si>
    <t>ORD-202402955</t>
  </si>
  <si>
    <t>18/07/1970</t>
  </si>
  <si>
    <t>ORD-202402956</t>
  </si>
  <si>
    <t>22/09/1998</t>
  </si>
  <si>
    <t>ORD-202402957</t>
  </si>
  <si>
    <t>23/10/1999</t>
  </si>
  <si>
    <t>ORD-202402958</t>
  </si>
  <si>
    <t>ORD-202402959</t>
  </si>
  <si>
    <t>05/09/2021</t>
  </si>
  <si>
    <t>ORD-202402960</t>
  </si>
  <si>
    <t>13/06/1989</t>
  </si>
  <si>
    <t>ORD-202402961</t>
  </si>
  <si>
    <t>13/02/1971</t>
  </si>
  <si>
    <t>ORD-202402962</t>
  </si>
  <si>
    <t>ORD-202402963</t>
  </si>
  <si>
    <t>29/04/1974</t>
  </si>
  <si>
    <t>ORD-202402964</t>
  </si>
  <si>
    <t>17/08/1980</t>
  </si>
  <si>
    <t>ORD-202402965</t>
  </si>
  <si>
    <t>03/11/1997</t>
  </si>
  <si>
    <t>ORD-202402966</t>
  </si>
  <si>
    <t>09/07/2023</t>
  </si>
  <si>
    <t>23/05/1990</t>
  </si>
  <si>
    <t>ORD-202402967</t>
  </si>
  <si>
    <t>06/12/1970</t>
  </si>
  <si>
    <t>ORD-202402968</t>
  </si>
  <si>
    <t>31/10/1981</t>
  </si>
  <si>
    <t>ORD-202402969</t>
  </si>
  <si>
    <t>20/08/1997</t>
  </si>
  <si>
    <t>ORD-202402970</t>
  </si>
  <si>
    <t>ORD-202402971</t>
  </si>
  <si>
    <t>28/10/1994</t>
  </si>
  <si>
    <t>ORD-202402972</t>
  </si>
  <si>
    <t>10/09/1975</t>
  </si>
  <si>
    <t>ORD-202402973</t>
  </si>
  <si>
    <t>14/06/1980</t>
  </si>
  <si>
    <t>ORD-202402974</t>
  </si>
  <si>
    <t>04/12/1998</t>
  </si>
  <si>
    <t>ORD-202402975</t>
  </si>
  <si>
    <t>06/12/1990</t>
  </si>
  <si>
    <t>ORD-202402976</t>
  </si>
  <si>
    <t>ORD-202402977</t>
  </si>
  <si>
    <t>09/01/2023</t>
  </si>
  <si>
    <t>03/08/1997</t>
  </si>
  <si>
    <t>ORD-202402978</t>
  </si>
  <si>
    <t>09/10/1983</t>
  </si>
  <si>
    <t>ORD-202402979</t>
  </si>
  <si>
    <t>28/04/1980</t>
  </si>
  <si>
    <t>ORD-202402980</t>
  </si>
  <si>
    <t>29/08/1978</t>
  </si>
  <si>
    <t>ORD-202402981</t>
  </si>
  <si>
    <t>16/05/1992</t>
  </si>
  <si>
    <t>ORD-202402982</t>
  </si>
  <si>
    <t>27/05/2023</t>
  </si>
  <si>
    <t>ORD-202402983</t>
  </si>
  <si>
    <t>ORD-202402984</t>
  </si>
  <si>
    <t>20/02/1995</t>
  </si>
  <si>
    <t>ORD-202402985</t>
  </si>
  <si>
    <t>11/08/1983</t>
  </si>
  <si>
    <t>ORD-202402986</t>
  </si>
  <si>
    <t>ORD-202402987</t>
  </si>
  <si>
    <t>26/10/1988</t>
  </si>
  <si>
    <t>ORD-202402988</t>
  </si>
  <si>
    <t>ORD-202402989</t>
  </si>
  <si>
    <t>10/04/1988</t>
  </si>
  <si>
    <t>ORD-202402990</t>
  </si>
  <si>
    <t>19/11/1995</t>
  </si>
  <si>
    <t>ORD-202402991</t>
  </si>
  <si>
    <t>22/12/1991</t>
  </si>
  <si>
    <t>ORD-202402992</t>
  </si>
  <si>
    <t>ORD-202402993</t>
  </si>
  <si>
    <t>ORD-202402994</t>
  </si>
  <si>
    <t>05/09/1994</t>
  </si>
  <si>
    <t>ORD-202402995</t>
  </si>
  <si>
    <t>10/08/1970</t>
  </si>
  <si>
    <t>ORD-202402996</t>
  </si>
  <si>
    <t>07/12/1976</t>
  </si>
  <si>
    <t>ORD-202402997</t>
  </si>
  <si>
    <t>ORD-202402998</t>
  </si>
  <si>
    <t>29/08/1996</t>
  </si>
  <si>
    <t>ORD-202402999</t>
  </si>
  <si>
    <t>11/11/1991</t>
  </si>
  <si>
    <t>ORD-202403000</t>
  </si>
  <si>
    <t>18/02/1999</t>
  </si>
  <si>
    <t>11/06/1980</t>
  </si>
  <si>
    <t>01/05/1977</t>
  </si>
  <si>
    <t>18/10/2021 00:00:00</t>
  </si>
  <si>
    <t>12-02-1984</t>
  </si>
  <si>
    <t xml:space="preserve">female </t>
  </si>
  <si>
    <t>minneapolis</t>
  </si>
  <si>
    <t>NORTH</t>
  </si>
  <si>
    <t>09/11/1976</t>
  </si>
  <si>
    <t>19/12/2024 00:00:00</t>
  </si>
  <si>
    <t>01/09/1979</t>
  </si>
  <si>
    <t xml:space="preserve"> West</t>
  </si>
  <si>
    <t>06/03/1973</t>
  </si>
  <si>
    <t>30-07-2022</t>
  </si>
  <si>
    <t>12/13/1990</t>
  </si>
  <si>
    <t>Los angeles</t>
  </si>
  <si>
    <t xml:space="preserve">West </t>
  </si>
  <si>
    <t>08/08/1980</t>
  </si>
  <si>
    <t>03/05/1978</t>
  </si>
  <si>
    <t xml:space="preserve">male </t>
  </si>
  <si>
    <t>BOSTON</t>
  </si>
  <si>
    <t>EAST</t>
  </si>
  <si>
    <t>17/02/2000 00:00:00</t>
  </si>
  <si>
    <t>FEMALE</t>
  </si>
  <si>
    <t>seattle</t>
  </si>
  <si>
    <t>WEST</t>
  </si>
  <si>
    <t>2021-10-06</t>
  </si>
  <si>
    <t>28/07/1983 00:00:00</t>
  </si>
  <si>
    <t>male</t>
  </si>
  <si>
    <t>CHICAGO</t>
  </si>
  <si>
    <t>north</t>
  </si>
  <si>
    <t>21/02/1974</t>
  </si>
  <si>
    <t>17/02/1996</t>
  </si>
  <si>
    <t>F</t>
  </si>
  <si>
    <t>01/01/1980</t>
  </si>
  <si>
    <t>02/05/2022</t>
  </si>
  <si>
    <t>10/18/1999</t>
  </si>
  <si>
    <t>Detroits</t>
  </si>
  <si>
    <t xml:space="preserve"> North</t>
  </si>
  <si>
    <t>07/01/1970</t>
  </si>
  <si>
    <t>20/09/2020</t>
  </si>
  <si>
    <t>12/10/1999</t>
  </si>
  <si>
    <t>24/03/1987</t>
  </si>
  <si>
    <t>04/11/1990</t>
  </si>
  <si>
    <t>female</t>
  </si>
  <si>
    <t>LOS ANGELES</t>
  </si>
  <si>
    <t>26-05-2020</t>
  </si>
  <si>
    <t>1980-07-08</t>
  </si>
  <si>
    <t>New york</t>
  </si>
  <si>
    <t>Easts</t>
  </si>
  <si>
    <t>02/01/2000</t>
  </si>
  <si>
    <t>miami</t>
  </si>
  <si>
    <t>06/25/1982</t>
  </si>
  <si>
    <t>san francisco</t>
  </si>
  <si>
    <t>west</t>
  </si>
  <si>
    <t>08 Feb 2024</t>
  </si>
  <si>
    <t>1996-07-23</t>
  </si>
  <si>
    <t>Norths</t>
  </si>
  <si>
    <t>11/11/1976</t>
  </si>
  <si>
    <t>18/08/2020 00:00:00</t>
  </si>
  <si>
    <t>09 Dec 1980</t>
  </si>
  <si>
    <t>los Angeles</t>
  </si>
  <si>
    <t>27/11/1994</t>
  </si>
  <si>
    <t>02 Nov 1984</t>
  </si>
  <si>
    <t>SEATTLE</t>
  </si>
  <si>
    <t>12/03/1973</t>
  </si>
  <si>
    <t>19-10-2023</t>
  </si>
  <si>
    <t>12 Dec 1982</t>
  </si>
  <si>
    <t>MALE</t>
  </si>
  <si>
    <t>11/01/2023</t>
  </si>
  <si>
    <t>24/03/2023</t>
  </si>
  <si>
    <t>17/10/1984</t>
  </si>
  <si>
    <t>07/06/1972</t>
  </si>
  <si>
    <t xml:space="preserve"> Female</t>
  </si>
  <si>
    <t>Chicagos</t>
  </si>
  <si>
    <t>23 Mar 2021</t>
  </si>
  <si>
    <t>1983-12-10</t>
  </si>
  <si>
    <t>Seattles</t>
  </si>
  <si>
    <t>Wests</t>
  </si>
  <si>
    <t>03/11/2021 00:00:00</t>
  </si>
  <si>
    <t>19/10/1992 00:00:00</t>
  </si>
  <si>
    <t xml:space="preserve"> Male</t>
  </si>
  <si>
    <t>06-10-2023</t>
  </si>
  <si>
    <t>03/12/1986</t>
  </si>
  <si>
    <t>San francisco</t>
  </si>
  <si>
    <t>31/08/1975</t>
  </si>
  <si>
    <t>detroit</t>
  </si>
  <si>
    <t>08/08/1973</t>
  </si>
  <si>
    <t>20-11-2024</t>
  </si>
  <si>
    <t>05/07/1974 00:00:00</t>
  </si>
  <si>
    <t>02 Jun 2024</t>
  </si>
  <si>
    <t>1998-08-30</t>
  </si>
  <si>
    <t>13/04/1992</t>
  </si>
  <si>
    <t>10/10/1989</t>
  </si>
  <si>
    <t>13/08/1991</t>
  </si>
  <si>
    <t>06/12/1979 00:00:00</t>
  </si>
  <si>
    <t>Bostons</t>
  </si>
  <si>
    <t>06/12/1976</t>
  </si>
  <si>
    <t>2024-11-26</t>
  </si>
  <si>
    <t>02/02/1986</t>
  </si>
  <si>
    <t>2021-04-30</t>
  </si>
  <si>
    <t>09/27/1984</t>
  </si>
  <si>
    <t>DETROIT</t>
  </si>
  <si>
    <t>07/11/1972</t>
  </si>
  <si>
    <t>16 Jan 2023</t>
  </si>
  <si>
    <t>23/09/1972 00:00:00</t>
  </si>
  <si>
    <t>13/06/1974</t>
  </si>
  <si>
    <t>08/03/1974</t>
  </si>
  <si>
    <t>2022-01-27</t>
  </si>
  <si>
    <t>26/11/1982</t>
  </si>
  <si>
    <t>26/04/1997</t>
  </si>
  <si>
    <t>26/08/1979</t>
  </si>
  <si>
    <t>11/09/1999</t>
  </si>
  <si>
    <t>16/06/1972</t>
  </si>
  <si>
    <t xml:space="preserve">East </t>
  </si>
  <si>
    <t>26/03/1973</t>
  </si>
  <si>
    <t>12/20/2023</t>
  </si>
  <si>
    <t>26/03/1986</t>
  </si>
  <si>
    <t xml:space="preserve">North </t>
  </si>
  <si>
    <t>Miamis</t>
  </si>
  <si>
    <t xml:space="preserve"> East</t>
  </si>
  <si>
    <t>19/02/1998</t>
  </si>
  <si>
    <t>2024-06-24</t>
  </si>
  <si>
    <t>13/10/1973</t>
  </si>
  <si>
    <t>MINNEAPOLIS</t>
  </si>
  <si>
    <t>13 Oct 2022</t>
  </si>
  <si>
    <t>06/06/2000</t>
  </si>
  <si>
    <t>east</t>
  </si>
  <si>
    <t>16/07/1974</t>
  </si>
  <si>
    <t>04/05/2000</t>
  </si>
  <si>
    <t>24/08/2024</t>
  </si>
  <si>
    <t>28/03/1982</t>
  </si>
  <si>
    <t>26/02/1999</t>
  </si>
  <si>
    <t>los angeles</t>
  </si>
  <si>
    <t>28/05/2021 00:00:00</t>
  </si>
  <si>
    <t>29/08/1980 00:00:00</t>
  </si>
  <si>
    <t>1999-12-23</t>
  </si>
  <si>
    <t>SAN FRANCISCO</t>
  </si>
  <si>
    <t>20/06/2023</t>
  </si>
  <si>
    <t>26/12/1975</t>
  </si>
  <si>
    <t>13/04/2021</t>
  </si>
  <si>
    <t>18/11/1971</t>
  </si>
  <si>
    <t>08/08/1989</t>
  </si>
  <si>
    <t>21/06/1994</t>
  </si>
  <si>
    <t>07/28/1972</t>
  </si>
  <si>
    <t>09/07/2024 00:00:00</t>
  </si>
  <si>
    <t>24/12/1978</t>
  </si>
  <si>
    <t>chicago</t>
  </si>
  <si>
    <t>02/09/2024 00:00:00</t>
  </si>
  <si>
    <t>31 Jul 1993</t>
  </si>
  <si>
    <t>2023-06-05</t>
  </si>
  <si>
    <t>21/05/1977 00:00:00</t>
  </si>
  <si>
    <t>05/01/1998</t>
  </si>
  <si>
    <t>04 Sep 2024</t>
  </si>
  <si>
    <t>1980-12-26</t>
  </si>
  <si>
    <t>04/12/1990</t>
  </si>
  <si>
    <t>02/02/1993</t>
  </si>
  <si>
    <t>2022-01-05</t>
  </si>
  <si>
    <t>30/05/1997</t>
  </si>
  <si>
    <t>12/03/1997</t>
  </si>
  <si>
    <t>11/07/1986</t>
  </si>
  <si>
    <t>2024-02-01</t>
  </si>
  <si>
    <t>12/03/1976</t>
  </si>
  <si>
    <t>15 Jul 1985</t>
  </si>
  <si>
    <t>21 Feb 2024</t>
  </si>
  <si>
    <t>20/01/2024</t>
  </si>
  <si>
    <t>08/11/1977</t>
  </si>
  <si>
    <t>07/10/1982</t>
  </si>
  <si>
    <t>03/30/2024</t>
  </si>
  <si>
    <t>28-05-1997</t>
  </si>
  <si>
    <t>MIAMI</t>
  </si>
  <si>
    <t>07/08/1980</t>
  </si>
  <si>
    <t>07/11/2023</t>
  </si>
  <si>
    <t>05/10/1986</t>
  </si>
  <si>
    <t>26/01/1979</t>
  </si>
  <si>
    <t>29/10/1983</t>
  </si>
  <si>
    <t>27 May 2023</t>
  </si>
  <si>
    <t>04/05/1988</t>
  </si>
  <si>
    <t>2024-07-20</t>
  </si>
  <si>
    <t>09/21/1993</t>
  </si>
  <si>
    <t>21/04/1984</t>
  </si>
  <si>
    <t>25 Jan 2023</t>
  </si>
  <si>
    <t>13/06/1985</t>
  </si>
  <si>
    <t>05/05/2021 00:00:00</t>
  </si>
  <si>
    <t>09/06/1981</t>
  </si>
  <si>
    <t>16/05/1979</t>
  </si>
  <si>
    <t>28/01/1987</t>
  </si>
  <si>
    <t>15/03/2024</t>
  </si>
  <si>
    <t>23/09/1970</t>
  </si>
  <si>
    <t>03 Sep 1990</t>
  </si>
  <si>
    <t>22/04/2021 00:00:00</t>
  </si>
  <si>
    <t>07 Sep 1992</t>
  </si>
  <si>
    <t>boston</t>
  </si>
  <si>
    <t>12/03/1974</t>
  </si>
  <si>
    <t>04/27/2024</t>
  </si>
  <si>
    <t>26/06/1979 00:00:00</t>
  </si>
  <si>
    <t>18/07/2024 00:00:00</t>
  </si>
  <si>
    <t>15/05/2000</t>
  </si>
  <si>
    <t>04/27/2023</t>
  </si>
  <si>
    <t>17-12-1985</t>
  </si>
  <si>
    <t>06/06/2020 00:00:00</t>
  </si>
  <si>
    <t>13/12/1989</t>
  </si>
  <si>
    <t>2020-10-13</t>
  </si>
  <si>
    <t>21-11-1980</t>
  </si>
  <si>
    <t>16/07/1990</t>
  </si>
  <si>
    <t>25/04/1984</t>
  </si>
  <si>
    <t>16/09/1990</t>
  </si>
  <si>
    <t>02/09/2024</t>
  </si>
  <si>
    <t>13/02/1996</t>
  </si>
  <si>
    <t>08/12/1998</t>
  </si>
  <si>
    <t>2023-12-14</t>
  </si>
  <si>
    <t>1996-05-27</t>
  </si>
  <si>
    <t>08/19/2024</t>
  </si>
  <si>
    <t>22/04/1984 00:00:00</t>
  </si>
  <si>
    <t>05 Apr 2022</t>
  </si>
  <si>
    <t>12/05/1978</t>
  </si>
  <si>
    <t>16/12/1991</t>
  </si>
  <si>
    <t>16/04/1975</t>
  </si>
  <si>
    <t>14/10/1997</t>
  </si>
  <si>
    <t>29/05/2024 00:00:00</t>
  </si>
  <si>
    <t>1971-06-20</t>
  </si>
  <si>
    <t>2022-11-12</t>
  </si>
  <si>
    <t>31/03/1976 00:00:00</t>
  </si>
  <si>
    <t>17-02-2024</t>
  </si>
  <si>
    <t>27 Jan 1988</t>
  </si>
  <si>
    <t>19 Apr 2022</t>
  </si>
  <si>
    <t>11-03-1992</t>
  </si>
  <si>
    <t>09-03-2023</t>
  </si>
  <si>
    <t>27 Feb 1999</t>
  </si>
  <si>
    <t>15/12/1975</t>
  </si>
  <si>
    <t>15/07/2022</t>
  </si>
  <si>
    <t>22/12/1975</t>
  </si>
  <si>
    <t>12/04/1976</t>
  </si>
  <si>
    <t>21/03/1979</t>
  </si>
  <si>
    <t>09-05-1987</t>
  </si>
  <si>
    <t>new York</t>
  </si>
  <si>
    <t>06/11/1976</t>
  </si>
  <si>
    <t>02-05-2024</t>
  </si>
  <si>
    <t>1972-08-06</t>
  </si>
  <si>
    <t>1971-04-26</t>
  </si>
  <si>
    <t>NEW YORK</t>
  </si>
  <si>
    <t>2024-01-24</t>
  </si>
  <si>
    <t>26 Dec 1987</t>
  </si>
  <si>
    <t>new york</t>
  </si>
  <si>
    <t>06 Oct 2024</t>
  </si>
  <si>
    <t>30/12/1980</t>
  </si>
  <si>
    <t>03/13/2024</t>
  </si>
  <si>
    <t>21 Jul 1982</t>
  </si>
  <si>
    <t>10 Jun 2022</t>
  </si>
  <si>
    <t>27/03/1988</t>
  </si>
  <si>
    <t>01-07-2024</t>
  </si>
  <si>
    <t>11/10/1987</t>
  </si>
  <si>
    <t>09-07-2024</t>
  </si>
  <si>
    <t>14/10/2000</t>
  </si>
  <si>
    <t>07-08-2022</t>
  </si>
  <si>
    <t>02/10/1977 00:00:00</t>
  </si>
  <si>
    <t>06/03/1981</t>
  </si>
  <si>
    <t>04/06/1987</t>
  </si>
  <si>
    <t>27/04/1994</t>
  </si>
  <si>
    <t>02/09/1972</t>
  </si>
  <si>
    <t>26/07/1987</t>
  </si>
  <si>
    <t>15 Feb 2024</t>
  </si>
  <si>
    <t>03-09-2022</t>
  </si>
  <si>
    <t>06/12/1995</t>
  </si>
  <si>
    <t>21/04/1974</t>
  </si>
  <si>
    <t>30-05-2021</t>
  </si>
  <si>
    <t>24-04-1995</t>
  </si>
  <si>
    <t>17/07/1973</t>
  </si>
  <si>
    <t>08-11-2023</t>
  </si>
  <si>
    <t>1991-03-22</t>
  </si>
  <si>
    <t>13876.48</t>
  </si>
  <si>
    <t>23-03-2023</t>
  </si>
  <si>
    <t>11/12/1972</t>
  </si>
  <si>
    <t>10/19/2020</t>
  </si>
  <si>
    <t>13 Aug 1979</t>
  </si>
  <si>
    <t>20 May 2024</t>
  </si>
  <si>
    <t>1989-01-04</t>
  </si>
  <si>
    <t>02/08/1984</t>
  </si>
  <si>
    <t>13 Mar 2022</t>
  </si>
  <si>
    <t>22/02/1971</t>
  </si>
  <si>
    <t>15/02/1978</t>
  </si>
  <si>
    <t>29-07-2021</t>
  </si>
  <si>
    <t>1995-07-18</t>
  </si>
  <si>
    <t>25/07/1997</t>
  </si>
  <si>
    <t>15/06/1978</t>
  </si>
  <si>
    <t>01 Oct 2022</t>
  </si>
  <si>
    <t>12/14/1997</t>
  </si>
  <si>
    <t>26/02/1976</t>
  </si>
  <si>
    <t>03/08/1994</t>
  </si>
  <si>
    <t>21 Feb 2020</t>
  </si>
  <si>
    <t>24/06/1981</t>
  </si>
  <si>
    <t>28/11/2021</t>
  </si>
  <si>
    <t>25/08/1977</t>
  </si>
  <si>
    <t>27-03-2023</t>
  </si>
  <si>
    <t>1975-01-27</t>
  </si>
  <si>
    <t>07 Sep 2021</t>
  </si>
  <si>
    <t>1975-01-25</t>
  </si>
  <si>
    <t>2023-11-25</t>
  </si>
  <si>
    <t>04/12/1989</t>
  </si>
  <si>
    <t>24/03/1995</t>
  </si>
  <si>
    <t>24/06/2021 00:00:00</t>
  </si>
  <si>
    <t>12/06/1985</t>
  </si>
  <si>
    <t>01/02/1972</t>
  </si>
  <si>
    <t>10/03/2023</t>
  </si>
  <si>
    <t>13/03/1976</t>
  </si>
  <si>
    <t>08/08/1992</t>
  </si>
  <si>
    <t>05 Oct 2022</t>
  </si>
  <si>
    <t>14/06/1971</t>
  </si>
  <si>
    <t>18/01/1993</t>
  </si>
  <si>
    <t>11/11/2024 00:00:00</t>
  </si>
  <si>
    <t>09/10/1999</t>
  </si>
  <si>
    <t>20/10/1979</t>
  </si>
  <si>
    <t>28/02/2022 00:00:00</t>
  </si>
  <si>
    <t>24/04/1987</t>
  </si>
  <si>
    <t>12 Oct 2024</t>
  </si>
  <si>
    <t>28/02/1973 00:00:00</t>
  </si>
  <si>
    <t>07/10/2000</t>
  </si>
  <si>
    <t>19/05/2000</t>
  </si>
  <si>
    <t>05/07/1988</t>
  </si>
  <si>
    <t>02/17/2000</t>
  </si>
  <si>
    <t>06/06/1995</t>
  </si>
  <si>
    <t>03/02/1986</t>
  </si>
  <si>
    <t>11/07/1992</t>
  </si>
  <si>
    <t>26/10/1979</t>
  </si>
  <si>
    <t>08/04/1982</t>
  </si>
  <si>
    <t>26/04/1980</t>
  </si>
  <si>
    <t>11/28/2023</t>
  </si>
  <si>
    <t>07/06/1988 00:00:00</t>
  </si>
  <si>
    <t>23/02/1991</t>
  </si>
  <si>
    <t>17/04/1987</t>
  </si>
  <si>
    <t>04/09/2021</t>
  </si>
  <si>
    <t>21 Oct 2024</t>
  </si>
  <si>
    <t>20/05/1974</t>
  </si>
  <si>
    <t>10/12/1976</t>
  </si>
  <si>
    <t>22/11/2021</t>
  </si>
  <si>
    <t>28/03/1970</t>
  </si>
  <si>
    <t>19/10/1996</t>
  </si>
  <si>
    <t>20/05/1999</t>
  </si>
  <si>
    <t>24/02/1996</t>
  </si>
  <si>
    <t>19/09/2024</t>
  </si>
  <si>
    <t>24/07/1981</t>
  </si>
  <si>
    <t>20/11/1979</t>
  </si>
  <si>
    <t>10/21/1979</t>
  </si>
  <si>
    <t>12/06/2023</t>
  </si>
  <si>
    <t>06/02/1992 00:00:00</t>
  </si>
  <si>
    <t>2020-06-26</t>
  </si>
  <si>
    <t>30/08/1987 00:00:00</t>
  </si>
  <si>
    <t>22/05/1989</t>
  </si>
  <si>
    <t>18/10/2023 00:00:00</t>
  </si>
  <si>
    <t>21/02/1972</t>
  </si>
  <si>
    <t>2024-04-11</t>
  </si>
  <si>
    <t>14/03/1973</t>
  </si>
  <si>
    <t>30-07-2024</t>
  </si>
  <si>
    <t>04/07/1977 00:00:00</t>
  </si>
  <si>
    <t>2023-02-13</t>
  </si>
  <si>
    <t>1999-05-17</t>
  </si>
  <si>
    <t>01-04-2023</t>
  </si>
  <si>
    <t>03/07/1996</t>
  </si>
  <si>
    <t>12/11/1982 00:00:00</t>
  </si>
  <si>
    <t>03/04/2024 00:00:00</t>
  </si>
  <si>
    <t>17/02/1976</t>
  </si>
  <si>
    <t>02/02/1991</t>
  </si>
  <si>
    <t>18 Feb 2021</t>
  </si>
  <si>
    <t>1993-05-18</t>
  </si>
  <si>
    <t>11/08/2021</t>
  </si>
  <si>
    <t>22/07/1984</t>
  </si>
  <si>
    <t>07/03/1985</t>
  </si>
  <si>
    <t>2020-07-12</t>
  </si>
  <si>
    <t>1986-01-25</t>
  </si>
  <si>
    <t>29/10/1993 00:00:00</t>
  </si>
  <si>
    <t>07/05/1993</t>
  </si>
  <si>
    <t>03/08/1993</t>
  </si>
  <si>
    <t>01/30/2024</t>
  </si>
  <si>
    <t>03/09/1997</t>
  </si>
  <si>
    <t>24/02/2023 00:00:00</t>
  </si>
  <si>
    <t>25-08-1998</t>
  </si>
  <si>
    <t>2022-11-21</t>
  </si>
  <si>
    <t>25/04/1989 00:00:00</t>
  </si>
  <si>
    <t>2022-12-20</t>
  </si>
  <si>
    <t>19/05/1982</t>
  </si>
  <si>
    <t>03/10/1977</t>
  </si>
  <si>
    <t>27/02/1987</t>
  </si>
  <si>
    <t>16-02-2023</t>
  </si>
  <si>
    <t>18/12/1979 00:00:00</t>
  </si>
  <si>
    <t>05/03/1995</t>
  </si>
  <si>
    <t>12/15/1997</t>
  </si>
  <si>
    <t>08/01/1971</t>
  </si>
  <si>
    <t>22/08/1977</t>
  </si>
  <si>
    <t>17/02/1999 00:00:00</t>
  </si>
  <si>
    <t>27/02/1976</t>
  </si>
  <si>
    <t>25/10/2023 00:00:00</t>
  </si>
  <si>
    <t>14/04/1994</t>
  </si>
  <si>
    <t>12/06/1988</t>
  </si>
  <si>
    <t>12/18/2021</t>
  </si>
  <si>
    <t>03/04/1971</t>
  </si>
  <si>
    <t>06/03/1979</t>
  </si>
  <si>
    <t>20/08/1996</t>
  </si>
  <si>
    <t>09/11/1987</t>
  </si>
  <si>
    <t>13/04/1986</t>
  </si>
  <si>
    <t>2021-12-31</t>
  </si>
  <si>
    <t>20/04/1972</t>
  </si>
  <si>
    <t>10/29/2021</t>
  </si>
  <si>
    <t>01/08/1999</t>
  </si>
  <si>
    <t>26-01-2024</t>
  </si>
  <si>
    <t>20/11/1974</t>
  </si>
  <si>
    <t>07/10/1984</t>
  </si>
  <si>
    <t>15-11-1985</t>
  </si>
  <si>
    <t>2022-11-23</t>
  </si>
  <si>
    <t>1979-07-11</t>
  </si>
  <si>
    <t>23/06/2021</t>
  </si>
  <si>
    <t>01/03/2000</t>
  </si>
  <si>
    <t>09/02/1984</t>
  </si>
  <si>
    <t>29/11/1976</t>
  </si>
  <si>
    <t>13/03/1975</t>
  </si>
  <si>
    <t>21/08/1978</t>
  </si>
  <si>
    <t>14-03-2022</t>
  </si>
  <si>
    <t>24/08/1997</t>
  </si>
  <si>
    <t>14-03-2024</t>
  </si>
  <si>
    <t>2022-02-24</t>
  </si>
  <si>
    <t>14/08/1984</t>
  </si>
  <si>
    <t>05/08/1980</t>
  </si>
  <si>
    <t>22/01/1990</t>
  </si>
  <si>
    <t>20/05/1972</t>
  </si>
  <si>
    <t>01 Sep 2023</t>
  </si>
  <si>
    <t>28/03/1976</t>
  </si>
  <si>
    <t>16/06/1990</t>
  </si>
  <si>
    <t>08/11/1995</t>
  </si>
  <si>
    <t>20/12/1973</t>
  </si>
  <si>
    <t>29/08/2023 00:00:00</t>
  </si>
  <si>
    <t>30/09/1995</t>
  </si>
  <si>
    <t>02/01/1998 00:00:00</t>
  </si>
  <si>
    <t>10/02/1978</t>
  </si>
  <si>
    <t>23 Oct 2021</t>
  </si>
  <si>
    <t>24 Jun 1985</t>
  </si>
  <si>
    <t>1987-02-19</t>
  </si>
  <si>
    <t>31/10/2020</t>
  </si>
  <si>
    <t>15/06/1999</t>
  </si>
  <si>
    <t>18/05/1997</t>
  </si>
  <si>
    <t>24/10/1999</t>
  </si>
  <si>
    <t>03-09-2024</t>
  </si>
  <si>
    <t>1975-06-09</t>
  </si>
  <si>
    <t>19-07-2022</t>
  </si>
  <si>
    <t>16/10/1974</t>
  </si>
  <si>
    <t>06/22/2020</t>
  </si>
  <si>
    <t>07-07-1972</t>
  </si>
  <si>
    <t>5676.64</t>
  </si>
  <si>
    <t>14/05/1974</t>
  </si>
  <si>
    <t>17-12-2022</t>
  </si>
  <si>
    <t>11/02/1995</t>
  </si>
  <si>
    <t>11/05/1998</t>
  </si>
  <si>
    <t>26/02/1982</t>
  </si>
  <si>
    <t>09/04/2023</t>
  </si>
  <si>
    <t>10/04/1975</t>
  </si>
  <si>
    <t>04-06-1972</t>
  </si>
  <si>
    <t>03/08/2023 00:00:00</t>
  </si>
  <si>
    <t>01-12-1978</t>
  </si>
  <si>
    <t>23/07/1970</t>
  </si>
  <si>
    <t>12-03-2023</t>
  </si>
  <si>
    <t>1988-03-08</t>
  </si>
  <si>
    <t>2021-02-28</t>
  </si>
  <si>
    <t>11-02-1999</t>
  </si>
  <si>
    <t>07/01/1971</t>
  </si>
  <si>
    <t>2024-11-12</t>
  </si>
  <si>
    <t>1977-03-19</t>
  </si>
  <si>
    <t>10 Jul 2022</t>
  </si>
  <si>
    <t>12/02/1990 00:00:00</t>
  </si>
  <si>
    <t>01/12/1999</t>
  </si>
  <si>
    <t>27/09/2021 00:00:00</t>
  </si>
  <si>
    <t>17/07/2022</t>
  </si>
  <si>
    <t>31/07/1988</t>
  </si>
  <si>
    <t>18/11/2023 00:00:00</t>
  </si>
  <si>
    <t>1978-03-22</t>
  </si>
  <si>
    <t>24-04-2021</t>
  </si>
  <si>
    <t>15/06/1978 00:00:00</t>
  </si>
  <si>
    <t>21/05/1976</t>
  </si>
  <si>
    <t>06/11/1980</t>
  </si>
  <si>
    <t>2021-09-16</t>
  </si>
  <si>
    <t>18/04/1991</t>
  </si>
  <si>
    <t>09-09-1973</t>
  </si>
  <si>
    <t>13-08-2021</t>
  </si>
  <si>
    <t>26-11-2023</t>
  </si>
  <si>
    <t>12/15/1987</t>
  </si>
  <si>
    <t>14-01-2023</t>
  </si>
  <si>
    <t>13-01-1978</t>
  </si>
  <si>
    <t>22/04/1989</t>
  </si>
  <si>
    <t>28/11/1974</t>
  </si>
  <si>
    <t>24 Jan 2020</t>
  </si>
  <si>
    <t>06-06-2023</t>
  </si>
  <si>
    <t>19/02/1975 00:00:00</t>
  </si>
  <si>
    <t>20/12/2023</t>
  </si>
  <si>
    <t>14/04/2000</t>
  </si>
  <si>
    <t>06/01/1998</t>
  </si>
  <si>
    <t>09/04/1981</t>
  </si>
  <si>
    <t>16/06/1989</t>
  </si>
  <si>
    <t>14/09/1994</t>
  </si>
  <si>
    <t>21/04/1976</t>
  </si>
  <si>
    <t>01/08/1980</t>
  </si>
  <si>
    <t>19/01/1981</t>
  </si>
  <si>
    <t>11/24/2022</t>
  </si>
  <si>
    <t>12-04-1986</t>
  </si>
  <si>
    <t>08/09/2020</t>
  </si>
  <si>
    <t>18/02/1991</t>
  </si>
  <si>
    <t>27 Jan 2020</t>
  </si>
  <si>
    <t>09 Oct 1998</t>
  </si>
  <si>
    <t>31/10/2021</t>
  </si>
  <si>
    <t>11/02/1979</t>
  </si>
  <si>
    <t>05/29/2021</t>
  </si>
  <si>
    <t>29/09/1981</t>
  </si>
  <si>
    <t>03/05/1972</t>
  </si>
  <si>
    <t>03/28/2021</t>
  </si>
  <si>
    <t>06-08-1992</t>
  </si>
  <si>
    <t>05/15/2024</t>
  </si>
  <si>
    <t>31/10/1971</t>
  </si>
  <si>
    <t>10/18/2024</t>
  </si>
  <si>
    <t>12/01/1999</t>
  </si>
  <si>
    <t>05 Aug 2023</t>
  </si>
  <si>
    <t>18 Jan 1974</t>
  </si>
  <si>
    <t>05/06/1991 00:00:00</t>
  </si>
  <si>
    <t>30/06/2024 00:00:00</t>
  </si>
  <si>
    <t>07 Jun 1981</t>
  </si>
  <si>
    <t>05-04-2024</t>
  </si>
  <si>
    <t>21-06-1979</t>
  </si>
  <si>
    <t>12 Nov 2022</t>
  </si>
  <si>
    <t>03/08/1986</t>
  </si>
  <si>
    <t>24/08/1976</t>
  </si>
  <si>
    <t>06/12/1988</t>
  </si>
  <si>
    <t>30/05/1980</t>
  </si>
  <si>
    <t>25/10/1970</t>
  </si>
  <si>
    <t>11/19/2021</t>
  </si>
  <si>
    <t>12/11/1982</t>
  </si>
  <si>
    <t>25/02/1993</t>
  </si>
  <si>
    <t>19/11/2020</t>
  </si>
  <si>
    <t>16/08/1999</t>
  </si>
  <si>
    <t>2023-04-20</t>
  </si>
  <si>
    <t>01 Mar 1974</t>
  </si>
  <si>
    <t>04/06/1983</t>
  </si>
  <si>
    <t>05/01/1990</t>
  </si>
  <si>
    <t>14/03/2024</t>
  </si>
  <si>
    <t>03/03/2022 00:00:00</t>
  </si>
  <si>
    <t>31-07-1986</t>
  </si>
  <si>
    <t>06/28/2021</t>
  </si>
  <si>
    <t>11/01/1973 00:00:00</t>
  </si>
  <si>
    <t>16/11/2022</t>
  </si>
  <si>
    <t>26/11/2023 00:00:00</t>
  </si>
  <si>
    <t>02/03/1995</t>
  </si>
  <si>
    <t>15-02-2022</t>
  </si>
  <si>
    <t>01/12/1976</t>
  </si>
  <si>
    <t>15/04/1996</t>
  </si>
  <si>
    <t>25/03/1999</t>
  </si>
  <si>
    <t>05/04/1995</t>
  </si>
  <si>
    <t>22/09/1981 00:00:00</t>
  </si>
  <si>
    <t>08/09/2023</t>
  </si>
  <si>
    <t>15/08/1987</t>
  </si>
  <si>
    <t>09 Sep 2020</t>
  </si>
  <si>
    <t>09/03/1997 00:00:00</t>
  </si>
  <si>
    <t>23/03/1980</t>
  </si>
  <si>
    <t>06/12/2000</t>
  </si>
  <si>
    <t>18/12/1984</t>
  </si>
  <si>
    <t>15/08/2021 00:00:00</t>
  </si>
  <si>
    <t>16 Jun 1972</t>
  </si>
  <si>
    <t>14/03/1999</t>
  </si>
  <si>
    <t>14/11/2022 00:00:00</t>
  </si>
  <si>
    <t>11/12/1989</t>
  </si>
  <si>
    <t>22/04/1996</t>
  </si>
  <si>
    <t>28/08/2023</t>
  </si>
  <si>
    <t>26 Nov 1996</t>
  </si>
  <si>
    <t>06/18/2024</t>
  </si>
  <si>
    <t>11 Nov 1986</t>
  </si>
  <si>
    <t>15/05/2021</t>
  </si>
  <si>
    <t>26/10/1977</t>
  </si>
  <si>
    <t>10-07-2021</t>
  </si>
  <si>
    <t>25/08/1999</t>
  </si>
  <si>
    <t>12/09/1984</t>
  </si>
  <si>
    <t>03/11/1992</t>
  </si>
  <si>
    <t>14/04/2021</t>
  </si>
  <si>
    <t>1990-04-12</t>
  </si>
  <si>
    <t>1990-12-22</t>
  </si>
  <si>
    <t>27/06/2022 00:00:00</t>
  </si>
  <si>
    <t>12/02/1988 00:00:00</t>
  </si>
  <si>
    <t>24 Dec 2022</t>
  </si>
  <si>
    <t>1988-09-26</t>
  </si>
  <si>
    <t>18/06/1995</t>
  </si>
  <si>
    <t>15/11/1974</t>
  </si>
  <si>
    <t>10/07/1993</t>
  </si>
  <si>
    <t>30/10/1975</t>
  </si>
  <si>
    <t>14/11/1972</t>
  </si>
  <si>
    <t>01 Jun 2024</t>
  </si>
  <si>
    <t>30/09/1979</t>
  </si>
  <si>
    <t>16/04/1976</t>
  </si>
  <si>
    <t>12/04/2000</t>
  </si>
  <si>
    <t>02/16/2021</t>
  </si>
  <si>
    <t>20/09/1970</t>
  </si>
  <si>
    <t>17-04-2021</t>
  </si>
  <si>
    <t>20/04/1994</t>
  </si>
  <si>
    <t>21 Apr 2020</t>
  </si>
  <si>
    <t>10/06/1988</t>
  </si>
  <si>
    <t>03/09/2024 00:00:00</t>
  </si>
  <si>
    <t>2020-07-10</t>
  </si>
  <si>
    <t>16 May 1992</t>
  </si>
  <si>
    <t>19 Jun 2021</t>
  </si>
  <si>
    <t>17/05/1985</t>
  </si>
  <si>
    <t>04/15/2021</t>
  </si>
  <si>
    <t>08/20/1975</t>
  </si>
  <si>
    <t>13/03/1982</t>
  </si>
  <si>
    <t>12/09/1996</t>
  </si>
  <si>
    <t>13/09/2020</t>
  </si>
  <si>
    <t>21/08/1985</t>
  </si>
  <si>
    <t>15/12/2023 00:00:00</t>
  </si>
  <si>
    <t>11/08/1976</t>
  </si>
  <si>
    <t>16 Jun 1992</t>
  </si>
  <si>
    <t>28-09-1988</t>
  </si>
  <si>
    <t>03/05/1988</t>
  </si>
  <si>
    <t>16/05/2020</t>
  </si>
  <si>
    <t>29/04/1970</t>
  </si>
  <si>
    <t>01/11/1999</t>
  </si>
  <si>
    <t>24/02/1981</t>
  </si>
  <si>
    <t>30/05/2000</t>
  </si>
  <si>
    <t>05/01/1974</t>
  </si>
  <si>
    <t>21/01/1974</t>
  </si>
  <si>
    <t>11/01/1980</t>
  </si>
  <si>
    <t>11/12/1983 00:00:00</t>
  </si>
  <si>
    <t>22 Aug 2023</t>
  </si>
  <si>
    <t>12/08/1976 00:00:00</t>
  </si>
  <si>
    <t>23/07/1987</t>
  </si>
  <si>
    <t>03/03/1976</t>
  </si>
  <si>
    <t>19/07/1977</t>
  </si>
  <si>
    <t>10/11/2000</t>
  </si>
  <si>
    <t>20-07-2024</t>
  </si>
  <si>
    <t>1994-12-11</t>
  </si>
  <si>
    <t>11387.18</t>
  </si>
  <si>
    <t>18/10/1973</t>
  </si>
  <si>
    <t>11/06/1982</t>
  </si>
  <si>
    <t>17/05/2020 00:00:00</t>
  </si>
  <si>
    <t>05/27/1998</t>
  </si>
  <si>
    <t>04/04/1982</t>
  </si>
  <si>
    <t>08/08/2022</t>
  </si>
  <si>
    <t>09/05/1993</t>
  </si>
  <si>
    <t>26/05/2020</t>
  </si>
  <si>
    <t>10/11/1994</t>
  </si>
  <si>
    <t>23/01/1989</t>
  </si>
  <si>
    <t>27-01-2023</t>
  </si>
  <si>
    <t>1988-12-17</t>
  </si>
  <si>
    <t>2024-11-25</t>
  </si>
  <si>
    <t>15 Feb 1993</t>
  </si>
  <si>
    <t>23/11/1976</t>
  </si>
  <si>
    <t>06/12/2024</t>
  </si>
  <si>
    <t>03/12/1981</t>
  </si>
  <si>
    <t>1989-04-10</t>
  </si>
  <si>
    <t>14/07/1992</t>
  </si>
  <si>
    <t>1988-04-09</t>
  </si>
  <si>
    <t>04/05/1972</t>
  </si>
  <si>
    <t>04 Jul 2024</t>
  </si>
  <si>
    <t>06/01/1996</t>
  </si>
  <si>
    <t>13-04-2024</t>
  </si>
  <si>
    <t>28/03/1997</t>
  </si>
  <si>
    <t>17 Jan 1982</t>
  </si>
  <si>
    <t>2023-07-08</t>
  </si>
  <si>
    <t>07/23/1984</t>
  </si>
  <si>
    <t>07/14/2024</t>
  </si>
  <si>
    <t>01 May 1999</t>
  </si>
  <si>
    <t>05/04/2021</t>
  </si>
  <si>
    <t>25/11/1977</t>
  </si>
  <si>
    <t>21/01/1988</t>
  </si>
  <si>
    <t>07/12/1999</t>
  </si>
  <si>
    <t>17-03-2021</t>
  </si>
  <si>
    <t>1987-07-10</t>
  </si>
  <si>
    <t>12/03/2023</t>
  </si>
  <si>
    <t>03/05/1999</t>
  </si>
  <si>
    <t>10 Oct 2021</t>
  </si>
  <si>
    <t>20/11/1988</t>
  </si>
  <si>
    <t>06/07/2020</t>
  </si>
  <si>
    <t>03/05/1976</t>
  </si>
  <si>
    <t>05/08/1970</t>
  </si>
  <si>
    <t>09/02/2023</t>
  </si>
  <si>
    <t>05/01/1991</t>
  </si>
  <si>
    <t>01/11/2020</t>
  </si>
  <si>
    <t>29/06/1970</t>
  </si>
  <si>
    <t>07 Jun 2020</t>
  </si>
  <si>
    <t>20/04/1996</t>
  </si>
  <si>
    <t>22/04/1997</t>
  </si>
  <si>
    <t>07/06/1995</t>
  </si>
  <si>
    <t>2022-02-06</t>
  </si>
  <si>
    <t>14-01-1978</t>
  </si>
  <si>
    <t>1988-07-14</t>
  </si>
  <si>
    <t>28/08/2022 00:00:00</t>
  </si>
  <si>
    <t>20/03/2020</t>
  </si>
  <si>
    <t>30 Jan 1991</t>
  </si>
  <si>
    <t>31-12-2022</t>
  </si>
  <si>
    <t>02-04-1990</t>
  </si>
  <si>
    <t>15/06/1998</t>
  </si>
  <si>
    <t>05/03/2022 00:00:00</t>
  </si>
  <si>
    <t>19/06/1971</t>
  </si>
  <si>
    <t>05/05/1970</t>
  </si>
  <si>
    <t>2023-08-09</t>
  </si>
  <si>
    <t>06/11/1980 00:00:00</t>
  </si>
  <si>
    <t>20 Jul 2023</t>
  </si>
  <si>
    <t>20/02/1998 00:00:00</t>
  </si>
  <si>
    <t>05/04/2024 00:00:00</t>
  </si>
  <si>
    <t>02/10/1980</t>
  </si>
  <si>
    <t>10/09/2020</t>
  </si>
  <si>
    <t>03/19/1997</t>
  </si>
  <si>
    <t>24/02/1975</t>
  </si>
  <si>
    <t>09/20/2023</t>
  </si>
  <si>
    <t>10 Dec 1987</t>
  </si>
  <si>
    <t>2023-07-23</t>
  </si>
  <si>
    <t>06/05/1971</t>
  </si>
  <si>
    <t>14 Jun 2023</t>
  </si>
  <si>
    <t>08-06-1980</t>
  </si>
  <si>
    <t>06/02/1972</t>
  </si>
  <si>
    <t>26/07/2022</t>
  </si>
  <si>
    <t>30/08/1971</t>
  </si>
  <si>
    <t>04/10/1998</t>
  </si>
  <si>
    <t>11/02/1994</t>
  </si>
  <si>
    <t>19/05/1975</t>
  </si>
  <si>
    <t>13 Feb 1974</t>
  </si>
  <si>
    <t>20/01/1993</t>
  </si>
  <si>
    <t>13/10/2000</t>
  </si>
  <si>
    <t>03/19/2022</t>
  </si>
  <si>
    <t>22-10-1987</t>
  </si>
  <si>
    <t>13/01/1982</t>
  </si>
  <si>
    <t>12/18/2024</t>
  </si>
  <si>
    <t>17/01/1970</t>
  </si>
  <si>
    <t>05/01/1992</t>
  </si>
  <si>
    <t>12-07-2024</t>
  </si>
  <si>
    <t>11/06/1989</t>
  </si>
  <si>
    <t>13/09/1970</t>
  </si>
  <si>
    <t>05/11/1999</t>
  </si>
  <si>
    <t>20/07/1983</t>
  </si>
  <si>
    <t>12/11/1986</t>
  </si>
  <si>
    <t>22/04/1976</t>
  </si>
  <si>
    <t>18/05/2020</t>
  </si>
  <si>
    <t>15/10/2023</t>
  </si>
  <si>
    <t>21/03/1992</t>
  </si>
  <si>
    <t>13-08-2023</t>
  </si>
  <si>
    <t>1999-07-11</t>
  </si>
  <si>
    <t>24/10/1990</t>
  </si>
  <si>
    <t>12 Mar 2024</t>
  </si>
  <si>
    <t>28 Dec 1990</t>
  </si>
  <si>
    <t>03/09/1987</t>
  </si>
  <si>
    <t>26/07/2023</t>
  </si>
  <si>
    <t>31/03/2021</t>
  </si>
  <si>
    <t>25/03/1987</t>
  </si>
  <si>
    <t>19/02/2024</t>
  </si>
  <si>
    <t>17/04/2021</t>
  </si>
  <si>
    <t>02/08/1995</t>
  </si>
  <si>
    <t>23/04/1972</t>
  </si>
  <si>
    <t>2023-11-09</t>
  </si>
  <si>
    <t>06-06-1992</t>
  </si>
  <si>
    <t>01/02/2024</t>
  </si>
  <si>
    <t>01/09/1974</t>
  </si>
  <si>
    <t>14/08/1975 00:00:00</t>
  </si>
  <si>
    <t>18/03/1981</t>
  </si>
  <si>
    <t>09 Feb 2021</t>
  </si>
  <si>
    <t>07/30/2022</t>
  </si>
  <si>
    <t>23 Nov 1997</t>
  </si>
  <si>
    <t>03-06-2023</t>
  </si>
  <si>
    <t>16/10/1973 00:00:00</t>
  </si>
  <si>
    <t>10/18/2023</t>
  </si>
  <si>
    <t>11/04/1993 00:00:00</t>
  </si>
  <si>
    <t>2022-05-09</t>
  </si>
  <si>
    <t>18-04-1999</t>
  </si>
  <si>
    <t>15/11/1972</t>
  </si>
  <si>
    <t>05/01/1996</t>
  </si>
  <si>
    <t>2020-08-15</t>
  </si>
  <si>
    <t>29/01/1975 00:00:00</t>
  </si>
  <si>
    <t>26/05/1971</t>
  </si>
  <si>
    <t>20/02/1996</t>
  </si>
  <si>
    <t>2024-01-27</t>
  </si>
  <si>
    <t>26 Mar 1997</t>
  </si>
  <si>
    <t>16-09-2022</t>
  </si>
  <si>
    <t>06 Jun 1973</t>
  </si>
  <si>
    <t>29/07/2021</t>
  </si>
  <si>
    <t>09/05/1989</t>
  </si>
  <si>
    <t>23/04/1973</t>
  </si>
  <si>
    <t>30/10/2024</t>
  </si>
  <si>
    <t>08/08/1996</t>
  </si>
  <si>
    <t>2022-06-15</t>
  </si>
  <si>
    <t>03/25/1987</t>
  </si>
  <si>
    <t>11/03/1997</t>
  </si>
  <si>
    <t>30/07/1986</t>
  </si>
  <si>
    <t>15-05-2022</t>
  </si>
  <si>
    <t>24/11/1973</t>
  </si>
  <si>
    <t>23-09-2024</t>
  </si>
  <si>
    <t>03/30/1984</t>
  </si>
  <si>
    <t>21/09/2024 00:00:00</t>
  </si>
  <si>
    <t>19/12/1999</t>
  </si>
  <si>
    <t>04-02-1975</t>
  </si>
  <si>
    <t>19/11/1987</t>
  </si>
  <si>
    <t>08/11/2024</t>
  </si>
  <si>
    <t>15/10/1984 00:00:00</t>
  </si>
  <si>
    <t>28-04-2022</t>
  </si>
  <si>
    <t>07-01-1983</t>
  </si>
  <si>
    <t>03/03/1997</t>
  </si>
  <si>
    <t>30/06/1982</t>
  </si>
  <si>
    <t>25/07/2020</t>
  </si>
  <si>
    <t>27/08/1997</t>
  </si>
  <si>
    <t>15/10/2021</t>
  </si>
  <si>
    <t>04-12-1991</t>
  </si>
  <si>
    <t>09/06/1993</t>
  </si>
  <si>
    <t>11 Mar 2022</t>
  </si>
  <si>
    <t>18/07/1998</t>
  </si>
  <si>
    <t>01/08/1996</t>
  </si>
  <si>
    <t>27/12/1999</t>
  </si>
  <si>
    <t>22/02/1995</t>
  </si>
  <si>
    <t>27/07/1978</t>
  </si>
  <si>
    <t>25/11/2023</t>
  </si>
  <si>
    <t>23/06/1991</t>
  </si>
  <si>
    <t>22/06/1994</t>
  </si>
  <si>
    <t>19/02/2020</t>
  </si>
  <si>
    <t>29/05/1994</t>
  </si>
  <si>
    <t>27 Mar 2020</t>
  </si>
  <si>
    <t>1970-06-21</t>
  </si>
  <si>
    <t>01/06/2021 00:00:00</t>
  </si>
  <si>
    <t>20-08-1981</t>
  </si>
  <si>
    <t>16/04/2024</t>
  </si>
  <si>
    <t>2022-10-16</t>
  </si>
  <si>
    <t>1986-12-14</t>
  </si>
  <si>
    <t>02/11/1995</t>
  </si>
  <si>
    <t>2022-05-18</t>
  </si>
  <si>
    <t>27/11/1995</t>
  </si>
  <si>
    <t>08/30/2022</t>
  </si>
  <si>
    <t>31/08/1994</t>
  </si>
  <si>
    <t>20/03/1973</t>
  </si>
  <si>
    <t>03-06-2020</t>
  </si>
  <si>
    <t>07/13/1989</t>
  </si>
  <si>
    <t>20/07/1974</t>
  </si>
  <si>
    <t>09/07/1992</t>
  </si>
  <si>
    <t>26/07/1981</t>
  </si>
  <si>
    <t>18/02/2020</t>
  </si>
  <si>
    <t>28/08/1975</t>
  </si>
  <si>
    <t>17 Mar 2022</t>
  </si>
  <si>
    <t>02 May 1997</t>
  </si>
  <si>
    <t>09/21/2022</t>
  </si>
  <si>
    <t>09/03/1994</t>
  </si>
  <si>
    <t>2022-03-08</t>
  </si>
  <si>
    <t>29 Apr 1982</t>
  </si>
  <si>
    <t>06/01/1995</t>
  </si>
  <si>
    <t>20/10/2023 00:00:00</t>
  </si>
  <si>
    <t>11/07/1973 00:00:00</t>
  </si>
  <si>
    <t>12 Jul 1980</t>
  </si>
  <si>
    <t>10-04-1998</t>
  </si>
  <si>
    <t>20/02/2023</t>
  </si>
  <si>
    <t>22/01/1998</t>
  </si>
  <si>
    <t>27/11/1972</t>
  </si>
  <si>
    <t>05/02/2024 00:00:00</t>
  </si>
  <si>
    <t>23 Apr 1970</t>
  </si>
  <si>
    <t>21 Jan 2024</t>
  </si>
  <si>
    <t>20/04/1986</t>
  </si>
  <si>
    <t>28/04/1973</t>
  </si>
  <si>
    <t>24/04/2022 00:00:00</t>
  </si>
  <si>
    <t>1986-08-21</t>
  </si>
  <si>
    <t>07-01-2021</t>
  </si>
  <si>
    <t>21/08/1981</t>
  </si>
  <si>
    <t>03/02/2020</t>
  </si>
  <si>
    <t>11/05/1985</t>
  </si>
  <si>
    <t>18/10/1999</t>
  </si>
  <si>
    <t>06/27/1981</t>
  </si>
  <si>
    <t>30/05/1974</t>
  </si>
  <si>
    <t>07/11/1981</t>
  </si>
  <si>
    <t>18/02/2023</t>
  </si>
  <si>
    <t>18/11/1989</t>
  </si>
  <si>
    <t>2021-07-22</t>
  </si>
  <si>
    <t>15-09-1977</t>
  </si>
  <si>
    <t>23/03/1983</t>
  </si>
  <si>
    <t>03 Sep 2021</t>
  </si>
  <si>
    <t>1996-08-06</t>
  </si>
  <si>
    <t>13 Mar 2023</t>
  </si>
  <si>
    <t>1973-01-19</t>
  </si>
  <si>
    <t>14/09/1993</t>
  </si>
  <si>
    <t>2023-09-20</t>
  </si>
  <si>
    <t>2021-07-14</t>
  </si>
  <si>
    <t>23/06/1996</t>
  </si>
  <si>
    <t>27/02/2022</t>
  </si>
  <si>
    <t>11/25/2020</t>
  </si>
  <si>
    <t>06/25/1987</t>
  </si>
  <si>
    <t>1997-09-14</t>
  </si>
  <si>
    <t>22/06/1976</t>
  </si>
  <si>
    <t>1975-08-24</t>
  </si>
  <si>
    <t>23 Oct 2023</t>
  </si>
  <si>
    <t>10/23/2021</t>
  </si>
  <si>
    <t>13/03/1988</t>
  </si>
  <si>
    <t>25 Jun 2023</t>
  </si>
  <si>
    <t>1993-04-14</t>
  </si>
  <si>
    <t>15/09/2020</t>
  </si>
  <si>
    <t>25/06/1977</t>
  </si>
  <si>
    <t>2022-03-15</t>
  </si>
  <si>
    <t>07/29/1991</t>
  </si>
  <si>
    <t>11/05/1982</t>
  </si>
  <si>
    <t>23/06/2020</t>
  </si>
  <si>
    <t>17/03/1982</t>
  </si>
  <si>
    <t>07/04/1986</t>
  </si>
  <si>
    <t>09 May 2022</t>
  </si>
  <si>
    <t>31-12-1985</t>
  </si>
  <si>
    <t>30 Oct 2023</t>
  </si>
  <si>
    <t>30-10-1998</t>
  </si>
  <si>
    <t>14 Jan 2022</t>
  </si>
  <si>
    <t>10/09/1979</t>
  </si>
  <si>
    <t>21/10/1981</t>
  </si>
  <si>
    <t>27 Apr 2023</t>
  </si>
  <si>
    <t>14-03-1984</t>
  </si>
  <si>
    <t>07/07/1978</t>
  </si>
  <si>
    <t>22/12/2021</t>
  </si>
  <si>
    <t>28/10/1979</t>
  </si>
  <si>
    <t>2021-09-23</t>
  </si>
  <si>
    <t>23/08/1989</t>
  </si>
  <si>
    <t>10/05/2022 00:00:00</t>
  </si>
  <si>
    <t>17/05/1972</t>
  </si>
  <si>
    <t>2020-09-10</t>
  </si>
  <si>
    <t>1975-05-12</t>
  </si>
  <si>
    <t>06/29/2021</t>
  </si>
  <si>
    <t>04/10/1992</t>
  </si>
  <si>
    <t>10-11-2021</t>
  </si>
  <si>
    <t>20 Feb 2024</t>
  </si>
  <si>
    <t>27-04-1993</t>
  </si>
  <si>
    <t>05/09/2022 00:00:00</t>
  </si>
  <si>
    <t>07/05/1997</t>
  </si>
  <si>
    <t>04/08/1983</t>
  </si>
  <si>
    <t>04/23/2024</t>
  </si>
  <si>
    <t>14 May 1984</t>
  </si>
  <si>
    <t>05/07/2021</t>
  </si>
  <si>
    <t>21/11/1997</t>
  </si>
  <si>
    <t>18 Aug 2023</t>
  </si>
  <si>
    <t>13 Oct 1975</t>
  </si>
  <si>
    <t>03-03-2022</t>
  </si>
  <si>
    <t>09/19/1987</t>
  </si>
  <si>
    <t>13/07/2020</t>
  </si>
  <si>
    <t>13/11/1976</t>
  </si>
  <si>
    <t>30/12/1974</t>
  </si>
  <si>
    <t>15/05/1975</t>
  </si>
  <si>
    <t>30/05/1990</t>
  </si>
  <si>
    <t>17/06/1976</t>
  </si>
  <si>
    <t>2022-12-07</t>
  </si>
  <si>
    <t>23/11/1987</t>
  </si>
  <si>
    <t>11/16/2022</t>
  </si>
  <si>
    <t>27-06-1988</t>
  </si>
  <si>
    <t>04/10/1976</t>
  </si>
  <si>
    <t>2020-01-11</t>
  </si>
  <si>
    <t>23/05/1970</t>
  </si>
  <si>
    <t>03/03/1977</t>
  </si>
  <si>
    <t>10/05/1974</t>
  </si>
  <si>
    <t>08 Sep 2020</t>
  </si>
  <si>
    <t>02/19/2000</t>
  </si>
  <si>
    <t>19/09/1970</t>
  </si>
  <si>
    <t>29/03/1982</t>
  </si>
  <si>
    <t>05 Aug 2024</t>
  </si>
  <si>
    <t>1988-04-07</t>
  </si>
  <si>
    <t>03/02/2021</t>
  </si>
  <si>
    <t>28/11/1976</t>
  </si>
  <si>
    <t>30/09/1974</t>
  </si>
  <si>
    <t>29/09/1993</t>
  </si>
  <si>
    <t>11 Apr 2020</t>
  </si>
  <si>
    <t>23/10/1981 00:00:00</t>
  </si>
  <si>
    <t>19/10/1980</t>
  </si>
  <si>
    <t>16/07/1970</t>
  </si>
  <si>
    <t>21/06/1983</t>
  </si>
  <si>
    <t>19-08-2024</t>
  </si>
  <si>
    <t>29/08/2020</t>
  </si>
  <si>
    <t>21/09/1976</t>
  </si>
  <si>
    <t>03/10/1974</t>
  </si>
  <si>
    <t>11/03/2023</t>
  </si>
  <si>
    <t>22/10/1975</t>
  </si>
  <si>
    <t>10-01-2023</t>
  </si>
  <si>
    <t>23-01-1984</t>
  </si>
  <si>
    <t>02/01/2021 00:00:00</t>
  </si>
  <si>
    <t>05/09/1984 00:00:00</t>
  </si>
  <si>
    <t>13/11/1986</t>
  </si>
  <si>
    <t>15/06/1990</t>
  </si>
  <si>
    <t>11/07/2024 00:00:00</t>
  </si>
  <si>
    <t>17/07/1980</t>
  </si>
  <si>
    <t>14/03/1980</t>
  </si>
  <si>
    <t>11/21/2022</t>
  </si>
  <si>
    <t>25/01/2000 00:00:00</t>
  </si>
  <si>
    <t>36936.02</t>
  </si>
  <si>
    <t>30/10/1976</t>
  </si>
  <si>
    <t>2000-12-09</t>
  </si>
  <si>
    <t>26/06/1995</t>
  </si>
  <si>
    <t>13/05/1971</t>
  </si>
  <si>
    <t>26/05/2024</t>
  </si>
  <si>
    <t>13/02/1983</t>
  </si>
  <si>
    <t>22-01-2021</t>
  </si>
  <si>
    <t>29/05/1985</t>
  </si>
  <si>
    <t>04/03/1980</t>
  </si>
  <si>
    <t>19/11/1998</t>
  </si>
  <si>
    <t>19/02/2023</t>
  </si>
  <si>
    <t>22/03/1989</t>
  </si>
  <si>
    <t>20/09/2000</t>
  </si>
  <si>
    <t>07 Aug 2023</t>
  </si>
  <si>
    <t>02/12/1974 00:00:00</t>
  </si>
  <si>
    <t>26-03-2021</t>
  </si>
  <si>
    <t>30/03/1976</t>
  </si>
  <si>
    <t>07 Dec 2022</t>
  </si>
  <si>
    <t>16/01/1986 00:00:00</t>
  </si>
  <si>
    <t>14/10/1971</t>
  </si>
  <si>
    <t>10/07/1976</t>
  </si>
  <si>
    <t>30/03/1971</t>
  </si>
  <si>
    <t>28-05-2023</t>
  </si>
  <si>
    <t>20/04/1992</t>
  </si>
  <si>
    <t>10/12/1992</t>
  </si>
  <si>
    <t>18/12/1982</t>
  </si>
  <si>
    <t>07/04/2023</t>
  </si>
  <si>
    <t>02/07/1997</t>
  </si>
  <si>
    <t>19-03-1978</t>
  </si>
  <si>
    <t>06/03/1996</t>
  </si>
  <si>
    <t>25/02/2020 00:00:00</t>
  </si>
  <si>
    <t>09 Aug 1994</t>
  </si>
  <si>
    <t>16/10/1994</t>
  </si>
  <si>
    <t>10/24/1991</t>
  </si>
  <si>
    <t>29/04/2022</t>
  </si>
  <si>
    <t>03/07/1974</t>
  </si>
  <si>
    <t>16-09-2020</t>
  </si>
  <si>
    <t>13/08/1997</t>
  </si>
  <si>
    <t>17/10/2000</t>
  </si>
  <si>
    <t>10/02/2020</t>
  </si>
  <si>
    <t>24/07/1993 00:00:00</t>
  </si>
  <si>
    <t>12/01/1997</t>
  </si>
  <si>
    <t>28/03/2020 00:00:00</t>
  </si>
  <si>
    <t>1982-03-20</t>
  </si>
  <si>
    <t>24/09/2023</t>
  </si>
  <si>
    <t>16/11/1985</t>
  </si>
  <si>
    <t>06/05/1981</t>
  </si>
  <si>
    <t>24/04/1999</t>
  </si>
  <si>
    <t>2024-05-18</t>
  </si>
  <si>
    <t>08/09/1972</t>
  </si>
  <si>
    <t>16/08/1971</t>
  </si>
  <si>
    <t>09/03/2020</t>
  </si>
  <si>
    <t>09/22/1978</t>
  </si>
  <si>
    <t>10 Feb 2023</t>
  </si>
  <si>
    <t>11/01/2000</t>
  </si>
  <si>
    <t>01/01/1981 00:00:00</t>
  </si>
  <si>
    <t>2023-09-16</t>
  </si>
  <si>
    <t>1975-04-22</t>
  </si>
  <si>
    <t>05/01/2020</t>
  </si>
  <si>
    <t>24/09/1976</t>
  </si>
  <si>
    <t>29/08/1995</t>
  </si>
  <si>
    <t>09/06/1971</t>
  </si>
  <si>
    <t>25/07/1973</t>
  </si>
  <si>
    <t>1987-10-31</t>
  </si>
  <si>
    <t>01/01/1993</t>
  </si>
  <si>
    <t>16-09-2023</t>
  </si>
  <si>
    <t>2020-08-01</t>
  </si>
  <si>
    <t>17/10/1990</t>
  </si>
  <si>
    <t>18 Jul 2024</t>
  </si>
  <si>
    <t>26 Feb 1995</t>
  </si>
  <si>
    <t>09/05/1977</t>
  </si>
  <si>
    <t>20/08/2021</t>
  </si>
  <si>
    <t>13/11/2024 00:00:00</t>
  </si>
  <si>
    <t>16-11-1973</t>
  </si>
  <si>
    <t>04 Feb 2024</t>
  </si>
  <si>
    <t>1980-03-04</t>
  </si>
  <si>
    <t>2020-09-23</t>
  </si>
  <si>
    <t>09/03/1995</t>
  </si>
  <si>
    <t>12/03/2022</t>
  </si>
  <si>
    <t>02/08/1981</t>
  </si>
  <si>
    <t>2024-11-04</t>
  </si>
  <si>
    <t>1996-11-22</t>
  </si>
  <si>
    <t>12835.85</t>
  </si>
  <si>
    <t>03/07/1996 00:00:00</t>
  </si>
  <si>
    <t>06 Nov 2022</t>
  </si>
  <si>
    <t>04/28/1992</t>
  </si>
  <si>
    <t>21-07-2020</t>
  </si>
  <si>
    <t>19/12/1975</t>
  </si>
  <si>
    <t>1986-12-28</t>
  </si>
  <si>
    <t>31/07/1990</t>
  </si>
  <si>
    <t>19/12/2022 00:00:00</t>
  </si>
  <si>
    <t>13/05/1982 00:00:00</t>
  </si>
  <si>
    <t>13/07/1999</t>
  </si>
  <si>
    <t>24/02/1998</t>
  </si>
  <si>
    <t>13/12/1978</t>
  </si>
  <si>
    <t>09 Jan 2024</t>
  </si>
  <si>
    <t>09/12/2000 00:00:00</t>
  </si>
  <si>
    <t>2020-01-06</t>
  </si>
  <si>
    <t>09/05/1996 00:00:00</t>
  </si>
  <si>
    <t>23 Dec 2023</t>
  </si>
  <si>
    <t>1970-04-15</t>
  </si>
  <si>
    <t>20/09/1977</t>
  </si>
  <si>
    <t>2021-03-27</t>
  </si>
  <si>
    <t>09/12/1981 00:00:00</t>
  </si>
  <si>
    <t>30/01/1996</t>
  </si>
  <si>
    <t>15/10/1980</t>
  </si>
  <si>
    <t>11/01/1998</t>
  </si>
  <si>
    <t>12 Feb 2023</t>
  </si>
  <si>
    <t>09/11/1995</t>
  </si>
  <si>
    <t>18-05-2022</t>
  </si>
  <si>
    <t>14/12/1992</t>
  </si>
  <si>
    <t>04/01/1998</t>
  </si>
  <si>
    <t>26 Nov 2022</t>
  </si>
  <si>
    <t>17/12/1977</t>
  </si>
  <si>
    <t>02/12/1999</t>
  </si>
  <si>
    <t>20/11/2022 00:00:00</t>
  </si>
  <si>
    <t>21/10/1983</t>
  </si>
  <si>
    <t>26/08/2024 00:00:00</t>
  </si>
  <si>
    <t>1997-05-14</t>
  </si>
  <si>
    <t>22 Feb 2021</t>
  </si>
  <si>
    <t>01/15/1974</t>
  </si>
  <si>
    <t>04-04-2020</t>
  </si>
  <si>
    <t>1979-05-13</t>
  </si>
  <si>
    <t>20/02/1970</t>
  </si>
  <si>
    <t>18/05/1980</t>
  </si>
  <si>
    <t>05/10/1988</t>
  </si>
  <si>
    <t>07-08-2024</t>
  </si>
  <si>
    <t>13/07/1989</t>
  </si>
  <si>
    <t>26/06/1974</t>
  </si>
  <si>
    <t>10/01/1983</t>
  </si>
  <si>
    <t>16/10/1986</t>
  </si>
  <si>
    <t>31/12/2024 00:00:00</t>
  </si>
  <si>
    <t>29 Apr 1990</t>
  </si>
  <si>
    <t>15/02/2024 00:00:00</t>
  </si>
  <si>
    <t>1993-06-04</t>
  </si>
  <si>
    <t>24 Apr 2024</t>
  </si>
  <si>
    <t>29/04/1993</t>
  </si>
  <si>
    <t>08/10/1999</t>
  </si>
  <si>
    <t>18/06/1985</t>
  </si>
  <si>
    <t>20/04/1981</t>
  </si>
  <si>
    <t>24/06/1989</t>
  </si>
  <si>
    <t>17/03/1997</t>
  </si>
  <si>
    <t>12/02/1982</t>
  </si>
  <si>
    <t>15/11/1970</t>
  </si>
  <si>
    <t>15/05/2023</t>
  </si>
  <si>
    <t>05/01/1973</t>
  </si>
  <si>
    <t>12/03/1979</t>
  </si>
  <si>
    <t>01/23/2022</t>
  </si>
  <si>
    <t>29-03-1974</t>
  </si>
  <si>
    <t>20/02/1974</t>
  </si>
  <si>
    <t>12/03/1994</t>
  </si>
  <si>
    <t>26/01/1988</t>
  </si>
  <si>
    <t>24/03/2000</t>
  </si>
  <si>
    <t>06/04/1973</t>
  </si>
  <si>
    <t>20 Jan 2021</t>
  </si>
  <si>
    <t>23/10/1975</t>
  </si>
  <si>
    <t>02/03/1986</t>
  </si>
  <si>
    <t>10/03/1978</t>
  </si>
  <si>
    <t>09/02/1988</t>
  </si>
  <si>
    <t>23/09/2023 00:00:00</t>
  </si>
  <si>
    <t>2020-09-24</t>
  </si>
  <si>
    <t>12/18/1984</t>
  </si>
  <si>
    <t>31/07/1971</t>
  </si>
  <si>
    <t>25/01/1993</t>
  </si>
  <si>
    <t>14/03/1976</t>
  </si>
  <si>
    <t>2022-09-15</t>
  </si>
  <si>
    <t>1975-10-13</t>
  </si>
  <si>
    <t>15/08/1984</t>
  </si>
  <si>
    <t>07/06/1986</t>
  </si>
  <si>
    <t>04/12/2020</t>
  </si>
  <si>
    <t>03/18/1997</t>
  </si>
  <si>
    <t>06/08/1984</t>
  </si>
  <si>
    <t>03/31/2023</t>
  </si>
  <si>
    <t>03/11/1972</t>
  </si>
  <si>
    <t>16/06/2024</t>
  </si>
  <si>
    <t>02 Jun 1997</t>
  </si>
  <si>
    <t>11/02/2022</t>
  </si>
  <si>
    <t>09/09/1995</t>
  </si>
  <si>
    <t>15/03/2024 00:00:00</t>
  </si>
  <si>
    <t>05 Nov 1987</t>
  </si>
  <si>
    <t>12/11/2020 00:00:00</t>
  </si>
  <si>
    <t>06/07/1971</t>
  </si>
  <si>
    <t>15/05/1993</t>
  </si>
  <si>
    <t>15/01/1976</t>
  </si>
  <si>
    <t>2020-04-19</t>
  </si>
  <si>
    <t>02/12/1999 00:00:00</t>
  </si>
  <si>
    <t>12/02/1989</t>
  </si>
  <si>
    <t>15/06/1971</t>
  </si>
  <si>
    <t>26/01/1989 00:00:00</t>
  </si>
  <si>
    <t>8572.29</t>
  </si>
  <si>
    <t>22/05/2022 00:00:00</t>
  </si>
  <si>
    <t>14/01/1974</t>
  </si>
  <si>
    <t>27/04/1990</t>
  </si>
  <si>
    <t>26/10/1978 00:00:00</t>
  </si>
  <si>
    <t>08/04/1972</t>
  </si>
  <si>
    <t>25/12/2023 00:00:00</t>
  </si>
  <si>
    <t>1998-04-23</t>
  </si>
  <si>
    <t>02/12/1972</t>
  </si>
  <si>
    <t>04/10/1991</t>
  </si>
  <si>
    <t>09/11/2021</t>
  </si>
  <si>
    <t>26/03/1971</t>
  </si>
  <si>
    <t>30/09/1973</t>
  </si>
  <si>
    <t>03/03/2021</t>
  </si>
  <si>
    <t>30-03-1990</t>
  </si>
  <si>
    <t>09/06/1983</t>
  </si>
  <si>
    <t>29/03/2000</t>
  </si>
  <si>
    <t>02/25/1981</t>
  </si>
  <si>
    <t>12/01/2020</t>
  </si>
  <si>
    <t>16/12/1997</t>
  </si>
  <si>
    <t>25/04/1991</t>
  </si>
  <si>
    <t>03/06/2024 00:00:00</t>
  </si>
  <si>
    <t>25-03-1992</t>
  </si>
  <si>
    <t>2023-12-25</t>
  </si>
  <si>
    <t>09-08-1981</t>
  </si>
  <si>
    <t>12/07/2022 00:00:00</t>
  </si>
  <si>
    <t>27/05/1983</t>
  </si>
  <si>
    <t>17-09-2021</t>
  </si>
  <si>
    <t>1997-04-20</t>
  </si>
  <si>
    <t>19/07/1973</t>
  </si>
  <si>
    <t>08/10/1987</t>
  </si>
  <si>
    <t>28-07-2024</t>
  </si>
  <si>
    <t>07/08/2000</t>
  </si>
  <si>
    <t>31/08/2020 00:00:00</t>
  </si>
  <si>
    <t>11/11/1985</t>
  </si>
  <si>
    <t>13/07/1970</t>
  </si>
  <si>
    <t>10 Dec 2022</t>
  </si>
  <si>
    <t>15/02/1986 00:00:00</t>
  </si>
  <si>
    <t>14/07/1975</t>
  </si>
  <si>
    <t>25/09/1972</t>
  </si>
  <si>
    <t>20/02/1979 00:00:00</t>
  </si>
  <si>
    <t>02/09/1970 00:00:00</t>
  </si>
  <si>
    <t>30/06/1978</t>
  </si>
  <si>
    <t>04/01/1987</t>
  </si>
  <si>
    <t>29/08/1982</t>
  </si>
  <si>
    <t>09/10/1991</t>
  </si>
  <si>
    <t>14/02/2020</t>
  </si>
  <si>
    <t>22/04/1994</t>
  </si>
  <si>
    <t>28/12/2020 00:00:00</t>
  </si>
  <si>
    <t>09/11/1981</t>
  </si>
  <si>
    <t>21/10/2020</t>
  </si>
  <si>
    <t>23/10/1970</t>
  </si>
  <si>
    <t>10-07-2024</t>
  </si>
  <si>
    <t>20/11/1973</t>
  </si>
  <si>
    <t>23 May 2023</t>
  </si>
  <si>
    <t>08/03/1991</t>
  </si>
  <si>
    <t>07/26/2023</t>
  </si>
  <si>
    <t>13/12/1979</t>
  </si>
  <si>
    <t>08/17/2024</t>
  </si>
  <si>
    <t>06/12/1989</t>
  </si>
  <si>
    <t>09/11/1970</t>
  </si>
  <si>
    <t>24/09/1973</t>
  </si>
  <si>
    <t>24-12-2024</t>
  </si>
  <si>
    <t>11/04/1972</t>
  </si>
  <si>
    <t>25-08-2024</t>
  </si>
  <si>
    <t>1996-09-08</t>
  </si>
  <si>
    <t>20-06-1994</t>
  </si>
  <si>
    <t>05/10/1983</t>
  </si>
  <si>
    <t>01/03/2021 00:00:00</t>
  </si>
  <si>
    <t>19/12/1973</t>
  </si>
  <si>
    <t>18/01/1970</t>
  </si>
  <si>
    <t>08 Oct 2021</t>
  </si>
  <si>
    <t>04-11-1986</t>
  </si>
  <si>
    <t>04/04/1980</t>
  </si>
  <si>
    <t>04/05/1992</t>
  </si>
  <si>
    <t>02/01/2022</t>
  </si>
  <si>
    <t>31/12/1972</t>
  </si>
  <si>
    <t>03/19/2024</t>
  </si>
  <si>
    <t>10/10/1973</t>
  </si>
  <si>
    <t>1983-07-24</t>
  </si>
  <si>
    <t>23/12/2023</t>
  </si>
  <si>
    <t>19/05/1984</t>
  </si>
  <si>
    <t>09/06/2021</t>
  </si>
  <si>
    <t>14-05-2021</t>
  </si>
  <si>
    <t>28 Jan 1979</t>
  </si>
  <si>
    <t>08/07/1998</t>
  </si>
  <si>
    <t>12/05/1979</t>
  </si>
  <si>
    <t>2024-04-04</t>
  </si>
  <si>
    <t>11/26/1987</t>
  </si>
  <si>
    <t>12/05/1972</t>
  </si>
  <si>
    <t>20/02/1980</t>
  </si>
  <si>
    <t>12 Oct 2020</t>
  </si>
  <si>
    <t>07 Aug 1982</t>
  </si>
  <si>
    <t>10/05/2000</t>
  </si>
  <si>
    <t>11/26/2024</t>
  </si>
  <si>
    <t>04-02-1972</t>
  </si>
  <si>
    <t>20/03/2022 00:00:00</t>
  </si>
  <si>
    <t>05/03/1980</t>
  </si>
  <si>
    <t>09-10-2024</t>
  </si>
  <si>
    <t>06/08/1990</t>
  </si>
  <si>
    <t>07/11/1976</t>
  </si>
  <si>
    <t>16 Dec 2024</t>
  </si>
  <si>
    <t>28/11/2021 00:00:00</t>
  </si>
  <si>
    <t>15/04/1987</t>
  </si>
  <si>
    <t>24 Jan 2024</t>
  </si>
  <si>
    <t>1986-03-21</t>
  </si>
  <si>
    <t>30-10-2024</t>
  </si>
  <si>
    <t>06/28/1979</t>
  </si>
  <si>
    <t>05/12/2021</t>
  </si>
  <si>
    <t>11/01/1974</t>
  </si>
  <si>
    <t>03/09/1979</t>
  </si>
  <si>
    <t>17/10/1993</t>
  </si>
  <si>
    <t>20/03/1982</t>
  </si>
  <si>
    <t>09/08/1996</t>
  </si>
  <si>
    <t>23 Apr 2022</t>
  </si>
  <si>
    <t>04/02/1991 00:00:00</t>
  </si>
  <si>
    <t>1986-08-22</t>
  </si>
  <si>
    <t>05-06-2024</t>
  </si>
  <si>
    <t>1997-06-14</t>
  </si>
  <si>
    <t>08/03/1995</t>
  </si>
  <si>
    <t>04/02/1982</t>
  </si>
  <si>
    <t>09-11-2021</t>
  </si>
  <si>
    <t>09/01/1980</t>
  </si>
  <si>
    <t>2022-12-13</t>
  </si>
  <si>
    <t>22-02-1991</t>
  </si>
  <si>
    <t>04/14/2020</t>
  </si>
  <si>
    <t>22 Apr 1983</t>
  </si>
  <si>
    <t>08/04/2000</t>
  </si>
  <si>
    <t>27/08/1989</t>
  </si>
  <si>
    <t>05/05/1997</t>
  </si>
  <si>
    <t>02/11/1974</t>
  </si>
  <si>
    <t>29/04/2021 00:00:00</t>
  </si>
  <si>
    <t>04 Feb 1996</t>
  </si>
  <si>
    <t>27/01/2021</t>
  </si>
  <si>
    <t>30/09/1986</t>
  </si>
  <si>
    <t>14 May 2022</t>
  </si>
  <si>
    <t>26-07-1988</t>
  </si>
  <si>
    <t>21/01/2022 00:00:00</t>
  </si>
  <si>
    <t>28/03/1996</t>
  </si>
  <si>
    <t>19 Nov 1971</t>
  </si>
  <si>
    <t>03/12/1985</t>
  </si>
  <si>
    <t>03/25/2023</t>
  </si>
  <si>
    <t>18/12/1970</t>
  </si>
  <si>
    <t>12/11/1989</t>
  </si>
  <si>
    <t>06/02/2023 00:00:00</t>
  </si>
  <si>
    <t>16 Jun 1997</t>
  </si>
  <si>
    <t>2023-03-29</t>
  </si>
  <si>
    <t>06/03/1977 00:00:00</t>
  </si>
  <si>
    <t>18/10/1979</t>
  </si>
  <si>
    <t>03 Apr 2023</t>
  </si>
  <si>
    <t>02/12/1971 00:00:00</t>
  </si>
  <si>
    <t>03/10/1973</t>
  </si>
  <si>
    <t>14/05/1983</t>
  </si>
  <si>
    <t>28/07/1995</t>
  </si>
  <si>
    <t>09/22/1996</t>
  </si>
  <si>
    <t>22/04/2022</t>
  </si>
  <si>
    <t>22/01/1975</t>
  </si>
  <si>
    <t>27/03/1999</t>
  </si>
  <si>
    <t>23/03/2024 00:00:00</t>
  </si>
  <si>
    <t>03/10/1994</t>
  </si>
  <si>
    <t>09/01/1977</t>
  </si>
  <si>
    <t>06/09/1992</t>
  </si>
  <si>
    <t>12/02/1992</t>
  </si>
  <si>
    <t>06 Mar 2020</t>
  </si>
  <si>
    <t>1990-12-14</t>
  </si>
  <si>
    <t>18-03-2024</t>
  </si>
  <si>
    <t>07/13/1987</t>
  </si>
  <si>
    <t>28/05/1970</t>
  </si>
  <si>
    <t>15/10/2023 00:00:00</t>
  </si>
  <si>
    <t>03/05/1970</t>
  </si>
  <si>
    <t>27/05/1985 00:00:00</t>
  </si>
  <si>
    <t>17/01/2021 00:00:00</t>
  </si>
  <si>
    <t>1977-05-11</t>
  </si>
  <si>
    <t>10/07/1978</t>
  </si>
  <si>
    <t>02/07/2020</t>
  </si>
  <si>
    <t>19/05/1987</t>
  </si>
  <si>
    <t>2023-09-29</t>
  </si>
  <si>
    <t>1991-03-06</t>
  </si>
  <si>
    <t>02-04-2022</t>
  </si>
  <si>
    <t>17 Jun 2023</t>
  </si>
  <si>
    <t>29/08/1977 00:00:00</t>
  </si>
  <si>
    <t>10/03/1991</t>
  </si>
  <si>
    <t>12/02/1978</t>
  </si>
  <si>
    <t>05/07/2023 00:00:00</t>
  </si>
  <si>
    <t>03 Nov 1983</t>
  </si>
  <si>
    <t>14/08/1995 00:00:00</t>
  </si>
  <si>
    <t>18/05/1993</t>
  </si>
  <si>
    <t>04/03/2022 00:00:00</t>
  </si>
  <si>
    <t>20/12/1989 00:00:00</t>
  </si>
  <si>
    <t>30/12/1986</t>
  </si>
  <si>
    <t>03 Oct 2024</t>
  </si>
  <si>
    <t>31/08/1996 00:00:00</t>
  </si>
  <si>
    <t>16/05/2024 00:00:00</t>
  </si>
  <si>
    <t>31/03/1979 00:00:00</t>
  </si>
  <si>
    <t>03/03/1994</t>
  </si>
  <si>
    <t>28/02/1984</t>
  </si>
  <si>
    <t>08/12/2024 00:00:00</t>
  </si>
  <si>
    <t>04/13/1984</t>
  </si>
  <si>
    <t>07-08-2021</t>
  </si>
  <si>
    <t>11/24/1971</t>
  </si>
  <si>
    <t>10 Apr 1976</t>
  </si>
  <si>
    <t>2023-05-07</t>
  </si>
  <si>
    <t>11/09/1973</t>
  </si>
  <si>
    <t>28/06/1988</t>
  </si>
  <si>
    <t>05/03/2022</t>
  </si>
  <si>
    <t>06/09/1971</t>
  </si>
  <si>
    <t>02/05/1990</t>
  </si>
  <si>
    <t>25/06/1982</t>
  </si>
  <si>
    <t>15/12/1970</t>
  </si>
  <si>
    <t>19 May 2021</t>
  </si>
  <si>
    <t>27 Aug 1986</t>
  </si>
  <si>
    <t>04/07/1973</t>
  </si>
  <si>
    <t>2023-02-20</t>
  </si>
  <si>
    <t>11/03/2000</t>
  </si>
  <si>
    <t>03/03/1996</t>
  </si>
  <si>
    <t>13/09/1990</t>
  </si>
  <si>
    <t>24/05/1976 00:00:00</t>
  </si>
  <si>
    <t>03/15/2020</t>
  </si>
  <si>
    <t>02/13/1980</t>
  </si>
  <si>
    <t>02/03/1996</t>
  </si>
  <si>
    <t>13/01/1997</t>
  </si>
  <si>
    <t>30/08/1989</t>
  </si>
  <si>
    <t>26/09/1975</t>
  </si>
  <si>
    <t>1989-05-13</t>
  </si>
  <si>
    <t>22/09/2020</t>
  </si>
  <si>
    <t>28/11/1986</t>
  </si>
  <si>
    <t>02-03-2021</t>
  </si>
  <si>
    <t>03/22/1988</t>
  </si>
  <si>
    <t>20/06/1983</t>
  </si>
  <si>
    <t>29/06/1989</t>
  </si>
  <si>
    <t>20/09/1995</t>
  </si>
  <si>
    <t>12/27/2022</t>
  </si>
  <si>
    <t>06 Apr 1982</t>
  </si>
  <si>
    <t>2024-05-27</t>
  </si>
  <si>
    <t>19 Jan 1970</t>
  </si>
  <si>
    <t>21/03/1983</t>
  </si>
  <si>
    <t>10/01/2022 00:00:00</t>
  </si>
  <si>
    <t>11/13/1982</t>
  </si>
  <si>
    <t>30/12/1978</t>
  </si>
  <si>
    <t>1987-02-16</t>
  </si>
  <si>
    <t>22/03/1978</t>
  </si>
  <si>
    <t>11/14/2024</t>
  </si>
  <si>
    <t>1989-10-28</t>
  </si>
  <si>
    <t>07/09/1991</t>
  </si>
  <si>
    <t>01/06/1989</t>
  </si>
  <si>
    <t>08/03/1993</t>
  </si>
  <si>
    <t>14/06/1999</t>
  </si>
  <si>
    <t>15/08/1972</t>
  </si>
  <si>
    <t>01/06/1979</t>
  </si>
  <si>
    <t>24/12/1976</t>
  </si>
  <si>
    <t>23/02/1985</t>
  </si>
  <si>
    <t>28/12/1990</t>
  </si>
  <si>
    <t>2022-09-04</t>
  </si>
  <si>
    <t>31/12/1991 00:00:00</t>
  </si>
  <si>
    <t>12-05-2021</t>
  </si>
  <si>
    <t>07/01/2000 00:00:00</t>
  </si>
  <si>
    <t>08 Aug 2000</t>
  </si>
  <si>
    <t>05/01/2023 00:00:00</t>
  </si>
  <si>
    <t>10/05/1979</t>
  </si>
  <si>
    <t>06 Jan 2021</t>
  </si>
  <si>
    <t>20/10/1984</t>
  </si>
  <si>
    <t>10/05/1984</t>
  </si>
  <si>
    <t>24/08/1981</t>
  </si>
  <si>
    <t>24/05/2022</t>
  </si>
  <si>
    <t>19/12/1988</t>
  </si>
  <si>
    <t>09/12/2024 00:00:00</t>
  </si>
  <si>
    <t>1978-02-14</t>
  </si>
  <si>
    <t>24/08/2000</t>
  </si>
  <si>
    <t>16 Sep 2022</t>
  </si>
  <si>
    <t>1991-04-26</t>
  </si>
  <si>
    <t>05 Nov 2024</t>
  </si>
  <si>
    <t>30/06/1976</t>
  </si>
  <si>
    <t>08/26/2023</t>
  </si>
  <si>
    <t>02-06-1992</t>
  </si>
  <si>
    <t>28-12-2021</t>
  </si>
  <si>
    <t>24/11/1977</t>
  </si>
  <si>
    <t>02/28/2023</t>
  </si>
  <si>
    <t>12/18/1982</t>
  </si>
  <si>
    <t>2022-08-16</t>
  </si>
  <si>
    <t>08/06/1989 00:00:00</t>
  </si>
  <si>
    <t>10/01/1970</t>
  </si>
  <si>
    <t>09/09/1996</t>
  </si>
  <si>
    <t>09/04/2021</t>
  </si>
  <si>
    <t>04/25/2024</t>
  </si>
  <si>
    <t>22/02/1985 00:00:00</t>
  </si>
  <si>
    <t>30-01-2024</t>
  </si>
  <si>
    <t>06-12-1989</t>
  </si>
  <si>
    <t>18-05-2023</t>
  </si>
  <si>
    <t>1998-10-01</t>
  </si>
  <si>
    <t>18/09/2021</t>
  </si>
  <si>
    <t>30/09/2021</t>
  </si>
  <si>
    <t>1982-01-18</t>
  </si>
  <si>
    <t>18/03/1993</t>
  </si>
  <si>
    <t>30/05/1981</t>
  </si>
  <si>
    <t>01/06/1996</t>
  </si>
  <si>
    <t>27/08/1993</t>
  </si>
  <si>
    <t>21/03/1996</t>
  </si>
  <si>
    <t>27/10/1985</t>
  </si>
  <si>
    <t>08/01/1981</t>
  </si>
  <si>
    <t>24/06/2020</t>
  </si>
  <si>
    <t>12/05/1972 00:00:00</t>
  </si>
  <si>
    <t>2024-02-17</t>
  </si>
  <si>
    <t>23/11/1973</t>
  </si>
  <si>
    <t>08-03-2022</t>
  </si>
  <si>
    <t>15/07/1987</t>
  </si>
  <si>
    <t>29/05/1988</t>
  </si>
  <si>
    <t>16/08/1990</t>
  </si>
  <si>
    <t>12/06/1982</t>
  </si>
  <si>
    <t>16/11/1982</t>
  </si>
  <si>
    <t>02 Feb 2024</t>
  </si>
  <si>
    <t>1999-04-15</t>
  </si>
  <si>
    <t>26-06-1973</t>
  </si>
  <si>
    <t>2024-06-28</t>
  </si>
  <si>
    <t>23/08/1988</t>
  </si>
  <si>
    <t>05-07-2024</t>
  </si>
  <si>
    <t>23-06-1988</t>
  </si>
  <si>
    <t>16/05/1987</t>
  </si>
  <si>
    <t>29/03/1979</t>
  </si>
  <si>
    <t>25/01/1994</t>
  </si>
  <si>
    <t>22-05-2024</t>
  </si>
  <si>
    <t>28/04/1972</t>
  </si>
  <si>
    <t>19/04/1998</t>
  </si>
  <si>
    <t>08-02-2022</t>
  </si>
  <si>
    <t>17-10-1988</t>
  </si>
  <si>
    <t>15 Nov 2020</t>
  </si>
  <si>
    <t>21/05/1975</t>
  </si>
  <si>
    <t>23/08/1973</t>
  </si>
  <si>
    <t>2023-05-08</t>
  </si>
  <si>
    <t>05/27/1970</t>
  </si>
  <si>
    <t>22/01/1989 00:00:00</t>
  </si>
  <si>
    <t>28/07/1986</t>
  </si>
  <si>
    <t>19/10/2023 00:00:00</t>
  </si>
  <si>
    <t>03 Mar 1996</t>
  </si>
  <si>
    <t>17/06/1989</t>
  </si>
  <si>
    <t>17/06/2022 00:00:00</t>
  </si>
  <si>
    <t>22 Feb 2022</t>
  </si>
  <si>
    <t>1997-12-02</t>
  </si>
  <si>
    <t>20 Oct 2023</t>
  </si>
  <si>
    <t>12/12/1984</t>
  </si>
  <si>
    <t>08/05/1974</t>
  </si>
  <si>
    <t>22/10/1996</t>
  </si>
  <si>
    <t>18/02/1992</t>
  </si>
  <si>
    <t>2024-02-06</t>
  </si>
  <si>
    <t>20/02/1991</t>
  </si>
  <si>
    <t>10-02-2022</t>
  </si>
  <si>
    <t>13-04-1974</t>
  </si>
  <si>
    <t>05/04/1975 00:00:00</t>
  </si>
  <si>
    <t>05/10/2024 00:00:00</t>
  </si>
  <si>
    <t>18/11/1994</t>
  </si>
  <si>
    <t>04/11/2022</t>
  </si>
  <si>
    <t>09/04/1979</t>
  </si>
  <si>
    <t>18/07/1972</t>
  </si>
  <si>
    <t>29 Sep 2021</t>
  </si>
  <si>
    <t>16092.95</t>
  </si>
  <si>
    <t>24-08-2023</t>
  </si>
  <si>
    <t>1986-08-23</t>
  </si>
  <si>
    <t>28/10/1982</t>
  </si>
  <si>
    <t>23/10/1984</t>
  </si>
  <si>
    <t>1976-04-05</t>
  </si>
  <si>
    <t>2020-04-27</t>
  </si>
  <si>
    <t>2000-06-23</t>
  </si>
  <si>
    <t>30 Dec 2022</t>
  </si>
  <si>
    <t>03/11/1986</t>
  </si>
  <si>
    <t>10/04/1989</t>
  </si>
  <si>
    <t>21-12-2024</t>
  </si>
  <si>
    <t>17/07/1979</t>
  </si>
  <si>
    <t>1991-03-28</t>
  </si>
  <si>
    <t>28/02/1983</t>
  </si>
  <si>
    <t>05/18/2022</t>
  </si>
  <si>
    <t>08/04/1978</t>
  </si>
  <si>
    <t>08/03/1973</t>
  </si>
  <si>
    <t>2023-05-23</t>
  </si>
  <si>
    <t>31/10/1996 00:00:00</t>
  </si>
  <si>
    <t>27/06/1996</t>
  </si>
  <si>
    <t>02/03/1976</t>
  </si>
  <si>
    <t>30 Jan 2023</t>
  </si>
  <si>
    <t>1984-10-17</t>
  </si>
  <si>
    <t>2022-03-03</t>
  </si>
  <si>
    <t>10/04/1972</t>
  </si>
  <si>
    <t>26/10/1993</t>
  </si>
  <si>
    <t>1991-03-10</t>
  </si>
  <si>
    <t>14/11/2020 00:00:00</t>
  </si>
  <si>
    <t>20 May 1983</t>
  </si>
  <si>
    <t>2023-10-26</t>
  </si>
  <si>
    <t>08-06-1989</t>
  </si>
  <si>
    <t>10/01/1972</t>
  </si>
  <si>
    <t>07/05/1997 00:00:00</t>
  </si>
  <si>
    <t>21/09/2022</t>
  </si>
  <si>
    <t>27/05/1982</t>
  </si>
  <si>
    <t>04 Sep 2022</t>
  </si>
  <si>
    <t>14 Feb 1983</t>
  </si>
  <si>
    <t>10/01/1991</t>
  </si>
  <si>
    <t>24 Aug 2021</t>
  </si>
  <si>
    <t>24-06-1976</t>
  </si>
  <si>
    <t>05/06/1979</t>
  </si>
  <si>
    <t>20 Nov 2021</t>
  </si>
  <si>
    <t>17/12/1999</t>
  </si>
  <si>
    <t>02/11/2022</t>
  </si>
  <si>
    <t>24/08/1971</t>
  </si>
  <si>
    <t>04/08/1980</t>
  </si>
  <si>
    <t>26/11/2022 00:00:00</t>
  </si>
  <si>
    <t>14/03/1974</t>
  </si>
  <si>
    <t>27-01-2024</t>
  </si>
  <si>
    <t>19/09/1997</t>
  </si>
  <si>
    <t>18/05/1983</t>
  </si>
  <si>
    <t>23/12/1996</t>
  </si>
  <si>
    <t>27-04-2021</t>
  </si>
  <si>
    <t>02-03-1980</t>
  </si>
  <si>
    <t>04/12/1977</t>
  </si>
  <si>
    <t>04/08/1970</t>
  </si>
  <si>
    <t>15-01-2024</t>
  </si>
  <si>
    <t>19/10/1976</t>
  </si>
  <si>
    <t>2021-08-13</t>
  </si>
  <si>
    <t>1988-12-28</t>
  </si>
  <si>
    <t>29-06-2021</t>
  </si>
  <si>
    <t>10/23/1972</t>
  </si>
  <si>
    <t>09/02/1987</t>
  </si>
  <si>
    <t>04/17/2022</t>
  </si>
  <si>
    <t>28/02/1982</t>
  </si>
  <si>
    <t>08/10/1986</t>
  </si>
  <si>
    <t>15/01/1994</t>
  </si>
  <si>
    <t>17/06/1990</t>
  </si>
  <si>
    <t>28/05/2021</t>
  </si>
  <si>
    <t>03/17/1981</t>
  </si>
  <si>
    <t>30/01/1972 00:00:00</t>
  </si>
  <si>
    <t>30/07/2022 00:00:00</t>
  </si>
  <si>
    <t>21/06/2000 00:00:00</t>
  </si>
  <si>
    <t>17/11/2000</t>
  </si>
  <si>
    <t>14-11-2023</t>
  </si>
  <si>
    <t>1988-09-07</t>
  </si>
  <si>
    <t>02/09/1973</t>
  </si>
  <si>
    <t>31/12/1999</t>
  </si>
  <si>
    <t>25/11/1985</t>
  </si>
  <si>
    <t>1974-04-13</t>
  </si>
  <si>
    <t>21/04/2022</t>
  </si>
  <si>
    <t>27/09/1987</t>
  </si>
  <si>
    <t>09-10-2023</t>
  </si>
  <si>
    <t>22 Jan 1980</t>
  </si>
  <si>
    <t>20/05/2021</t>
  </si>
  <si>
    <t>31/08/1979</t>
  </si>
  <si>
    <t>23/06/1989</t>
  </si>
  <si>
    <t>08/06/2020</t>
  </si>
  <si>
    <t>08/06/1999</t>
  </si>
  <si>
    <t>03/15/2021</t>
  </si>
  <si>
    <t>22/06/1975</t>
  </si>
  <si>
    <t>27/01/1976</t>
  </si>
  <si>
    <t>03/04/1997</t>
  </si>
  <si>
    <t>04-11-1982</t>
  </si>
  <si>
    <t>14/02/1985</t>
  </si>
  <si>
    <t>10/07/1997</t>
  </si>
  <si>
    <t>07/25/2023</t>
  </si>
  <si>
    <t>05/05/1979</t>
  </si>
  <si>
    <t>04/10/1999</t>
  </si>
  <si>
    <t>19/12/1989</t>
  </si>
  <si>
    <t>02/10/1985</t>
  </si>
  <si>
    <t>01/01/2022</t>
  </si>
  <si>
    <t>30/03/1982</t>
  </si>
  <si>
    <t>09-06-2024</t>
  </si>
  <si>
    <t>04/10/2021</t>
  </si>
  <si>
    <t>09/10/1970</t>
  </si>
  <si>
    <t>13/10/1981</t>
  </si>
  <si>
    <t>29/04/1992</t>
  </si>
  <si>
    <t>02/08/2020</t>
  </si>
  <si>
    <t>14-01-1997</t>
  </si>
  <si>
    <t>2022-01-23</t>
  </si>
  <si>
    <t>09/21/1973</t>
  </si>
  <si>
    <t>6703.89</t>
  </si>
  <si>
    <t>11/05/1987</t>
  </si>
  <si>
    <t>2024-05-20</t>
  </si>
  <si>
    <t>03/08/1973</t>
  </si>
  <si>
    <t>03/25/2022</t>
  </si>
  <si>
    <t>06/14/1982</t>
  </si>
  <si>
    <t>10/05/2022</t>
  </si>
  <si>
    <t>07/12/1977</t>
  </si>
  <si>
    <t>2023-06-04</t>
  </si>
  <si>
    <t>06/11/1993 00:00:00</t>
  </si>
  <si>
    <t>12/01/2020 00:00:00</t>
  </si>
  <si>
    <t>31/03/1978</t>
  </si>
  <si>
    <t>01-01-2021</t>
  </si>
  <si>
    <t>1982-10-25</t>
  </si>
  <si>
    <t>14/10/1978</t>
  </si>
  <si>
    <t>24/12/2020</t>
  </si>
  <si>
    <t>25/01/1999</t>
  </si>
  <si>
    <t>01/13/2024</t>
  </si>
  <si>
    <t>02-05-1987</t>
  </si>
  <si>
    <t>31/10/1982</t>
  </si>
  <si>
    <t>14/03/2020</t>
  </si>
  <si>
    <t>2021-08-08</t>
  </si>
  <si>
    <t>17/08/1987</t>
  </si>
  <si>
    <t>2022-07-17</t>
  </si>
  <si>
    <t>11/07/1997</t>
  </si>
  <si>
    <t>21/12/1999</t>
  </si>
  <si>
    <t>26/04/2000</t>
  </si>
  <si>
    <t>24/02/1997</t>
  </si>
  <si>
    <t>23/03/1995</t>
  </si>
  <si>
    <t>22/06/1973</t>
  </si>
  <si>
    <t>01/21/1973</t>
  </si>
  <si>
    <t>30-06-2023</t>
  </si>
  <si>
    <t>07/09/1992 00:00:00</t>
  </si>
  <si>
    <t>02/01/1973</t>
  </si>
  <si>
    <t>12/03/1970</t>
  </si>
  <si>
    <t>08/07/2020</t>
  </si>
  <si>
    <t>30/09/1972</t>
  </si>
  <si>
    <t>05/01/2024 00:00:00</t>
  </si>
  <si>
    <t>1998-08-29</t>
  </si>
  <si>
    <t>18-01-1970</t>
  </si>
  <si>
    <t>25/01/1991</t>
  </si>
  <si>
    <t>23 Aug 2022</t>
  </si>
  <si>
    <t>1997-12-30</t>
  </si>
  <si>
    <t>2023-02-28</t>
  </si>
  <si>
    <t>15/09/1973 00:00:00</t>
  </si>
  <si>
    <t>12-10-2023</t>
  </si>
  <si>
    <t>13-02-1979</t>
  </si>
  <si>
    <t>18/05/1987</t>
  </si>
  <si>
    <t>05/05/1992</t>
  </si>
  <si>
    <t>27/02/1985</t>
  </si>
  <si>
    <t>21-04-2024</t>
  </si>
  <si>
    <t>09/02/1987 00:00:00</t>
  </si>
  <si>
    <t>23/01/2023</t>
  </si>
  <si>
    <t>13/10/1977</t>
  </si>
  <si>
    <t>24/11/1979</t>
  </si>
  <si>
    <t>2022-02-04</t>
  </si>
  <si>
    <t>24 Aug 1985</t>
  </si>
  <si>
    <t>03/10/1997</t>
  </si>
  <si>
    <t>23/09/1987</t>
  </si>
  <si>
    <t>27 Aug 2023</t>
  </si>
  <si>
    <t>31/10/1976</t>
  </si>
  <si>
    <t>07/08/1975</t>
  </si>
  <si>
    <t>21/12/1993</t>
  </si>
  <si>
    <t>24/08/1998 00:00:00</t>
  </si>
  <si>
    <t>34516.31</t>
  </si>
  <si>
    <t>09/16/2020</t>
  </si>
  <si>
    <t>24-07-1987</t>
  </si>
  <si>
    <t>12/05/1992</t>
  </si>
  <si>
    <t>1979-10-26</t>
  </si>
  <si>
    <t>01 Dec 2024</t>
  </si>
  <si>
    <t>16-07-1994</t>
  </si>
  <si>
    <t>06 Mar 1999</t>
  </si>
  <si>
    <t>25 Jul 2023</t>
  </si>
  <si>
    <t>16-10-1990</t>
  </si>
  <si>
    <t>03/11/1980</t>
  </si>
  <si>
    <t>24/03/1974</t>
  </si>
  <si>
    <t>18-06-2024</t>
  </si>
  <si>
    <t>08-12-2021</t>
  </si>
  <si>
    <t>06/06/1985</t>
  </si>
  <si>
    <t>07-06-1985</t>
  </si>
  <si>
    <t>2024-02-14</t>
  </si>
  <si>
    <t>16/12/1999 00:00:00</t>
  </si>
  <si>
    <t>01/07/1980</t>
  </si>
  <si>
    <t>29/05/1976</t>
  </si>
  <si>
    <t>01/07/1999</t>
  </si>
  <si>
    <t>27 Nov 2024</t>
  </si>
  <si>
    <t>28/08/2023 00:00:00</t>
  </si>
  <si>
    <t>19/02/1997</t>
  </si>
  <si>
    <t>1996-08-19</t>
  </si>
  <si>
    <t>27 Jun 2023</t>
  </si>
  <si>
    <t>07-09-1996</t>
  </si>
  <si>
    <t>08/06/2021 00:00:00</t>
  </si>
  <si>
    <t>14 Aug 1998</t>
  </si>
  <si>
    <t>24/01/1994</t>
  </si>
  <si>
    <t>08 Jun 2021</t>
  </si>
  <si>
    <t>01/03/1977</t>
  </si>
  <si>
    <t>28/08/1980</t>
  </si>
  <si>
    <t>22/01/2021 00:00:00</t>
  </si>
  <si>
    <t>1971-01-15</t>
  </si>
  <si>
    <t>26-02-2022</t>
  </si>
  <si>
    <t>21/03/1975</t>
  </si>
  <si>
    <t>09 Jul 2024</t>
  </si>
  <si>
    <t>21 Apr 1986</t>
  </si>
  <si>
    <t>22/11/1977</t>
  </si>
  <si>
    <t>19/09/2021 00:00:00</t>
  </si>
  <si>
    <t>10/10/2021</t>
  </si>
  <si>
    <t>1995-01-24</t>
  </si>
  <si>
    <t>18/11/1998</t>
  </si>
  <si>
    <t>03/10/1975</t>
  </si>
  <si>
    <t>06/20/2024</t>
  </si>
  <si>
    <t>28/07/2021 00:00:00</t>
  </si>
  <si>
    <t>1978-12-23</t>
  </si>
  <si>
    <t>18/04/2020</t>
  </si>
  <si>
    <t>29/07/1993</t>
  </si>
  <si>
    <t>20/12/2022 00:00:00</t>
  </si>
  <si>
    <t>22/09/1978</t>
  </si>
  <si>
    <t>2022-09-22</t>
  </si>
  <si>
    <t>07 Dec 1984</t>
  </si>
  <si>
    <t>03/12/1996</t>
  </si>
  <si>
    <t>2024-03-03</t>
  </si>
  <si>
    <t>25-04-1994</t>
  </si>
  <si>
    <t>07 Apr 2023</t>
  </si>
  <si>
    <t>09/28/1984</t>
  </si>
  <si>
    <t>07-03-1999</t>
  </si>
  <si>
    <t>18/02/2024 00:00:00</t>
  </si>
  <si>
    <t>1994-06-01</t>
  </si>
  <si>
    <t>11/22/2022</t>
  </si>
  <si>
    <t>1976-01-09</t>
  </si>
  <si>
    <t>30-03-2020</t>
  </si>
  <si>
    <t>08 Apr 2024</t>
  </si>
  <si>
    <t>04/24/1997</t>
  </si>
  <si>
    <t>06/09/1980</t>
  </si>
  <si>
    <t>03/12/1977</t>
  </si>
  <si>
    <t>1986-09-28</t>
  </si>
  <si>
    <t>09/10/2021</t>
  </si>
  <si>
    <t>18/06/1993</t>
  </si>
  <si>
    <t>04/12/1986</t>
  </si>
  <si>
    <t>13-05-2020</t>
  </si>
  <si>
    <t>13-11-1997</t>
  </si>
  <si>
    <t>12/12/1988</t>
  </si>
  <si>
    <t>17/07/1984</t>
  </si>
  <si>
    <t>03/02/1994</t>
  </si>
  <si>
    <t>01/07/1983</t>
  </si>
  <si>
    <t>19/07/1986</t>
  </si>
  <si>
    <t>2023-04-19</t>
  </si>
  <si>
    <t>18-03-1998</t>
  </si>
  <si>
    <t>23-04-2022</t>
  </si>
  <si>
    <t>26-07-1975</t>
  </si>
  <si>
    <t>28/11/1991</t>
  </si>
  <si>
    <t>08/16/2024</t>
  </si>
  <si>
    <t>15/08/1990</t>
  </si>
  <si>
    <t>15/11/1987</t>
  </si>
  <si>
    <t>12/05/2000</t>
  </si>
  <si>
    <t>23/03/1986</t>
  </si>
  <si>
    <t>25/07/1994</t>
  </si>
  <si>
    <t>20/12/2024 00:00:00</t>
  </si>
  <si>
    <t>21-05-1980</t>
  </si>
  <si>
    <t>27/07/2024 00:00:00</t>
  </si>
  <si>
    <t>1988-07-21</t>
  </si>
  <si>
    <t>15/11/2022 00:00:00</t>
  </si>
  <si>
    <t>26/08/1993 00:00:00</t>
  </si>
  <si>
    <t>23/09/2022 00:00:00</t>
  </si>
  <si>
    <t>12/04/1987</t>
  </si>
  <si>
    <t>10/27/2024</t>
  </si>
  <si>
    <t>23/07/1974</t>
  </si>
  <si>
    <t>2023-07-15</t>
  </si>
  <si>
    <t>25/09/1997 00:00:00</t>
  </si>
  <si>
    <t>12/27/2023</t>
  </si>
  <si>
    <t>11/01/1979 00:00:00</t>
  </si>
  <si>
    <t>09/11/1984</t>
  </si>
  <si>
    <t>27/05/1991</t>
  </si>
  <si>
    <t>07/07/1997</t>
  </si>
  <si>
    <t>28/07/1973</t>
  </si>
  <si>
    <t>23/06/1975</t>
  </si>
  <si>
    <t>24 Apr 2022</t>
  </si>
  <si>
    <t>15/05/1988</t>
  </si>
  <si>
    <t>01/07/2020</t>
  </si>
  <si>
    <t>16/07/1998</t>
  </si>
  <si>
    <t>12/01/1982</t>
  </si>
  <si>
    <t>29/09/1985</t>
  </si>
  <si>
    <t>24 Aug 1979</t>
  </si>
  <si>
    <t>1984-12-19</t>
  </si>
  <si>
    <t>28/01/1988</t>
  </si>
  <si>
    <t>20/11/1976</t>
  </si>
  <si>
    <t>05/04/1985</t>
  </si>
  <si>
    <t>12/01/2023 00:00:00</t>
  </si>
  <si>
    <t>22 Jul 1991</t>
  </si>
  <si>
    <t>26/02/2000</t>
  </si>
  <si>
    <t>15/02/1996</t>
  </si>
  <si>
    <t>14/10/1999</t>
  </si>
  <si>
    <t>22 Dec 2023</t>
  </si>
  <si>
    <t>25 Jan 1994</t>
  </si>
  <si>
    <t>17/10/1997</t>
  </si>
  <si>
    <t>31/03/1986</t>
  </si>
  <si>
    <t>10/11/1990</t>
  </si>
  <si>
    <t>09/01/1985</t>
  </si>
  <si>
    <t>01/01/1977</t>
  </si>
  <si>
    <t>2023-07-02</t>
  </si>
  <si>
    <t>25/08/1993</t>
  </si>
  <si>
    <t>26/05/1977</t>
  </si>
  <si>
    <t>17/10/1978</t>
  </si>
  <si>
    <t>08/29/2024</t>
  </si>
  <si>
    <t>07/10/1996</t>
  </si>
  <si>
    <t>2024-02-12</t>
  </si>
  <si>
    <t>08 Nov 1974</t>
  </si>
  <si>
    <t>26/02/2024 00:00:00</t>
  </si>
  <si>
    <t>12 May 1993</t>
  </si>
  <si>
    <t>02/21/2022</t>
  </si>
  <si>
    <t>1994-02-03</t>
  </si>
  <si>
    <t>19-07-2021</t>
  </si>
  <si>
    <t>07 Jul 1970</t>
  </si>
  <si>
    <t>10/07/2024 00:00:00</t>
  </si>
  <si>
    <t>12/02/1970 00:00:00</t>
  </si>
  <si>
    <t>23/02/1980</t>
  </si>
  <si>
    <t>29 Apr 2023</t>
  </si>
  <si>
    <t>29/09/1995</t>
  </si>
  <si>
    <t>17/04/1985</t>
  </si>
  <si>
    <t>27/05/1980</t>
  </si>
  <si>
    <t>2021-12-20</t>
  </si>
  <si>
    <t>1985-06-26</t>
  </si>
  <si>
    <t>10/05/1990</t>
  </si>
  <si>
    <t>20/09/1972</t>
  </si>
  <si>
    <t>03/04/1975</t>
  </si>
  <si>
    <t>20/07/1988</t>
  </si>
  <si>
    <t>21/10/1976</t>
  </si>
  <si>
    <t>14-08-2022</t>
  </si>
  <si>
    <t>19/06/1990 00:00:00</t>
  </si>
  <si>
    <t>30/04/1972</t>
  </si>
  <si>
    <t>01/03/1980</t>
  </si>
  <si>
    <t>25/01/2023 00:00:00</t>
  </si>
  <si>
    <t>25 Jun 1971</t>
  </si>
  <si>
    <t>16/04/1970</t>
  </si>
  <si>
    <t>21/10/1987 00:00:00</t>
  </si>
  <si>
    <t>04/03/1991</t>
  </si>
  <si>
    <t>2021-12-08</t>
  </si>
  <si>
    <t>26/11/1995</t>
  </si>
  <si>
    <t>28840.88</t>
  </si>
  <si>
    <t>21/07/2000</t>
  </si>
  <si>
    <t>24/06/2023 00:00:00</t>
  </si>
  <si>
    <t>11 Feb 1983</t>
  </si>
  <si>
    <t>01 Nov 2022</t>
  </si>
  <si>
    <t>19/09/1985</t>
  </si>
  <si>
    <t>29/12/1984</t>
  </si>
  <si>
    <t>31/08/1980</t>
  </si>
  <si>
    <t>02/07/1998</t>
  </si>
  <si>
    <t>06/12/1971</t>
  </si>
  <si>
    <t>14/12/1972</t>
  </si>
  <si>
    <t>23/04/2024</t>
  </si>
  <si>
    <t>04/07/1988</t>
  </si>
  <si>
    <t>16/01/1992</t>
  </si>
  <si>
    <t>11/02/1990</t>
  </si>
  <si>
    <t>03 May 1977</t>
  </si>
  <si>
    <t>13 Nov 1989</t>
  </si>
  <si>
    <t>21 Jun 2023</t>
  </si>
  <si>
    <t>27/06/1990</t>
  </si>
  <si>
    <t>04-11-1976</t>
  </si>
  <si>
    <t>18/07/1984</t>
  </si>
  <si>
    <t>16/12/1970</t>
  </si>
  <si>
    <t>19-07-2024</t>
  </si>
  <si>
    <t>05/22/1989</t>
  </si>
  <si>
    <t>09/08/2024 00:00:00</t>
  </si>
  <si>
    <t>1973-06-21</t>
  </si>
  <si>
    <t>25/09/2024 00:00:00</t>
  </si>
  <si>
    <t>19-06-1992</t>
  </si>
  <si>
    <t>20/01/1972</t>
  </si>
  <si>
    <t>01 Jan 2021</t>
  </si>
  <si>
    <t>20 Aug 1998</t>
  </si>
  <si>
    <t>1996-11-04</t>
  </si>
  <si>
    <t>09/14/2024</t>
  </si>
  <si>
    <t>10/03/1972</t>
  </si>
  <si>
    <t>13/07/2021</t>
  </si>
  <si>
    <t>03/18/1992</t>
  </si>
  <si>
    <t>30/01/2020</t>
  </si>
  <si>
    <t>06/05/1985</t>
  </si>
  <si>
    <t>02/09/2023 00:00:00</t>
  </si>
  <si>
    <t>23/01/1976</t>
  </si>
  <si>
    <t>23/05/2023 00:00:00</t>
  </si>
  <si>
    <t>09-10-1974</t>
  </si>
  <si>
    <t>25/03/2020</t>
  </si>
  <si>
    <t>19 Sep 1975</t>
  </si>
  <si>
    <t>2021-09-17</t>
  </si>
  <si>
    <t>16-07-1970</t>
  </si>
  <si>
    <t>30/04/2024 00:00:00</t>
  </si>
  <si>
    <t>22/09/1990</t>
  </si>
  <si>
    <t>16/07/2022</t>
  </si>
  <si>
    <t>29/10/1973</t>
  </si>
  <si>
    <t>07/13/2022</t>
  </si>
  <si>
    <t>05/07/1999</t>
  </si>
  <si>
    <t>25 Jun 2022</t>
  </si>
  <si>
    <t>1973-11-08</t>
  </si>
  <si>
    <t>07/02/1973</t>
  </si>
  <si>
    <t>21/08/1979</t>
  </si>
  <si>
    <t>19/11/2021</t>
  </si>
  <si>
    <t>23/02/1988</t>
  </si>
  <si>
    <t>23-07-2023</t>
  </si>
  <si>
    <t>17 Feb 2021</t>
  </si>
  <si>
    <t>09/01/1982 00:00:00</t>
  </si>
  <si>
    <t>24 Mar 2022</t>
  </si>
  <si>
    <t>06/04/1980</t>
  </si>
  <si>
    <t>27-02-2022</t>
  </si>
  <si>
    <t>08 Jul 1997</t>
  </si>
  <si>
    <t>13/10/1984</t>
  </si>
  <si>
    <t>03/09/2024</t>
  </si>
  <si>
    <t>11/02/1976</t>
  </si>
  <si>
    <t>22/12/1998</t>
  </si>
  <si>
    <t>26 Oct 2022</t>
  </si>
  <si>
    <t>08/10/1976</t>
  </si>
  <si>
    <t>26/10/2020</t>
  </si>
  <si>
    <t>05 Jun 2023</t>
  </si>
  <si>
    <t>1999-11-16</t>
  </si>
  <si>
    <t>11/04/1986 00:00:00</t>
  </si>
  <si>
    <t>22/04/1971</t>
  </si>
  <si>
    <t>03 May 2024</t>
  </si>
  <si>
    <t>07/09/1990 00:00:00</t>
  </si>
  <si>
    <t>03/07/1972</t>
  </si>
  <si>
    <t>2023-03-01</t>
  </si>
  <si>
    <t>1988-07-02</t>
  </si>
  <si>
    <t>04/21/2023</t>
  </si>
  <si>
    <t>1987-07-25</t>
  </si>
  <si>
    <t>05-10-2024</t>
  </si>
  <si>
    <t>12/05/1971</t>
  </si>
  <si>
    <t>12/02/2023 00:00:00</t>
  </si>
  <si>
    <t>2023-03-24</t>
  </si>
  <si>
    <t>26/12/1991</t>
  </si>
  <si>
    <t>30/03/2021</t>
  </si>
  <si>
    <t>01/05/1979</t>
  </si>
  <si>
    <t>1979-12-02</t>
  </si>
  <si>
    <t>25/06/1975</t>
  </si>
  <si>
    <t>12/07/1998</t>
  </si>
  <si>
    <t>03/13/1975</t>
  </si>
  <si>
    <t>09/12/1993</t>
  </si>
  <si>
    <t>28/09/2024 00:00:00</t>
  </si>
  <si>
    <t>04/08/1995</t>
  </si>
  <si>
    <t>26/02/1973 00:00:00</t>
  </si>
  <si>
    <t>14/07/1980</t>
  </si>
  <si>
    <t>10/01/1984</t>
  </si>
  <si>
    <t>01/12/2022 00:00:00</t>
  </si>
  <si>
    <t>02 Jun 1980</t>
  </si>
  <si>
    <t>28-01-2024</t>
  </si>
  <si>
    <t>23/09/1990 00:00:00</t>
  </si>
  <si>
    <t>23/09/1978</t>
  </si>
  <si>
    <t>09/06/1999</t>
  </si>
  <si>
    <t>06/12/1984</t>
  </si>
  <si>
    <t>15/01/2022 00:00:00</t>
  </si>
  <si>
    <t>22-04-1993</t>
  </si>
  <si>
    <t>10/11/1998</t>
  </si>
  <si>
    <t>04/05/1977</t>
  </si>
  <si>
    <t>07/02/1999</t>
  </si>
  <si>
    <t>13/10/1990</t>
  </si>
  <si>
    <t>15/06/2023</t>
  </si>
  <si>
    <t>29/02/1976</t>
  </si>
  <si>
    <t>25 Nov 2020</t>
  </si>
  <si>
    <t>03/01/1988</t>
  </si>
  <si>
    <t>26/09/1986 00:00:00</t>
  </si>
  <si>
    <t>12/16/2024</t>
  </si>
  <si>
    <t>12/17/1987</t>
  </si>
  <si>
    <t>28-11-2023</t>
  </si>
  <si>
    <t>07-12-2021</t>
  </si>
  <si>
    <t>1982-12-19</t>
  </si>
  <si>
    <t>20 Jun 2023</t>
  </si>
  <si>
    <t>16 Sep 1998</t>
  </si>
  <si>
    <t>31/08/1985</t>
  </si>
  <si>
    <t>19/05/1983</t>
  </si>
  <si>
    <t>11-05-2022</t>
  </si>
  <si>
    <t>29 Nov 1981</t>
  </si>
  <si>
    <t>12/12/1976</t>
  </si>
  <si>
    <t>09/05/1997</t>
  </si>
  <si>
    <t>22/04/1981</t>
  </si>
  <si>
    <t>02/10/1997</t>
  </si>
  <si>
    <t>28/01/1996</t>
  </si>
  <si>
    <t>08/05/2022</t>
  </si>
  <si>
    <t>22/02/1993</t>
  </si>
  <si>
    <t>13/08/2020</t>
  </si>
  <si>
    <t>15/04/2000</t>
  </si>
  <si>
    <t>02/08/1973</t>
  </si>
  <si>
    <t>08/07/1997</t>
  </si>
  <si>
    <t>23-01-2022</t>
  </si>
  <si>
    <t>17-11-1980</t>
  </si>
  <si>
    <t>1990-02-18</t>
  </si>
  <si>
    <t>26/04/1990</t>
  </si>
  <si>
    <t>2023-03-06</t>
  </si>
  <si>
    <t>20/08/1977</t>
  </si>
  <si>
    <t>18 Aug 2024</t>
  </si>
  <si>
    <t>22/05/2020 00:00:00</t>
  </si>
  <si>
    <t>05/02/1993 00:00:00</t>
  </si>
  <si>
    <t>04/08/2020</t>
  </si>
  <si>
    <t>02/04/1977</t>
  </si>
  <si>
    <t>10/02/1980</t>
  </si>
  <si>
    <t>21/03/2000</t>
  </si>
  <si>
    <t>2023-06-13</t>
  </si>
  <si>
    <t>02/02/1987</t>
  </si>
  <si>
    <t>2021-02-01</t>
  </si>
  <si>
    <t>30-04-1990</t>
  </si>
  <si>
    <t>31/03/1991</t>
  </si>
  <si>
    <t>26/10/1982</t>
  </si>
  <si>
    <t>24/03/1986</t>
  </si>
  <si>
    <t>04/06/2021 00:00:00</t>
  </si>
  <si>
    <t>29 Mar 1988</t>
  </si>
  <si>
    <t>12/21/2023</t>
  </si>
  <si>
    <t>21/11/1977 00:00:00</t>
  </si>
  <si>
    <t>06-06-2022</t>
  </si>
  <si>
    <t>2020-06-02</t>
  </si>
  <si>
    <t>26/10/1987</t>
  </si>
  <si>
    <t>22/04/1982</t>
  </si>
  <si>
    <t>2023-04-16</t>
  </si>
  <si>
    <t>29-07-1994</t>
  </si>
  <si>
    <t>31 Jul 2020</t>
  </si>
  <si>
    <t>07/03/1994</t>
  </si>
  <si>
    <t>12 May 2024</t>
  </si>
  <si>
    <t>1977-11-14</t>
  </si>
  <si>
    <t>15/04/1971</t>
  </si>
  <si>
    <t>25/10/2000</t>
  </si>
  <si>
    <t>19/04/1981</t>
  </si>
  <si>
    <t>05/09/1983</t>
  </si>
  <si>
    <t>09/07/1989</t>
  </si>
  <si>
    <t>24 Oct 2022</t>
  </si>
  <si>
    <t>16/09/1999 00:00:00</t>
  </si>
  <si>
    <t>29/07/1970</t>
  </si>
  <si>
    <t>15/07/1983</t>
  </si>
  <si>
    <t>22/03/1993</t>
  </si>
  <si>
    <t>26/02/1993</t>
  </si>
  <si>
    <t>30/12/1984</t>
  </si>
  <si>
    <t>10/01/2022</t>
  </si>
  <si>
    <t>16/08/1970</t>
  </si>
  <si>
    <t>10 Aug 2024</t>
  </si>
  <si>
    <t>08 Jan 1996</t>
  </si>
  <si>
    <t>31-03-2024</t>
  </si>
  <si>
    <t>14-08-1997</t>
  </si>
  <si>
    <t>28-10-2021</t>
  </si>
  <si>
    <t>03/06/1982</t>
  </si>
  <si>
    <t>18/05/1985</t>
  </si>
  <si>
    <t>23/04/1988</t>
  </si>
  <si>
    <t>06/22/2021</t>
  </si>
  <si>
    <t>1996-01-03</t>
  </si>
  <si>
    <t>30 Dec 2023</t>
  </si>
  <si>
    <t>1998-10-14</t>
  </si>
  <si>
    <t>23/12/2023 00:00:00</t>
  </si>
  <si>
    <t>13-03-1994</t>
  </si>
  <si>
    <t>29/07/1979</t>
  </si>
  <si>
    <t>25/10/2023</t>
  </si>
  <si>
    <t>05/01/1980</t>
  </si>
  <si>
    <t>28 Apr 2024</t>
  </si>
  <si>
    <t>03-09-1993</t>
  </si>
  <si>
    <t>09/02/1985</t>
  </si>
  <si>
    <t>04/05/1978</t>
  </si>
  <si>
    <t>04/11/1989</t>
  </si>
  <si>
    <t>08-08-2020</t>
  </si>
  <si>
    <t>08/12/1972</t>
  </si>
  <si>
    <t>2022-09-10</t>
  </si>
  <si>
    <t>18/09/1993</t>
  </si>
  <si>
    <t>18-03-2022</t>
  </si>
  <si>
    <t>02/10/1980 00:00:00</t>
  </si>
  <si>
    <t>2022-05-01</t>
  </si>
  <si>
    <t>17/08/1992 00:00:00</t>
  </si>
  <si>
    <t>23/06/1999</t>
  </si>
  <si>
    <t>23/02/1973</t>
  </si>
  <si>
    <t>30-06-2024</t>
  </si>
  <si>
    <t>21 Nov 1990</t>
  </si>
  <si>
    <t>1986-05-27</t>
  </si>
  <si>
    <t>09/11/1971</t>
  </si>
  <si>
    <t>18/02/1978</t>
  </si>
  <si>
    <t>2024-02-02</t>
  </si>
  <si>
    <t>1994-04-25</t>
  </si>
  <si>
    <t>28/02/1975</t>
  </si>
  <si>
    <t>29/04/1977</t>
  </si>
  <si>
    <t>28/07/2022 00:00:00</t>
  </si>
  <si>
    <t>1971-11-28</t>
  </si>
  <si>
    <t>14/12/2020</t>
  </si>
  <si>
    <t>23-09-2022</t>
  </si>
  <si>
    <t>12-05-1984</t>
  </si>
  <si>
    <t>05/12/1975</t>
  </si>
  <si>
    <t>25 Sep 2022</t>
  </si>
  <si>
    <t>23/07/1988</t>
  </si>
  <si>
    <t>10/04/2024</t>
  </si>
  <si>
    <t>07/18/2000</t>
  </si>
  <si>
    <t>05/25/2023</t>
  </si>
  <si>
    <t>07/23/1985</t>
  </si>
  <si>
    <t>31 Aug 2022</t>
  </si>
  <si>
    <t>07/09/1989</t>
  </si>
  <si>
    <t>01/12/1994</t>
  </si>
  <si>
    <t>04/03/1970</t>
  </si>
  <si>
    <t>06/02/1973</t>
  </si>
  <si>
    <t>17/02/1971</t>
  </si>
  <si>
    <t>03/02/1996</t>
  </si>
  <si>
    <t>17/01/2024 00:00:00</t>
  </si>
  <si>
    <t>03/04/1982</t>
  </si>
  <si>
    <t>15/01/2021 00:00:00</t>
  </si>
  <si>
    <t>09 Oct 2024</t>
  </si>
  <si>
    <t>20-01-1998</t>
  </si>
  <si>
    <t>04/06/1986</t>
  </si>
  <si>
    <t>06/10/2023</t>
  </si>
  <si>
    <t>11/05/1983</t>
  </si>
  <si>
    <t>25/09/2020</t>
  </si>
  <si>
    <t>16/02/1978</t>
  </si>
  <si>
    <t>02-09-2024</t>
  </si>
  <si>
    <t>08-07-1996</t>
  </si>
  <si>
    <t>02-12-2023</t>
  </si>
  <si>
    <t>1987-05-16</t>
  </si>
  <si>
    <t>2022-08-15</t>
  </si>
  <si>
    <t>1992-03-18</t>
  </si>
  <si>
    <t>2021-10-01</t>
  </si>
  <si>
    <t>06/09/1986</t>
  </si>
  <si>
    <t>19/10/1979</t>
  </si>
  <si>
    <t>26/02/1989</t>
  </si>
  <si>
    <t>28/12/2024 00:00:00</t>
  </si>
  <si>
    <t>1995-10-27</t>
  </si>
  <si>
    <t>07/06/1998</t>
  </si>
  <si>
    <t>11/01/1971</t>
  </si>
  <si>
    <t>06/07/2000</t>
  </si>
  <si>
    <t>22 Feb 1981</t>
  </si>
  <si>
    <t>15 May 2022</t>
  </si>
  <si>
    <t>27-10-1997</t>
  </si>
  <si>
    <t>18/07/1992</t>
  </si>
  <si>
    <t>01/11/1981</t>
  </si>
  <si>
    <t>01/05/1997</t>
  </si>
  <si>
    <t>2023-07-16</t>
  </si>
  <si>
    <t>14 Mar 1993</t>
  </si>
  <si>
    <t>27/07/1993</t>
  </si>
  <si>
    <t>02/08/1989</t>
  </si>
  <si>
    <t>19/09/2020</t>
  </si>
  <si>
    <t>24/07/1975</t>
  </si>
  <si>
    <t>14/05/1971</t>
  </si>
  <si>
    <t>09/04/1975</t>
  </si>
  <si>
    <t>12/09/1982</t>
  </si>
  <si>
    <t>28/05/1978</t>
  </si>
  <si>
    <t>09-11-2020</t>
  </si>
  <si>
    <t>22/12/1985</t>
  </si>
  <si>
    <t>23/10/2020 00:00:00</t>
  </si>
  <si>
    <t>29/06/1990 00:00:00</t>
  </si>
  <si>
    <t>02 Nov 2023</t>
  </si>
  <si>
    <t>06 Jul 1973</t>
  </si>
  <si>
    <t>02/01/2021</t>
  </si>
  <si>
    <t>11/11/1999</t>
  </si>
  <si>
    <t>2022-08-20</t>
  </si>
  <si>
    <t>05/23/1989</t>
  </si>
  <si>
    <t>06/06/2024</t>
  </si>
  <si>
    <t>30/04/1982</t>
  </si>
  <si>
    <t>31/08/2023 00:00:00</t>
  </si>
  <si>
    <t>25/11/1989</t>
  </si>
  <si>
    <t>08/07/1987</t>
  </si>
  <si>
    <t>13/05/1993</t>
  </si>
  <si>
    <t>26/08/1990</t>
  </si>
  <si>
    <t>2022-11-05</t>
  </si>
  <si>
    <t>1981-11-03</t>
  </si>
  <si>
    <t>15 Aug 2023</t>
  </si>
  <si>
    <t>20/03/1981</t>
  </si>
  <si>
    <t>2023-08-22</t>
  </si>
  <si>
    <t>11/24/1982</t>
  </si>
  <si>
    <t>2020-04-23</t>
  </si>
  <si>
    <t>11/01/1979</t>
  </si>
  <si>
    <t>31-08-2022</t>
  </si>
  <si>
    <t>30/07/1972</t>
  </si>
  <si>
    <t>31/01/1978</t>
  </si>
  <si>
    <t>02-08-2020</t>
  </si>
  <si>
    <t>03 Nov 1984</t>
  </si>
  <si>
    <t>26/02/2023 00:00:00</t>
  </si>
  <si>
    <t>09/23/1995</t>
  </si>
  <si>
    <t>29 Apr 2024</t>
  </si>
  <si>
    <t>23/03/1990</t>
  </si>
  <si>
    <t>2024-11-17</t>
  </si>
  <si>
    <t>16/05/1971</t>
  </si>
  <si>
    <t>29/05/1992</t>
  </si>
  <si>
    <t>2023-09-09</t>
  </si>
  <si>
    <t>28-03-1992</t>
  </si>
  <si>
    <t>29/03/1986</t>
  </si>
  <si>
    <t>26/09/1999</t>
  </si>
  <si>
    <t>08/03/2021</t>
  </si>
  <si>
    <t>26/01/1975</t>
  </si>
  <si>
    <t>23 Oct 2022</t>
  </si>
  <si>
    <t>10/07/1975</t>
  </si>
  <si>
    <t>09/10/1998</t>
  </si>
  <si>
    <t>15/07/1991</t>
  </si>
  <si>
    <t>2023-09-19</t>
  </si>
  <si>
    <t>10-05-1989</t>
  </si>
  <si>
    <t>07/07/1983</t>
  </si>
  <si>
    <t>21/03/1990</t>
  </si>
  <si>
    <t>19/03/1982</t>
  </si>
  <si>
    <t>2022-06-14</t>
  </si>
  <si>
    <t>05-06-1979</t>
  </si>
  <si>
    <t>28/12/1991</t>
  </si>
  <si>
    <t>2020-12-04</t>
  </si>
  <si>
    <t>09/04/1972</t>
  </si>
  <si>
    <t>29/03/2021</t>
  </si>
  <si>
    <t>04-03-2022</t>
  </si>
  <si>
    <t>08/08/1978</t>
  </si>
  <si>
    <t>16/02/1982</t>
  </si>
  <si>
    <t>15 Sep 2022</t>
  </si>
  <si>
    <t>13-01-1993</t>
  </si>
  <si>
    <t>14/11/1995</t>
  </si>
  <si>
    <t>01/10/2022</t>
  </si>
  <si>
    <t>03/02/1977</t>
  </si>
  <si>
    <t>29/03/1999</t>
  </si>
  <si>
    <t>13/02/1992</t>
  </si>
  <si>
    <t>29/06/1980</t>
  </si>
  <si>
    <t>13/06/1991</t>
  </si>
  <si>
    <t>31-10-2023</t>
  </si>
  <si>
    <t>1978-05-24</t>
  </si>
  <si>
    <t>16/11/1978</t>
  </si>
  <si>
    <t>07/02/1986</t>
  </si>
  <si>
    <t>19/07/1988</t>
  </si>
  <si>
    <t>10/06/1970</t>
  </si>
  <si>
    <t>2024-03-29</t>
  </si>
  <si>
    <t>14 Sep 2021</t>
  </si>
  <si>
    <t>12/11/1976 00:00:00</t>
  </si>
  <si>
    <t>05/24/2024</t>
  </si>
  <si>
    <t>1995-06-23</t>
  </si>
  <si>
    <t>11/01/2020</t>
  </si>
  <si>
    <t>14/03/1983</t>
  </si>
  <si>
    <t>10/26/2023</t>
  </si>
  <si>
    <t>12/11/1994 00:00:00</t>
  </si>
  <si>
    <t>15/11/1971</t>
  </si>
  <si>
    <t>24-04-2024</t>
  </si>
  <si>
    <t>04/08/1984</t>
  </si>
  <si>
    <t>2022-08-04</t>
  </si>
  <si>
    <t>1990-06-17</t>
  </si>
  <si>
    <t>12/03/1990</t>
  </si>
  <si>
    <t>21/12/1970</t>
  </si>
  <si>
    <t>12-01-2022</t>
  </si>
  <si>
    <t>08/12/1983</t>
  </si>
  <si>
    <t>10-07-1992</t>
  </si>
  <si>
    <t>1993-08-28</t>
  </si>
  <si>
    <t>17/04/1991</t>
  </si>
  <si>
    <t>05/12/1991</t>
  </si>
  <si>
    <t>10/05/1976</t>
  </si>
  <si>
    <t>10/09/1972</t>
  </si>
  <si>
    <t>13/03/1998</t>
  </si>
  <si>
    <t>18/08/1981</t>
  </si>
  <si>
    <t>16/05/1972</t>
  </si>
  <si>
    <t>17/09/1972</t>
  </si>
  <si>
    <t>04/09/1986</t>
  </si>
  <si>
    <t>04/03/1989</t>
  </si>
  <si>
    <t>19/04/2020</t>
  </si>
  <si>
    <t>07/19/2022</t>
  </si>
  <si>
    <t>01 Feb 1985</t>
  </si>
  <si>
    <t>28 Oct 2023</t>
  </si>
  <si>
    <t>1985-12-29</t>
  </si>
  <si>
    <t>1993-05-31</t>
  </si>
  <si>
    <t>04/11/1999</t>
  </si>
  <si>
    <t>05/01/1970</t>
  </si>
  <si>
    <t>2023-11-26</t>
  </si>
  <si>
    <t>03-07-1984</t>
  </si>
  <si>
    <t>17/07/1972</t>
  </si>
  <si>
    <t>25/12/2022 00:00:00</t>
  </si>
  <si>
    <t>27-09-1991</t>
  </si>
  <si>
    <t>23/02/1990</t>
  </si>
  <si>
    <t>10/11/1973</t>
  </si>
  <si>
    <t>12 Jun 2023</t>
  </si>
  <si>
    <t>20 Sep 1979</t>
  </si>
  <si>
    <t>02-01-2022</t>
  </si>
  <si>
    <t>18 Feb 1983</t>
  </si>
  <si>
    <t>13/02/1994</t>
  </si>
  <si>
    <t>15/06/1989</t>
  </si>
  <si>
    <t>26/06/1993</t>
  </si>
  <si>
    <t>29/08/2023</t>
  </si>
  <si>
    <t>07/10/1977</t>
  </si>
  <si>
    <t>22/03/2024 00:00:00</t>
  </si>
  <si>
    <t>1975-07-03</t>
  </si>
  <si>
    <t>07/12/2024</t>
  </si>
  <si>
    <t>05/12/1981</t>
  </si>
  <si>
    <t>29/09/1989</t>
  </si>
  <si>
    <t>29/09/1998</t>
  </si>
  <si>
    <t>15/03/2023 00:00:00</t>
  </si>
  <si>
    <t>12/30/1990</t>
  </si>
  <si>
    <t>10 Feb 2020</t>
  </si>
  <si>
    <t>13/11/1974</t>
  </si>
  <si>
    <t>20-04-1997</t>
  </si>
  <si>
    <t>19/05/1989</t>
  </si>
  <si>
    <t>24 Jan 2022</t>
  </si>
  <si>
    <t>03/07/1975 00:00:00</t>
  </si>
  <si>
    <t>11/07/1990</t>
  </si>
  <si>
    <t>30/04/2000</t>
  </si>
  <si>
    <t>11/09/1977</t>
  </si>
  <si>
    <t>28/05/2023 00:00:00</t>
  </si>
  <si>
    <t>18/06/1978</t>
  </si>
  <si>
    <t>07/05/1983</t>
  </si>
  <si>
    <t>27/08/2023 00:00:00</t>
  </si>
  <si>
    <t>02/05/1971</t>
  </si>
  <si>
    <t>06/11/1998</t>
  </si>
  <si>
    <t>05/02/2021</t>
  </si>
  <si>
    <t>05/07/1985</t>
  </si>
  <si>
    <t>05 Jul 2023</t>
  </si>
  <si>
    <t>18-02-1984</t>
  </si>
  <si>
    <t>02 Sep 1987</t>
  </si>
  <si>
    <t>14-08-2024</t>
  </si>
  <si>
    <t>22/08/1970</t>
  </si>
  <si>
    <t>28/09/1994</t>
  </si>
  <si>
    <t>11/29/2022</t>
  </si>
  <si>
    <t>11 Jun 2022</t>
  </si>
  <si>
    <t>11/04/2024 00:00:00</t>
  </si>
  <si>
    <t>14 Nov 2021</t>
  </si>
  <si>
    <t>26 Dec 1978</t>
  </si>
  <si>
    <t>24-07-2022</t>
  </si>
  <si>
    <t>01/05/1989 00:00:00</t>
  </si>
  <si>
    <t>28/02/1989</t>
  </si>
  <si>
    <t>06/06/1977</t>
  </si>
  <si>
    <t>13/07/1994</t>
  </si>
  <si>
    <t>10/01/1981</t>
  </si>
  <si>
    <t>21/02/2021</t>
  </si>
  <si>
    <t>02 May 1998</t>
  </si>
  <si>
    <t>02/12/1997</t>
  </si>
  <si>
    <t>28/08/1998</t>
  </si>
  <si>
    <t>06/28/1971</t>
  </si>
  <si>
    <t>19/08/1979</t>
  </si>
  <si>
    <t>02/02/1976 00:00:00</t>
  </si>
  <si>
    <t>22/03/2000</t>
  </si>
  <si>
    <t>09/07/1988</t>
  </si>
  <si>
    <t>04 Dec 2022</t>
  </si>
  <si>
    <t>12/03/1983 00:00:00</t>
  </si>
  <si>
    <t>18/07/1994</t>
  </si>
  <si>
    <t>10/10/1985</t>
  </si>
  <si>
    <t>11/05/1994</t>
  </si>
  <si>
    <t>10/09/1989</t>
  </si>
  <si>
    <t>08/12/1990</t>
  </si>
  <si>
    <t>26/03/1991</t>
  </si>
  <si>
    <t>26-05-2023</t>
  </si>
  <si>
    <t>1982-05-18</t>
  </si>
  <si>
    <t>26/12/1977</t>
  </si>
  <si>
    <t>04/02/1970</t>
  </si>
  <si>
    <t>15/07/1977</t>
  </si>
  <si>
    <t>15/07/1988</t>
  </si>
  <si>
    <t>10/04/1994</t>
  </si>
  <si>
    <t>12-11-2024</t>
  </si>
  <si>
    <t>04/08/2024</t>
  </si>
  <si>
    <t>11-08-2022</t>
  </si>
  <si>
    <t>12/06/1992</t>
  </si>
  <si>
    <t>28/05/1998</t>
  </si>
  <si>
    <t>12/16/2022</t>
  </si>
  <si>
    <t>1986-04-06</t>
  </si>
  <si>
    <t>28 Jan 2023</t>
  </si>
  <si>
    <t>18/05/1976</t>
  </si>
  <si>
    <t>06/13/2023</t>
  </si>
  <si>
    <t>07 Dec 1979</t>
  </si>
  <si>
    <t>05/03/1979</t>
  </si>
  <si>
    <t>08/10/1992</t>
  </si>
  <si>
    <t>02/03/1972</t>
  </si>
  <si>
    <t>02/05/1979</t>
  </si>
  <si>
    <t>05/06/1976</t>
  </si>
  <si>
    <t>19/01/1977</t>
  </si>
  <si>
    <t>27/03/2024 00:00:00</t>
  </si>
  <si>
    <t>06/21/1985</t>
  </si>
  <si>
    <t>08-12-2020</t>
  </si>
  <si>
    <t>10 Jun 1996</t>
  </si>
  <si>
    <t>19-12-2020</t>
  </si>
  <si>
    <t>07-09-2024</t>
  </si>
  <si>
    <t>30/10/2000</t>
  </si>
  <si>
    <t>08/02/1995</t>
  </si>
  <si>
    <t>06-02-2024</t>
  </si>
  <si>
    <t>30/10/1979</t>
  </si>
  <si>
    <t>08/18/2024</t>
  </si>
  <si>
    <t>29-12-1983</t>
  </si>
  <si>
    <t>11/07/1973</t>
  </si>
  <si>
    <t>01/22/1974</t>
  </si>
  <si>
    <t>17357.88</t>
  </si>
  <si>
    <t>21 Aug 2022</t>
  </si>
  <si>
    <t>10/06/1986</t>
  </si>
  <si>
    <t>12/22/2022</t>
  </si>
  <si>
    <t>02/02/1987 00:00:00</t>
  </si>
  <si>
    <t>2023-01-26</t>
  </si>
  <si>
    <t>05 Oct 1977</t>
  </si>
  <si>
    <t>15/11/2022</t>
  </si>
  <si>
    <t>1983-02-07</t>
  </si>
  <si>
    <t>24/04/1988</t>
  </si>
  <si>
    <t>12-08-2023</t>
  </si>
  <si>
    <t>25/05/1985</t>
  </si>
  <si>
    <t>2023-07-06</t>
  </si>
  <si>
    <t>08 Jul 1996</t>
  </si>
  <si>
    <t>12/08/2024 00:00:00</t>
  </si>
  <si>
    <t>04/02/1976 00:00:00</t>
  </si>
  <si>
    <t>12 Apr 2024</t>
  </si>
  <si>
    <t>07 Jan 1999</t>
  </si>
  <si>
    <t>1994-08-30</t>
  </si>
  <si>
    <t>2022-06-11</t>
  </si>
  <si>
    <t>17/03/1982 00:00:00</t>
  </si>
  <si>
    <t>22/03/1990</t>
  </si>
  <si>
    <t>16/05/1999</t>
  </si>
  <si>
    <t>02/05/1995</t>
  </si>
  <si>
    <t>27/06/1993</t>
  </si>
  <si>
    <t>19-09-2022</t>
  </si>
  <si>
    <t>26/06/1977 00:00:00</t>
  </si>
  <si>
    <t>06/08/1996</t>
  </si>
  <si>
    <t>08-09-1980</t>
  </si>
  <si>
    <t>24 May 2024</t>
  </si>
  <si>
    <t>04/04/1976</t>
  </si>
  <si>
    <t>06/03/1992</t>
  </si>
  <si>
    <t>05/09/2020</t>
  </si>
  <si>
    <t>17/03/1976 00:00:00</t>
  </si>
  <si>
    <t>21/04/2021 00:00:00</t>
  </si>
  <si>
    <t>18/05/1998</t>
  </si>
  <si>
    <t>19/01/1974</t>
  </si>
  <si>
    <t>05/23/2022</t>
  </si>
  <si>
    <t>07 Jul 2021</t>
  </si>
  <si>
    <t>04/09/1972</t>
  </si>
  <si>
    <t>16/09/1989</t>
  </si>
  <si>
    <t>29/09/1980</t>
  </si>
  <si>
    <t>12/06/2022 00:00:00</t>
  </si>
  <si>
    <t>1983-09-23</t>
  </si>
  <si>
    <t>14 Jul 2020</t>
  </si>
  <si>
    <t>1988-08-06</t>
  </si>
  <si>
    <t>30/08/1999</t>
  </si>
  <si>
    <t>10/16/1995</t>
  </si>
  <si>
    <t>21/11/1985</t>
  </si>
  <si>
    <t>31 Dec 2021</t>
  </si>
  <si>
    <t>10/11/1970</t>
  </si>
  <si>
    <t>20 Dec 2023</t>
  </si>
  <si>
    <t>20/05/1980</t>
  </si>
  <si>
    <t>07/03/1983</t>
  </si>
  <si>
    <t>24/02/2020</t>
  </si>
  <si>
    <t>15/05/1994</t>
  </si>
  <si>
    <t>15/01/1988</t>
  </si>
  <si>
    <t>29/08/2021 00:00:00</t>
  </si>
  <si>
    <t>06/21/1993</t>
  </si>
  <si>
    <t>1986-05-10</t>
  </si>
  <si>
    <t>24 Oct 2024</t>
  </si>
  <si>
    <t>2022-10-23</t>
  </si>
  <si>
    <t>20-05-1996</t>
  </si>
  <si>
    <t>05 Mar 2022</t>
  </si>
  <si>
    <t>04/10/1993</t>
  </si>
  <si>
    <t>31/07/1986</t>
  </si>
  <si>
    <t>01/12/1977</t>
  </si>
  <si>
    <t>23/09/1991</t>
  </si>
  <si>
    <t>25/01/1980</t>
  </si>
  <si>
    <t>26/12/1976</t>
  </si>
  <si>
    <t>18 Dec 2024</t>
  </si>
  <si>
    <t>1983-03-12</t>
  </si>
  <si>
    <t>19-11-1988</t>
  </si>
  <si>
    <t>21206.08</t>
  </si>
  <si>
    <t>05 Apr 2023</t>
  </si>
  <si>
    <t>16-08-1987</t>
  </si>
  <si>
    <t>10/10/2020</t>
  </si>
  <si>
    <t>15/01/1973</t>
  </si>
  <si>
    <t>26/02/1974</t>
  </si>
  <si>
    <t>15/07/2020 00:00:00</t>
  </si>
  <si>
    <t>01/28/1999</t>
  </si>
  <si>
    <t>25/12/1981</t>
  </si>
  <si>
    <t>07/05/1984</t>
  </si>
  <si>
    <t>12/07/1977</t>
  </si>
  <si>
    <t>18 Sep 2023</t>
  </si>
  <si>
    <t>16/11/1971</t>
  </si>
  <si>
    <t>11 Jul 1996</t>
  </si>
  <si>
    <t>07/09/1976</t>
  </si>
  <si>
    <t>15/03/1970</t>
  </si>
  <si>
    <t>27 May 2021</t>
  </si>
  <si>
    <t>08/31/2023</t>
  </si>
  <si>
    <t>06/02/1993</t>
  </si>
  <si>
    <t>23/06/1998</t>
  </si>
  <si>
    <t>28/12/1975 00:00:00</t>
  </si>
  <si>
    <t>28/09/2021</t>
  </si>
  <si>
    <t>05/05/1989</t>
  </si>
  <si>
    <t>04/10/1972</t>
  </si>
  <si>
    <t>2023-11-14</t>
  </si>
  <si>
    <t>07/06/1985</t>
  </si>
  <si>
    <t>03/04/2000</t>
  </si>
  <si>
    <t>30/09/2024</t>
  </si>
  <si>
    <t>11/12/1991</t>
  </si>
  <si>
    <t>20/04/1991</t>
  </si>
  <si>
    <t>03/11/1999</t>
  </si>
  <si>
    <t>25/04/2020</t>
  </si>
  <si>
    <t>12/08/1995</t>
  </si>
  <si>
    <t>03/05/1998</t>
  </si>
  <si>
    <t>08/06/1984</t>
  </si>
  <si>
    <t>02/11/1985</t>
  </si>
  <si>
    <t>09/22/2023</t>
  </si>
  <si>
    <t>1978-11-25</t>
  </si>
  <si>
    <t>31/03/1981</t>
  </si>
  <si>
    <t>14/05/1973</t>
  </si>
  <si>
    <t>12/09/1995</t>
  </si>
  <si>
    <t>15/09/1996</t>
  </si>
  <si>
    <t>25/10/1974</t>
  </si>
  <si>
    <t>2022-07-25</t>
  </si>
  <si>
    <t>02-06-2020</t>
  </si>
  <si>
    <t>1992-06-29</t>
  </si>
  <si>
    <t>07/19/2024</t>
  </si>
  <si>
    <t>07 Oct 1989</t>
  </si>
  <si>
    <t>08 May 2021</t>
  </si>
  <si>
    <t>29 Jun 1989</t>
  </si>
  <si>
    <t>30-08-2024</t>
  </si>
  <si>
    <t>19/07/1989</t>
  </si>
  <si>
    <t>01/04/2021 00:00:00</t>
  </si>
  <si>
    <t>16/04/1997</t>
  </si>
  <si>
    <t>08/12/1981</t>
  </si>
  <si>
    <t>11/08/1993</t>
  </si>
  <si>
    <t>19/11/1974</t>
  </si>
  <si>
    <t>03/01/1977</t>
  </si>
  <si>
    <t>20/05/1977</t>
  </si>
  <si>
    <t>03 Nov 2024</t>
  </si>
  <si>
    <t>07/05/1987</t>
  </si>
  <si>
    <t>17/08/1974</t>
  </si>
  <si>
    <t>21/11/2023</t>
  </si>
  <si>
    <t>11/02/1991</t>
  </si>
  <si>
    <t>13/05/1992</t>
  </si>
  <si>
    <t>2024-01-14</t>
  </si>
  <si>
    <t>13-10-2000</t>
  </si>
  <si>
    <t>16/09/2020 00:00:00</t>
  </si>
  <si>
    <t>10/02/2000</t>
  </si>
  <si>
    <t>01/15/2022</t>
  </si>
  <si>
    <t>20/03/1978</t>
  </si>
  <si>
    <t>28-09-2023</t>
  </si>
  <si>
    <t>08-09-1986</t>
  </si>
  <si>
    <t>08 Aug 2023</t>
  </si>
  <si>
    <t>11 Jul 2000</t>
  </si>
  <si>
    <t>25-11-2022</t>
  </si>
  <si>
    <t>03 Nov 1994</t>
  </si>
  <si>
    <t>1983-02-20</t>
  </si>
  <si>
    <t>03/04/1988</t>
  </si>
  <si>
    <t>01-08-2024</t>
  </si>
  <si>
    <t>10-01-2021</t>
  </si>
  <si>
    <t>23/04/1980</t>
  </si>
  <si>
    <t>04-08-2022</t>
  </si>
  <si>
    <t>05/11/1974</t>
  </si>
  <si>
    <t>2020-10-15</t>
  </si>
  <si>
    <t>01/18/1999</t>
  </si>
  <si>
    <t>28/08/1971</t>
  </si>
  <si>
    <t>08/07/2022 00:00:00</t>
  </si>
  <si>
    <t>15-10-1977</t>
  </si>
  <si>
    <t>21/03/1985</t>
  </si>
  <si>
    <t>04/16/2022</t>
  </si>
  <si>
    <t>07-10-1983</t>
  </si>
  <si>
    <t>22/01/1985</t>
  </si>
  <si>
    <t>05/08/2022</t>
  </si>
  <si>
    <t>12/09/1989</t>
  </si>
  <si>
    <t>22/01/2021</t>
  </si>
  <si>
    <t>04/21/1979</t>
  </si>
  <si>
    <t>1997-07-27</t>
  </si>
  <si>
    <t>28/07/1980</t>
  </si>
  <si>
    <t>20/08/1998</t>
  </si>
  <si>
    <t>24-10-2024</t>
  </si>
  <si>
    <t>08/04/1992 00:00:00</t>
  </si>
  <si>
    <t>2023-07-20</t>
  </si>
  <si>
    <t>12/29/1994</t>
  </si>
  <si>
    <t>2021-01-27</t>
  </si>
  <si>
    <t>23 Apr 1985</t>
  </si>
  <si>
    <t>07 Sep 2024</t>
  </si>
  <si>
    <t>02/07/1986 00:00:00</t>
  </si>
  <si>
    <t>12-06-1991</t>
  </si>
  <si>
    <t>06/04/1974</t>
  </si>
  <si>
    <t>14/03/1988</t>
  </si>
  <si>
    <t>24/05/1987</t>
  </si>
  <si>
    <t>17/08/2020</t>
  </si>
  <si>
    <t>07/06/1975 00:00:00</t>
  </si>
  <si>
    <t>22688.18</t>
  </si>
  <si>
    <t>18/02/1980 00:00:00</t>
  </si>
  <si>
    <t>24/03/1983</t>
  </si>
  <si>
    <t>15/02/1992</t>
  </si>
  <si>
    <t>08/05/2023 00:00:00</t>
  </si>
  <si>
    <t>1974-06-05</t>
  </si>
  <si>
    <t>10 May 2020</t>
  </si>
  <si>
    <t>10/12/1973</t>
  </si>
  <si>
    <t>28 May 2024</t>
  </si>
  <si>
    <t>10/29/1975</t>
  </si>
  <si>
    <t>31/07/1989</t>
  </si>
  <si>
    <t>2024-06-27</t>
  </si>
  <si>
    <t>1974-05-22</t>
  </si>
  <si>
    <t>07/07/1971</t>
  </si>
  <si>
    <t>1992-04-07</t>
  </si>
  <si>
    <t>14/10/1980</t>
  </si>
  <si>
    <t>03-05-2024</t>
  </si>
  <si>
    <t>11/01/2021 00:00:00</t>
  </si>
  <si>
    <t>10/09/1984</t>
  </si>
  <si>
    <t>14/06/1973</t>
  </si>
  <si>
    <t>08/11/1979</t>
  </si>
  <si>
    <t>08-09-2021</t>
  </si>
  <si>
    <t>1981-05-30</t>
  </si>
  <si>
    <t>23/03/1997</t>
  </si>
  <si>
    <t>06 Feb 2024</t>
  </si>
  <si>
    <t>25/08/1974</t>
  </si>
  <si>
    <t>10/22/2023</t>
  </si>
  <si>
    <t>02/11/2023</t>
  </si>
  <si>
    <t>20/05/1979</t>
  </si>
  <si>
    <t>2021-11-23</t>
  </si>
  <si>
    <t>1982-06-26</t>
  </si>
  <si>
    <t>10/06/1984</t>
  </si>
  <si>
    <t>2024-01-30</t>
  </si>
  <si>
    <t>11-02-1976</t>
  </si>
  <si>
    <t>09/01/2020</t>
  </si>
  <si>
    <t>18/11/1979</t>
  </si>
  <si>
    <t>04/19/2023</t>
  </si>
  <si>
    <t>27/03/1971</t>
  </si>
  <si>
    <t>14/06/1991</t>
  </si>
  <si>
    <t>14/08/2022</t>
  </si>
  <si>
    <t>02/01/1998</t>
  </si>
  <si>
    <t>03/07/1970</t>
  </si>
  <si>
    <t>01/18/2024</t>
  </si>
  <si>
    <t>11/02/1984</t>
  </si>
  <si>
    <t>19-01-2023</t>
  </si>
  <si>
    <t>29/01/1971</t>
  </si>
  <si>
    <t>18-07-1981</t>
  </si>
  <si>
    <t>23/03/1988 00:00:00</t>
  </si>
  <si>
    <t>12/12/1999</t>
  </si>
  <si>
    <t>07/05/2021 00:00:00</t>
  </si>
  <si>
    <t>16-06-1975</t>
  </si>
  <si>
    <t>29/04/1994</t>
  </si>
  <si>
    <t>18/01/1977 00:00:00</t>
  </si>
  <si>
    <t>09/12/1976</t>
  </si>
  <si>
    <t>23/05/1997</t>
  </si>
  <si>
    <t>31/01/1972</t>
  </si>
  <si>
    <t>02/11/1973</t>
  </si>
  <si>
    <t>05/17/2022</t>
  </si>
  <si>
    <t>26/02/1990</t>
  </si>
  <si>
    <t>31 Jan 1988</t>
  </si>
  <si>
    <t>09/08/1974</t>
  </si>
  <si>
    <t>01/24/2023</t>
  </si>
  <si>
    <t>13-12-1970</t>
  </si>
  <si>
    <t>06/03/2000</t>
  </si>
  <si>
    <t>02/07/2022</t>
  </si>
  <si>
    <t>21/06/1996</t>
  </si>
  <si>
    <t>02/01/1996</t>
  </si>
  <si>
    <t>08/04/1987</t>
  </si>
  <si>
    <t>20 Aug 2020</t>
  </si>
  <si>
    <t>25 Oct 1995</t>
  </si>
  <si>
    <t>25/08/2023 00:00:00</t>
  </si>
  <si>
    <t>12-11-1991</t>
  </si>
  <si>
    <t>1996-10-09</t>
  </si>
  <si>
    <t>2023-05-24</t>
  </si>
  <si>
    <t>09/03/1981</t>
  </si>
  <si>
    <t>13 May 1971</t>
  </si>
  <si>
    <t>31/03/1971</t>
  </si>
  <si>
    <t>20-02-2024</t>
  </si>
  <si>
    <t>1999-08-19</t>
  </si>
  <si>
    <t>10/06/2020</t>
  </si>
  <si>
    <t>15/11/1980</t>
  </si>
  <si>
    <t>2024-09-10</t>
  </si>
  <si>
    <t>29-09-1991</t>
  </si>
  <si>
    <t>24/05/1973</t>
  </si>
  <si>
    <t>03/01/1976</t>
  </si>
  <si>
    <t>07 Aug 2020</t>
  </si>
  <si>
    <t>29/12/1993</t>
  </si>
  <si>
    <t>15-01-2022</t>
  </si>
  <si>
    <t>04-03-1992</t>
  </si>
  <si>
    <t>1991-08-19</t>
  </si>
  <si>
    <t>01/04/2021</t>
  </si>
  <si>
    <t>1986-04-23</t>
  </si>
  <si>
    <t>04/07/1996</t>
  </si>
  <si>
    <t>18/02/1973</t>
  </si>
  <si>
    <t>12/29/1986</t>
  </si>
  <si>
    <t>27/12/1980</t>
  </si>
  <si>
    <t>07 Sep 2020</t>
  </si>
  <si>
    <t>18/05/1999</t>
  </si>
  <si>
    <t>30/05/1979</t>
  </si>
  <si>
    <t>09-07-2021</t>
  </si>
  <si>
    <t>13/04/1976 00:00:00</t>
  </si>
  <si>
    <t>01/12/1997</t>
  </si>
  <si>
    <t>20/07/1979</t>
  </si>
  <si>
    <t>19/02/1979 00:00:00</t>
  </si>
  <si>
    <t>23 Apr 2020</t>
  </si>
  <si>
    <t>20/04/1989</t>
  </si>
  <si>
    <t>07/03/1996</t>
  </si>
  <si>
    <t>20 Mar 2020</t>
  </si>
  <si>
    <t>06 Jun 1979</t>
  </si>
  <si>
    <t>02/07/2023 00:00:00</t>
  </si>
  <si>
    <t>16/03/1979 00:00:00</t>
  </si>
  <si>
    <t>20 Dec 2020</t>
  </si>
  <si>
    <t>09 Oct 1987</t>
  </si>
  <si>
    <t>24/07/2022 00:00:00</t>
  </si>
  <si>
    <t>20/11/2021</t>
  </si>
  <si>
    <t>22/10/1982</t>
  </si>
  <si>
    <t>19/07/1981</t>
  </si>
  <si>
    <t>18 Jul 2023</t>
  </si>
  <si>
    <t>12/09/2020</t>
  </si>
  <si>
    <t>19/01/1976</t>
  </si>
  <si>
    <t>12-03-2024</t>
  </si>
  <si>
    <t>30/03/1975</t>
  </si>
  <si>
    <t>26/01/1976</t>
  </si>
  <si>
    <t>16/09/1972</t>
  </si>
  <si>
    <t>14/02/1998</t>
  </si>
  <si>
    <t>01/06/1995</t>
  </si>
  <si>
    <t>13/12/1987</t>
  </si>
  <si>
    <t>14/07/1972</t>
  </si>
  <si>
    <t>10/05/2023 00:00:00</t>
  </si>
  <si>
    <t>16 Jan 1970</t>
  </si>
  <si>
    <t>01/02/2024 00:00:00</t>
  </si>
  <si>
    <t>22/11/1996</t>
  </si>
  <si>
    <t>25/03/1972</t>
  </si>
  <si>
    <t>29/10/1997</t>
  </si>
  <si>
    <t>01/04/1975</t>
  </si>
  <si>
    <t>15/09/1980</t>
  </si>
  <si>
    <t>09/03/1978</t>
  </si>
  <si>
    <t>07-09-2023</t>
  </si>
  <si>
    <t>10/09/2024 00:00:00</t>
  </si>
  <si>
    <t>14/03/1997 00:00:00</t>
  </si>
  <si>
    <t>21/11/1976</t>
  </si>
  <si>
    <t>06 Oct 2022</t>
  </si>
  <si>
    <t>03/01/1992</t>
  </si>
  <si>
    <t>02/04/1974</t>
  </si>
  <si>
    <t>21/07/1998</t>
  </si>
  <si>
    <t>11/07/1977</t>
  </si>
  <si>
    <t>26/03/1999</t>
  </si>
  <si>
    <t>12/11/1999</t>
  </si>
  <si>
    <t>29/09/2020</t>
  </si>
  <si>
    <t>20/11/1986</t>
  </si>
  <si>
    <t>07/06/1989</t>
  </si>
  <si>
    <t>22-10-2021</t>
  </si>
  <si>
    <t>16/02/1999</t>
  </si>
  <si>
    <t>20/07/2000</t>
  </si>
  <si>
    <t>12-11-2023</t>
  </si>
  <si>
    <t>2024-10-29</t>
  </si>
  <si>
    <t>03-12-1985</t>
  </si>
  <si>
    <t>07/28/2024</t>
  </si>
  <si>
    <t>26-08-1998</t>
  </si>
  <si>
    <t>26-12-2024</t>
  </si>
  <si>
    <t>29/01/1998 00:00:00</t>
  </si>
  <si>
    <t>23/04/1974</t>
  </si>
  <si>
    <t>22/02/1974</t>
  </si>
  <si>
    <t>02/03/2020</t>
  </si>
  <si>
    <t>21/01/1984</t>
  </si>
  <si>
    <t>15 Apr 2021</t>
  </si>
  <si>
    <t>02/09/1991</t>
  </si>
  <si>
    <t>25/08/1991</t>
  </si>
  <si>
    <t>06/04/1998</t>
  </si>
  <si>
    <t>18/11/1978</t>
  </si>
  <si>
    <t>09/07/2021</t>
  </si>
  <si>
    <t>10/01/1974 00:00:00</t>
  </si>
  <si>
    <t>10/06/1997</t>
  </si>
  <si>
    <t>22/03/1979</t>
  </si>
  <si>
    <t>23-01-2024</t>
  </si>
  <si>
    <t>05/27/1989</t>
  </si>
  <si>
    <t>09/07/1997</t>
  </si>
  <si>
    <t>17/09/1981</t>
  </si>
  <si>
    <t>27/10/2020</t>
  </si>
  <si>
    <t>28/05/1973</t>
  </si>
  <si>
    <t>05/04/1975</t>
  </si>
  <si>
    <t>09/10/1989</t>
  </si>
  <si>
    <t>13/02/1984</t>
  </si>
  <si>
    <t>07/05/1974</t>
  </si>
  <si>
    <t>20-04-2020</t>
  </si>
  <si>
    <t>03/21/2024</t>
  </si>
  <si>
    <t>1971-08-19</t>
  </si>
  <si>
    <t>19 Jan 2024</t>
  </si>
  <si>
    <t>01/04/1984</t>
  </si>
  <si>
    <t>17/03/2024 00:00:00</t>
  </si>
  <si>
    <t>23 May 2022</t>
  </si>
  <si>
    <t>11/06/1975</t>
  </si>
  <si>
    <t>28/05/2024 00:00:00</t>
  </si>
  <si>
    <t>06/06/1987 00:00:00</t>
  </si>
  <si>
    <t>14-06-1971</t>
  </si>
  <si>
    <t>21/10/1978</t>
  </si>
  <si>
    <t>23/03/1985</t>
  </si>
  <si>
    <t>31/05/2024 00:00:00</t>
  </si>
  <si>
    <t>10 Mar 2024</t>
  </si>
  <si>
    <t>22/02/1990</t>
  </si>
  <si>
    <t>11/04/2020</t>
  </si>
  <si>
    <t>02/17/2022</t>
  </si>
  <si>
    <t>11-03-1990</t>
  </si>
  <si>
    <t>17/08/2023 00:00:00</t>
  </si>
  <si>
    <t>07-06-1978</t>
  </si>
  <si>
    <t>12/10/1982 00:00:00</t>
  </si>
  <si>
    <t>12/02/1981</t>
  </si>
  <si>
    <t>17/06/1984</t>
  </si>
  <si>
    <t>29/09/2022 00:00:00</t>
  </si>
  <si>
    <t>1979-03-16</t>
  </si>
  <si>
    <t>2022-03-14</t>
  </si>
  <si>
    <t>2000-11-21</t>
  </si>
  <si>
    <t>02/02/1981</t>
  </si>
  <si>
    <t>12/01/1998</t>
  </si>
  <si>
    <t>23/08/1984</t>
  </si>
  <si>
    <t>09/28/1992</t>
  </si>
  <si>
    <t>28/07/1988</t>
  </si>
  <si>
    <t>08/07/1984</t>
  </si>
  <si>
    <t>20/06/1994</t>
  </si>
  <si>
    <t>21-12-2021</t>
  </si>
  <si>
    <t>12/08/1986</t>
  </si>
  <si>
    <t>27/04/2020</t>
  </si>
  <si>
    <t>2021-12-19</t>
  </si>
  <si>
    <t>24-08-1970</t>
  </si>
  <si>
    <t>07/12/1979</t>
  </si>
  <si>
    <t>16/03/1984</t>
  </si>
  <si>
    <t>04/23/2020</t>
  </si>
  <si>
    <t>30-10-1975</t>
  </si>
  <si>
    <t>12/07/1978</t>
  </si>
  <si>
    <t>20/06/2021</t>
  </si>
  <si>
    <t>13/05/1996</t>
  </si>
  <si>
    <t>27 Jul 2022</t>
  </si>
  <si>
    <t>08-12-1970</t>
  </si>
  <si>
    <t>02/12/1986</t>
  </si>
  <si>
    <t>30/10/1989</t>
  </si>
  <si>
    <t>13/12/1975</t>
  </si>
  <si>
    <t>13-01-2022</t>
  </si>
  <si>
    <t>28-04-1977</t>
  </si>
  <si>
    <t>05 Nov 2023</t>
  </si>
  <si>
    <t>14/05/1970 00:00:00</t>
  </si>
  <si>
    <t>11-03-2020</t>
  </si>
  <si>
    <t>1986-04-02</t>
  </si>
  <si>
    <t>16/02/1987</t>
  </si>
  <si>
    <t>01/10/2023 00:00:00</t>
  </si>
  <si>
    <t>12 Mar 1992</t>
  </si>
  <si>
    <t>29/08/1983</t>
  </si>
  <si>
    <t>25/04/1979</t>
  </si>
  <si>
    <t>09/06/1995</t>
  </si>
  <si>
    <t>27/08/2021</t>
  </si>
  <si>
    <t>22/04/1977</t>
  </si>
  <si>
    <t>05-01-1974</t>
  </si>
  <si>
    <t>2021-08-18</t>
  </si>
  <si>
    <t>07-08-1995</t>
  </si>
  <si>
    <t>30/04/1986</t>
  </si>
  <si>
    <t>18/04/2024 00:00:00</t>
  </si>
  <si>
    <t>1981-06-20</t>
  </si>
  <si>
    <t>02/01/1997</t>
  </si>
  <si>
    <t>08 Aug 2024</t>
  </si>
  <si>
    <t>17-08-1975</t>
  </si>
  <si>
    <t>01/14/1971</t>
  </si>
  <si>
    <t>06/03/1982</t>
  </si>
  <si>
    <t>08/11/1989</t>
  </si>
  <si>
    <t>16-08-2022</t>
  </si>
  <si>
    <t>15/07/1994 00:00:00</t>
  </si>
  <si>
    <t>05 Jul 2022</t>
  </si>
  <si>
    <t>1979-05-04</t>
  </si>
  <si>
    <t>30-11-2024</t>
  </si>
  <si>
    <t>30/12/1997 00:00:00</t>
  </si>
  <si>
    <t>15/08/1988</t>
  </si>
  <si>
    <t>08-04-2024</t>
  </si>
  <si>
    <t>1970-07-07</t>
  </si>
  <si>
    <t>12 Jul 2020</t>
  </si>
  <si>
    <t>01/02/1971</t>
  </si>
  <si>
    <t>17/05/1990</t>
  </si>
  <si>
    <t>29 Sep 2024</t>
  </si>
  <si>
    <t>04/21/2024</t>
  </si>
  <si>
    <t>17/06/1979</t>
  </si>
  <si>
    <t>18/02/1981</t>
  </si>
  <si>
    <t>17/12/1993</t>
  </si>
  <si>
    <t>02/05/1978</t>
  </si>
  <si>
    <t>29/05/1987</t>
  </si>
  <si>
    <t>14/06/2000</t>
  </si>
  <si>
    <t>09 Oct 1976</t>
  </si>
  <si>
    <t>07/28/2023</t>
  </si>
  <si>
    <t>1981-03-14</t>
  </si>
  <si>
    <t>01/10/2020</t>
  </si>
  <si>
    <t>23-11-2023</t>
  </si>
  <si>
    <t>09-12-2020</t>
  </si>
  <si>
    <t>20-02-1995</t>
  </si>
  <si>
    <t>2024-02-28</t>
  </si>
  <si>
    <t>28 Jun 1988</t>
  </si>
  <si>
    <t>13-08-2020</t>
  </si>
  <si>
    <t>27-08-1981</t>
  </si>
  <si>
    <t>01-04-2022</t>
  </si>
  <si>
    <t>02/06/1999</t>
  </si>
  <si>
    <t>28/11/2022 00:00:00</t>
  </si>
  <si>
    <t>07/07/1992</t>
  </si>
  <si>
    <t>19-02-2022</t>
  </si>
  <si>
    <t>20 Feb 1997</t>
  </si>
  <si>
    <t>06 May 2020</t>
  </si>
  <si>
    <t>01 Jan 1970</t>
  </si>
  <si>
    <t>04 Oct 2020</t>
  </si>
  <si>
    <t>18/10/1997</t>
  </si>
  <si>
    <t>02/04/1994</t>
  </si>
  <si>
    <t>14/02/1993</t>
  </si>
  <si>
    <t>18 Mar 2023</t>
  </si>
  <si>
    <t>01/05/1996</t>
  </si>
  <si>
    <t>18/05/2024 00:00:00</t>
  </si>
  <si>
    <t>29/04/1996</t>
  </si>
  <si>
    <t>04/01/1971</t>
  </si>
  <si>
    <t>26/05/1978</t>
  </si>
  <si>
    <t>09/03/2022</t>
  </si>
  <si>
    <t>10/01/2000</t>
  </si>
  <si>
    <t>17/01/1972</t>
  </si>
  <si>
    <t>12 Jul 2024</t>
  </si>
  <si>
    <t>10/06/1985</t>
  </si>
  <si>
    <t>07/25/2021</t>
  </si>
  <si>
    <t>26/11/1983</t>
  </si>
  <si>
    <t>11/17/2022</t>
  </si>
  <si>
    <t>26/10/1992</t>
  </si>
  <si>
    <t>24/09/2024 00:00:00</t>
  </si>
  <si>
    <t>08/09/1974</t>
  </si>
  <si>
    <t>21/02/1983</t>
  </si>
  <si>
    <t>08/01/1976</t>
  </si>
  <si>
    <t>08/15/2023</t>
  </si>
  <si>
    <t>14-09-1984</t>
  </si>
  <si>
    <t>01 Nov 2024</t>
  </si>
  <si>
    <t>20/08/1975</t>
  </si>
  <si>
    <t>29/04/1979</t>
  </si>
  <si>
    <t>11/09/1971</t>
  </si>
  <si>
    <t>30/12/1983</t>
  </si>
  <si>
    <t>2024-05-01</t>
  </si>
  <si>
    <t>15 Jan 1972</t>
  </si>
  <si>
    <t>25/10/1999</t>
  </si>
  <si>
    <t>01/06/2024 00:00:00</t>
  </si>
  <si>
    <t>08 Oct 1993</t>
  </si>
  <si>
    <t>06/03/1971</t>
  </si>
  <si>
    <t>14/09/1979</t>
  </si>
  <si>
    <t>20/11/1982</t>
  </si>
  <si>
    <t>01-05-2022</t>
  </si>
  <si>
    <t>07-12-1984</t>
  </si>
  <si>
    <t>12-07-2023</t>
  </si>
  <si>
    <t>04/03/2021 00:00:00</t>
  </si>
  <si>
    <t>31/12/1984</t>
  </si>
  <si>
    <t>04 Apr 2021</t>
  </si>
  <si>
    <t>29/06/1983</t>
  </si>
  <si>
    <t>07/16/2024</t>
  </si>
  <si>
    <t>26/06/1976</t>
  </si>
  <si>
    <t>05/05/1985</t>
  </si>
  <si>
    <t>15 Dec 2022</t>
  </si>
  <si>
    <t>20/07/1990</t>
  </si>
  <si>
    <t>09/08/1983</t>
  </si>
  <si>
    <t>05 Sep 2022</t>
  </si>
  <si>
    <t>05-07-2020</t>
  </si>
  <si>
    <t>19 Oct 1980</t>
  </si>
  <si>
    <t>19/09/1998</t>
  </si>
  <si>
    <t>20/10/1971</t>
  </si>
  <si>
    <t>01/05/1980</t>
  </si>
  <si>
    <t>07/21/2021</t>
  </si>
  <si>
    <t>17-09-1974</t>
  </si>
  <si>
    <t>05/24/1984</t>
  </si>
  <si>
    <t>02 May 2023</t>
  </si>
  <si>
    <t>03 May 1973</t>
  </si>
  <si>
    <t>06/12/1997</t>
  </si>
  <si>
    <t>07 Oct 2024</t>
  </si>
  <si>
    <t>21-10-1972</t>
  </si>
  <si>
    <t>17 Sep 2023</t>
  </si>
  <si>
    <t>27/12/1972</t>
  </si>
  <si>
    <t>02/04/2023</t>
  </si>
  <si>
    <t>30/12/1987</t>
  </si>
  <si>
    <t>17/03/1989</t>
  </si>
  <si>
    <t>25/02/1972</t>
  </si>
  <si>
    <t>29/02/1972</t>
  </si>
  <si>
    <t>17-02-1992</t>
  </si>
  <si>
    <t>29/08/1987</t>
  </si>
  <si>
    <t>13/05/1973</t>
  </si>
  <si>
    <t>23/04/1979</t>
  </si>
  <si>
    <t>28/09/2000</t>
  </si>
  <si>
    <t>19/06/1996</t>
  </si>
  <si>
    <t>16/10/1989</t>
  </si>
  <si>
    <t>11/05/2021</t>
  </si>
  <si>
    <t>23/01/1978</t>
  </si>
  <si>
    <t>19/10/1970</t>
  </si>
  <si>
    <t>03/11/2020</t>
  </si>
  <si>
    <t>28/02/1973</t>
  </si>
  <si>
    <t>21/10/1992</t>
  </si>
  <si>
    <t>2022-01-31</t>
  </si>
  <si>
    <t>06/04/1999</t>
  </si>
  <si>
    <t>20-05-2020</t>
  </si>
  <si>
    <t>20/10/1992</t>
  </si>
  <si>
    <t>16 Jan 2024</t>
  </si>
  <si>
    <t>06-03-2022</t>
  </si>
  <si>
    <t>07/11/1993</t>
  </si>
  <si>
    <t>06/07/1980 00:00:00</t>
  </si>
  <si>
    <t>19 May 2022</t>
  </si>
  <si>
    <t>05/12/1977</t>
  </si>
  <si>
    <t>03 Feb 2022</t>
  </si>
  <si>
    <t>12/05/1991</t>
  </si>
  <si>
    <t>26/08/1999</t>
  </si>
  <si>
    <t>30/11/2023</t>
  </si>
  <si>
    <t>06/10/1994</t>
  </si>
  <si>
    <t>27/09/1977</t>
  </si>
  <si>
    <t>20/04/1974 00:00:00</t>
  </si>
  <si>
    <t>2024-11-06</t>
  </si>
  <si>
    <t>09/11/1978</t>
  </si>
  <si>
    <t>26/06/1971</t>
  </si>
  <si>
    <t>31-12-1995</t>
  </si>
  <si>
    <t>24/05/2000</t>
  </si>
  <si>
    <t>01/16/2020</t>
  </si>
  <si>
    <t>11-04-1970</t>
  </si>
  <si>
    <t>04/02/2020</t>
  </si>
  <si>
    <t>16/07/1980</t>
  </si>
  <si>
    <t>10/19/2022</t>
  </si>
  <si>
    <t>24/03/1971</t>
  </si>
  <si>
    <t>15 Dec 2024</t>
  </si>
  <si>
    <t>23/02/1988 00:00:00</t>
  </si>
  <si>
    <t>20/04/1973</t>
  </si>
  <si>
    <t>26/06/1978</t>
  </si>
  <si>
    <t>14/04/1990</t>
  </si>
  <si>
    <t>04 Mar 1992</t>
  </si>
  <si>
    <t>04-10-2024</t>
  </si>
  <si>
    <t>25/12/1989</t>
  </si>
  <si>
    <t>12/11/1996</t>
  </si>
  <si>
    <t>2024-11-22</t>
  </si>
  <si>
    <t>15/08/1978</t>
  </si>
  <si>
    <t>2024-10-19</t>
  </si>
  <si>
    <t>28/09/1998</t>
  </si>
  <si>
    <t>27/06/1975</t>
  </si>
  <si>
    <t>2020-06-08</t>
  </si>
  <si>
    <t>2023-12-06</t>
  </si>
  <si>
    <t>04/09/1977</t>
  </si>
  <si>
    <t>10/15/1974</t>
  </si>
  <si>
    <t>07-06-2022</t>
  </si>
  <si>
    <t>18-04-1978</t>
  </si>
  <si>
    <t>23/01/1990</t>
  </si>
  <si>
    <t>15-05-1970</t>
  </si>
  <si>
    <t>14/12/2023 00:00:00</t>
  </si>
  <si>
    <t>26/02/1978</t>
  </si>
  <si>
    <t>12/08/1982</t>
  </si>
  <si>
    <t>28/03/1975</t>
  </si>
  <si>
    <t>18/07/1980</t>
  </si>
  <si>
    <t>29/06/2024</t>
  </si>
  <si>
    <t>30/05/1985</t>
  </si>
  <si>
    <t>13/03/1973 00:00:00</t>
  </si>
  <si>
    <t>19/12/1998</t>
  </si>
  <si>
    <t>20 Mar 2021</t>
  </si>
  <si>
    <t>23/01/1971</t>
  </si>
  <si>
    <t>01/08/1985</t>
  </si>
  <si>
    <t>08/23/1974</t>
  </si>
  <si>
    <t>04/08/1975</t>
  </si>
  <si>
    <t>1992-03-20</t>
  </si>
  <si>
    <t>17-01-2024</t>
  </si>
  <si>
    <t>1999-04-16</t>
  </si>
  <si>
    <t>06 Apr 2021</t>
  </si>
  <si>
    <t>03/11/1981</t>
  </si>
  <si>
    <t>29/01/2023 00:00:00</t>
  </si>
  <si>
    <t>08-12-1975</t>
  </si>
  <si>
    <t>25/11/1978</t>
  </si>
  <si>
    <t>20/05/2024 00:00:00</t>
  </si>
  <si>
    <t>23/10/1987</t>
  </si>
  <si>
    <t>23/02/1997</t>
  </si>
  <si>
    <t>07/31/2024</t>
  </si>
  <si>
    <t>06/08/1993</t>
  </si>
  <si>
    <t>08/28/2020</t>
  </si>
  <si>
    <t>04-04-1970</t>
  </si>
  <si>
    <t>30/07/1992</t>
  </si>
  <si>
    <t>17/06/2000</t>
  </si>
  <si>
    <t>01/16/2023</t>
  </si>
  <si>
    <t>27/11/1996</t>
  </si>
  <si>
    <t>10/03/2021 00:00:00</t>
  </si>
  <si>
    <t>05/12/2000</t>
  </si>
  <si>
    <t>26/12/2020</t>
  </si>
  <si>
    <t>02/11/1999</t>
  </si>
  <si>
    <t>03/18/1970</t>
  </si>
  <si>
    <t>07/02/1994</t>
  </si>
  <si>
    <t>2022-11-13</t>
  </si>
  <si>
    <t>15/01/1996 00:00:00</t>
  </si>
  <si>
    <t>04/11/1978</t>
  </si>
  <si>
    <t>28/06/2000</t>
  </si>
  <si>
    <t>17-06-2021</t>
  </si>
  <si>
    <t>12/07/1974</t>
  </si>
  <si>
    <t>17/02/1989</t>
  </si>
  <si>
    <t>26/10/1973</t>
  </si>
  <si>
    <t>24/07/1986</t>
  </si>
  <si>
    <t>01/09/1973</t>
  </si>
  <si>
    <t>19/04/1976</t>
  </si>
  <si>
    <t>15/04/1990</t>
  </si>
  <si>
    <t>26/03/1983</t>
  </si>
  <si>
    <t>14/11/2021</t>
  </si>
  <si>
    <t>07 May 2023</t>
  </si>
  <si>
    <t>23-12-1992</t>
  </si>
  <si>
    <t>12/08/1989</t>
  </si>
  <si>
    <t>28/09/1972</t>
  </si>
  <si>
    <t>28/06/1971</t>
  </si>
  <si>
    <t>14/11/1990</t>
  </si>
  <si>
    <t>26-11-2020</t>
  </si>
  <si>
    <t>13/04/1995</t>
  </si>
  <si>
    <t>12/12/2022 00:00:00</t>
  </si>
  <si>
    <t>30-12-1989</t>
  </si>
  <si>
    <t>2021-07-15</t>
  </si>
  <si>
    <t>27/05/1980 00:00:00</t>
  </si>
  <si>
    <t>12/03/1988</t>
  </si>
  <si>
    <t>09/10/1982</t>
  </si>
  <si>
    <t>28/05/1999</t>
  </si>
  <si>
    <t>26/02/1973</t>
  </si>
  <si>
    <t>01/04/2020</t>
  </si>
  <si>
    <t>21 Nov 2021</t>
  </si>
  <si>
    <t>29/06/2000</t>
  </si>
  <si>
    <t>11/30/2021</t>
  </si>
  <si>
    <t>04/02/2021</t>
  </si>
  <si>
    <t>08/02/1978</t>
  </si>
  <si>
    <t>27/06/2023 00:00:00</t>
  </si>
  <si>
    <t>14/03/1995</t>
  </si>
  <si>
    <t>12 Mar 2022</t>
  </si>
  <si>
    <t>12/11/1984 00:00:00</t>
  </si>
  <si>
    <t>10/04/1978</t>
  </si>
  <si>
    <t>30/05/2020 00:00:00</t>
  </si>
  <si>
    <t>11/12/1992 00:00:00</t>
  </si>
  <si>
    <t>30/04/1979</t>
  </si>
  <si>
    <t>05/04/1988 00:00:00</t>
  </si>
  <si>
    <t>26/12/1995</t>
  </si>
  <si>
    <t>02/26/2024</t>
  </si>
  <si>
    <t>1986-10-21</t>
  </si>
  <si>
    <t>18/01/1982</t>
  </si>
  <si>
    <t>14/05/1997</t>
  </si>
  <si>
    <t>02/09/1988</t>
  </si>
  <si>
    <t>08/05/1998</t>
  </si>
  <si>
    <t>04/28/2000</t>
  </si>
  <si>
    <t>31-08-1973</t>
  </si>
  <si>
    <t>05/05/2024 00:00:00</t>
  </si>
  <si>
    <t>1984-12-03</t>
  </si>
  <si>
    <t>25/04/1976</t>
  </si>
  <si>
    <t>01/02/1970</t>
  </si>
  <si>
    <t>11/22/1999</t>
  </si>
  <si>
    <t>10/09/1981</t>
  </si>
  <si>
    <t>18/02/1979</t>
  </si>
  <si>
    <t>18/09/1979</t>
  </si>
  <si>
    <t>22/02/1977</t>
  </si>
  <si>
    <t>29/08/1993</t>
  </si>
  <si>
    <t>19 May 2023</t>
  </si>
  <si>
    <t>19/02/1978 00:00:00</t>
  </si>
  <si>
    <t>01/05/1975</t>
  </si>
  <si>
    <t>15/09/2023 00:00:00</t>
  </si>
  <si>
    <t>25/07/1999</t>
  </si>
  <si>
    <t>16/10/2020</t>
  </si>
  <si>
    <t>06-12-2020</t>
  </si>
  <si>
    <t>03/09/1975</t>
  </si>
  <si>
    <t>31-08-2024</t>
  </si>
  <si>
    <t>11/03/1998</t>
  </si>
  <si>
    <t>04/16/1991</t>
  </si>
  <si>
    <t>06/05/2000</t>
  </si>
  <si>
    <t>09/02/2022</t>
  </si>
  <si>
    <t>27/05/1989</t>
  </si>
  <si>
    <t>20/06/1981</t>
  </si>
  <si>
    <t>2022-03-27</t>
  </si>
  <si>
    <t>05/28/1976</t>
  </si>
  <si>
    <t>15/12/1992</t>
  </si>
  <si>
    <t>31/12/2023 00:00:00</t>
  </si>
  <si>
    <t>27/09/2024 00:00:00</t>
  </si>
  <si>
    <t>14/09/1984</t>
  </si>
  <si>
    <t>24 Dec 1979</t>
  </si>
  <si>
    <t>18/10/1991</t>
  </si>
  <si>
    <t>25-09-2024</t>
  </si>
  <si>
    <t>12/07/1996</t>
  </si>
  <si>
    <t>12-09-1979</t>
  </si>
  <si>
    <t>15/01/1993</t>
  </si>
  <si>
    <t>18/10/1972</t>
  </si>
  <si>
    <t>21/06/1975</t>
  </si>
  <si>
    <t>02/02/1989</t>
  </si>
  <si>
    <t>02/25/2022</t>
  </si>
  <si>
    <t>27/10/1972</t>
  </si>
  <si>
    <t>2023-03-14</t>
  </si>
  <si>
    <t>09 Aug 1984</t>
  </si>
  <si>
    <t>08/26/2021</t>
  </si>
  <si>
    <t>26/03/1998 00:00:00</t>
  </si>
  <si>
    <t>25/07/1982</t>
  </si>
  <si>
    <t>09-09-2024</t>
  </si>
  <si>
    <t>19 Nov 2024</t>
  </si>
  <si>
    <t>27/12/1982</t>
  </si>
  <si>
    <t>09-03-1983</t>
  </si>
  <si>
    <t>14/05/1986</t>
  </si>
  <si>
    <t>18/10/1987</t>
  </si>
  <si>
    <t>04/07/1979</t>
  </si>
  <si>
    <t>08/07/2022</t>
  </si>
  <si>
    <t>13/09/1989</t>
  </si>
  <si>
    <t>24/11/1991</t>
  </si>
  <si>
    <t>12/04/2022 00:00:00</t>
  </si>
  <si>
    <t>03/02/1983</t>
  </si>
  <si>
    <t>30/07/2024 00:00:00</t>
  </si>
  <si>
    <t>21/04/1992 00:00:00</t>
  </si>
  <si>
    <t>02/06/2020</t>
  </si>
  <si>
    <t>11/14/2022</t>
  </si>
  <si>
    <t>06/07/1994</t>
  </si>
  <si>
    <t>06/10/1978</t>
  </si>
  <si>
    <t>23-12-2021</t>
  </si>
  <si>
    <t>2000-01-05</t>
  </si>
  <si>
    <t>24/08/1994</t>
  </si>
  <si>
    <t>05/11/1986</t>
  </si>
  <si>
    <t>23/04/1994</t>
  </si>
  <si>
    <t>29/06/1975</t>
  </si>
  <si>
    <t>10/07/1973</t>
  </si>
  <si>
    <t>05/05/1987</t>
  </si>
  <si>
    <t>28-11-2024</t>
  </si>
  <si>
    <t>20/09/2021</t>
  </si>
  <si>
    <t>26/11/1991 00:00:00</t>
  </si>
  <si>
    <t>08/10/1975</t>
  </si>
  <si>
    <t>14/11/1991</t>
  </si>
  <si>
    <t>17/06/1985</t>
  </si>
  <si>
    <t>18-02-2021</t>
  </si>
  <si>
    <t>13/08/2024 00:00:00</t>
  </si>
  <si>
    <t>12 Aug 1984</t>
  </si>
  <si>
    <t>29 Aug 2024</t>
  </si>
  <si>
    <t>16 Jul 1982</t>
  </si>
  <si>
    <t>15/12/1981</t>
  </si>
  <si>
    <t>02/14/2024</t>
  </si>
  <si>
    <t>16/06/1980</t>
  </si>
  <si>
    <t>09/01/1975</t>
  </si>
  <si>
    <t>06/09/2021 00:00:00</t>
  </si>
  <si>
    <t>1978-11-20</t>
  </si>
  <si>
    <t>05/06/2023 00:00:00</t>
  </si>
  <si>
    <t>1985-09-07</t>
  </si>
  <si>
    <t>09/02/1980</t>
  </si>
  <si>
    <t>1976-07-21</t>
  </si>
  <si>
    <t>22 Nov 2021</t>
  </si>
  <si>
    <t>19/10/1978 00:00:00</t>
  </si>
  <si>
    <t>09/04/1986</t>
  </si>
  <si>
    <t>23/03/1978</t>
  </si>
  <si>
    <t>15/01/1991</t>
  </si>
  <si>
    <t>16/07/1991</t>
  </si>
  <si>
    <t>14 Nov 2024</t>
  </si>
  <si>
    <t>31/07/1998</t>
  </si>
  <si>
    <t>04/06/2024 00:00:00</t>
  </si>
  <si>
    <t>17-12-1996</t>
  </si>
  <si>
    <t>10-06-2024</t>
  </si>
  <si>
    <t>04-08-1986</t>
  </si>
  <si>
    <t>24/09/1972</t>
  </si>
  <si>
    <t>16/01/1980</t>
  </si>
  <si>
    <t>10/06/1979</t>
  </si>
  <si>
    <t>1973-05-17</t>
  </si>
  <si>
    <t>18/07/2022 00:00:00</t>
  </si>
  <si>
    <t>01/05/2020</t>
  </si>
  <si>
    <t>06/05/1986</t>
  </si>
  <si>
    <t>01/06/1983</t>
  </si>
  <si>
    <t>11-12-2024</t>
  </si>
  <si>
    <t>17-10-1973</t>
  </si>
  <si>
    <t>24/04/1981</t>
  </si>
  <si>
    <t>13/01/2020</t>
  </si>
  <si>
    <t>13/03/1978</t>
  </si>
  <si>
    <t>04/16/2024</t>
  </si>
  <si>
    <t>01/02/1984</t>
  </si>
  <si>
    <t>15 Sep 2021</t>
  </si>
  <si>
    <t>10 Feb 1986</t>
  </si>
  <si>
    <t>31/01/1985</t>
  </si>
  <si>
    <t>06/18/2023</t>
  </si>
  <si>
    <t>29/09/1991 00:00:00</t>
  </si>
  <si>
    <t>17 Oct 2024</t>
  </si>
  <si>
    <t>22 May 1987</t>
  </si>
  <si>
    <t>2021-11-28</t>
  </si>
  <si>
    <t>11/04/2022 00:00:00</t>
  </si>
  <si>
    <t>19/03/1972</t>
  </si>
  <si>
    <t>28/02/2023</t>
  </si>
  <si>
    <t>12/05/1982</t>
  </si>
  <si>
    <t>31/12/1983</t>
  </si>
  <si>
    <t>09-02-2023</t>
  </si>
  <si>
    <t>24/05/2000 00:00:00</t>
  </si>
  <si>
    <t>25/03/1992</t>
  </si>
  <si>
    <t>15/06/1996</t>
  </si>
  <si>
    <t>07/04/1991</t>
  </si>
  <si>
    <t>19/01/2022 00:00:00</t>
  </si>
  <si>
    <t>31 Oct 2020</t>
  </si>
  <si>
    <t>01/23/2023</t>
  </si>
  <si>
    <t>21/11/1984</t>
  </si>
  <si>
    <t>2024-02-19</t>
  </si>
  <si>
    <t>20/01/1983</t>
  </si>
  <si>
    <t>14/03/1989</t>
  </si>
  <si>
    <t>27/06/1983</t>
  </si>
  <si>
    <t>13/03/2000</t>
  </si>
  <si>
    <t>21/08/2022 00:00:00</t>
  </si>
  <si>
    <t>24/05/1984</t>
  </si>
  <si>
    <t>19/02/2021</t>
  </si>
  <si>
    <t>05/01/1978</t>
  </si>
  <si>
    <t>19/01/1991</t>
  </si>
  <si>
    <t>25/03/1997</t>
  </si>
  <si>
    <t>1998-02-26</t>
  </si>
  <si>
    <t>18/05/2023 00:00:00</t>
  </si>
  <si>
    <t>15/07/1979</t>
  </si>
  <si>
    <t>06/01/1979</t>
  </si>
  <si>
    <t>19/11/2023 00:00:00</t>
  </si>
  <si>
    <t>1994-06-26</t>
  </si>
  <si>
    <t>07/10/2024 00:00:00</t>
  </si>
  <si>
    <t>08 Jun 1989</t>
  </si>
  <si>
    <t>03/09/1972</t>
  </si>
  <si>
    <t>02/01/1976</t>
  </si>
  <si>
    <t>40205.65</t>
  </si>
  <si>
    <t>16/08/1995</t>
  </si>
  <si>
    <t>08/07/1975</t>
  </si>
  <si>
    <t>1983-11-01</t>
  </si>
  <si>
    <t>2022-08-01</t>
  </si>
  <si>
    <t>09/03/1982 00:00:00</t>
  </si>
  <si>
    <t>10/07/1979</t>
  </si>
  <si>
    <t>04/17/2023</t>
  </si>
  <si>
    <t>1987-12-26</t>
  </si>
  <si>
    <t>23-07-2020</t>
  </si>
  <si>
    <t>30/10/1978</t>
  </si>
  <si>
    <t>20/03/2021</t>
  </si>
  <si>
    <t>29/04/1973</t>
  </si>
  <si>
    <t>17/09/1991</t>
  </si>
  <si>
    <t>08/06/1994</t>
  </si>
  <si>
    <t>14/07/2023 00:00:00</t>
  </si>
  <si>
    <t>28/02/1987 00:00:00</t>
  </si>
  <si>
    <t>24/10/1982</t>
  </si>
  <si>
    <t>15/05/1974</t>
  </si>
  <si>
    <t>2024-03-21</t>
  </si>
  <si>
    <t>10/03/1982</t>
  </si>
  <si>
    <t>09/08/1982 00:00:00</t>
  </si>
  <si>
    <t>11/09/1992</t>
  </si>
  <si>
    <t>09/10/1975</t>
  </si>
  <si>
    <t>27/08/1977</t>
  </si>
  <si>
    <t>16-02-1994</t>
  </si>
  <si>
    <t>2024-05-10</t>
  </si>
  <si>
    <t>12/04/1991 00:00:00</t>
  </si>
  <si>
    <t>09/12/1970</t>
  </si>
  <si>
    <t>05/08/1993</t>
  </si>
  <si>
    <t>21/05/1991</t>
  </si>
  <si>
    <t>2024-09-24</t>
  </si>
  <si>
    <t>1991-12-04</t>
  </si>
  <si>
    <t>04 Sep 1977</t>
  </si>
  <si>
    <t>09 Apr 2024</t>
  </si>
  <si>
    <t>23/01/1973 00:00:00</t>
  </si>
  <si>
    <t>15/04/1972</t>
  </si>
  <si>
    <t>11/07/1974</t>
  </si>
  <si>
    <t>03 Dec 2023</t>
  </si>
  <si>
    <t>1970-10-17</t>
  </si>
  <si>
    <t>31/05/1978</t>
  </si>
  <si>
    <t>28/07/1982</t>
  </si>
  <si>
    <t>21/12/1975</t>
  </si>
  <si>
    <t>2000-11-26</t>
  </si>
  <si>
    <t>13/03/1991</t>
  </si>
  <si>
    <t>04/03/1993</t>
  </si>
  <si>
    <t>2021-11-16</t>
  </si>
  <si>
    <t>04 Apr 2024</t>
  </si>
  <si>
    <t>04/09/1979</t>
  </si>
  <si>
    <t>22-01-2024</t>
  </si>
  <si>
    <t>21/08/1996 00:00:00</t>
  </si>
  <si>
    <t>2024-11-20</t>
  </si>
  <si>
    <t>01-04-1999</t>
  </si>
  <si>
    <t>16/11/2020</t>
  </si>
  <si>
    <t>1996-09-10</t>
  </si>
  <si>
    <t>11/09/2024 00:00:00</t>
  </si>
  <si>
    <t>09/24/1986</t>
  </si>
  <si>
    <t>02-09-2021</t>
  </si>
  <si>
    <t>09-08-1987</t>
  </si>
  <si>
    <t>13/05/1991</t>
  </si>
  <si>
    <t>16/02/1998</t>
  </si>
  <si>
    <t>13-12-1999</t>
  </si>
  <si>
    <t>12/07/1985</t>
  </si>
  <si>
    <t>06/01/1985</t>
  </si>
  <si>
    <t>20 Aug 2023</t>
  </si>
  <si>
    <t>11/10/1978</t>
  </si>
  <si>
    <t>08/12/1993</t>
  </si>
  <si>
    <t>2023-04-07</t>
  </si>
  <si>
    <t>19-09-1975</t>
  </si>
  <si>
    <t>25/02/1989</t>
  </si>
  <si>
    <t>04-11-2024</t>
  </si>
  <si>
    <t>1972-10-01</t>
  </si>
  <si>
    <t>07/01/1982</t>
  </si>
  <si>
    <t>10/06/1995</t>
  </si>
  <si>
    <t>25/07/1984</t>
  </si>
  <si>
    <t>2021-08-09</t>
  </si>
  <si>
    <t>12/03/1971</t>
  </si>
  <si>
    <t>15-10-1999</t>
  </si>
  <si>
    <t>19/05/2021 00:00:00</t>
  </si>
  <si>
    <t>03/30/1979</t>
  </si>
  <si>
    <t>1973-02-11</t>
  </si>
  <si>
    <t>13/01/1993</t>
  </si>
  <si>
    <t>01-08-2021</t>
  </si>
  <si>
    <t>06 Aug 1998</t>
  </si>
  <si>
    <t>01/26/1996</t>
  </si>
  <si>
    <t>13/02/1986</t>
  </si>
  <si>
    <t>11/05/1995</t>
  </si>
  <si>
    <t>01/20/2022</t>
  </si>
  <si>
    <t>03/15/1978</t>
  </si>
  <si>
    <t>17/05/1970</t>
  </si>
  <si>
    <t>Grand Total</t>
  </si>
  <si>
    <t>Item Category</t>
  </si>
  <si>
    <t>Sales Amount</t>
  </si>
  <si>
    <t>Jan</t>
  </si>
  <si>
    <t>Feb</t>
  </si>
  <si>
    <t>Mar</t>
  </si>
  <si>
    <t>Apr</t>
  </si>
  <si>
    <t>May</t>
  </si>
  <si>
    <t>Jun</t>
  </si>
  <si>
    <t>Jul</t>
  </si>
  <si>
    <t>Aug</t>
  </si>
  <si>
    <t>Sep</t>
  </si>
  <si>
    <t>Oct</t>
  </si>
  <si>
    <t>Nov</t>
  </si>
  <si>
    <t>Dec</t>
  </si>
  <si>
    <t>Sales Method</t>
  </si>
  <si>
    <t>Months</t>
  </si>
  <si>
    <t xml:space="preserve">Profit </t>
  </si>
  <si>
    <t>KPIs</t>
  </si>
  <si>
    <t>Total Revenue</t>
  </si>
  <si>
    <t>Total Profit</t>
  </si>
  <si>
    <t>Total Orders</t>
  </si>
  <si>
    <t>Average Order Value</t>
  </si>
  <si>
    <t>2020</t>
  </si>
  <si>
    <t>2021</t>
  </si>
  <si>
    <t>2022</t>
  </si>
  <si>
    <t>2023</t>
  </si>
  <si>
    <t>2024</t>
  </si>
  <si>
    <t>Value</t>
  </si>
  <si>
    <t>Sum of Profit</t>
  </si>
  <si>
    <t>Years</t>
  </si>
  <si>
    <t>Sum of SalesAmount</t>
  </si>
  <si>
    <t>Count of OrderID</t>
  </si>
  <si>
    <t>Average of SalesAmount</t>
  </si>
  <si>
    <t>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</si>
</sst>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dd\/mm\/yyyy"/>
    <numFmt numFmtId="165" formatCode="[&gt;=1000000]\$#,##0.0,,&quot;M&quot;;General"/>
    <numFmt numFmtId="166" formatCode="\$0.0,&quot;K&quot;"/>
    <numFmt numFmtId="167" formatCode="0.0%"/>
    <numFmt numFmtId="168" formatCode="\$#,##0.0,,&quot;M&quot;"/>
    <numFmt numFmtId="169" formatCode="\$#,##0.0,,&quot;K&quot;"/>
  </numFmts>
  <fonts count="9" x14ac:knownFonts="1">
    <font>
      <sz val="11"/>
      <color theme="1"/>
      <name val="Calibri"/>
      <family val="2"/>
      <scheme val="minor"/>
    </font>
    <font>
      <b/>
      <sz val="11"/>
      <color rgb="FFFFFFFF"/>
      <name val="Calibri"/>
    </font>
    <font>
      <b/>
      <sz val="11"/>
      <color rgb="FFFFFFFF"/>
      <name val="Calibri"/>
      <family val="2"/>
    </font>
    <font>
      <sz val="12"/>
      <color theme="1"/>
      <name val="Calibri"/>
      <family val="2"/>
      <scheme val="minor"/>
    </font>
    <font>
      <sz val="11"/>
      <color theme="1"/>
      <name val="Calibri"/>
      <family val="2"/>
      <scheme val="minor"/>
    </font>
    <font>
      <sz val="8"/>
      <name val="Calibri"/>
      <family val="2"/>
      <scheme val="minor"/>
    </font>
    <font>
      <b/>
      <sz val="12"/>
      <color theme="1"/>
      <name val="Calibri"/>
      <family val="2"/>
      <scheme val="minor"/>
    </font>
    <font>
      <i/>
      <sz val="11"/>
      <color theme="1"/>
      <name val="Calibri"/>
      <family val="2"/>
      <scheme val="minor"/>
    </font>
    <font>
      <i/>
      <sz val="12"/>
      <color theme="1"/>
      <name val="Calibri"/>
      <family val="2"/>
      <scheme val="minor"/>
    </font>
  </fonts>
  <fills count="5">
    <fill>
      <patternFill patternType="none"/>
    </fill>
    <fill>
      <patternFill patternType="gray125"/>
    </fill>
    <fill>
      <patternFill patternType="solid">
        <fgColor rgb="FF1F4E79"/>
        <bgColor rgb="FF1F4E79"/>
      </patternFill>
    </fill>
    <fill>
      <patternFill patternType="solid">
        <fgColor rgb="FFC00000"/>
        <bgColor rgb="FFC00000"/>
      </patternFill>
    </fill>
    <fill>
      <patternFill patternType="solid">
        <fgColor theme="3" tint="0.59999389629810485"/>
        <bgColor indexed="64"/>
      </patternFill>
    </fill>
  </fills>
  <borders count="1">
    <border>
      <left/>
      <right/>
      <top/>
      <bottom/>
      <diagonal/>
    </border>
  </borders>
  <cellStyleXfs count="2">
    <xf numFmtId="0" fontId="0" fillId="0" borderId="0"/>
    <xf numFmtId="9" fontId="4" fillId="0" borderId="0" applyFont="0" applyFill="0" applyBorder="0" applyAlignment="0" applyProtection="0"/>
  </cellStyleXfs>
  <cellXfs count="24">
    <xf numFmtId="0" fontId="0" fillId="0" borderId="0" xfId="0"/>
    <xf numFmtId="0" fontId="1" fillId="2" borderId="0" xfId="0" applyFont="1" applyFill="1" applyAlignment="1">
      <alignment horizontal="center"/>
    </xf>
    <xf numFmtId="0" fontId="0" fillId="0" borderId="0" xfId="0"/>
    <xf numFmtId="0" fontId="1" fillId="3" borderId="0" xfId="0" applyFont="1" applyFill="1" applyAlignment="1">
      <alignment horizontal="center"/>
    </xf>
    <xf numFmtId="0" fontId="0" fillId="0" borderId="0" xfId="0" pivotButton="1"/>
    <xf numFmtId="0" fontId="0" fillId="0" borderId="0" xfId="0" applyAlignment="1">
      <alignment horizontal="left"/>
    </xf>
    <xf numFmtId="164" fontId="0" fillId="0" borderId="0" xfId="0" applyNumberFormat="1"/>
    <xf numFmtId="164" fontId="1" fillId="2" borderId="0" xfId="0" applyNumberFormat="1" applyFont="1" applyFill="1" applyAlignment="1">
      <alignment horizontal="center"/>
    </xf>
    <xf numFmtId="0" fontId="0" fillId="0" borderId="0" xfId="0" applyAlignment="1">
      <alignment horizontal="center"/>
    </xf>
    <xf numFmtId="0" fontId="2" fillId="2" borderId="0" xfId="0" applyFont="1" applyFill="1" applyAlignment="1">
      <alignment horizontal="center"/>
    </xf>
    <xf numFmtId="0" fontId="3" fillId="0" borderId="0" xfId="0" applyFont="1"/>
    <xf numFmtId="165" fontId="0" fillId="0" borderId="0" xfId="0" applyNumberFormat="1"/>
    <xf numFmtId="166" fontId="0" fillId="0" borderId="0" xfId="0" applyNumberFormat="1"/>
    <xf numFmtId="167" fontId="0" fillId="0" borderId="0" xfId="0" applyNumberFormat="1"/>
    <xf numFmtId="0" fontId="0" fillId="0" borderId="0" xfId="0" applyNumberFormat="1"/>
    <xf numFmtId="168" fontId="0" fillId="0" borderId="0" xfId="0" applyNumberFormat="1"/>
    <xf numFmtId="167" fontId="0" fillId="0" borderId="0" xfId="1" applyNumberFormat="1" applyFont="1"/>
    <xf numFmtId="0" fontId="0" fillId="0" borderId="0" xfId="0" applyProtection="1">
      <protection locked="0"/>
    </xf>
    <xf numFmtId="0" fontId="6" fillId="4" borderId="0" xfId="0" applyFont="1" applyFill="1" applyAlignment="1">
      <alignment horizontal="center" vertical="center"/>
    </xf>
    <xf numFmtId="169" fontId="0" fillId="0" borderId="0" xfId="0" applyNumberFormat="1"/>
    <xf numFmtId="0" fontId="7" fillId="0" borderId="0" xfId="0" applyFont="1" applyProtection="1">
      <protection locked="0"/>
    </xf>
    <xf numFmtId="0" fontId="7" fillId="0" borderId="0" xfId="0" applyFont="1"/>
    <xf numFmtId="0" fontId="8" fillId="0" borderId="0" xfId="0" applyFont="1" applyProtection="1">
      <protection locked="0"/>
    </xf>
    <xf numFmtId="0" fontId="8" fillId="0" borderId="0" xfId="0" applyFont="1"/>
  </cellXfs>
  <cellStyles count="2">
    <cellStyle name="Normal" xfId="0" builtinId="0"/>
    <cellStyle name="Percent" xfId="1" builtinId="5"/>
  </cellStyles>
  <dxfs count="4">
    <dxf>
      <numFmt numFmtId="170" formatCode="[$$-409]#,##0"/>
    </dxf>
    <dxf>
      <alignment horizontal="center" vertical="bottom" textRotation="0" wrapText="0" indent="0" justifyLastLine="0" shrinkToFit="0" readingOrder="0"/>
    </dxf>
    <dxf>
      <numFmt numFmtId="164" formatCode="dd\/mm\/yyyy"/>
    </dxf>
    <dxf>
      <font>
        <b/>
        <i val="0"/>
        <strike val="0"/>
        <condense val="0"/>
        <extend val="0"/>
        <outline val="0"/>
        <shadow val="0"/>
        <u val="none"/>
        <vertAlign val="baseline"/>
        <sz val="11"/>
        <color rgb="FFFFFFFF"/>
        <name val="Calibri"/>
        <scheme val="none"/>
      </font>
      <fill>
        <patternFill patternType="solid">
          <fgColor rgb="FF1F4E79"/>
          <bgColor rgb="FF1F4E79"/>
        </patternFill>
      </fill>
      <alignment horizontal="center" vertical="bottom" textRotation="0" wrapText="0" indent="0" justifyLastLine="0" shrinkToFit="0" readingOrder="0"/>
    </dxf>
  </dxfs>
  <tableStyles count="1" defaultTableStyle="TableStyleMedium9" defaultPivotStyle="PivotStyleLight16">
    <tableStyle name="Scott" pivot="0" table="0" count="2" xr9:uid="{ABE59DF6-BFBE-4D22-A7E9-F177C3B03E97}"/>
  </tableStyles>
  <colors>
    <mruColors>
      <color rgb="FFCCDCEA"/>
      <color rgb="FFA7CCD5"/>
      <color rgb="FF385F7C"/>
      <color rgb="FF95B3D7"/>
      <color rgb="FFCCDECA"/>
      <color rgb="FFCCDCE8"/>
      <color rgb="FFCCDCC8"/>
      <color rgb="FFCCDCCA"/>
      <color rgb="FFEEF2F7"/>
      <color rgb="FFE1EAF1"/>
    </mruColors>
  </colors>
  <extLst>
    <ext xmlns:x14="http://schemas.microsoft.com/office/spreadsheetml/2009/9/main" uri="{46F421CA-312F-682f-3DD2-61675219B42D}">
      <x14:dxfs count="2">
        <dxf>
          <font>
            <b/>
            <i val="0"/>
            <sz val="12"/>
            <color rgb="FF385F7C"/>
            <name val="Calibri"/>
            <family val="2"/>
            <scheme val="minor"/>
          </font>
          <fill>
            <patternFill>
              <bgColor rgb="FFA7CCD5"/>
            </patternFill>
          </fill>
          <border diagonalUp="0" diagonalDown="0">
            <left/>
            <right/>
            <top/>
            <bottom/>
            <vertical/>
            <horizontal/>
          </border>
        </dxf>
        <dxf>
          <fill>
            <patternFill>
              <fgColor theme="1" tint="0.499984740745262"/>
              <bgColor theme="3" tint="0.59996337778862885"/>
            </patternFill>
          </fill>
        </dxf>
      </x14:dxfs>
    </ext>
    <ext xmlns:x14="http://schemas.microsoft.com/office/spreadsheetml/2009/9/main" uri="{EB79DEF2-80B8-43e5-95BD-54CBDDF9020C}">
      <x14:slicerStyles defaultSlicerStyle="SlicerStyleLight1">
        <x14:slicerStyle name="Scott">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1.xlsm]Pivot!PivotTable9</c:name>
    <c:fmtId val="9"/>
  </c:pivotSource>
  <c:chart>
    <c:autoTitleDeleted val="1"/>
    <c:pivotFmts>
      <c:pivotFmt>
        <c:idx val="0"/>
        <c:spPr>
          <a:solidFill>
            <a:schemeClr val="accent1"/>
          </a:solidFill>
          <a:ln w="19050" cap="rnd">
            <a:solidFill>
              <a:schemeClr val="bg2">
                <a:lumMod val="10000"/>
              </a:schemeClr>
            </a:solidFill>
            <a:prstDash val="sysDot"/>
            <a:round/>
          </a:ln>
          <a:effectLst/>
        </c:spPr>
        <c:marker>
          <c:symbol val="circle"/>
          <c:size val="5"/>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bg2">
                <a:lumMod val="10000"/>
              </a:schemeClr>
            </a:solidFill>
            <a:prstDash val="sysDot"/>
            <a:round/>
          </a:ln>
          <a:effectLst/>
        </c:spPr>
        <c:marker>
          <c:symbol val="circle"/>
          <c:size val="5"/>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493725001301746E-2"/>
          <c:y val="0"/>
          <c:w val="0.96092113280600855"/>
          <c:h val="0.84536449015641935"/>
        </c:manualLayout>
      </c:layout>
      <c:lineChart>
        <c:grouping val="stacked"/>
        <c:varyColors val="0"/>
        <c:ser>
          <c:idx val="0"/>
          <c:order val="0"/>
          <c:tx>
            <c:strRef>
              <c:f>Pivot!$J$3</c:f>
              <c:strCache>
                <c:ptCount val="1"/>
                <c:pt idx="0">
                  <c:v>Total</c:v>
                </c:pt>
              </c:strCache>
            </c:strRef>
          </c:tx>
          <c:spPr>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cat>
            <c:strRef>
              <c:f>Pivot!$I$4:$I$16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Pivot!$J$4:$J$16</c:f>
              <c:numCache>
                <c:formatCode>\$#,##0.0,,"M"</c:formatCode>
                <c:ptCount val="12"/>
                <c:pt idx="0">
                  <c:v>6769542.7800000021</c:v>
                </c:pt>
                <c:pt idx="1">
                  <c:v>5720083.3200000003</c:v>
                </c:pt>
                <c:pt idx="2">
                  <c:v>5761953.2700000014</c:v>
                </c:pt>
                <c:pt idx="3">
                  <c:v>6590352.3799999962</c:v>
                </c:pt>
                <c:pt idx="4">
                  <c:v>7189484.089999998</c:v>
                </c:pt>
                <c:pt idx="5">
                  <c:v>5327911.9000000013</c:v>
                </c:pt>
                <c:pt idx="6">
                  <c:v>7233601.839999998</c:v>
                </c:pt>
                <c:pt idx="7">
                  <c:v>7300892.0400000028</c:v>
                </c:pt>
                <c:pt idx="8">
                  <c:v>6359412.8999999985</c:v>
                </c:pt>
                <c:pt idx="9">
                  <c:v>7363798.9099999964</c:v>
                </c:pt>
                <c:pt idx="10">
                  <c:v>6125568.839999998</c:v>
                </c:pt>
                <c:pt idx="11">
                  <c:v>6967929.830000001</c:v>
                </c:pt>
              </c:numCache>
            </c:numRef>
          </c:val>
          <c:smooth val="1"/>
          <c:extLst>
            <c:ext xmlns:c16="http://schemas.microsoft.com/office/drawing/2014/chart" uri="{C3380CC4-5D6E-409C-BE32-E72D297353CC}">
              <c16:uniqueId val="{00000000-0851-4DA7-A251-F2DF3E9C9A98}"/>
            </c:ext>
          </c:extLst>
        </c:ser>
        <c:dLbls>
          <c:showLegendKey val="0"/>
          <c:showVal val="0"/>
          <c:showCatName val="0"/>
          <c:showSerName val="0"/>
          <c:showPercent val="0"/>
          <c:showBubbleSize val="0"/>
        </c:dLbls>
        <c:marker val="1"/>
        <c:smooth val="0"/>
        <c:axId val="1933166128"/>
        <c:axId val="1933192048"/>
      </c:lineChart>
      <c:catAx>
        <c:axId val="193316612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933192048"/>
        <c:crosses val="autoZero"/>
        <c:auto val="1"/>
        <c:lblAlgn val="ctr"/>
        <c:lblOffset val="100"/>
        <c:noMultiLvlLbl val="0"/>
      </c:catAx>
      <c:valAx>
        <c:axId val="1933192048"/>
        <c:scaling>
          <c:orientation val="minMax"/>
        </c:scaling>
        <c:delete val="1"/>
        <c:axPos val="l"/>
        <c:numFmt formatCode="\$#,##0.0,,&quot;M&quot;" sourceLinked="1"/>
        <c:majorTickMark val="none"/>
        <c:minorTickMark val="none"/>
        <c:tickLblPos val="nextTo"/>
        <c:crossAx val="1933166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1.xlsm]Pivot!PivotTable12</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370640713706412E-2"/>
          <c:y val="7.407407407407407E-2"/>
          <c:w val="0.92862935928629364"/>
          <c:h val="0.84779173201191449"/>
        </c:manualLayout>
      </c:layout>
      <c:barChart>
        <c:barDir val="col"/>
        <c:grouping val="stacked"/>
        <c:varyColors val="0"/>
        <c:ser>
          <c:idx val="0"/>
          <c:order val="0"/>
          <c:tx>
            <c:strRef>
              <c:f>Pivot!$E$19</c:f>
              <c:strCache>
                <c:ptCount val="1"/>
                <c:pt idx="0">
                  <c:v>Total</c:v>
                </c:pt>
              </c:strCache>
            </c:strRef>
          </c:tx>
          <c:spPr>
            <a:solidFill>
              <a:srgbClr val="CCDCE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Pivot!$D$20:$D$23</c:f>
              <c:strCache>
                <c:ptCount val="3"/>
                <c:pt idx="0">
                  <c:v>West</c:v>
                </c:pt>
                <c:pt idx="1">
                  <c:v>East</c:v>
                </c:pt>
                <c:pt idx="2">
                  <c:v>North</c:v>
                </c:pt>
              </c:strCache>
            </c:strRef>
          </c:cat>
          <c:val>
            <c:numRef>
              <c:f>Pivot!$E$20:$E$23</c:f>
              <c:numCache>
                <c:formatCode>\$#,##0.0,,"M"</c:formatCode>
                <c:ptCount val="3"/>
                <c:pt idx="0">
                  <c:v>18669944.249999929</c:v>
                </c:pt>
                <c:pt idx="1">
                  <c:v>11865446.140000021</c:v>
                </c:pt>
                <c:pt idx="2">
                  <c:v>5113744.9799999995</c:v>
                </c:pt>
              </c:numCache>
            </c:numRef>
          </c:val>
          <c:extLst>
            <c:ext xmlns:c16="http://schemas.microsoft.com/office/drawing/2014/chart" uri="{C3380CC4-5D6E-409C-BE32-E72D297353CC}">
              <c16:uniqueId val="{00000000-B646-4A6E-A923-60046A2F2C5F}"/>
            </c:ext>
          </c:extLst>
        </c:ser>
        <c:dLbls>
          <c:dLblPos val="ctr"/>
          <c:showLegendKey val="0"/>
          <c:showVal val="1"/>
          <c:showCatName val="0"/>
          <c:showSerName val="0"/>
          <c:showPercent val="0"/>
          <c:showBubbleSize val="0"/>
        </c:dLbls>
        <c:gapWidth val="100"/>
        <c:overlap val="100"/>
        <c:axId val="1933168048"/>
        <c:axId val="1933168528"/>
      </c:barChart>
      <c:catAx>
        <c:axId val="19331680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385F7C"/>
                </a:solidFill>
                <a:latin typeface="+mn-lt"/>
                <a:ea typeface="+mn-ea"/>
                <a:cs typeface="+mn-cs"/>
              </a:defRPr>
            </a:pPr>
            <a:endParaRPr lang="en-US"/>
          </a:p>
        </c:txPr>
        <c:crossAx val="1933168528"/>
        <c:crosses val="autoZero"/>
        <c:auto val="1"/>
        <c:lblAlgn val="ctr"/>
        <c:lblOffset val="100"/>
        <c:noMultiLvlLbl val="0"/>
      </c:catAx>
      <c:valAx>
        <c:axId val="1933168528"/>
        <c:scaling>
          <c:orientation val="minMax"/>
        </c:scaling>
        <c:delete val="1"/>
        <c:axPos val="l"/>
        <c:numFmt formatCode="\$#,##0.0,,&quot;M&quot;" sourceLinked="1"/>
        <c:majorTickMark val="none"/>
        <c:minorTickMark val="none"/>
        <c:tickLblPos val="nextTo"/>
        <c:crossAx val="193316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1.xlsm]Pivot!PivotTable8</c:name>
    <c:fmtId val="32"/>
  </c:pivotSource>
  <c:chart>
    <c:autoTitleDeleted val="1"/>
    <c:pivotFmts>
      <c:pivotFmt>
        <c:idx val="0"/>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42349574989706E-2"/>
          <c:y val="3.6395993752104512E-2"/>
          <c:w val="0.94035555263334292"/>
          <c:h val="0.83419862433564196"/>
        </c:manualLayout>
      </c:layout>
      <c:lineChart>
        <c:grouping val="stacked"/>
        <c:varyColors val="0"/>
        <c:ser>
          <c:idx val="0"/>
          <c:order val="0"/>
          <c:tx>
            <c:strRef>
              <c:f>Pivot!$F$3</c:f>
              <c:strCache>
                <c:ptCount val="1"/>
                <c:pt idx="0">
                  <c:v>Total</c:v>
                </c:pt>
              </c:strCache>
            </c:strRef>
          </c:tx>
          <c:spPr>
            <a:ln w="28575" cap="rnd">
              <a:noFill/>
              <a:round/>
            </a:ln>
            <a:effectLst/>
          </c:spPr>
          <c:marker>
            <c:symbol val="circle"/>
            <c:size val="8"/>
            <c:spPr>
              <a:solidFill>
                <a:schemeClr val="accent1"/>
              </a:solidFill>
              <a:ln w="9525">
                <a:solidFill>
                  <a:srgbClr val="385F7C"/>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Pivot!$E$4:$E$9</c:f>
              <c:strCache>
                <c:ptCount val="5"/>
                <c:pt idx="0">
                  <c:v>Bag-Kids</c:v>
                </c:pt>
                <c:pt idx="1">
                  <c:v>Bag-Women</c:v>
                </c:pt>
                <c:pt idx="2">
                  <c:v>Shirt-Men</c:v>
                </c:pt>
                <c:pt idx="3">
                  <c:v>Shoes-Men</c:v>
                </c:pt>
                <c:pt idx="4">
                  <c:v>Shoes-Women</c:v>
                </c:pt>
              </c:strCache>
            </c:strRef>
          </c:cat>
          <c:val>
            <c:numRef>
              <c:f>Pivot!$F$4:$F$9</c:f>
              <c:numCache>
                <c:formatCode>[&gt;=1000000]\$#,##0.0,,"M";General</c:formatCode>
                <c:ptCount val="5"/>
                <c:pt idx="0">
                  <c:v>6186048.6300000018</c:v>
                </c:pt>
                <c:pt idx="1">
                  <c:v>30233182.620000023</c:v>
                </c:pt>
                <c:pt idx="2">
                  <c:v>5608592.1200000038</c:v>
                </c:pt>
                <c:pt idx="3">
                  <c:v>16124943.519999998</c:v>
                </c:pt>
                <c:pt idx="4">
                  <c:v>20557765.210000005</c:v>
                </c:pt>
              </c:numCache>
            </c:numRef>
          </c:val>
          <c:smooth val="1"/>
          <c:extLst>
            <c:ext xmlns:c16="http://schemas.microsoft.com/office/drawing/2014/chart" uri="{C3380CC4-5D6E-409C-BE32-E72D297353CC}">
              <c16:uniqueId val="{00000000-F5E2-43B6-9210-960A9D44E20D}"/>
            </c:ext>
          </c:extLst>
        </c:ser>
        <c:dLbls>
          <c:dLblPos val="t"/>
          <c:showLegendKey val="0"/>
          <c:showVal val="1"/>
          <c:showCatName val="0"/>
          <c:showSerName val="0"/>
          <c:showPercent val="0"/>
          <c:showBubbleSize val="0"/>
        </c:dLbls>
        <c:dropLines>
          <c:spPr>
            <a:ln w="19050" cap="flat" cmpd="sng" algn="ctr">
              <a:solidFill>
                <a:srgbClr val="385F7C"/>
              </a:solidFill>
              <a:prstDash val="sysDot"/>
              <a:round/>
            </a:ln>
            <a:effectLst/>
          </c:spPr>
        </c:dropLines>
        <c:marker val="1"/>
        <c:smooth val="0"/>
        <c:axId val="1786678527"/>
        <c:axId val="1786683807"/>
      </c:lineChart>
      <c:catAx>
        <c:axId val="178667852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786683807"/>
        <c:crosses val="autoZero"/>
        <c:auto val="1"/>
        <c:lblAlgn val="ctr"/>
        <c:lblOffset val="100"/>
        <c:noMultiLvlLbl val="0"/>
      </c:catAx>
      <c:valAx>
        <c:axId val="1786683807"/>
        <c:scaling>
          <c:orientation val="minMax"/>
        </c:scaling>
        <c:delete val="1"/>
        <c:axPos val="l"/>
        <c:numFmt formatCode="[&gt;=1000000]\$#,##0.0,,&quot;M&quot;;General" sourceLinked="1"/>
        <c:majorTickMark val="none"/>
        <c:minorTickMark val="none"/>
        <c:tickLblPos val="nextTo"/>
        <c:crossAx val="178667852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1.xlsm]Pivot!PivotTable7</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77210995222321"/>
          <c:y val="4.0255905511811033E-3"/>
          <c:w val="0.87070891151610075"/>
          <c:h val="0.99597448706930114"/>
        </c:manualLayout>
      </c:layout>
      <c:barChart>
        <c:barDir val="bar"/>
        <c:grouping val="clustered"/>
        <c:varyColors val="0"/>
        <c:ser>
          <c:idx val="0"/>
          <c:order val="0"/>
          <c:tx>
            <c:strRef>
              <c:f>Pivot!$B$3</c:f>
              <c:strCache>
                <c:ptCount val="1"/>
                <c:pt idx="0">
                  <c:v>Total</c:v>
                </c:pt>
              </c:strCache>
            </c:strRef>
          </c:tx>
          <c:spPr>
            <a:solidFill>
              <a:srgbClr val="CCDCE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3"/>
                <c:pt idx="0">
                  <c:v>West</c:v>
                </c:pt>
                <c:pt idx="1">
                  <c:v>East</c:v>
                </c:pt>
                <c:pt idx="2">
                  <c:v>North</c:v>
                </c:pt>
              </c:strCache>
            </c:strRef>
          </c:cat>
          <c:val>
            <c:numRef>
              <c:f>Pivot!$B$4:$B$7</c:f>
              <c:numCache>
                <c:formatCode>\$#,##0.0,,"M"</c:formatCode>
                <c:ptCount val="3"/>
                <c:pt idx="0">
                  <c:v>41183080.859999932</c:v>
                </c:pt>
                <c:pt idx="1">
                  <c:v>26127632.420000017</c:v>
                </c:pt>
                <c:pt idx="2">
                  <c:v>11399818.819999991</c:v>
                </c:pt>
              </c:numCache>
            </c:numRef>
          </c:val>
          <c:extLst>
            <c:ext xmlns:c16="http://schemas.microsoft.com/office/drawing/2014/chart" uri="{C3380CC4-5D6E-409C-BE32-E72D297353CC}">
              <c16:uniqueId val="{00000000-A5F7-48A4-A34D-1DC45FCFFAF2}"/>
            </c:ext>
          </c:extLst>
        </c:ser>
        <c:dLbls>
          <c:dLblPos val="outEnd"/>
          <c:showLegendKey val="0"/>
          <c:showVal val="1"/>
          <c:showCatName val="0"/>
          <c:showSerName val="0"/>
          <c:showPercent val="0"/>
          <c:showBubbleSize val="0"/>
        </c:dLbls>
        <c:gapWidth val="150"/>
        <c:axId val="1933173808"/>
        <c:axId val="1933182448"/>
      </c:barChart>
      <c:catAx>
        <c:axId val="1933173808"/>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933182448"/>
        <c:crosses val="autoZero"/>
        <c:auto val="1"/>
        <c:lblAlgn val="ctr"/>
        <c:lblOffset val="100"/>
        <c:noMultiLvlLbl val="0"/>
      </c:catAx>
      <c:valAx>
        <c:axId val="1933182448"/>
        <c:scaling>
          <c:orientation val="minMax"/>
        </c:scaling>
        <c:delete val="1"/>
        <c:axPos val="b"/>
        <c:numFmt formatCode="\$#,##0.0,,&quot;M&quot;" sourceLinked="1"/>
        <c:majorTickMark val="none"/>
        <c:minorTickMark val="none"/>
        <c:tickLblPos val="nextTo"/>
        <c:crossAx val="19331738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1.xlsm]Pivot!PivotTable10</c:name>
    <c:fmtId val="9"/>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85F7C"/>
          </a:solidFill>
          <a:ln w="19050">
            <a:noFill/>
          </a:ln>
          <a:effectLst/>
        </c:spPr>
      </c:pivotFmt>
      <c:pivotFmt>
        <c:idx val="2"/>
        <c:spPr>
          <a:solidFill>
            <a:schemeClr val="tx1">
              <a:lumMod val="50000"/>
              <a:lumOff val="50000"/>
            </a:schemeClr>
          </a:solidFill>
          <a:ln w="19050">
            <a:noFill/>
          </a:ln>
          <a:effectLst/>
        </c:spPr>
      </c:pivotFmt>
      <c:pivotFmt>
        <c:idx val="3"/>
        <c:spPr>
          <a:solidFill>
            <a:srgbClr val="CCDCE8"/>
          </a:solidFill>
          <a:ln w="19050">
            <a:no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85F7C"/>
          </a:solidFill>
          <a:ln w="19050">
            <a:noFill/>
          </a:ln>
          <a:effectLst/>
        </c:spPr>
      </c:pivotFmt>
      <c:pivotFmt>
        <c:idx val="6"/>
        <c:spPr>
          <a:solidFill>
            <a:schemeClr val="tx1">
              <a:lumMod val="50000"/>
              <a:lumOff val="50000"/>
            </a:schemeClr>
          </a:solidFill>
          <a:ln w="19050">
            <a:noFill/>
          </a:ln>
          <a:effectLst/>
        </c:spPr>
      </c:pivotFmt>
      <c:pivotFmt>
        <c:idx val="7"/>
        <c:spPr>
          <a:solidFill>
            <a:srgbClr val="CCDCE8"/>
          </a:solidFill>
          <a:ln w="19050">
            <a:no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73770886187778"/>
          <c:y val="0.23930433981716331"/>
          <c:w val="0.46448147830859732"/>
          <c:h val="0.55739533785609097"/>
        </c:manualLayout>
      </c:layout>
      <c:doughnutChart>
        <c:varyColors val="0"/>
        <c:ser>
          <c:idx val="0"/>
          <c:order val="0"/>
          <c:tx>
            <c:strRef>
              <c:f>Pivot!$M$3</c:f>
              <c:strCache>
                <c:ptCount val="1"/>
                <c:pt idx="0">
                  <c:v>Total</c:v>
                </c:pt>
              </c:strCache>
            </c:strRef>
          </c:tx>
          <c:spPr>
            <a:solidFill>
              <a:schemeClr val="accent1"/>
            </a:solidFill>
            <a:ln w="19050">
              <a:noFill/>
            </a:ln>
            <a:effectLst/>
          </c:spPr>
          <c:dPt>
            <c:idx val="0"/>
            <c:bubble3D val="0"/>
            <c:spPr>
              <a:solidFill>
                <a:srgbClr val="385F7C"/>
              </a:solidFill>
              <a:ln w="19050">
                <a:noFill/>
              </a:ln>
              <a:effectLst/>
            </c:spPr>
            <c:extLst>
              <c:ext xmlns:c16="http://schemas.microsoft.com/office/drawing/2014/chart" uri="{C3380CC4-5D6E-409C-BE32-E72D297353CC}">
                <c16:uniqueId val="{00000001-86C4-4ECF-9BB0-1EB36F87A4AD}"/>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86C4-4ECF-9BB0-1EB36F87A4AD}"/>
              </c:ext>
            </c:extLst>
          </c:dPt>
          <c:dPt>
            <c:idx val="2"/>
            <c:bubble3D val="0"/>
            <c:spPr>
              <a:solidFill>
                <a:srgbClr val="CCDCE8"/>
              </a:solidFill>
              <a:ln w="19050">
                <a:noFill/>
              </a:ln>
              <a:effectLst/>
            </c:spPr>
            <c:extLst>
              <c:ext xmlns:c16="http://schemas.microsoft.com/office/drawing/2014/chart" uri="{C3380CC4-5D6E-409C-BE32-E72D297353CC}">
                <c16:uniqueId val="{00000005-86C4-4ECF-9BB0-1EB36F87A4AD}"/>
              </c:ext>
            </c:extLst>
          </c:dPt>
          <c:dLbls>
            <c:dLbl>
              <c:idx val="0"/>
              <c:layout>
                <c:manualLayout>
                  <c:x val="-0.17027436977704929"/>
                  <c:y val="-0.313019192045965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C4-4ECF-9BB0-1EB36F87A4AD}"/>
                </c:ext>
              </c:extLst>
            </c:dLbl>
            <c:dLbl>
              <c:idx val="1"/>
              <c:layout>
                <c:manualLayout>
                  <c:x val="6.6136775999120212E-2"/>
                  <c:y val="-0.140034901704774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C4-4ECF-9BB0-1EB36F87A4AD}"/>
                </c:ext>
              </c:extLst>
            </c:dLbl>
            <c:dLbl>
              <c:idx val="2"/>
              <c:layout>
                <c:manualLayout>
                  <c:x val="0.20619112517372773"/>
                  <c:y val="0.115322860227461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6C4-4ECF-9BB0-1EB36F87A4AD}"/>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showLeaderLines val="1"/>
            <c:leaderLines>
              <c:spPr>
                <a:ln w="25400" cap="flat" cmpd="sng" algn="ctr">
                  <a:solidFill>
                    <a:schemeClr val="tx1">
                      <a:lumMod val="35000"/>
                      <a:lumOff val="65000"/>
                    </a:schemeClr>
                  </a:solidFill>
                  <a:prstDash val="sysDot"/>
                  <a:round/>
                </a:ln>
                <a:effectLst/>
              </c:spPr>
            </c:leaderLines>
            <c:extLst>
              <c:ext xmlns:c15="http://schemas.microsoft.com/office/drawing/2012/chart" uri="{CE6537A1-D6FC-4f65-9D91-7224C49458BB}"/>
            </c:extLst>
          </c:dLbls>
          <c:cat>
            <c:strRef>
              <c:f>Pivot!$L$4:$L$7</c:f>
              <c:strCache>
                <c:ptCount val="3"/>
                <c:pt idx="0">
                  <c:v>In-Store</c:v>
                </c:pt>
                <c:pt idx="1">
                  <c:v>Online</c:v>
                </c:pt>
                <c:pt idx="2">
                  <c:v>Phone</c:v>
                </c:pt>
              </c:strCache>
            </c:strRef>
          </c:cat>
          <c:val>
            <c:numRef>
              <c:f>Pivot!$M$4:$M$7</c:f>
              <c:numCache>
                <c:formatCode>\$#,##0.0,,"M"</c:formatCode>
                <c:ptCount val="3"/>
                <c:pt idx="0">
                  <c:v>36337102.759999968</c:v>
                </c:pt>
                <c:pt idx="1">
                  <c:v>26737015.260000024</c:v>
                </c:pt>
                <c:pt idx="2">
                  <c:v>15636414.079999985</c:v>
                </c:pt>
              </c:numCache>
            </c:numRef>
          </c:val>
          <c:extLst>
            <c:ext xmlns:c16="http://schemas.microsoft.com/office/drawing/2014/chart" uri="{C3380CC4-5D6E-409C-BE32-E72D297353CC}">
              <c16:uniqueId val="{00000006-86C4-4ECF-9BB0-1EB36F87A4AD}"/>
            </c:ext>
          </c:extLst>
        </c:ser>
        <c:dLbls>
          <c:showLegendKey val="0"/>
          <c:showVal val="1"/>
          <c:showCatName val="0"/>
          <c:showSerName val="0"/>
          <c:showPercent val="0"/>
          <c:showBubbleSize val="0"/>
          <c:showLeaderLines val="1"/>
        </c:dLbls>
        <c:firstSliceAng val="165"/>
        <c:holeSize val="8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1.xlsm]Pivot!PivotTable11</c:name>
    <c:fmtId val="8"/>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85F7C"/>
          </a:solidFill>
          <a:ln w="19050">
            <a:noFill/>
          </a:ln>
          <a:effectLst/>
        </c:spPr>
      </c:pivotFmt>
      <c:pivotFmt>
        <c:idx val="2"/>
        <c:spPr>
          <a:solidFill>
            <a:schemeClr val="accent1">
              <a:lumMod val="60000"/>
              <a:lumOff val="40000"/>
            </a:schemeClr>
          </a:solidFill>
          <a:ln w="19050">
            <a:noFill/>
          </a:ln>
          <a:effectLst/>
        </c:spPr>
      </c:pivotFmt>
      <c:pivotFmt>
        <c:idx val="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85F7C"/>
          </a:solidFill>
          <a:ln w="19050">
            <a:noFill/>
          </a:ln>
          <a:effectLst/>
        </c:spPr>
      </c:pivotFmt>
      <c:pivotFmt>
        <c:idx val="5"/>
        <c:spPr>
          <a:solidFill>
            <a:schemeClr val="accent1">
              <a:lumMod val="60000"/>
              <a:lumOff val="40000"/>
            </a:schemeClr>
          </a:solidFill>
          <a:ln w="19050">
            <a:noFill/>
          </a:ln>
          <a:effectLst/>
        </c:spPr>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8"/>
        <c:spPr>
          <a:solidFill>
            <a:schemeClr val="accent1">
              <a:lumMod val="60000"/>
              <a:lumOff val="40000"/>
            </a:schemeClr>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1"/>
        <c:spPr>
          <a:solidFill>
            <a:schemeClr val="accent1">
              <a:lumMod val="60000"/>
              <a:lumOff val="40000"/>
            </a:schemeClr>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1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4"/>
        <c:spPr>
          <a:solidFill>
            <a:srgbClr val="95B3D7"/>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7"/>
        <c:spPr>
          <a:solidFill>
            <a:srgbClr val="95B3D7"/>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20"/>
        <c:spPr>
          <a:solidFill>
            <a:srgbClr val="95B3D7"/>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s>
    <c:plotArea>
      <c:layout>
        <c:manualLayout>
          <c:layoutTarget val="inner"/>
          <c:xMode val="edge"/>
          <c:yMode val="edge"/>
          <c:x val="0.11422798870621527"/>
          <c:y val="0.18761741893543571"/>
          <c:w val="0.6787994560444921"/>
          <c:h val="0.56865439656086236"/>
        </c:manualLayout>
      </c:layout>
      <c:pieChart>
        <c:varyColors val="0"/>
        <c:ser>
          <c:idx val="0"/>
          <c:order val="0"/>
          <c:tx>
            <c:strRef>
              <c:f>Pivot!$B$12</c:f>
              <c:strCache>
                <c:ptCount val="1"/>
                <c:pt idx="0">
                  <c:v>Total</c:v>
                </c:pt>
              </c:strCache>
            </c:strRef>
          </c:tx>
          <c:spPr>
            <a:solidFill>
              <a:schemeClr val="accent5"/>
            </a:solidFill>
            <a:ln w="19050">
              <a:solidFill>
                <a:schemeClr val="lt1"/>
              </a:solidFill>
            </a:ln>
            <a:effectLst/>
          </c:spPr>
          <c:dPt>
            <c:idx val="0"/>
            <c:bubble3D val="0"/>
            <c:spPr>
              <a:solidFill>
                <a:srgbClr val="385F7C"/>
              </a:solidFill>
              <a:ln w="19050">
                <a:noFill/>
              </a:ln>
              <a:effectLst/>
            </c:spPr>
            <c:extLst>
              <c:ext xmlns:c16="http://schemas.microsoft.com/office/drawing/2014/chart" uri="{C3380CC4-5D6E-409C-BE32-E72D297353CC}">
                <c16:uniqueId val="{00000001-E35E-4B80-96DA-4E5144BC036C}"/>
              </c:ext>
            </c:extLst>
          </c:dPt>
          <c:dPt>
            <c:idx val="1"/>
            <c:bubble3D val="0"/>
            <c:spPr>
              <a:solidFill>
                <a:srgbClr val="95B3D7"/>
              </a:solidFill>
              <a:ln w="19050">
                <a:noFill/>
              </a:ln>
              <a:effectLst/>
            </c:spPr>
            <c:extLst>
              <c:ext xmlns:c16="http://schemas.microsoft.com/office/drawing/2014/chart" uri="{C3380CC4-5D6E-409C-BE32-E72D297353CC}">
                <c16:uniqueId val="{00000003-E35E-4B80-96DA-4E5144BC036C}"/>
              </c:ext>
            </c:extLst>
          </c:dPt>
          <c:dLbls>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 xmlns:c16="http://schemas.microsoft.com/office/drawing/2014/chart" uri="{C3380CC4-5D6E-409C-BE32-E72D297353CC}">
                  <c16:uniqueId val="{00000001-E35E-4B80-96DA-4E5144BC036C}"/>
                </c:ext>
              </c:extLst>
            </c:dLbl>
            <c:dLbl>
              <c:idx val="1"/>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 xmlns:c16="http://schemas.microsoft.com/office/drawing/2014/chart" uri="{C3380CC4-5D6E-409C-BE32-E72D297353CC}">
                  <c16:uniqueId val="{00000003-E35E-4B80-96DA-4E5144BC036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25400" cap="flat" cmpd="sng" algn="ctr">
                  <a:solidFill>
                    <a:schemeClr val="tx1">
                      <a:lumMod val="35000"/>
                      <a:lumOff val="65000"/>
                    </a:schemeClr>
                  </a:solidFill>
                  <a:prstDash val="sysDot"/>
                  <a:round/>
                </a:ln>
                <a:effectLst/>
              </c:spPr>
            </c:leaderLines>
            <c:extLst>
              <c:ext xmlns:c15="http://schemas.microsoft.com/office/drawing/2012/chart" uri="{CE6537A1-D6FC-4f65-9D91-7224C49458BB}"/>
            </c:extLst>
          </c:dLbls>
          <c:cat>
            <c:strRef>
              <c:f>Pivot!$A$13:$A$15</c:f>
              <c:strCache>
                <c:ptCount val="2"/>
                <c:pt idx="0">
                  <c:v>Male</c:v>
                </c:pt>
                <c:pt idx="1">
                  <c:v>Female</c:v>
                </c:pt>
              </c:strCache>
            </c:strRef>
          </c:cat>
          <c:val>
            <c:numRef>
              <c:f>Pivot!$B$13:$B$15</c:f>
              <c:numCache>
                <c:formatCode>[&gt;=1000000]\$#,##0.0,,"M";General</c:formatCode>
                <c:ptCount val="2"/>
                <c:pt idx="0">
                  <c:v>39755261.389999986</c:v>
                </c:pt>
                <c:pt idx="1">
                  <c:v>38955270.709999934</c:v>
                </c:pt>
              </c:numCache>
            </c:numRef>
          </c:val>
          <c:extLst>
            <c:ext xmlns:c16="http://schemas.microsoft.com/office/drawing/2014/chart" uri="{C3380CC4-5D6E-409C-BE32-E72D297353CC}">
              <c16:uniqueId val="{00000004-E35E-4B80-96DA-4E5144BC036C}"/>
            </c:ext>
          </c:extLst>
        </c:ser>
        <c:dLbls>
          <c:dLblPos val="bestFit"/>
          <c:showLegendKey val="0"/>
          <c:showVal val="1"/>
          <c:showCatName val="0"/>
          <c:showSerName val="0"/>
          <c:showPercent val="0"/>
          <c:showBubbleSize val="0"/>
          <c:showLeaderLines val="1"/>
        </c:dLbls>
        <c:firstSliceAng val="70"/>
      </c:pieChart>
      <c:spPr>
        <a:noFill/>
        <a:ln>
          <a:noFill/>
        </a:ln>
        <a:effectLst/>
      </c:spPr>
    </c:plotArea>
    <c:legend>
      <c:legendPos val="r"/>
      <c:layout>
        <c:manualLayout>
          <c:xMode val="edge"/>
          <c:yMode val="edge"/>
          <c:x val="1.26038528188191E-2"/>
          <c:y val="0.79251698942638893"/>
          <c:w val="0.64338406221508393"/>
          <c:h val="0.1915322348902344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1.xlsm]Pivot!PivotTable9</c:name>
    <c:fmtId val="7"/>
  </c:pivotSource>
  <c:chart>
    <c:autoTitleDeleted val="1"/>
    <c:pivotFmts>
      <c:pivotFmt>
        <c:idx val="0"/>
        <c:spPr>
          <a:solidFill>
            <a:schemeClr val="accent1"/>
          </a:solidFill>
          <a:ln w="19050" cap="rnd">
            <a:solidFill>
              <a:schemeClr val="bg2">
                <a:lumMod val="10000"/>
              </a:schemeClr>
            </a:solidFill>
            <a:prstDash val="sysDot"/>
            <a:round/>
          </a:ln>
          <a:effectLst/>
        </c:spPr>
        <c:marker>
          <c:symbol val="circle"/>
          <c:size val="5"/>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bg2">
                <a:lumMod val="10000"/>
              </a:schemeClr>
            </a:solidFill>
            <a:prstDash val="sysDot"/>
            <a:round/>
          </a:ln>
          <a:effectLst/>
        </c:spPr>
        <c:marker>
          <c:symbol val="circle"/>
          <c:size val="5"/>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493725001301746E-2"/>
          <c:y val="0.2610925840871724"/>
          <c:w val="0.96092113280600855"/>
          <c:h val="0.58405566538641607"/>
        </c:manualLayout>
      </c:layout>
      <c:lineChart>
        <c:grouping val="stacked"/>
        <c:varyColors val="0"/>
        <c:ser>
          <c:idx val="0"/>
          <c:order val="0"/>
          <c:tx>
            <c:strRef>
              <c:f>Pivot!$J$3</c:f>
              <c:strCache>
                <c:ptCount val="1"/>
                <c:pt idx="0">
                  <c:v>Total</c:v>
                </c:pt>
              </c:strCache>
            </c:strRef>
          </c:tx>
          <c:spPr>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cat>
            <c:strRef>
              <c:f>Pivot!$I$4:$I$16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Pivot!$J$4:$J$16</c:f>
              <c:numCache>
                <c:formatCode>\$#,##0.0,,"M"</c:formatCode>
                <c:ptCount val="12"/>
                <c:pt idx="0">
                  <c:v>6769542.7800000021</c:v>
                </c:pt>
                <c:pt idx="1">
                  <c:v>5720083.3200000003</c:v>
                </c:pt>
                <c:pt idx="2">
                  <c:v>5761953.2700000014</c:v>
                </c:pt>
                <c:pt idx="3">
                  <c:v>6590352.3799999962</c:v>
                </c:pt>
                <c:pt idx="4">
                  <c:v>7189484.089999998</c:v>
                </c:pt>
                <c:pt idx="5">
                  <c:v>5327911.9000000013</c:v>
                </c:pt>
                <c:pt idx="6">
                  <c:v>7233601.839999998</c:v>
                </c:pt>
                <c:pt idx="7">
                  <c:v>7300892.0400000028</c:v>
                </c:pt>
                <c:pt idx="8">
                  <c:v>6359412.8999999985</c:v>
                </c:pt>
                <c:pt idx="9">
                  <c:v>7363798.9099999964</c:v>
                </c:pt>
                <c:pt idx="10">
                  <c:v>6125568.839999998</c:v>
                </c:pt>
                <c:pt idx="11">
                  <c:v>6967929.830000001</c:v>
                </c:pt>
              </c:numCache>
            </c:numRef>
          </c:val>
          <c:smooth val="1"/>
          <c:extLst>
            <c:ext xmlns:c16="http://schemas.microsoft.com/office/drawing/2014/chart" uri="{C3380CC4-5D6E-409C-BE32-E72D297353CC}">
              <c16:uniqueId val="{00000000-B38D-41A1-9A90-6F2A7B06E350}"/>
            </c:ext>
          </c:extLst>
        </c:ser>
        <c:dLbls>
          <c:showLegendKey val="0"/>
          <c:showVal val="0"/>
          <c:showCatName val="0"/>
          <c:showSerName val="0"/>
          <c:showPercent val="0"/>
          <c:showBubbleSize val="0"/>
        </c:dLbls>
        <c:marker val="1"/>
        <c:smooth val="0"/>
        <c:axId val="1933166128"/>
        <c:axId val="1933192048"/>
      </c:lineChart>
      <c:catAx>
        <c:axId val="193316612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933192048"/>
        <c:crosses val="autoZero"/>
        <c:auto val="1"/>
        <c:lblAlgn val="ctr"/>
        <c:lblOffset val="100"/>
        <c:noMultiLvlLbl val="0"/>
      </c:catAx>
      <c:valAx>
        <c:axId val="1933192048"/>
        <c:scaling>
          <c:orientation val="minMax"/>
        </c:scaling>
        <c:delete val="1"/>
        <c:axPos val="l"/>
        <c:numFmt formatCode="\$#,##0.0,,&quot;M&quot;" sourceLinked="1"/>
        <c:majorTickMark val="none"/>
        <c:minorTickMark val="none"/>
        <c:tickLblPos val="nextTo"/>
        <c:crossAx val="1933166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370640713706412E-2"/>
          <c:y val="7.407407407407407E-2"/>
          <c:w val="0.92862935928629364"/>
          <c:h val="0.84779173201191449"/>
        </c:manualLayout>
      </c:layout>
      <c:barChart>
        <c:barDir val="col"/>
        <c:grouping val="stacked"/>
        <c:varyColors val="0"/>
        <c:ser>
          <c:idx val="0"/>
          <c:order val="0"/>
          <c:tx>
            <c:strRef>
              <c:f>Pivot!$E$19</c:f>
              <c:strCache>
                <c:ptCount val="1"/>
                <c:pt idx="0">
                  <c:v>Total</c:v>
                </c:pt>
              </c:strCache>
            </c:strRef>
          </c:tx>
          <c:spPr>
            <a:solidFill>
              <a:srgbClr val="CCDCE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Pivot!$D$20:$D$23</c:f>
              <c:strCache>
                <c:ptCount val="3"/>
                <c:pt idx="0">
                  <c:v>West</c:v>
                </c:pt>
                <c:pt idx="1">
                  <c:v>East</c:v>
                </c:pt>
                <c:pt idx="2">
                  <c:v>North</c:v>
                </c:pt>
              </c:strCache>
            </c:strRef>
          </c:cat>
          <c:val>
            <c:numRef>
              <c:f>Pivot!$E$20:$E$23</c:f>
              <c:numCache>
                <c:formatCode>\$#,##0.0,,"M"</c:formatCode>
                <c:ptCount val="3"/>
                <c:pt idx="0">
                  <c:v>18669944.249999929</c:v>
                </c:pt>
                <c:pt idx="1">
                  <c:v>11865446.140000021</c:v>
                </c:pt>
                <c:pt idx="2">
                  <c:v>5113744.9799999995</c:v>
                </c:pt>
              </c:numCache>
            </c:numRef>
          </c:val>
          <c:extLst>
            <c:ext xmlns:c16="http://schemas.microsoft.com/office/drawing/2014/chart" uri="{C3380CC4-5D6E-409C-BE32-E72D297353CC}">
              <c16:uniqueId val="{00000000-ECB0-4220-8468-8DBB114C4A87}"/>
            </c:ext>
          </c:extLst>
        </c:ser>
        <c:dLbls>
          <c:dLblPos val="ctr"/>
          <c:showLegendKey val="0"/>
          <c:showVal val="1"/>
          <c:showCatName val="0"/>
          <c:showSerName val="0"/>
          <c:showPercent val="0"/>
          <c:showBubbleSize val="0"/>
        </c:dLbls>
        <c:gapWidth val="100"/>
        <c:overlap val="100"/>
        <c:axId val="1933168048"/>
        <c:axId val="1933168528"/>
      </c:barChart>
      <c:catAx>
        <c:axId val="19331680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385F7C"/>
                </a:solidFill>
                <a:latin typeface="+mn-lt"/>
                <a:ea typeface="+mn-ea"/>
                <a:cs typeface="+mn-cs"/>
              </a:defRPr>
            </a:pPr>
            <a:endParaRPr lang="en-US"/>
          </a:p>
        </c:txPr>
        <c:crossAx val="1933168528"/>
        <c:crosses val="autoZero"/>
        <c:auto val="1"/>
        <c:lblAlgn val="ctr"/>
        <c:lblOffset val="100"/>
        <c:noMultiLvlLbl val="0"/>
      </c:catAx>
      <c:valAx>
        <c:axId val="1933168528"/>
        <c:scaling>
          <c:orientation val="minMax"/>
        </c:scaling>
        <c:delete val="1"/>
        <c:axPos val="l"/>
        <c:numFmt formatCode="\$#,##0.0,,&quot;M&quot;" sourceLinked="1"/>
        <c:majorTickMark val="none"/>
        <c:minorTickMark val="none"/>
        <c:tickLblPos val="nextTo"/>
        <c:crossAx val="193316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1.xlsm]Pivot!PivotTable8</c:name>
    <c:fmtId val="30"/>
  </c:pivotSource>
  <c:chart>
    <c:autoTitleDeleted val="1"/>
    <c:pivotFmts>
      <c:pivotFmt>
        <c:idx val="0"/>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42349574989706E-2"/>
          <c:y val="3.6395993752104512E-2"/>
          <c:w val="0.94035555263334292"/>
          <c:h val="0.83419862433564196"/>
        </c:manualLayout>
      </c:layout>
      <c:lineChart>
        <c:grouping val="stacked"/>
        <c:varyColors val="0"/>
        <c:ser>
          <c:idx val="0"/>
          <c:order val="0"/>
          <c:tx>
            <c:strRef>
              <c:f>Pivot!$F$3</c:f>
              <c:strCache>
                <c:ptCount val="1"/>
                <c:pt idx="0">
                  <c:v>Total</c:v>
                </c:pt>
              </c:strCache>
            </c:strRef>
          </c:tx>
          <c:spPr>
            <a:ln w="28575" cap="rnd">
              <a:noFill/>
              <a:round/>
            </a:ln>
            <a:effectLst/>
          </c:spPr>
          <c:marker>
            <c:symbol val="circle"/>
            <c:size val="8"/>
            <c:spPr>
              <a:solidFill>
                <a:schemeClr val="accent1"/>
              </a:solidFill>
              <a:ln w="9525">
                <a:solidFill>
                  <a:srgbClr val="385F7C"/>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Pivot!$E$4:$E$9</c:f>
              <c:strCache>
                <c:ptCount val="5"/>
                <c:pt idx="0">
                  <c:v>Bag-Kids</c:v>
                </c:pt>
                <c:pt idx="1">
                  <c:v>Bag-Women</c:v>
                </c:pt>
                <c:pt idx="2">
                  <c:v>Shirt-Men</c:v>
                </c:pt>
                <c:pt idx="3">
                  <c:v>Shoes-Men</c:v>
                </c:pt>
                <c:pt idx="4">
                  <c:v>Shoes-Women</c:v>
                </c:pt>
              </c:strCache>
            </c:strRef>
          </c:cat>
          <c:val>
            <c:numRef>
              <c:f>Pivot!$F$4:$F$9</c:f>
              <c:numCache>
                <c:formatCode>[&gt;=1000000]\$#,##0.0,,"M";General</c:formatCode>
                <c:ptCount val="5"/>
                <c:pt idx="0">
                  <c:v>6186048.6300000018</c:v>
                </c:pt>
                <c:pt idx="1">
                  <c:v>30233182.620000023</c:v>
                </c:pt>
                <c:pt idx="2">
                  <c:v>5608592.1200000038</c:v>
                </c:pt>
                <c:pt idx="3">
                  <c:v>16124943.519999998</c:v>
                </c:pt>
                <c:pt idx="4">
                  <c:v>20557765.210000005</c:v>
                </c:pt>
              </c:numCache>
            </c:numRef>
          </c:val>
          <c:smooth val="1"/>
          <c:extLst>
            <c:ext xmlns:c16="http://schemas.microsoft.com/office/drawing/2014/chart" uri="{C3380CC4-5D6E-409C-BE32-E72D297353CC}">
              <c16:uniqueId val="{00000000-A28A-46F1-914E-EFE6CF77BACD}"/>
            </c:ext>
          </c:extLst>
        </c:ser>
        <c:dLbls>
          <c:dLblPos val="t"/>
          <c:showLegendKey val="0"/>
          <c:showVal val="1"/>
          <c:showCatName val="0"/>
          <c:showSerName val="0"/>
          <c:showPercent val="0"/>
          <c:showBubbleSize val="0"/>
        </c:dLbls>
        <c:dropLines>
          <c:spPr>
            <a:ln w="19050" cap="flat" cmpd="sng" algn="ctr">
              <a:solidFill>
                <a:srgbClr val="385F7C"/>
              </a:solidFill>
              <a:prstDash val="sysDot"/>
              <a:round/>
            </a:ln>
            <a:effectLst/>
          </c:spPr>
        </c:dropLines>
        <c:marker val="1"/>
        <c:smooth val="0"/>
        <c:axId val="1786678527"/>
        <c:axId val="1786683807"/>
      </c:lineChart>
      <c:catAx>
        <c:axId val="178667852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786683807"/>
        <c:crosses val="autoZero"/>
        <c:auto val="1"/>
        <c:lblAlgn val="ctr"/>
        <c:lblOffset val="100"/>
        <c:noMultiLvlLbl val="0"/>
      </c:catAx>
      <c:valAx>
        <c:axId val="1786683807"/>
        <c:scaling>
          <c:orientation val="minMax"/>
        </c:scaling>
        <c:delete val="1"/>
        <c:axPos val="l"/>
        <c:numFmt formatCode="[&gt;=1000000]\$#,##0.0,,&quot;M&quot;;General" sourceLinked="1"/>
        <c:majorTickMark val="none"/>
        <c:minorTickMark val="none"/>
        <c:tickLblPos val="nextTo"/>
        <c:crossAx val="178667852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77210995222321"/>
          <c:y val="4.0255905511811033E-3"/>
          <c:w val="0.87070891151610075"/>
          <c:h val="0.99597448706930114"/>
        </c:manualLayout>
      </c:layout>
      <c:barChart>
        <c:barDir val="bar"/>
        <c:grouping val="clustered"/>
        <c:varyColors val="0"/>
        <c:ser>
          <c:idx val="0"/>
          <c:order val="0"/>
          <c:tx>
            <c:strRef>
              <c:f>Pivot!$B$3</c:f>
              <c:strCache>
                <c:ptCount val="1"/>
                <c:pt idx="0">
                  <c:v>Total</c:v>
                </c:pt>
              </c:strCache>
            </c:strRef>
          </c:tx>
          <c:spPr>
            <a:solidFill>
              <a:srgbClr val="CCDCE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3"/>
                <c:pt idx="0">
                  <c:v>West</c:v>
                </c:pt>
                <c:pt idx="1">
                  <c:v>East</c:v>
                </c:pt>
                <c:pt idx="2">
                  <c:v>North</c:v>
                </c:pt>
              </c:strCache>
            </c:strRef>
          </c:cat>
          <c:val>
            <c:numRef>
              <c:f>Pivot!$B$4:$B$7</c:f>
              <c:numCache>
                <c:formatCode>\$#,##0.0,,"M"</c:formatCode>
                <c:ptCount val="3"/>
                <c:pt idx="0">
                  <c:v>41183080.859999932</c:v>
                </c:pt>
                <c:pt idx="1">
                  <c:v>26127632.420000017</c:v>
                </c:pt>
                <c:pt idx="2">
                  <c:v>11399818.819999991</c:v>
                </c:pt>
              </c:numCache>
            </c:numRef>
          </c:val>
          <c:extLst>
            <c:ext xmlns:c16="http://schemas.microsoft.com/office/drawing/2014/chart" uri="{C3380CC4-5D6E-409C-BE32-E72D297353CC}">
              <c16:uniqueId val="{00000000-538E-4E81-AF15-55CA3D088DA6}"/>
            </c:ext>
          </c:extLst>
        </c:ser>
        <c:dLbls>
          <c:dLblPos val="outEnd"/>
          <c:showLegendKey val="0"/>
          <c:showVal val="1"/>
          <c:showCatName val="0"/>
          <c:showSerName val="0"/>
          <c:showPercent val="0"/>
          <c:showBubbleSize val="0"/>
        </c:dLbls>
        <c:gapWidth val="150"/>
        <c:axId val="1933173808"/>
        <c:axId val="1933182448"/>
      </c:barChart>
      <c:catAx>
        <c:axId val="1933173808"/>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933182448"/>
        <c:crosses val="autoZero"/>
        <c:auto val="1"/>
        <c:lblAlgn val="ctr"/>
        <c:lblOffset val="100"/>
        <c:noMultiLvlLbl val="0"/>
      </c:catAx>
      <c:valAx>
        <c:axId val="1933182448"/>
        <c:scaling>
          <c:orientation val="minMax"/>
        </c:scaling>
        <c:delete val="1"/>
        <c:axPos val="b"/>
        <c:numFmt formatCode="\$#,##0.0,,&quot;M&quot;" sourceLinked="1"/>
        <c:majorTickMark val="none"/>
        <c:minorTickMark val="none"/>
        <c:tickLblPos val="nextTo"/>
        <c:crossAx val="19331738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1.xlsm]Pivot!PivotTable10</c:name>
    <c:fmtId val="7"/>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85F7C"/>
          </a:solidFill>
          <a:ln w="19050">
            <a:noFill/>
          </a:ln>
          <a:effectLst/>
        </c:spPr>
      </c:pivotFmt>
      <c:pivotFmt>
        <c:idx val="2"/>
        <c:spPr>
          <a:solidFill>
            <a:schemeClr val="tx1">
              <a:lumMod val="50000"/>
              <a:lumOff val="50000"/>
            </a:schemeClr>
          </a:solidFill>
          <a:ln w="19050">
            <a:noFill/>
          </a:ln>
          <a:effectLst/>
        </c:spPr>
      </c:pivotFmt>
      <c:pivotFmt>
        <c:idx val="3"/>
        <c:spPr>
          <a:solidFill>
            <a:srgbClr val="CCDCE8"/>
          </a:solidFill>
          <a:ln w="19050">
            <a:no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85F7C"/>
          </a:solidFill>
          <a:ln w="19050">
            <a:noFill/>
          </a:ln>
          <a:effectLst/>
        </c:spPr>
      </c:pivotFmt>
      <c:pivotFmt>
        <c:idx val="6"/>
        <c:spPr>
          <a:solidFill>
            <a:schemeClr val="tx1">
              <a:lumMod val="50000"/>
              <a:lumOff val="50000"/>
            </a:schemeClr>
          </a:solidFill>
          <a:ln w="19050">
            <a:noFill/>
          </a:ln>
          <a:effectLst/>
        </c:spPr>
      </c:pivotFmt>
      <c:pivotFmt>
        <c:idx val="7"/>
        <c:spPr>
          <a:solidFill>
            <a:srgbClr val="CCDCE8"/>
          </a:solidFill>
          <a:ln w="19050">
            <a:no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73770886187778"/>
          <c:y val="0.23930433981716331"/>
          <c:w val="0.46448147830859732"/>
          <c:h val="0.55739533785609097"/>
        </c:manualLayout>
      </c:layout>
      <c:doughnutChart>
        <c:varyColors val="0"/>
        <c:ser>
          <c:idx val="0"/>
          <c:order val="0"/>
          <c:tx>
            <c:strRef>
              <c:f>Pivot!$M$3</c:f>
              <c:strCache>
                <c:ptCount val="1"/>
                <c:pt idx="0">
                  <c:v>Total</c:v>
                </c:pt>
              </c:strCache>
            </c:strRef>
          </c:tx>
          <c:spPr>
            <a:solidFill>
              <a:schemeClr val="accent1"/>
            </a:solidFill>
            <a:ln w="19050">
              <a:noFill/>
            </a:ln>
            <a:effectLst/>
          </c:spPr>
          <c:dPt>
            <c:idx val="0"/>
            <c:bubble3D val="0"/>
            <c:spPr>
              <a:solidFill>
                <a:srgbClr val="385F7C"/>
              </a:solidFill>
              <a:ln w="19050">
                <a:noFill/>
              </a:ln>
              <a:effectLst/>
            </c:spPr>
            <c:extLst>
              <c:ext xmlns:c16="http://schemas.microsoft.com/office/drawing/2014/chart" uri="{C3380CC4-5D6E-409C-BE32-E72D297353CC}">
                <c16:uniqueId val="{00000001-1F95-4494-B1BC-CA6AE1FF4907}"/>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1F95-4494-B1BC-CA6AE1FF4907}"/>
              </c:ext>
            </c:extLst>
          </c:dPt>
          <c:dPt>
            <c:idx val="2"/>
            <c:bubble3D val="0"/>
            <c:spPr>
              <a:solidFill>
                <a:srgbClr val="CCDCE8"/>
              </a:solidFill>
              <a:ln w="19050">
                <a:noFill/>
              </a:ln>
              <a:effectLst/>
            </c:spPr>
            <c:extLst>
              <c:ext xmlns:c16="http://schemas.microsoft.com/office/drawing/2014/chart" uri="{C3380CC4-5D6E-409C-BE32-E72D297353CC}">
                <c16:uniqueId val="{00000005-1F95-4494-B1BC-CA6AE1FF4907}"/>
              </c:ext>
            </c:extLst>
          </c:dPt>
          <c:dLbls>
            <c:dLbl>
              <c:idx val="0"/>
              <c:layout>
                <c:manualLayout>
                  <c:x val="-0.17027436977704929"/>
                  <c:y val="-0.313019192045965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95-4494-B1BC-CA6AE1FF4907}"/>
                </c:ext>
              </c:extLst>
            </c:dLbl>
            <c:dLbl>
              <c:idx val="1"/>
              <c:layout>
                <c:manualLayout>
                  <c:x val="6.6136775999120212E-2"/>
                  <c:y val="-0.140034901704774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95-4494-B1BC-CA6AE1FF4907}"/>
                </c:ext>
              </c:extLst>
            </c:dLbl>
            <c:dLbl>
              <c:idx val="2"/>
              <c:layout>
                <c:manualLayout>
                  <c:x val="0.20619112517372773"/>
                  <c:y val="0.115322860227461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F95-4494-B1BC-CA6AE1FF4907}"/>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showLeaderLines val="1"/>
            <c:leaderLines>
              <c:spPr>
                <a:ln w="25400" cap="flat" cmpd="sng" algn="ctr">
                  <a:solidFill>
                    <a:schemeClr val="tx1">
                      <a:lumMod val="35000"/>
                      <a:lumOff val="65000"/>
                    </a:schemeClr>
                  </a:solidFill>
                  <a:prstDash val="sysDot"/>
                  <a:round/>
                </a:ln>
                <a:effectLst/>
              </c:spPr>
            </c:leaderLines>
            <c:extLst>
              <c:ext xmlns:c15="http://schemas.microsoft.com/office/drawing/2012/chart" uri="{CE6537A1-D6FC-4f65-9D91-7224C49458BB}"/>
            </c:extLst>
          </c:dLbls>
          <c:cat>
            <c:strRef>
              <c:f>Pivot!$L$4:$L$7</c:f>
              <c:strCache>
                <c:ptCount val="3"/>
                <c:pt idx="0">
                  <c:v>In-Store</c:v>
                </c:pt>
                <c:pt idx="1">
                  <c:v>Online</c:v>
                </c:pt>
                <c:pt idx="2">
                  <c:v>Phone</c:v>
                </c:pt>
              </c:strCache>
            </c:strRef>
          </c:cat>
          <c:val>
            <c:numRef>
              <c:f>Pivot!$M$4:$M$7</c:f>
              <c:numCache>
                <c:formatCode>\$#,##0.0,,"M"</c:formatCode>
                <c:ptCount val="3"/>
                <c:pt idx="0">
                  <c:v>36337102.759999968</c:v>
                </c:pt>
                <c:pt idx="1">
                  <c:v>26737015.260000024</c:v>
                </c:pt>
                <c:pt idx="2">
                  <c:v>15636414.079999985</c:v>
                </c:pt>
              </c:numCache>
            </c:numRef>
          </c:val>
          <c:extLst>
            <c:ext xmlns:c16="http://schemas.microsoft.com/office/drawing/2014/chart" uri="{C3380CC4-5D6E-409C-BE32-E72D297353CC}">
              <c16:uniqueId val="{00000006-1F95-4494-B1BC-CA6AE1FF4907}"/>
            </c:ext>
          </c:extLst>
        </c:ser>
        <c:dLbls>
          <c:showLegendKey val="0"/>
          <c:showVal val="1"/>
          <c:showCatName val="0"/>
          <c:showSerName val="0"/>
          <c:showPercent val="0"/>
          <c:showBubbleSize val="0"/>
          <c:showLeaderLines val="1"/>
        </c:dLbls>
        <c:firstSliceAng val="165"/>
        <c:holeSize val="8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1.xlsm]Pivot!PivotTable11</c:name>
    <c:fmtId val="6"/>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85F7C"/>
          </a:solidFill>
          <a:ln w="19050">
            <a:noFill/>
          </a:ln>
          <a:effectLst/>
        </c:spPr>
      </c:pivotFmt>
      <c:pivotFmt>
        <c:idx val="2"/>
        <c:spPr>
          <a:solidFill>
            <a:schemeClr val="accent1">
              <a:lumMod val="60000"/>
              <a:lumOff val="40000"/>
            </a:schemeClr>
          </a:solidFill>
          <a:ln w="19050">
            <a:noFill/>
          </a:ln>
          <a:effectLst/>
        </c:spPr>
      </c:pivotFmt>
      <c:pivotFmt>
        <c:idx val="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85F7C"/>
          </a:solidFill>
          <a:ln w="19050">
            <a:noFill/>
          </a:ln>
          <a:effectLst/>
        </c:spPr>
      </c:pivotFmt>
      <c:pivotFmt>
        <c:idx val="5"/>
        <c:spPr>
          <a:solidFill>
            <a:schemeClr val="accent1">
              <a:lumMod val="60000"/>
              <a:lumOff val="40000"/>
            </a:schemeClr>
          </a:solidFill>
          <a:ln w="19050">
            <a:noFill/>
          </a:ln>
          <a:effectLst/>
        </c:spPr>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8"/>
        <c:spPr>
          <a:solidFill>
            <a:schemeClr val="accent1">
              <a:lumMod val="60000"/>
              <a:lumOff val="40000"/>
            </a:schemeClr>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1"/>
        <c:spPr>
          <a:solidFill>
            <a:schemeClr val="accent1">
              <a:lumMod val="60000"/>
              <a:lumOff val="40000"/>
            </a:schemeClr>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1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4"/>
        <c:spPr>
          <a:solidFill>
            <a:srgbClr val="95B3D7"/>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s>
    <c:plotArea>
      <c:layout>
        <c:manualLayout>
          <c:layoutTarget val="inner"/>
          <c:xMode val="edge"/>
          <c:yMode val="edge"/>
          <c:x val="0.11422798870621527"/>
          <c:y val="0.18761741893543571"/>
          <c:w val="0.6787994560444921"/>
          <c:h val="0.56865439656086236"/>
        </c:manualLayout>
      </c:layout>
      <c:pieChart>
        <c:varyColors val="0"/>
        <c:ser>
          <c:idx val="0"/>
          <c:order val="0"/>
          <c:tx>
            <c:strRef>
              <c:f>Pivot!$B$12</c:f>
              <c:strCache>
                <c:ptCount val="1"/>
                <c:pt idx="0">
                  <c:v>Total</c:v>
                </c:pt>
              </c:strCache>
            </c:strRef>
          </c:tx>
          <c:spPr>
            <a:solidFill>
              <a:schemeClr val="accent5"/>
            </a:solidFill>
            <a:ln w="19050">
              <a:solidFill>
                <a:schemeClr val="lt1"/>
              </a:solidFill>
            </a:ln>
            <a:effectLst/>
          </c:spPr>
          <c:dPt>
            <c:idx val="0"/>
            <c:bubble3D val="0"/>
            <c:spPr>
              <a:solidFill>
                <a:srgbClr val="385F7C"/>
              </a:solidFill>
              <a:ln w="19050">
                <a:noFill/>
              </a:ln>
              <a:effectLst/>
            </c:spPr>
            <c:extLst>
              <c:ext xmlns:c16="http://schemas.microsoft.com/office/drawing/2014/chart" uri="{C3380CC4-5D6E-409C-BE32-E72D297353CC}">
                <c16:uniqueId val="{00000001-C992-42B7-992A-054BA60CEB6B}"/>
              </c:ext>
            </c:extLst>
          </c:dPt>
          <c:dPt>
            <c:idx val="1"/>
            <c:bubble3D val="0"/>
            <c:spPr>
              <a:solidFill>
                <a:srgbClr val="95B3D7"/>
              </a:solidFill>
              <a:ln w="19050">
                <a:noFill/>
              </a:ln>
              <a:effectLst/>
            </c:spPr>
            <c:extLst>
              <c:ext xmlns:c16="http://schemas.microsoft.com/office/drawing/2014/chart" uri="{C3380CC4-5D6E-409C-BE32-E72D297353CC}">
                <c16:uniqueId val="{00000003-C992-42B7-992A-054BA60CEB6B}"/>
              </c:ext>
            </c:extLst>
          </c:dPt>
          <c:dLbls>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 xmlns:c16="http://schemas.microsoft.com/office/drawing/2014/chart" uri="{C3380CC4-5D6E-409C-BE32-E72D297353CC}">
                  <c16:uniqueId val="{00000001-C992-42B7-992A-054BA60CEB6B}"/>
                </c:ext>
              </c:extLst>
            </c:dLbl>
            <c:dLbl>
              <c:idx val="1"/>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 xmlns:c16="http://schemas.microsoft.com/office/drawing/2014/chart" uri="{C3380CC4-5D6E-409C-BE32-E72D297353CC}">
                  <c16:uniqueId val="{00000003-C992-42B7-992A-054BA60CEB6B}"/>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25400" cap="flat" cmpd="sng" algn="ctr">
                  <a:solidFill>
                    <a:schemeClr val="tx1">
                      <a:lumMod val="35000"/>
                      <a:lumOff val="65000"/>
                    </a:schemeClr>
                  </a:solidFill>
                  <a:prstDash val="sysDot"/>
                  <a:round/>
                </a:ln>
                <a:effectLst/>
              </c:spPr>
            </c:leaderLines>
            <c:extLst>
              <c:ext xmlns:c15="http://schemas.microsoft.com/office/drawing/2012/chart" uri="{CE6537A1-D6FC-4f65-9D91-7224C49458BB}"/>
            </c:extLst>
          </c:dLbls>
          <c:cat>
            <c:strRef>
              <c:f>Pivot!$A$13:$A$15</c:f>
              <c:strCache>
                <c:ptCount val="2"/>
                <c:pt idx="0">
                  <c:v>Male</c:v>
                </c:pt>
                <c:pt idx="1">
                  <c:v>Female</c:v>
                </c:pt>
              </c:strCache>
            </c:strRef>
          </c:cat>
          <c:val>
            <c:numRef>
              <c:f>Pivot!$B$13:$B$15</c:f>
              <c:numCache>
                <c:formatCode>[&gt;=1000000]\$#,##0.0,,"M";General</c:formatCode>
                <c:ptCount val="2"/>
                <c:pt idx="0">
                  <c:v>39755261.389999986</c:v>
                </c:pt>
                <c:pt idx="1">
                  <c:v>38955270.709999934</c:v>
                </c:pt>
              </c:numCache>
            </c:numRef>
          </c:val>
          <c:extLst>
            <c:ext xmlns:c16="http://schemas.microsoft.com/office/drawing/2014/chart" uri="{C3380CC4-5D6E-409C-BE32-E72D297353CC}">
              <c16:uniqueId val="{00000004-C992-42B7-992A-054BA60CEB6B}"/>
            </c:ext>
          </c:extLst>
        </c:ser>
        <c:dLbls>
          <c:dLblPos val="bestFit"/>
          <c:showLegendKey val="0"/>
          <c:showVal val="1"/>
          <c:showCatName val="0"/>
          <c:showSerName val="0"/>
          <c:showPercent val="0"/>
          <c:showBubbleSize val="0"/>
          <c:showLeaderLines val="1"/>
        </c:dLbls>
        <c:firstSliceAng val="70"/>
      </c:pieChart>
      <c:spPr>
        <a:noFill/>
        <a:ln>
          <a:noFill/>
        </a:ln>
        <a:effectLst/>
      </c:spPr>
    </c:plotArea>
    <c:legend>
      <c:legendPos val="r"/>
      <c:layout>
        <c:manualLayout>
          <c:xMode val="edge"/>
          <c:yMode val="edge"/>
          <c:x val="1.26038528188191E-2"/>
          <c:y val="0.79251698942638893"/>
          <c:w val="0.64338406221508393"/>
          <c:h val="0.1915322348902344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9.xml"/><Relationship Id="rId7" Type="http://schemas.openxmlformats.org/officeDocument/2006/relationships/image" Target="../media/image1.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4.svg"/><Relationship Id="rId4" Type="http://schemas.openxmlformats.org/officeDocument/2006/relationships/chart" Target="../charts/chart10.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23811</xdr:colOff>
      <xdr:row>3</xdr:row>
      <xdr:rowOff>23812</xdr:rowOff>
    </xdr:from>
    <xdr:to>
      <xdr:col>36</xdr:col>
      <xdr:colOff>23812</xdr:colOff>
      <xdr:row>44</xdr:row>
      <xdr:rowOff>178594</xdr:rowOff>
    </xdr:to>
    <xdr:sp macro="" textlink="">
      <xdr:nvSpPr>
        <xdr:cNvPr id="2" name="Rectangle: Rounded Corners 1">
          <a:extLst>
            <a:ext uri="{FF2B5EF4-FFF2-40B4-BE49-F238E27FC236}">
              <a16:creationId xmlns:a16="http://schemas.microsoft.com/office/drawing/2014/main" id="{6748C135-608F-4655-B14C-FB5BF63FD0F2}"/>
            </a:ext>
          </a:extLst>
        </xdr:cNvPr>
        <xdr:cNvSpPr/>
      </xdr:nvSpPr>
      <xdr:spPr>
        <a:xfrm>
          <a:off x="633411" y="595312"/>
          <a:ext cx="21336001" cy="7974807"/>
        </a:xfrm>
        <a:prstGeom prst="roundRect">
          <a:avLst>
            <a:gd name="adj" fmla="val 4831"/>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476250</xdr:colOff>
      <xdr:row>4</xdr:row>
      <xdr:rowOff>0</xdr:rowOff>
    </xdr:from>
    <xdr:to>
      <xdr:col>35</xdr:col>
      <xdr:colOff>416718</xdr:colOff>
      <xdr:row>44</xdr:row>
      <xdr:rowOff>0</xdr:rowOff>
    </xdr:to>
    <xdr:sp macro="" textlink="">
      <xdr:nvSpPr>
        <xdr:cNvPr id="3" name="Rectangle: Rounded Corners 2">
          <a:extLst>
            <a:ext uri="{FF2B5EF4-FFF2-40B4-BE49-F238E27FC236}">
              <a16:creationId xmlns:a16="http://schemas.microsoft.com/office/drawing/2014/main" id="{8A923A54-36CF-46E0-8CF1-BD27DD9D7272}"/>
            </a:ext>
          </a:extLst>
        </xdr:cNvPr>
        <xdr:cNvSpPr/>
      </xdr:nvSpPr>
      <xdr:spPr>
        <a:xfrm>
          <a:off x="2914650" y="762000"/>
          <a:ext cx="18838068" cy="7629525"/>
        </a:xfrm>
        <a:prstGeom prst="roundRect">
          <a:avLst>
            <a:gd name="adj" fmla="val 4831"/>
          </a:avLst>
        </a:prstGeom>
        <a:solidFill>
          <a:srgbClr val="E1EA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71437</xdr:colOff>
      <xdr:row>9</xdr:row>
      <xdr:rowOff>166687</xdr:rowOff>
    </xdr:from>
    <xdr:to>
      <xdr:col>13</xdr:col>
      <xdr:colOff>433687</xdr:colOff>
      <xdr:row>17</xdr:row>
      <xdr:rowOff>82687</xdr:rowOff>
    </xdr:to>
    <xdr:sp macro="" textlink="">
      <xdr:nvSpPr>
        <xdr:cNvPr id="4" name="Rectangle: Rounded Corners 3">
          <a:extLst>
            <a:ext uri="{FF2B5EF4-FFF2-40B4-BE49-F238E27FC236}">
              <a16:creationId xmlns:a16="http://schemas.microsoft.com/office/drawing/2014/main" id="{DCC8B0B1-8D33-4FA5-80CD-CC3DEACC982E}"/>
            </a:ext>
          </a:extLst>
        </xdr:cNvPr>
        <xdr:cNvSpPr/>
      </xdr:nvSpPr>
      <xdr:spPr>
        <a:xfrm>
          <a:off x="3119437" y="1890712"/>
          <a:ext cx="5239050" cy="1440000"/>
        </a:xfrm>
        <a:prstGeom prst="roundRect">
          <a:avLst>
            <a:gd name="adj" fmla="val 10052"/>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59532</xdr:colOff>
      <xdr:row>18</xdr:row>
      <xdr:rowOff>35718</xdr:rowOff>
    </xdr:from>
    <xdr:to>
      <xdr:col>13</xdr:col>
      <xdr:colOff>300102</xdr:colOff>
      <xdr:row>42</xdr:row>
      <xdr:rowOff>190499</xdr:rowOff>
    </xdr:to>
    <xdr:sp macro="" textlink="">
      <xdr:nvSpPr>
        <xdr:cNvPr id="5" name="Rectangle: Rounded Corners 4">
          <a:extLst>
            <a:ext uri="{FF2B5EF4-FFF2-40B4-BE49-F238E27FC236}">
              <a16:creationId xmlns:a16="http://schemas.microsoft.com/office/drawing/2014/main" id="{8322BE72-BEE4-4D10-91E3-A2A08E1F6FB1}"/>
            </a:ext>
          </a:extLst>
        </xdr:cNvPr>
        <xdr:cNvSpPr/>
      </xdr:nvSpPr>
      <xdr:spPr>
        <a:xfrm>
          <a:off x="3107532" y="3474243"/>
          <a:ext cx="5117370" cy="4726781"/>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509575</xdr:colOff>
      <xdr:row>10</xdr:row>
      <xdr:rowOff>9524</xdr:rowOff>
    </xdr:from>
    <xdr:to>
      <xdr:col>25</xdr:col>
      <xdr:colOff>484058</xdr:colOff>
      <xdr:row>25</xdr:row>
      <xdr:rowOff>104384</xdr:rowOff>
    </xdr:to>
    <xdr:sp macro="" textlink="">
      <xdr:nvSpPr>
        <xdr:cNvPr id="6" name="Rectangle: Rounded Corners 5">
          <a:extLst>
            <a:ext uri="{FF2B5EF4-FFF2-40B4-BE49-F238E27FC236}">
              <a16:creationId xmlns:a16="http://schemas.microsoft.com/office/drawing/2014/main" id="{6F181E90-51E2-42C8-A4D0-0C9E0A8A4E86}"/>
            </a:ext>
          </a:extLst>
        </xdr:cNvPr>
        <xdr:cNvSpPr/>
      </xdr:nvSpPr>
      <xdr:spPr>
        <a:xfrm>
          <a:off x="8434375" y="1924049"/>
          <a:ext cx="7289683" cy="2952360"/>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443629</xdr:colOff>
      <xdr:row>26</xdr:row>
      <xdr:rowOff>26096</xdr:rowOff>
    </xdr:from>
    <xdr:to>
      <xdr:col>24</xdr:col>
      <xdr:colOff>0</xdr:colOff>
      <xdr:row>43</xdr:row>
      <xdr:rowOff>0</xdr:rowOff>
    </xdr:to>
    <xdr:sp macro="" textlink="">
      <xdr:nvSpPr>
        <xdr:cNvPr id="7" name="Rectangle: Rounded Corners 6">
          <a:extLst>
            <a:ext uri="{FF2B5EF4-FFF2-40B4-BE49-F238E27FC236}">
              <a16:creationId xmlns:a16="http://schemas.microsoft.com/office/drawing/2014/main" id="{9163D4E7-7C70-4C2D-AE7F-1AA91DBC4A61}"/>
            </a:ext>
          </a:extLst>
        </xdr:cNvPr>
        <xdr:cNvSpPr/>
      </xdr:nvSpPr>
      <xdr:spPr>
        <a:xfrm>
          <a:off x="8368429" y="4988621"/>
          <a:ext cx="6261971" cy="3212404"/>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124917</xdr:colOff>
      <xdr:row>26</xdr:row>
      <xdr:rowOff>62460</xdr:rowOff>
    </xdr:from>
    <xdr:to>
      <xdr:col>35</xdr:col>
      <xdr:colOff>272141</xdr:colOff>
      <xdr:row>42</xdr:row>
      <xdr:rowOff>150867</xdr:rowOff>
    </xdr:to>
    <xdr:sp macro="" textlink="">
      <xdr:nvSpPr>
        <xdr:cNvPr id="8" name="Rectangle: Rounded Corners 7">
          <a:extLst>
            <a:ext uri="{FF2B5EF4-FFF2-40B4-BE49-F238E27FC236}">
              <a16:creationId xmlns:a16="http://schemas.microsoft.com/office/drawing/2014/main" id="{4CC1C6F0-2133-46DA-A5EF-A64AEE934825}"/>
            </a:ext>
          </a:extLst>
        </xdr:cNvPr>
        <xdr:cNvSpPr/>
      </xdr:nvSpPr>
      <xdr:spPr>
        <a:xfrm>
          <a:off x="14755317" y="5024985"/>
          <a:ext cx="6852824" cy="3136407"/>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119062</xdr:colOff>
      <xdr:row>10</xdr:row>
      <xdr:rowOff>166687</xdr:rowOff>
    </xdr:from>
    <xdr:to>
      <xdr:col>7</xdr:col>
      <xdr:colOff>92625</xdr:colOff>
      <xdr:row>16</xdr:row>
      <xdr:rowOff>159542</xdr:rowOff>
    </xdr:to>
    <xdr:sp macro="" textlink="">
      <xdr:nvSpPr>
        <xdr:cNvPr id="9" name="Rectangle: Rounded Corners 8">
          <a:extLst>
            <a:ext uri="{FF2B5EF4-FFF2-40B4-BE49-F238E27FC236}">
              <a16:creationId xmlns:a16="http://schemas.microsoft.com/office/drawing/2014/main" id="{449B5132-B68A-407F-9C6E-91A4EA10FC13}"/>
            </a:ext>
          </a:extLst>
        </xdr:cNvPr>
        <xdr:cNvSpPr/>
      </xdr:nvSpPr>
      <xdr:spPr>
        <a:xfrm>
          <a:off x="3167062" y="2081212"/>
          <a:ext cx="1192763"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238125</xdr:colOff>
      <xdr:row>10</xdr:row>
      <xdr:rowOff>152398</xdr:rowOff>
    </xdr:from>
    <xdr:to>
      <xdr:col>9</xdr:col>
      <xdr:colOff>211687</xdr:colOff>
      <xdr:row>16</xdr:row>
      <xdr:rowOff>145253</xdr:rowOff>
    </xdr:to>
    <xdr:sp macro="" textlink="">
      <xdr:nvSpPr>
        <xdr:cNvPr id="10" name="Rectangle: Rounded Corners 9">
          <a:extLst>
            <a:ext uri="{FF2B5EF4-FFF2-40B4-BE49-F238E27FC236}">
              <a16:creationId xmlns:a16="http://schemas.microsoft.com/office/drawing/2014/main" id="{AC44A751-DE66-4AE8-BA01-B623C797DEC6}"/>
            </a:ext>
          </a:extLst>
        </xdr:cNvPr>
        <xdr:cNvSpPr/>
      </xdr:nvSpPr>
      <xdr:spPr>
        <a:xfrm>
          <a:off x="4505325" y="2066923"/>
          <a:ext cx="1192762"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285750</xdr:colOff>
      <xdr:row>10</xdr:row>
      <xdr:rowOff>126207</xdr:rowOff>
    </xdr:from>
    <xdr:to>
      <xdr:col>11</xdr:col>
      <xdr:colOff>259313</xdr:colOff>
      <xdr:row>16</xdr:row>
      <xdr:rowOff>119062</xdr:rowOff>
    </xdr:to>
    <xdr:sp macro="" textlink="">
      <xdr:nvSpPr>
        <xdr:cNvPr id="11" name="Rectangle: Rounded Corners 10">
          <a:extLst>
            <a:ext uri="{FF2B5EF4-FFF2-40B4-BE49-F238E27FC236}">
              <a16:creationId xmlns:a16="http://schemas.microsoft.com/office/drawing/2014/main" id="{32E9D5B4-88B0-4FCE-B51F-C2D51BF7A2F4}"/>
            </a:ext>
          </a:extLst>
        </xdr:cNvPr>
        <xdr:cNvSpPr/>
      </xdr:nvSpPr>
      <xdr:spPr>
        <a:xfrm>
          <a:off x="5772150" y="2040732"/>
          <a:ext cx="1192763"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6</xdr:row>
      <xdr:rowOff>31710</xdr:rowOff>
    </xdr:from>
    <xdr:to>
      <xdr:col>11</xdr:col>
      <xdr:colOff>130970</xdr:colOff>
      <xdr:row>8</xdr:row>
      <xdr:rowOff>96461</xdr:rowOff>
    </xdr:to>
    <xdr:sp macro="" textlink="">
      <xdr:nvSpPr>
        <xdr:cNvPr id="12" name="TextBox 11">
          <a:extLst>
            <a:ext uri="{FF2B5EF4-FFF2-40B4-BE49-F238E27FC236}">
              <a16:creationId xmlns:a16="http://schemas.microsoft.com/office/drawing/2014/main" id="{9103E053-27A5-4C51-9536-B31E44027E7E}"/>
            </a:ext>
          </a:extLst>
        </xdr:cNvPr>
        <xdr:cNvSpPr txBox="1"/>
      </xdr:nvSpPr>
      <xdr:spPr>
        <a:xfrm>
          <a:off x="3048001" y="1174710"/>
          <a:ext cx="3788569" cy="45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rgbClr val="385F7C"/>
              </a:solidFill>
              <a:latin typeface="+mn-lt"/>
              <a:cs typeface="Arial" panose="020B0604020202020204" pitchFamily="34" charset="0"/>
            </a:rPr>
            <a:t>RETAIL</a:t>
          </a:r>
          <a:r>
            <a:rPr lang="en-US" sz="2800" baseline="0">
              <a:solidFill>
                <a:srgbClr val="385F7C"/>
              </a:solidFill>
              <a:latin typeface="+mn-lt"/>
              <a:cs typeface="Arial" panose="020B0604020202020204" pitchFamily="34" charset="0"/>
            </a:rPr>
            <a:t> SALES OVERVIEW</a:t>
          </a:r>
          <a:endParaRPr lang="en-US" sz="2800">
            <a:solidFill>
              <a:srgbClr val="385F7C"/>
            </a:solidFill>
            <a:latin typeface="+mn-lt"/>
            <a:cs typeface="Arial" panose="020B0604020202020204" pitchFamily="34" charset="0"/>
          </a:endParaRPr>
        </a:p>
      </xdr:txBody>
    </xdr:sp>
    <xdr:clientData/>
  </xdr:twoCellAnchor>
  <xdr:twoCellAnchor>
    <xdr:from>
      <xdr:col>5</xdr:col>
      <xdr:colOff>1</xdr:colOff>
      <xdr:row>8</xdr:row>
      <xdr:rowOff>72556</xdr:rowOff>
    </xdr:from>
    <xdr:to>
      <xdr:col>12</xdr:col>
      <xdr:colOff>309563</xdr:colOff>
      <xdr:row>9</xdr:row>
      <xdr:rowOff>84461</xdr:rowOff>
    </xdr:to>
    <xdr:sp macro="" textlink="">
      <xdr:nvSpPr>
        <xdr:cNvPr id="13" name="TextBox 12">
          <a:extLst>
            <a:ext uri="{FF2B5EF4-FFF2-40B4-BE49-F238E27FC236}">
              <a16:creationId xmlns:a16="http://schemas.microsoft.com/office/drawing/2014/main" id="{8B453633-ABF6-47D0-8AA3-3E604F38FE39}"/>
            </a:ext>
          </a:extLst>
        </xdr:cNvPr>
        <xdr:cNvSpPr txBox="1"/>
      </xdr:nvSpPr>
      <xdr:spPr>
        <a:xfrm>
          <a:off x="3048001" y="1606081"/>
          <a:ext cx="4576762" cy="20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50000"/>
                  <a:lumOff val="50000"/>
                </a:schemeClr>
              </a:solidFill>
            </a:rPr>
            <a:t>A summary of sales performance, revenue and profit across the</a:t>
          </a:r>
          <a:r>
            <a:rPr lang="en-US" sz="1200" baseline="0">
              <a:solidFill>
                <a:schemeClr val="tx1">
                  <a:lumMod val="50000"/>
                  <a:lumOff val="50000"/>
                </a:schemeClr>
              </a:solidFill>
            </a:rPr>
            <a:t> U.S.</a:t>
          </a:r>
          <a:endParaRPr lang="en-US" sz="1200">
            <a:solidFill>
              <a:schemeClr val="tx1">
                <a:lumMod val="50000"/>
                <a:lumOff val="50000"/>
              </a:schemeClr>
            </a:solidFill>
          </a:endParaRPr>
        </a:p>
      </xdr:txBody>
    </xdr:sp>
    <xdr:clientData/>
  </xdr:twoCellAnchor>
  <xdr:twoCellAnchor>
    <xdr:from>
      <xdr:col>5</xdr:col>
      <xdr:colOff>101938</xdr:colOff>
      <xdr:row>10</xdr:row>
      <xdr:rowOff>144101</xdr:rowOff>
    </xdr:from>
    <xdr:to>
      <xdr:col>7</xdr:col>
      <xdr:colOff>117432</xdr:colOff>
      <xdr:row>12</xdr:row>
      <xdr:rowOff>68097</xdr:rowOff>
    </xdr:to>
    <xdr:sp macro="" textlink="">
      <xdr:nvSpPr>
        <xdr:cNvPr id="14" name="TextBox 13">
          <a:extLst>
            <a:ext uri="{FF2B5EF4-FFF2-40B4-BE49-F238E27FC236}">
              <a16:creationId xmlns:a16="http://schemas.microsoft.com/office/drawing/2014/main" id="{C3B94942-C0E6-4954-88E3-2F61706ADB95}"/>
            </a:ext>
          </a:extLst>
        </xdr:cNvPr>
        <xdr:cNvSpPr txBox="1"/>
      </xdr:nvSpPr>
      <xdr:spPr>
        <a:xfrm>
          <a:off x="3149938"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Revenue</a:t>
          </a:r>
          <a:endParaRPr lang="en-US" sz="1200" b="1">
            <a:solidFill>
              <a:schemeClr val="tx1">
                <a:lumMod val="50000"/>
                <a:lumOff val="50000"/>
              </a:schemeClr>
            </a:solidFill>
          </a:endParaRPr>
        </a:p>
      </xdr:txBody>
    </xdr:sp>
    <xdr:clientData/>
  </xdr:twoCellAnchor>
  <xdr:twoCellAnchor>
    <xdr:from>
      <xdr:col>25</xdr:col>
      <xdr:colOff>577746</xdr:colOff>
      <xdr:row>10</xdr:row>
      <xdr:rowOff>3122</xdr:rowOff>
    </xdr:from>
    <xdr:to>
      <xdr:col>35</xdr:col>
      <xdr:colOff>258536</xdr:colOff>
      <xdr:row>25</xdr:row>
      <xdr:rowOff>134392</xdr:rowOff>
    </xdr:to>
    <xdr:sp macro="" textlink="">
      <xdr:nvSpPr>
        <xdr:cNvPr id="15" name="Rectangle: Rounded Corners 14">
          <a:extLst>
            <a:ext uri="{FF2B5EF4-FFF2-40B4-BE49-F238E27FC236}">
              <a16:creationId xmlns:a16="http://schemas.microsoft.com/office/drawing/2014/main" id="{02A496CA-35C0-4BF7-AC22-EA8C92ABF191}"/>
            </a:ext>
          </a:extLst>
        </xdr:cNvPr>
        <xdr:cNvSpPr/>
      </xdr:nvSpPr>
      <xdr:spPr>
        <a:xfrm>
          <a:off x="15817746" y="1917647"/>
          <a:ext cx="5776790" cy="2988770"/>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369085</xdr:colOff>
      <xdr:row>10</xdr:row>
      <xdr:rowOff>138113</xdr:rowOff>
    </xdr:from>
    <xdr:to>
      <xdr:col>13</xdr:col>
      <xdr:colOff>342647</xdr:colOff>
      <xdr:row>16</xdr:row>
      <xdr:rowOff>130968</xdr:rowOff>
    </xdr:to>
    <xdr:sp macro="" textlink="">
      <xdr:nvSpPr>
        <xdr:cNvPr id="16" name="Rectangle: Rounded Corners 15">
          <a:extLst>
            <a:ext uri="{FF2B5EF4-FFF2-40B4-BE49-F238E27FC236}">
              <a16:creationId xmlns:a16="http://schemas.microsoft.com/office/drawing/2014/main" id="{207843A4-AA58-4BD5-B40E-F85FC6E0B501}"/>
            </a:ext>
          </a:extLst>
        </xdr:cNvPr>
        <xdr:cNvSpPr/>
      </xdr:nvSpPr>
      <xdr:spPr>
        <a:xfrm>
          <a:off x="7074685" y="2052638"/>
          <a:ext cx="1192762"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228242</xdr:colOff>
      <xdr:row>10</xdr:row>
      <xdr:rowOff>144101</xdr:rowOff>
    </xdr:from>
    <xdr:to>
      <xdr:col>9</xdr:col>
      <xdr:colOff>243736</xdr:colOff>
      <xdr:row>12</xdr:row>
      <xdr:rowOff>68097</xdr:rowOff>
    </xdr:to>
    <xdr:sp macro="" textlink="">
      <xdr:nvSpPr>
        <xdr:cNvPr id="17" name="TextBox 16">
          <a:extLst>
            <a:ext uri="{FF2B5EF4-FFF2-40B4-BE49-F238E27FC236}">
              <a16:creationId xmlns:a16="http://schemas.microsoft.com/office/drawing/2014/main" id="{9A766573-5DC9-4602-AC58-24CCB13B2087}"/>
            </a:ext>
          </a:extLst>
        </xdr:cNvPr>
        <xdr:cNvSpPr txBox="1"/>
      </xdr:nvSpPr>
      <xdr:spPr>
        <a:xfrm>
          <a:off x="4495442"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Profit</a:t>
          </a:r>
          <a:endParaRPr lang="en-US" sz="1200" b="1">
            <a:solidFill>
              <a:schemeClr val="tx1">
                <a:lumMod val="50000"/>
                <a:lumOff val="50000"/>
              </a:schemeClr>
            </a:solidFill>
          </a:endParaRPr>
        </a:p>
      </xdr:txBody>
    </xdr:sp>
    <xdr:clientData/>
  </xdr:twoCellAnchor>
  <xdr:twoCellAnchor>
    <xdr:from>
      <xdr:col>9</xdr:col>
      <xdr:colOff>263209</xdr:colOff>
      <xdr:row>10</xdr:row>
      <xdr:rowOff>144101</xdr:rowOff>
    </xdr:from>
    <xdr:to>
      <xdr:col>11</xdr:col>
      <xdr:colOff>278703</xdr:colOff>
      <xdr:row>12</xdr:row>
      <xdr:rowOff>68097</xdr:rowOff>
    </xdr:to>
    <xdr:sp macro="" textlink="">
      <xdr:nvSpPr>
        <xdr:cNvPr id="18" name="TextBox 17">
          <a:extLst>
            <a:ext uri="{FF2B5EF4-FFF2-40B4-BE49-F238E27FC236}">
              <a16:creationId xmlns:a16="http://schemas.microsoft.com/office/drawing/2014/main" id="{D14D4BFE-AE73-4875-B32C-5F7F5886A9FB}"/>
            </a:ext>
          </a:extLst>
        </xdr:cNvPr>
        <xdr:cNvSpPr txBox="1"/>
      </xdr:nvSpPr>
      <xdr:spPr>
        <a:xfrm>
          <a:off x="5749609"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Orders</a:t>
          </a:r>
          <a:endParaRPr lang="en-US" sz="1200" b="1">
            <a:solidFill>
              <a:schemeClr val="tx1">
                <a:lumMod val="50000"/>
                <a:lumOff val="50000"/>
              </a:schemeClr>
            </a:solidFill>
          </a:endParaRPr>
        </a:p>
      </xdr:txBody>
    </xdr:sp>
    <xdr:clientData/>
  </xdr:twoCellAnchor>
  <xdr:twoCellAnchor>
    <xdr:from>
      <xdr:col>11</xdr:col>
      <xdr:colOff>363418</xdr:colOff>
      <xdr:row>10</xdr:row>
      <xdr:rowOff>144101</xdr:rowOff>
    </xdr:from>
    <xdr:to>
      <xdr:col>13</xdr:col>
      <xdr:colOff>378912</xdr:colOff>
      <xdr:row>12</xdr:row>
      <xdr:rowOff>68097</xdr:rowOff>
    </xdr:to>
    <xdr:sp macro="" textlink="">
      <xdr:nvSpPr>
        <xdr:cNvPr id="19" name="TextBox 18">
          <a:extLst>
            <a:ext uri="{FF2B5EF4-FFF2-40B4-BE49-F238E27FC236}">
              <a16:creationId xmlns:a16="http://schemas.microsoft.com/office/drawing/2014/main" id="{FCAC9570-6C1C-47FB-977F-29AE2F7F0B2C}"/>
            </a:ext>
          </a:extLst>
        </xdr:cNvPr>
        <xdr:cNvSpPr txBox="1"/>
      </xdr:nvSpPr>
      <xdr:spPr>
        <a:xfrm>
          <a:off x="7069018"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Avg</a:t>
          </a:r>
          <a:r>
            <a:rPr lang="en-US" sz="1200" b="1" baseline="0">
              <a:solidFill>
                <a:schemeClr val="tx1">
                  <a:lumMod val="50000"/>
                  <a:lumOff val="50000"/>
                </a:schemeClr>
              </a:solidFill>
            </a:rPr>
            <a:t> Order Value</a:t>
          </a:r>
          <a:endParaRPr lang="en-US" sz="1200" b="1">
            <a:solidFill>
              <a:schemeClr val="tx1">
                <a:lumMod val="50000"/>
                <a:lumOff val="50000"/>
              </a:schemeClr>
            </a:solidFill>
          </a:endParaRPr>
        </a:p>
      </xdr:txBody>
    </xdr:sp>
    <xdr:clientData/>
  </xdr:twoCellAnchor>
  <xdr:twoCellAnchor>
    <xdr:from>
      <xdr:col>4</xdr:col>
      <xdr:colOff>531084</xdr:colOff>
      <xdr:row>18</xdr:row>
      <xdr:rowOff>71283</xdr:rowOff>
    </xdr:from>
    <xdr:to>
      <xdr:col>7</xdr:col>
      <xdr:colOff>609368</xdr:colOff>
      <xdr:row>19</xdr:row>
      <xdr:rowOff>180091</xdr:rowOff>
    </xdr:to>
    <xdr:sp macro="" textlink="">
      <xdr:nvSpPr>
        <xdr:cNvPr id="20" name="TextBox 19">
          <a:extLst>
            <a:ext uri="{FF2B5EF4-FFF2-40B4-BE49-F238E27FC236}">
              <a16:creationId xmlns:a16="http://schemas.microsoft.com/office/drawing/2014/main" id="{208D3157-A005-44F9-AFFE-F4269968DB17}"/>
            </a:ext>
          </a:extLst>
        </xdr:cNvPr>
        <xdr:cNvSpPr txBox="1"/>
      </xdr:nvSpPr>
      <xdr:spPr>
        <a:xfrm>
          <a:off x="2969484" y="3509808"/>
          <a:ext cx="1907084" cy="299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 Profit By Region</a:t>
          </a:r>
          <a:endParaRPr lang="en-US" sz="1400">
            <a:solidFill>
              <a:srgbClr val="385F7C"/>
            </a:solidFill>
          </a:endParaRPr>
        </a:p>
      </xdr:txBody>
    </xdr:sp>
    <xdr:clientData/>
  </xdr:twoCellAnchor>
  <xdr:twoCellAnchor>
    <xdr:from>
      <xdr:col>13</xdr:col>
      <xdr:colOff>344814</xdr:colOff>
      <xdr:row>10</xdr:row>
      <xdr:rowOff>61586</xdr:rowOff>
    </xdr:from>
    <xdr:to>
      <xdr:col>16</xdr:col>
      <xdr:colOff>421150</xdr:colOff>
      <xdr:row>11</xdr:row>
      <xdr:rowOff>176082</xdr:rowOff>
    </xdr:to>
    <xdr:sp macro="" textlink="">
      <xdr:nvSpPr>
        <xdr:cNvPr id="21" name="TextBox 20">
          <a:extLst>
            <a:ext uri="{FF2B5EF4-FFF2-40B4-BE49-F238E27FC236}">
              <a16:creationId xmlns:a16="http://schemas.microsoft.com/office/drawing/2014/main" id="{61879B61-6164-46BB-BF9F-A7FC14370931}"/>
            </a:ext>
          </a:extLst>
        </xdr:cNvPr>
        <xdr:cNvSpPr txBox="1"/>
      </xdr:nvSpPr>
      <xdr:spPr>
        <a:xfrm>
          <a:off x="8269614" y="1976111"/>
          <a:ext cx="1905136"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Sales By Category</a:t>
          </a:r>
        </a:p>
      </xdr:txBody>
    </xdr:sp>
    <xdr:clientData/>
  </xdr:twoCellAnchor>
  <xdr:twoCellAnchor>
    <xdr:from>
      <xdr:col>24</xdr:col>
      <xdr:colOff>133472</xdr:colOff>
      <xdr:row>27</xdr:row>
      <xdr:rowOff>35192</xdr:rowOff>
    </xdr:from>
    <xdr:to>
      <xdr:col>27</xdr:col>
      <xdr:colOff>440486</xdr:colOff>
      <xdr:row>28</xdr:row>
      <xdr:rowOff>56865</xdr:rowOff>
    </xdr:to>
    <xdr:sp macro="" textlink="">
      <xdr:nvSpPr>
        <xdr:cNvPr id="22" name="TextBox 21">
          <a:extLst>
            <a:ext uri="{FF2B5EF4-FFF2-40B4-BE49-F238E27FC236}">
              <a16:creationId xmlns:a16="http://schemas.microsoft.com/office/drawing/2014/main" id="{CD8785BF-76A7-41CE-8F64-FE95C1CB497B}"/>
            </a:ext>
          </a:extLst>
        </xdr:cNvPr>
        <xdr:cNvSpPr txBox="1"/>
      </xdr:nvSpPr>
      <xdr:spPr>
        <a:xfrm>
          <a:off x="14763872" y="5188217"/>
          <a:ext cx="2135814" cy="21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Monthly Revenue Trend</a:t>
          </a:r>
          <a:endParaRPr lang="en-US" sz="1400">
            <a:solidFill>
              <a:srgbClr val="385F7C"/>
            </a:solidFill>
          </a:endParaRPr>
        </a:p>
      </xdr:txBody>
    </xdr:sp>
    <xdr:clientData/>
  </xdr:twoCellAnchor>
  <xdr:twoCellAnchor>
    <xdr:from>
      <xdr:col>26</xdr:col>
      <xdr:colOff>31187</xdr:colOff>
      <xdr:row>10</xdr:row>
      <xdr:rowOff>61586</xdr:rowOff>
    </xdr:from>
    <xdr:to>
      <xdr:col>29</xdr:col>
      <xdr:colOff>109471</xdr:colOff>
      <xdr:row>11</xdr:row>
      <xdr:rowOff>181301</xdr:rowOff>
    </xdr:to>
    <xdr:sp macro="" textlink="">
      <xdr:nvSpPr>
        <xdr:cNvPr id="23" name="TextBox 22">
          <a:extLst>
            <a:ext uri="{FF2B5EF4-FFF2-40B4-BE49-F238E27FC236}">
              <a16:creationId xmlns:a16="http://schemas.microsoft.com/office/drawing/2014/main" id="{42464FD8-48A6-47B7-9ADF-5A85200A0353}"/>
            </a:ext>
          </a:extLst>
        </xdr:cNvPr>
        <xdr:cNvSpPr txBox="1"/>
      </xdr:nvSpPr>
      <xdr:spPr>
        <a:xfrm>
          <a:off x="15880787" y="1976111"/>
          <a:ext cx="1907084" cy="3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Revenue By Region</a:t>
          </a:r>
          <a:endParaRPr lang="en-US" sz="1400">
            <a:solidFill>
              <a:srgbClr val="385F7C"/>
            </a:solidFill>
          </a:endParaRPr>
        </a:p>
      </xdr:txBody>
    </xdr:sp>
    <xdr:clientData/>
  </xdr:twoCellAnchor>
  <xdr:twoCellAnchor>
    <xdr:from>
      <xdr:col>5</xdr:col>
      <xdr:colOff>241680</xdr:colOff>
      <xdr:row>11</xdr:row>
      <xdr:rowOff>142168</xdr:rowOff>
    </xdr:from>
    <xdr:to>
      <xdr:col>6</xdr:col>
      <xdr:colOff>582874</xdr:colOff>
      <xdr:row>15</xdr:row>
      <xdr:rowOff>170600</xdr:rowOff>
    </xdr:to>
    <xdr:sp macro="" textlink="sale">
      <xdr:nvSpPr>
        <xdr:cNvPr id="24" name="TextBox 23">
          <a:extLst>
            <a:ext uri="{FF2B5EF4-FFF2-40B4-BE49-F238E27FC236}">
              <a16:creationId xmlns:a16="http://schemas.microsoft.com/office/drawing/2014/main" id="{473E9292-F6E7-434F-8198-E779D40405DF}"/>
            </a:ext>
          </a:extLst>
        </xdr:cNvPr>
        <xdr:cNvSpPr txBox="1"/>
      </xdr:nvSpPr>
      <xdr:spPr>
        <a:xfrm>
          <a:off x="3289680" y="2247193"/>
          <a:ext cx="950794" cy="79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BB31F1-2165-4A4E-8427-20D2133626FD}" type="TxLink">
            <a:rPr lang="en-US" sz="1800" b="0" i="0" u="none" strike="noStrike">
              <a:solidFill>
                <a:srgbClr val="385F7C"/>
              </a:solidFill>
              <a:latin typeface="+mn-lt"/>
              <a:cs typeface="Arial" panose="020B0604020202020204" pitchFamily="34" charset="0"/>
            </a:rPr>
            <a:pPr algn="ctr"/>
            <a:t>$78.7M</a:t>
          </a:fld>
          <a:endParaRPr lang="en-US" sz="2400" b="0">
            <a:solidFill>
              <a:srgbClr val="385F7C"/>
            </a:solidFill>
            <a:latin typeface="+mn-lt"/>
            <a:cs typeface="Arial" panose="020B0604020202020204" pitchFamily="34" charset="0"/>
          </a:endParaRPr>
        </a:p>
      </xdr:txBody>
    </xdr:sp>
    <xdr:clientData/>
  </xdr:twoCellAnchor>
  <xdr:twoCellAnchor>
    <xdr:from>
      <xdr:col>7</xdr:col>
      <xdr:colOff>369627</xdr:colOff>
      <xdr:row>13</xdr:row>
      <xdr:rowOff>28436</xdr:rowOff>
    </xdr:from>
    <xdr:to>
      <xdr:col>9</xdr:col>
      <xdr:colOff>56866</xdr:colOff>
      <xdr:row>14</xdr:row>
      <xdr:rowOff>99519</xdr:rowOff>
    </xdr:to>
    <xdr:sp macro="" textlink="profi">
      <xdr:nvSpPr>
        <xdr:cNvPr id="25" name="TextBox 24">
          <a:extLst>
            <a:ext uri="{FF2B5EF4-FFF2-40B4-BE49-F238E27FC236}">
              <a16:creationId xmlns:a16="http://schemas.microsoft.com/office/drawing/2014/main" id="{3BCAE2EF-725E-4315-AB93-033A7BCBB4AF}"/>
            </a:ext>
          </a:extLst>
        </xdr:cNvPr>
        <xdr:cNvSpPr txBox="1"/>
      </xdr:nvSpPr>
      <xdr:spPr>
        <a:xfrm>
          <a:off x="4636827" y="2514461"/>
          <a:ext cx="906439" cy="26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CAE3E3-C856-42A7-8E04-A0D90CCF20FA}" type="TxLink">
            <a:rPr lang="en-US" sz="1800" b="0" i="0" u="none" strike="noStrike">
              <a:solidFill>
                <a:srgbClr val="385F7C"/>
              </a:solidFill>
              <a:latin typeface="+mn-lt"/>
              <a:ea typeface="+mn-ea"/>
              <a:cs typeface="Arial" panose="020B0604020202020204" pitchFamily="34" charset="0"/>
            </a:rPr>
            <a:pPr marL="0" indent="0" algn="ctr"/>
            <a:t>$35.6M</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xdr:from>
      <xdr:col>9</xdr:col>
      <xdr:colOff>270111</xdr:colOff>
      <xdr:row>13</xdr:row>
      <xdr:rowOff>14220</xdr:rowOff>
    </xdr:from>
    <xdr:to>
      <xdr:col>11</xdr:col>
      <xdr:colOff>241678</xdr:colOff>
      <xdr:row>14</xdr:row>
      <xdr:rowOff>113735</xdr:rowOff>
    </xdr:to>
    <xdr:sp macro="" textlink="orde">
      <xdr:nvSpPr>
        <xdr:cNvPr id="26" name="TextBox 25">
          <a:extLst>
            <a:ext uri="{FF2B5EF4-FFF2-40B4-BE49-F238E27FC236}">
              <a16:creationId xmlns:a16="http://schemas.microsoft.com/office/drawing/2014/main" id="{584F1175-8663-45C0-964A-67269319C352}"/>
            </a:ext>
          </a:extLst>
        </xdr:cNvPr>
        <xdr:cNvSpPr txBox="1"/>
      </xdr:nvSpPr>
      <xdr:spPr>
        <a:xfrm>
          <a:off x="5756511" y="2500245"/>
          <a:ext cx="1190767" cy="29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1D5BA0-D501-444F-A93E-5AD915AD6C48}" type="TxLink">
            <a:rPr lang="en-US" sz="1800" b="0" i="0" u="none" strike="noStrike">
              <a:solidFill>
                <a:srgbClr val="385F7C"/>
              </a:solidFill>
              <a:latin typeface="+mn-lt"/>
              <a:ea typeface="+mn-ea"/>
              <a:cs typeface="Arial" panose="020B0604020202020204" pitchFamily="34" charset="0"/>
            </a:rPr>
            <a:pPr marL="0" indent="0" algn="ctr"/>
            <a:t>3000</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xdr:from>
      <xdr:col>11</xdr:col>
      <xdr:colOff>511790</xdr:colOff>
      <xdr:row>12</xdr:row>
      <xdr:rowOff>135059</xdr:rowOff>
    </xdr:from>
    <xdr:to>
      <xdr:col>13</xdr:col>
      <xdr:colOff>184813</xdr:colOff>
      <xdr:row>14</xdr:row>
      <xdr:rowOff>177709</xdr:rowOff>
    </xdr:to>
    <xdr:sp macro="" textlink="avg">
      <xdr:nvSpPr>
        <xdr:cNvPr id="27" name="TextBox 26">
          <a:extLst>
            <a:ext uri="{FF2B5EF4-FFF2-40B4-BE49-F238E27FC236}">
              <a16:creationId xmlns:a16="http://schemas.microsoft.com/office/drawing/2014/main" id="{BFFA6838-35EE-43E6-BAB9-B62FDEB6754C}"/>
            </a:ext>
          </a:extLst>
        </xdr:cNvPr>
        <xdr:cNvSpPr txBox="1"/>
      </xdr:nvSpPr>
      <xdr:spPr>
        <a:xfrm>
          <a:off x="7217390" y="2430584"/>
          <a:ext cx="892223" cy="423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3C12ED-BC97-4D90-BCF8-98638082FCBF}" type="TxLink">
            <a:rPr lang="en-US" sz="1800" b="0" i="0" u="none" strike="noStrike">
              <a:solidFill>
                <a:srgbClr val="385F7C"/>
              </a:solidFill>
              <a:latin typeface="+mn-lt"/>
              <a:ea typeface="+mn-ea"/>
              <a:cs typeface="Arial" panose="020B0604020202020204" pitchFamily="34" charset="0"/>
            </a:rPr>
            <a:pPr marL="0" indent="0" algn="ctr"/>
            <a:t>$26.2K</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xdr:from>
      <xdr:col>5</xdr:col>
      <xdr:colOff>241679</xdr:colOff>
      <xdr:row>14</xdr:row>
      <xdr:rowOff>68579</xdr:rowOff>
    </xdr:from>
    <xdr:to>
      <xdr:col>6</xdr:col>
      <xdr:colOff>497575</xdr:colOff>
      <xdr:row>17</xdr:row>
      <xdr:rowOff>63121</xdr:rowOff>
    </xdr:to>
    <xdr:sp macro="" textlink="yoy1">
      <xdr:nvSpPr>
        <xdr:cNvPr id="28" name="TextBox 27">
          <a:extLst>
            <a:ext uri="{FF2B5EF4-FFF2-40B4-BE49-F238E27FC236}">
              <a16:creationId xmlns:a16="http://schemas.microsoft.com/office/drawing/2014/main" id="{3D8EF1B9-5B1D-40F4-BCC5-9A25F226A807}"/>
            </a:ext>
          </a:extLst>
        </xdr:cNvPr>
        <xdr:cNvSpPr txBox="1"/>
      </xdr:nvSpPr>
      <xdr:spPr>
        <a:xfrm>
          <a:off x="3289679" y="2745104"/>
          <a:ext cx="865496"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1C7FCF2E-7717-49B0-95A2-2BBC8ADB4A26}" type="TxLink">
            <a:rPr lang="en-US" sz="1200" b="0" i="0" u="none" strike="noStrike" baseline="0">
              <a:solidFill>
                <a:schemeClr val="tx1">
                  <a:lumMod val="50000"/>
                  <a:lumOff val="50000"/>
                </a:schemeClr>
              </a:solidFill>
              <a:latin typeface="Bahnschrift Condensed" panose="020B0502040204020203" pitchFamily="34" charset="0"/>
              <a:cs typeface="Calibri"/>
            </a:rPr>
            <a:pPr algn="ctr"/>
            <a:t>22.7%</a:t>
          </a:fld>
          <a:r>
            <a:rPr lang="en-US" sz="1200" b="0" i="0" u="none" strike="noStrike" baseline="0">
              <a:solidFill>
                <a:schemeClr val="tx1">
                  <a:lumMod val="50000"/>
                  <a:lumOff val="50000"/>
                </a:schemeClr>
              </a:solidFill>
              <a:latin typeface="Bahnschrift Condensed" panose="020B0502040204020203" pitchFamily="34" charset="0"/>
              <a:cs typeface="Calibri"/>
            </a:rPr>
            <a:t> YoY</a:t>
          </a:r>
          <a:endParaRPr lang="en-US" sz="1600" b="0" baseline="0">
            <a:solidFill>
              <a:schemeClr val="tx1">
                <a:lumMod val="50000"/>
                <a:lumOff val="50000"/>
              </a:schemeClr>
            </a:solidFill>
            <a:latin typeface="Bahnschrift Condensed" panose="020B0502040204020203" pitchFamily="34" charset="0"/>
          </a:endParaRPr>
        </a:p>
      </xdr:txBody>
    </xdr:sp>
    <xdr:clientData/>
  </xdr:twoCellAnchor>
  <xdr:twoCellAnchor>
    <xdr:from>
      <xdr:col>9</xdr:col>
      <xdr:colOff>255896</xdr:colOff>
      <xdr:row>14</xdr:row>
      <xdr:rowOff>68579</xdr:rowOff>
    </xdr:from>
    <xdr:to>
      <xdr:col>11</xdr:col>
      <xdr:colOff>270112</xdr:colOff>
      <xdr:row>17</xdr:row>
      <xdr:rowOff>63121</xdr:rowOff>
    </xdr:to>
    <xdr:sp macro="" textlink="yoy3">
      <xdr:nvSpPr>
        <xdr:cNvPr id="29" name="TextBox 28">
          <a:extLst>
            <a:ext uri="{FF2B5EF4-FFF2-40B4-BE49-F238E27FC236}">
              <a16:creationId xmlns:a16="http://schemas.microsoft.com/office/drawing/2014/main" id="{368ADB3F-A4FF-4D3B-B7DC-3604DCCB2C42}"/>
            </a:ext>
          </a:extLst>
        </xdr:cNvPr>
        <xdr:cNvSpPr txBox="1"/>
      </xdr:nvSpPr>
      <xdr:spPr>
        <a:xfrm>
          <a:off x="5742296" y="2745104"/>
          <a:ext cx="1233416"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F1541DEB-E24D-43BA-B7C3-73E41113238F}"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13.0%</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aseline="0">
            <a:solidFill>
              <a:schemeClr val="tx1">
                <a:lumMod val="50000"/>
                <a:lumOff val="50000"/>
              </a:schemeClr>
            </a:solidFill>
            <a:latin typeface="Bahnschrift Condensed" panose="020B0502040204020203" pitchFamily="34" charset="0"/>
          </a:endParaRPr>
        </a:p>
      </xdr:txBody>
    </xdr:sp>
    <xdr:clientData/>
  </xdr:twoCellAnchor>
  <xdr:twoCellAnchor>
    <xdr:from>
      <xdr:col>7</xdr:col>
      <xdr:colOff>379861</xdr:colOff>
      <xdr:row>14</xdr:row>
      <xdr:rowOff>99515</xdr:rowOff>
    </xdr:from>
    <xdr:to>
      <xdr:col>9</xdr:col>
      <xdr:colOff>71081</xdr:colOff>
      <xdr:row>17</xdr:row>
      <xdr:rowOff>63121</xdr:rowOff>
    </xdr:to>
    <xdr:sp macro="" textlink="yoy2">
      <xdr:nvSpPr>
        <xdr:cNvPr id="30" name="TextBox 29">
          <a:extLst>
            <a:ext uri="{FF2B5EF4-FFF2-40B4-BE49-F238E27FC236}">
              <a16:creationId xmlns:a16="http://schemas.microsoft.com/office/drawing/2014/main" id="{F36A79EA-48ED-4C0C-B359-3B32ECF30965}"/>
            </a:ext>
          </a:extLst>
        </xdr:cNvPr>
        <xdr:cNvSpPr txBox="1"/>
      </xdr:nvSpPr>
      <xdr:spPr>
        <a:xfrm>
          <a:off x="4647061" y="2776040"/>
          <a:ext cx="910420" cy="535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E7725FBF-398C-4836-8F78-CA5B675F4AE6}"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22.8%</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aseline="0">
            <a:solidFill>
              <a:schemeClr val="tx1">
                <a:lumMod val="50000"/>
                <a:lumOff val="50000"/>
              </a:schemeClr>
            </a:solidFill>
            <a:latin typeface="Bahnschrift Condensed" panose="020B0502040204020203" pitchFamily="34" charset="0"/>
          </a:endParaRPr>
        </a:p>
      </xdr:txBody>
    </xdr:sp>
    <xdr:clientData/>
  </xdr:twoCellAnchor>
  <xdr:twoCellAnchor>
    <xdr:from>
      <xdr:col>11</xdr:col>
      <xdr:colOff>319014</xdr:colOff>
      <xdr:row>14</xdr:row>
      <xdr:rowOff>68579</xdr:rowOff>
    </xdr:from>
    <xdr:to>
      <xdr:col>13</xdr:col>
      <xdr:colOff>355408</xdr:colOff>
      <xdr:row>17</xdr:row>
      <xdr:rowOff>63121</xdr:rowOff>
    </xdr:to>
    <xdr:sp macro="" textlink="yoy4">
      <xdr:nvSpPr>
        <xdr:cNvPr id="31" name="TextBox 30">
          <a:extLst>
            <a:ext uri="{FF2B5EF4-FFF2-40B4-BE49-F238E27FC236}">
              <a16:creationId xmlns:a16="http://schemas.microsoft.com/office/drawing/2014/main" id="{32C556E4-430F-44B9-BFFE-CBD046FA47CE}"/>
            </a:ext>
          </a:extLst>
        </xdr:cNvPr>
        <xdr:cNvSpPr txBox="1"/>
      </xdr:nvSpPr>
      <xdr:spPr>
        <a:xfrm>
          <a:off x="7024614" y="2745104"/>
          <a:ext cx="1255594"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939143F5-2E1F-449F-8A5E-FD422C371ECD}"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8.7%</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0" baseline="0">
            <a:solidFill>
              <a:schemeClr val="tx1">
                <a:lumMod val="50000"/>
                <a:lumOff val="50000"/>
              </a:schemeClr>
            </a:solidFill>
            <a:latin typeface="Bahnschrift Condensed" panose="020B0502040204020203" pitchFamily="34" charset="0"/>
          </a:endParaRPr>
        </a:p>
      </xdr:txBody>
    </xdr:sp>
    <xdr:clientData/>
  </xdr:twoCellAnchor>
  <xdr:twoCellAnchor>
    <xdr:from>
      <xdr:col>24</xdr:col>
      <xdr:colOff>171762</xdr:colOff>
      <xdr:row>28</xdr:row>
      <xdr:rowOff>93689</xdr:rowOff>
    </xdr:from>
    <xdr:to>
      <xdr:col>35</xdr:col>
      <xdr:colOff>156381</xdr:colOff>
      <xdr:row>42</xdr:row>
      <xdr:rowOff>78161</xdr:rowOff>
    </xdr:to>
    <xdr:graphicFrame macro="">
      <xdr:nvGraphicFramePr>
        <xdr:cNvPr id="32" name="Chart 31">
          <a:extLst>
            <a:ext uri="{FF2B5EF4-FFF2-40B4-BE49-F238E27FC236}">
              <a16:creationId xmlns:a16="http://schemas.microsoft.com/office/drawing/2014/main" id="{7D14A949-E0A4-4E01-A76B-A61374EF7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133945</xdr:colOff>
      <xdr:row>21</xdr:row>
      <xdr:rowOff>14883</xdr:rowOff>
    </xdr:from>
    <xdr:to>
      <xdr:col>13</xdr:col>
      <xdr:colOff>133945</xdr:colOff>
      <xdr:row>42</xdr:row>
      <xdr:rowOff>104179</xdr:rowOff>
    </xdr:to>
    <xdr:graphicFrame macro="">
      <xdr:nvGraphicFramePr>
        <xdr:cNvPr id="33" name="Chart 32">
          <a:extLst>
            <a:ext uri="{FF2B5EF4-FFF2-40B4-BE49-F238E27FC236}">
              <a16:creationId xmlns:a16="http://schemas.microsoft.com/office/drawing/2014/main" id="{5D86B10F-CCDF-472A-869F-644969ABFC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499672</xdr:colOff>
      <xdr:row>11</xdr:row>
      <xdr:rowOff>124919</xdr:rowOff>
    </xdr:from>
    <xdr:to>
      <xdr:col>25</xdr:col>
      <xdr:colOff>437212</xdr:colOff>
      <xdr:row>25</xdr:row>
      <xdr:rowOff>109304</xdr:rowOff>
    </xdr:to>
    <xdr:graphicFrame macro="">
      <xdr:nvGraphicFramePr>
        <xdr:cNvPr id="34" name="Chart 33">
          <a:extLst>
            <a:ext uri="{FF2B5EF4-FFF2-40B4-BE49-F238E27FC236}">
              <a16:creationId xmlns:a16="http://schemas.microsoft.com/office/drawing/2014/main" id="{0DD76F86-E8EB-48DB-8962-8C1C6922C7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1836</xdr:colOff>
      <xdr:row>11</xdr:row>
      <xdr:rowOff>155597</xdr:rowOff>
    </xdr:from>
    <xdr:to>
      <xdr:col>35</xdr:col>
      <xdr:colOff>196102</xdr:colOff>
      <xdr:row>25</xdr:row>
      <xdr:rowOff>56029</xdr:rowOff>
    </xdr:to>
    <xdr:graphicFrame macro="">
      <xdr:nvGraphicFramePr>
        <xdr:cNvPr id="35" name="Chart 34">
          <a:extLst>
            <a:ext uri="{FF2B5EF4-FFF2-40B4-BE49-F238E27FC236}">
              <a16:creationId xmlns:a16="http://schemas.microsoft.com/office/drawing/2014/main" id="{C66824F4-0000-4806-89F0-1C1DE640A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193730</xdr:colOff>
      <xdr:row>26</xdr:row>
      <xdr:rowOff>113008</xdr:rowOff>
    </xdr:from>
    <xdr:to>
      <xdr:col>23</xdr:col>
      <xdr:colOff>519957</xdr:colOff>
      <xdr:row>42</xdr:row>
      <xdr:rowOff>96864</xdr:rowOff>
    </xdr:to>
    <xdr:graphicFrame macro="">
      <xdr:nvGraphicFramePr>
        <xdr:cNvPr id="36" name="Chart 35">
          <a:extLst>
            <a:ext uri="{FF2B5EF4-FFF2-40B4-BE49-F238E27FC236}">
              <a16:creationId xmlns:a16="http://schemas.microsoft.com/office/drawing/2014/main" id="{972EA8B4-86F1-43B0-AB2C-C10E612F1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96863</xdr:colOff>
      <xdr:row>31</xdr:row>
      <xdr:rowOff>0</xdr:rowOff>
    </xdr:from>
    <xdr:to>
      <xdr:col>21</xdr:col>
      <xdr:colOff>322881</xdr:colOff>
      <xdr:row>38</xdr:row>
      <xdr:rowOff>113008</xdr:rowOff>
    </xdr:to>
    <xdr:sp macro="" textlink="">
      <xdr:nvSpPr>
        <xdr:cNvPr id="37" name="Oval 36">
          <a:extLst>
            <a:ext uri="{FF2B5EF4-FFF2-40B4-BE49-F238E27FC236}">
              <a16:creationId xmlns:a16="http://schemas.microsoft.com/office/drawing/2014/main" id="{F07A9B58-9B96-4E04-8F6B-5D94B3E6B8FB}"/>
            </a:ext>
          </a:extLst>
        </xdr:cNvPr>
        <xdr:cNvSpPr/>
      </xdr:nvSpPr>
      <xdr:spPr>
        <a:xfrm>
          <a:off x="11679263" y="5915025"/>
          <a:ext cx="1445218" cy="1446508"/>
        </a:xfrm>
        <a:prstGeom prst="ellipse">
          <a:avLst/>
        </a:prstGeom>
        <a:solidFill>
          <a:srgbClr val="CCDCE8"/>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474026</xdr:colOff>
      <xdr:row>34</xdr:row>
      <xdr:rowOff>10508</xdr:rowOff>
    </xdr:from>
    <xdr:to>
      <xdr:col>21</xdr:col>
      <xdr:colOff>552309</xdr:colOff>
      <xdr:row>35</xdr:row>
      <xdr:rowOff>131357</xdr:rowOff>
    </xdr:to>
    <xdr:sp macro="" textlink="">
      <xdr:nvSpPr>
        <xdr:cNvPr id="38" name="TextBox 37">
          <a:extLst>
            <a:ext uri="{FF2B5EF4-FFF2-40B4-BE49-F238E27FC236}">
              <a16:creationId xmlns:a16="http://schemas.microsoft.com/office/drawing/2014/main" id="{1C6C37EC-EF90-4172-B240-77646D03761B}"/>
            </a:ext>
          </a:extLst>
        </xdr:cNvPr>
        <xdr:cNvSpPr txBox="1"/>
      </xdr:nvSpPr>
      <xdr:spPr>
        <a:xfrm>
          <a:off x="11446826" y="6497033"/>
          <a:ext cx="1907083" cy="311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Sales Method</a:t>
          </a:r>
          <a:endParaRPr lang="en-US" sz="1400">
            <a:solidFill>
              <a:srgbClr val="385F7C"/>
            </a:solidFill>
          </a:endParaRPr>
        </a:p>
      </xdr:txBody>
    </xdr:sp>
    <xdr:clientData/>
  </xdr:twoCellAnchor>
  <xdr:twoCellAnchor>
    <xdr:from>
      <xdr:col>13</xdr:col>
      <xdr:colOff>492062</xdr:colOff>
      <xdr:row>26</xdr:row>
      <xdr:rowOff>113010</xdr:rowOff>
    </xdr:from>
    <xdr:to>
      <xdr:col>18</xdr:col>
      <xdr:colOff>48433</xdr:colOff>
      <xdr:row>42</xdr:row>
      <xdr:rowOff>145297</xdr:rowOff>
    </xdr:to>
    <xdr:graphicFrame macro="">
      <xdr:nvGraphicFramePr>
        <xdr:cNvPr id="39" name="Chart 38">
          <a:extLst>
            <a:ext uri="{FF2B5EF4-FFF2-40B4-BE49-F238E27FC236}">
              <a16:creationId xmlns:a16="http://schemas.microsoft.com/office/drawing/2014/main" id="{9471C280-D730-467D-8FF6-1227C0EDD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468177</xdr:colOff>
      <xdr:row>26</xdr:row>
      <xdr:rowOff>64576</xdr:rowOff>
    </xdr:from>
    <xdr:to>
      <xdr:col>17</xdr:col>
      <xdr:colOff>546460</xdr:colOff>
      <xdr:row>28</xdr:row>
      <xdr:rowOff>16144</xdr:rowOff>
    </xdr:to>
    <xdr:sp macro="" textlink="">
      <xdr:nvSpPr>
        <xdr:cNvPr id="40" name="TextBox 39">
          <a:extLst>
            <a:ext uri="{FF2B5EF4-FFF2-40B4-BE49-F238E27FC236}">
              <a16:creationId xmlns:a16="http://schemas.microsoft.com/office/drawing/2014/main" id="{BF2A3917-CAAE-4198-A1E7-9A2B2B37C79C}"/>
            </a:ext>
          </a:extLst>
        </xdr:cNvPr>
        <xdr:cNvSpPr txBox="1"/>
      </xdr:nvSpPr>
      <xdr:spPr>
        <a:xfrm>
          <a:off x="9002577" y="5027101"/>
          <a:ext cx="1907083" cy="332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385F7C"/>
              </a:solidFill>
            </a:rPr>
            <a:t>Sales By Gender</a:t>
          </a:r>
        </a:p>
      </xdr:txBody>
    </xdr:sp>
    <xdr:clientData/>
  </xdr:twoCellAnchor>
  <xdr:twoCellAnchor editAs="oneCell">
    <xdr:from>
      <xdr:col>1</xdr:col>
      <xdr:colOff>175969</xdr:colOff>
      <xdr:row>14</xdr:row>
      <xdr:rowOff>31076</xdr:rowOff>
    </xdr:from>
    <xdr:to>
      <xdr:col>4</xdr:col>
      <xdr:colOff>401987</xdr:colOff>
      <xdr:row>23</xdr:row>
      <xdr:rowOff>65383</xdr:rowOff>
    </xdr:to>
    <mc:AlternateContent xmlns:mc="http://schemas.openxmlformats.org/markup-compatibility/2006" xmlns:a14="http://schemas.microsoft.com/office/drawing/2010/main">
      <mc:Choice Requires="a14">
        <xdr:graphicFrame macro="">
          <xdr:nvGraphicFramePr>
            <xdr:cNvPr id="41" name="Item-Category 2">
              <a:extLst>
                <a:ext uri="{FF2B5EF4-FFF2-40B4-BE49-F238E27FC236}">
                  <a16:creationId xmlns:a16="http://schemas.microsoft.com/office/drawing/2014/main" id="{2E467DE9-CC8F-40F6-85F4-A5B24F01F930}"/>
                </a:ext>
              </a:extLst>
            </xdr:cNvPr>
            <xdr:cNvGraphicFramePr/>
          </xdr:nvGraphicFramePr>
          <xdr:xfrm>
            <a:off x="0" y="0"/>
            <a:ext cx="0" cy="0"/>
          </xdr:xfrm>
          <a:graphic>
            <a:graphicData uri="http://schemas.microsoft.com/office/drawing/2010/slicer">
              <sle:slicer xmlns:sle="http://schemas.microsoft.com/office/drawing/2010/slicer" name="Item-Category 2"/>
            </a:graphicData>
          </a:graphic>
        </xdr:graphicFrame>
      </mc:Choice>
      <mc:Fallback xmlns="">
        <xdr:sp macro="" textlink="">
          <xdr:nvSpPr>
            <xdr:cNvPr id="0" name=""/>
            <xdr:cNvSpPr>
              <a:spLocks noTextEdit="1"/>
            </xdr:cNvSpPr>
          </xdr:nvSpPr>
          <xdr:spPr>
            <a:xfrm>
              <a:off x="787450" y="2676909"/>
              <a:ext cx="2060463" cy="17276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158614</xdr:colOff>
      <xdr:row>24</xdr:row>
      <xdr:rowOff>109375</xdr:rowOff>
    </xdr:from>
    <xdr:to>
      <xdr:col>4</xdr:col>
      <xdr:colOff>367077</xdr:colOff>
      <xdr:row>33</xdr:row>
      <xdr:rowOff>91117</xdr:rowOff>
    </xdr:to>
    <mc:AlternateContent xmlns:mc="http://schemas.openxmlformats.org/markup-compatibility/2006" xmlns:a14="http://schemas.microsoft.com/office/drawing/2010/main">
      <mc:Choice Requires="a14">
        <xdr:graphicFrame macro="">
          <xdr:nvGraphicFramePr>
            <xdr:cNvPr id="42" name="Years (OrderDate) 2">
              <a:extLst>
                <a:ext uri="{FF2B5EF4-FFF2-40B4-BE49-F238E27FC236}">
                  <a16:creationId xmlns:a16="http://schemas.microsoft.com/office/drawing/2014/main" id="{6E51DA85-90DC-429D-A99B-5863E95B350B}"/>
                </a:ext>
              </a:extLst>
            </xdr:cNvPr>
            <xdr:cNvGraphicFramePr/>
          </xdr:nvGraphicFramePr>
          <xdr:xfrm>
            <a:off x="0" y="0"/>
            <a:ext cx="0" cy="0"/>
          </xdr:xfrm>
          <a:graphic>
            <a:graphicData uri="http://schemas.microsoft.com/office/drawing/2010/slicer">
              <sle:slicer xmlns:sle="http://schemas.microsoft.com/office/drawing/2010/slicer" name="Years (OrderDate) 2"/>
            </a:graphicData>
          </a:graphic>
        </xdr:graphicFrame>
      </mc:Choice>
      <mc:Fallback xmlns="">
        <xdr:sp macro="" textlink="">
          <xdr:nvSpPr>
            <xdr:cNvPr id="0" name=""/>
            <xdr:cNvSpPr>
              <a:spLocks noTextEdit="1"/>
            </xdr:cNvSpPr>
          </xdr:nvSpPr>
          <xdr:spPr>
            <a:xfrm>
              <a:off x="770095" y="4636690"/>
              <a:ext cx="2042908" cy="167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571498</xdr:colOff>
      <xdr:row>6</xdr:row>
      <xdr:rowOff>71437</xdr:rowOff>
    </xdr:from>
    <xdr:to>
      <xdr:col>36</xdr:col>
      <xdr:colOff>202405</xdr:colOff>
      <xdr:row>10</xdr:row>
      <xdr:rowOff>11905</xdr:rowOff>
    </xdr:to>
    <xdr:sp macro="" textlink="">
      <xdr:nvSpPr>
        <xdr:cNvPr id="43" name="TextBox 42">
          <a:extLst>
            <a:ext uri="{FF2B5EF4-FFF2-40B4-BE49-F238E27FC236}">
              <a16:creationId xmlns:a16="http://schemas.microsoft.com/office/drawing/2014/main" id="{140E5EC5-B994-4DC5-AFB1-C6EB42C61B41}"/>
            </a:ext>
          </a:extLst>
        </xdr:cNvPr>
        <xdr:cNvSpPr txBox="1"/>
      </xdr:nvSpPr>
      <xdr:spPr>
        <a:xfrm>
          <a:off x="18859498" y="1214437"/>
          <a:ext cx="3288507" cy="711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a:solidFill>
                <a:srgbClr val="385F7C"/>
              </a:solidFill>
              <a:latin typeface="Arial" panose="020B0604020202020204" pitchFamily="34" charset="0"/>
              <a:ea typeface="+mn-ea"/>
              <a:cs typeface="Arial" panose="020B0604020202020204" pitchFamily="34" charset="0"/>
            </a:rPr>
            <a:t>Designed by Scott</a:t>
          </a:r>
        </a:p>
      </xdr:txBody>
    </xdr:sp>
    <xdr:clientData/>
  </xdr:twoCellAnchor>
  <xdr:twoCellAnchor>
    <xdr:from>
      <xdr:col>33</xdr:col>
      <xdr:colOff>83317</xdr:colOff>
      <xdr:row>8</xdr:row>
      <xdr:rowOff>154781</xdr:rowOff>
    </xdr:from>
    <xdr:to>
      <xdr:col>35</xdr:col>
      <xdr:colOff>464317</xdr:colOff>
      <xdr:row>9</xdr:row>
      <xdr:rowOff>166688</xdr:rowOff>
    </xdr:to>
    <xdr:sp macro="" textlink="">
      <xdr:nvSpPr>
        <xdr:cNvPr id="44" name="TextBox 43">
          <a:extLst>
            <a:ext uri="{FF2B5EF4-FFF2-40B4-BE49-F238E27FC236}">
              <a16:creationId xmlns:a16="http://schemas.microsoft.com/office/drawing/2014/main" id="{55238140-3B2F-48AF-A768-82CBACAC87F3}"/>
            </a:ext>
          </a:extLst>
        </xdr:cNvPr>
        <xdr:cNvSpPr txBox="1"/>
      </xdr:nvSpPr>
      <xdr:spPr>
        <a:xfrm>
          <a:off x="20200117" y="1688306"/>
          <a:ext cx="1600200" cy="20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a:solidFill>
                <a:schemeClr val="tx1">
                  <a:lumMod val="50000"/>
                  <a:lumOff val="50000"/>
                </a:schemeClr>
              </a:solidFill>
              <a:latin typeface="+mn-lt"/>
              <a:ea typeface="+mn-ea"/>
              <a:cs typeface="+mn-cs"/>
            </a:rPr>
            <a:t>Date: 18/03/2026</a:t>
          </a:r>
        </a:p>
      </xdr:txBody>
    </xdr:sp>
    <xdr:clientData/>
  </xdr:twoCellAnchor>
  <xdr:twoCellAnchor>
    <xdr:from>
      <xdr:col>11</xdr:col>
      <xdr:colOff>564029</xdr:colOff>
      <xdr:row>19</xdr:row>
      <xdr:rowOff>112058</xdr:rowOff>
    </xdr:from>
    <xdr:to>
      <xdr:col>29</xdr:col>
      <xdr:colOff>322169</xdr:colOff>
      <xdr:row>37</xdr:row>
      <xdr:rowOff>48556</xdr:rowOff>
    </xdr:to>
    <xdr:grpSp>
      <xdr:nvGrpSpPr>
        <xdr:cNvPr id="45" name="InsightsBox" hidden="1">
          <a:extLst>
            <a:ext uri="{FF2B5EF4-FFF2-40B4-BE49-F238E27FC236}">
              <a16:creationId xmlns:a16="http://schemas.microsoft.com/office/drawing/2014/main" id="{DD2CF853-40A3-4E16-B36A-2BD0A1CBFD96}"/>
            </a:ext>
          </a:extLst>
        </xdr:cNvPr>
        <xdr:cNvGrpSpPr/>
      </xdr:nvGrpSpPr>
      <xdr:grpSpPr>
        <a:xfrm>
          <a:off x="7290325" y="3698632"/>
          <a:ext cx="10764807" cy="3323165"/>
          <a:chOff x="8299758" y="8690542"/>
          <a:chExt cx="10144125" cy="3384210"/>
        </a:xfrm>
      </xdr:grpSpPr>
      <xdr:sp macro="" textlink="">
        <xdr:nvSpPr>
          <xdr:cNvPr id="46" name="Rectangle: Rounded Corners 45" hidden="1">
            <a:extLst>
              <a:ext uri="{FF2B5EF4-FFF2-40B4-BE49-F238E27FC236}">
                <a16:creationId xmlns:a16="http://schemas.microsoft.com/office/drawing/2014/main" id="{85542667-3BFE-4EBC-994F-7530A2FEF91C}"/>
              </a:ext>
            </a:extLst>
          </xdr:cNvPr>
          <xdr:cNvSpPr/>
        </xdr:nvSpPr>
        <xdr:spPr>
          <a:xfrm>
            <a:off x="8299758" y="8690542"/>
            <a:ext cx="10144125" cy="3384210"/>
          </a:xfrm>
          <a:prstGeom prst="roundRect">
            <a:avLst>
              <a:gd name="adj" fmla="val 8415"/>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aseline="0">
                <a:solidFill>
                  <a:srgbClr val="385F7C"/>
                </a:solidFill>
                <a:effectLst/>
                <a:latin typeface="+mn-lt"/>
                <a:ea typeface="+mn-ea"/>
                <a:cs typeface="+mn-cs"/>
              </a:rPr>
              <a:t>Key Insights</a:t>
            </a:r>
            <a:endParaRPr lang="en-US" sz="3200">
              <a:solidFill>
                <a:srgbClr val="385F7C"/>
              </a:solidFill>
              <a:effectLst/>
            </a:endParaRPr>
          </a:p>
          <a:p>
            <a:pPr algn="l"/>
            <a:endParaRPr lang="en-US" sz="1100"/>
          </a:p>
        </xdr:txBody>
      </xdr:sp>
      <xdr:sp macro="" textlink="">
        <xdr:nvSpPr>
          <xdr:cNvPr id="47" name="InsightBox" hidden="1">
            <a:extLst>
              <a:ext uri="{FF2B5EF4-FFF2-40B4-BE49-F238E27FC236}">
                <a16:creationId xmlns:a16="http://schemas.microsoft.com/office/drawing/2014/main" id="{C0351180-8094-1BD2-8530-4EC849B878BA}"/>
              </a:ext>
            </a:extLst>
          </xdr:cNvPr>
          <xdr:cNvSpPr txBox="1"/>
        </xdr:nvSpPr>
        <xdr:spPr>
          <a:xfrm>
            <a:off x="8941219" y="9338900"/>
            <a:ext cx="8969375" cy="2460625"/>
          </a:xfrm>
          <a:prstGeom prst="rect">
            <a:avLst/>
          </a:prstGeom>
          <a:solidFill>
            <a:srgbClr val="CCDCE8"/>
          </a:solidFill>
          <a:ln w="9525" cmpd="sng">
            <a:noFill/>
          </a:ln>
          <a:effectLst>
            <a:outerShdw blurRad="50800" dist="38100" dir="2700000" algn="tl"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lumMod val="95000"/>
                    <a:lumOff val="5000"/>
                  </a:schemeClr>
                </a:solidFill>
              </a:rPr>
              <a:t>1.</a:t>
            </a:r>
            <a:r>
              <a:rPr lang="en-US" sz="1800" baseline="0">
                <a:solidFill>
                  <a:schemeClr val="tx1">
                    <a:lumMod val="95000"/>
                    <a:lumOff val="5000"/>
                  </a:schemeClr>
                </a:solidFill>
              </a:rPr>
              <a:t> </a:t>
            </a:r>
            <a:r>
              <a:rPr lang="en-US" sz="1800" baseline="0">
                <a:solidFill>
                  <a:schemeClr val="tx1">
                    <a:lumMod val="85000"/>
                    <a:lumOff val="15000"/>
                  </a:schemeClr>
                </a:solidFill>
              </a:rPr>
              <a:t>West region generates $41.2m, that is 52% of total revenue. North contributes only 14.5% despite being an active region.</a:t>
            </a:r>
          </a:p>
          <a:p>
            <a:pPr algn="l"/>
            <a:br>
              <a:rPr lang="en-US" sz="1800" baseline="0">
                <a:solidFill>
                  <a:schemeClr val="tx1">
                    <a:lumMod val="85000"/>
                    <a:lumOff val="15000"/>
                  </a:schemeClr>
                </a:solidFill>
              </a:rPr>
            </a:br>
            <a:r>
              <a:rPr lang="en-US" sz="1800" baseline="0">
                <a:solidFill>
                  <a:schemeClr val="tx1">
                    <a:lumMod val="95000"/>
                    <a:lumOff val="5000"/>
                  </a:schemeClr>
                </a:solidFill>
              </a:rPr>
              <a:t>2. </a:t>
            </a:r>
            <a:r>
              <a:rPr lang="en-US" sz="1800" baseline="0">
                <a:solidFill>
                  <a:schemeClr val="tx1">
                    <a:lumMod val="85000"/>
                    <a:lumOff val="15000"/>
                  </a:schemeClr>
                </a:solidFill>
              </a:rPr>
              <a:t>All three regions maintain 45% profit margin. North's low profit is a volume problem, not a pricing problem.</a:t>
            </a:r>
          </a:p>
          <a:p>
            <a:pPr algn="l"/>
            <a:br>
              <a:rPr lang="en-US" sz="1800" baseline="0">
                <a:solidFill>
                  <a:schemeClr val="tx1">
                    <a:lumMod val="85000"/>
                    <a:lumOff val="15000"/>
                  </a:schemeClr>
                </a:solidFill>
              </a:rPr>
            </a:br>
            <a:r>
              <a:rPr lang="en-US" sz="1800" baseline="0">
                <a:solidFill>
                  <a:schemeClr val="tx1">
                    <a:lumMod val="95000"/>
                    <a:lumOff val="5000"/>
                  </a:schemeClr>
                </a:solidFill>
              </a:rPr>
              <a:t>3. </a:t>
            </a:r>
            <a:r>
              <a:rPr lang="en-US" sz="1800" baseline="0">
                <a:solidFill>
                  <a:schemeClr val="tx1">
                    <a:lumMod val="85000"/>
                    <a:lumOff val="15000"/>
                  </a:schemeClr>
                </a:solidFill>
              </a:rPr>
              <a:t>Bag-Women leads all categories , $30.2m in sales, nearly x5 more than Bag-Kids. Shoe-Women follows closely at $20.6M.</a:t>
            </a:r>
            <a:endParaRPr lang="en-US" sz="1100">
              <a:solidFill>
                <a:schemeClr val="tx1">
                  <a:lumMod val="85000"/>
                  <a:lumOff val="15000"/>
                </a:schemeClr>
              </a:solidFill>
            </a:endParaRPr>
          </a:p>
        </xdr:txBody>
      </xdr:sp>
    </xdr:grpSp>
    <xdr:clientData/>
  </xdr:twoCellAnchor>
  <xdr:twoCellAnchor>
    <xdr:from>
      <xdr:col>1</xdr:col>
      <xdr:colOff>560295</xdr:colOff>
      <xdr:row>5</xdr:row>
      <xdr:rowOff>93382</xdr:rowOff>
    </xdr:from>
    <xdr:to>
      <xdr:col>3</xdr:col>
      <xdr:colOff>597647</xdr:colOff>
      <xdr:row>12</xdr:row>
      <xdr:rowOff>74707</xdr:rowOff>
    </xdr:to>
    <xdr:grpSp>
      <xdr:nvGrpSpPr>
        <xdr:cNvPr id="48" name="Group 47">
          <a:extLst>
            <a:ext uri="{FF2B5EF4-FFF2-40B4-BE49-F238E27FC236}">
              <a16:creationId xmlns:a16="http://schemas.microsoft.com/office/drawing/2014/main" id="{2C44873F-1F2B-43C0-995D-5495A1984358}"/>
            </a:ext>
          </a:extLst>
        </xdr:cNvPr>
        <xdr:cNvGrpSpPr/>
      </xdr:nvGrpSpPr>
      <xdr:grpSpPr>
        <a:xfrm>
          <a:off x="1171776" y="1034123"/>
          <a:ext cx="1260315" cy="1310121"/>
          <a:chOff x="25785239" y="3035333"/>
          <a:chExt cx="920379" cy="920585"/>
        </a:xfrm>
      </xdr:grpSpPr>
      <xdr:sp macro="[0]!ResetFilters" textlink="">
        <xdr:nvSpPr>
          <xdr:cNvPr id="49" name="Oval 48">
            <a:extLst>
              <a:ext uri="{FF2B5EF4-FFF2-40B4-BE49-F238E27FC236}">
                <a16:creationId xmlns:a16="http://schemas.microsoft.com/office/drawing/2014/main" id="{4644E0CE-98C3-2A24-0B5A-AAA09AFF9F3C}"/>
              </a:ext>
            </a:extLst>
          </xdr:cNvPr>
          <xdr:cNvSpPr/>
        </xdr:nvSpPr>
        <xdr:spPr>
          <a:xfrm>
            <a:off x="25998921" y="3231696"/>
            <a:ext cx="522638" cy="507175"/>
          </a:xfrm>
          <a:prstGeom prst="ellipse">
            <a:avLst/>
          </a:prstGeom>
          <a:solidFill>
            <a:srgbClr val="A7CCD5"/>
          </a:solid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pic macro="[0]!ResetFilters">
        <xdr:nvPicPr>
          <xdr:cNvPr id="50" name="Graphic 49" descr="Arrow circle with solid fill">
            <a:extLst>
              <a:ext uri="{FF2B5EF4-FFF2-40B4-BE49-F238E27FC236}">
                <a16:creationId xmlns:a16="http://schemas.microsoft.com/office/drawing/2014/main" id="{A4FB0241-0A50-B3EE-5397-88BD1C226F5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785239" y="3035333"/>
            <a:ext cx="920379" cy="920585"/>
          </a:xfrm>
          <a:prstGeom prst="rect">
            <a:avLst/>
          </a:prstGeom>
        </xdr:spPr>
      </xdr:pic>
    </xdr:grpSp>
    <xdr:clientData/>
  </xdr:twoCellAnchor>
  <xdr:twoCellAnchor>
    <xdr:from>
      <xdr:col>1</xdr:col>
      <xdr:colOff>466910</xdr:colOff>
      <xdr:row>36</xdr:row>
      <xdr:rowOff>149412</xdr:rowOff>
    </xdr:from>
    <xdr:to>
      <xdr:col>3</xdr:col>
      <xdr:colOff>597646</xdr:colOff>
      <xdr:row>43</xdr:row>
      <xdr:rowOff>18676</xdr:rowOff>
    </xdr:to>
    <xdr:grpSp>
      <xdr:nvGrpSpPr>
        <xdr:cNvPr id="51" name="Group 50">
          <a:extLst>
            <a:ext uri="{FF2B5EF4-FFF2-40B4-BE49-F238E27FC236}">
              <a16:creationId xmlns:a16="http://schemas.microsoft.com/office/drawing/2014/main" id="{9B47C38D-3610-42FB-BC0F-2B2E5DDF8BFE}"/>
            </a:ext>
          </a:extLst>
        </xdr:cNvPr>
        <xdr:cNvGrpSpPr/>
      </xdr:nvGrpSpPr>
      <xdr:grpSpPr>
        <a:xfrm>
          <a:off x="1078391" y="6934505"/>
          <a:ext cx="1353699" cy="1186301"/>
          <a:chOff x="6928970" y="11840883"/>
          <a:chExt cx="1363383" cy="1176617"/>
        </a:xfrm>
      </xdr:grpSpPr>
      <xdr:sp macro="[0]!ToggleInsights" textlink="">
        <xdr:nvSpPr>
          <xdr:cNvPr id="52" name="Rectangle: Rounded Corners 51">
            <a:extLst>
              <a:ext uri="{FF2B5EF4-FFF2-40B4-BE49-F238E27FC236}">
                <a16:creationId xmlns:a16="http://schemas.microsoft.com/office/drawing/2014/main" id="{5B8A7158-8A0D-FDE6-7E11-C504826BD0B2}"/>
              </a:ext>
            </a:extLst>
          </xdr:cNvPr>
          <xdr:cNvSpPr/>
        </xdr:nvSpPr>
        <xdr:spPr>
          <a:xfrm>
            <a:off x="6928970" y="11840883"/>
            <a:ext cx="1363383" cy="1176617"/>
          </a:xfrm>
          <a:prstGeom prst="roundRect">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oggleInsights">
        <xdr:nvPicPr>
          <xdr:cNvPr id="53" name="Graphic 52" descr="Lightbulb with solid fill">
            <a:extLst>
              <a:ext uri="{FF2B5EF4-FFF2-40B4-BE49-F238E27FC236}">
                <a16:creationId xmlns:a16="http://schemas.microsoft.com/office/drawing/2014/main" id="{B10DF8B6-75E9-DFC1-CCC4-8B3B1D2C03F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53088" y="11971618"/>
            <a:ext cx="914400"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23811</xdr:colOff>
      <xdr:row>3</xdr:row>
      <xdr:rowOff>23812</xdr:rowOff>
    </xdr:from>
    <xdr:to>
      <xdr:col>36</xdr:col>
      <xdr:colOff>23812</xdr:colOff>
      <xdr:row>44</xdr:row>
      <xdr:rowOff>178594</xdr:rowOff>
    </xdr:to>
    <xdr:sp macro="" textlink="">
      <xdr:nvSpPr>
        <xdr:cNvPr id="2" name="Rectangle: Rounded Corners 1">
          <a:extLst>
            <a:ext uri="{FF2B5EF4-FFF2-40B4-BE49-F238E27FC236}">
              <a16:creationId xmlns:a16="http://schemas.microsoft.com/office/drawing/2014/main" id="{86A85ABB-5B42-4981-833D-5D9BBA588483}"/>
            </a:ext>
          </a:extLst>
        </xdr:cNvPr>
        <xdr:cNvSpPr/>
      </xdr:nvSpPr>
      <xdr:spPr>
        <a:xfrm>
          <a:off x="628777" y="603035"/>
          <a:ext cx="21173819" cy="8083701"/>
        </a:xfrm>
        <a:prstGeom prst="roundRect">
          <a:avLst>
            <a:gd name="adj" fmla="val 4831"/>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476250</xdr:colOff>
      <xdr:row>4</xdr:row>
      <xdr:rowOff>0</xdr:rowOff>
    </xdr:from>
    <xdr:to>
      <xdr:col>35</xdr:col>
      <xdr:colOff>416718</xdr:colOff>
      <xdr:row>44</xdr:row>
      <xdr:rowOff>0</xdr:rowOff>
    </xdr:to>
    <xdr:sp macro="" textlink="">
      <xdr:nvSpPr>
        <xdr:cNvPr id="3" name="Rectangle: Rounded Corners 2">
          <a:extLst>
            <a:ext uri="{FF2B5EF4-FFF2-40B4-BE49-F238E27FC236}">
              <a16:creationId xmlns:a16="http://schemas.microsoft.com/office/drawing/2014/main" id="{1E289B3F-99CF-4CAF-8D08-B8E06EEBB4DF}"/>
            </a:ext>
          </a:extLst>
        </xdr:cNvPr>
        <xdr:cNvSpPr/>
      </xdr:nvSpPr>
      <xdr:spPr>
        <a:xfrm>
          <a:off x="2914650" y="762000"/>
          <a:ext cx="18838068" cy="7629525"/>
        </a:xfrm>
        <a:prstGeom prst="roundRect">
          <a:avLst>
            <a:gd name="adj" fmla="val 4831"/>
          </a:avLst>
        </a:prstGeom>
        <a:solidFill>
          <a:srgbClr val="E1EA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71437</xdr:colOff>
      <xdr:row>9</xdr:row>
      <xdr:rowOff>166687</xdr:rowOff>
    </xdr:from>
    <xdr:to>
      <xdr:col>13</xdr:col>
      <xdr:colOff>433687</xdr:colOff>
      <xdr:row>17</xdr:row>
      <xdr:rowOff>82687</xdr:rowOff>
    </xdr:to>
    <xdr:sp macro="" textlink="">
      <xdr:nvSpPr>
        <xdr:cNvPr id="4" name="Rectangle: Rounded Corners 3">
          <a:extLst>
            <a:ext uri="{FF2B5EF4-FFF2-40B4-BE49-F238E27FC236}">
              <a16:creationId xmlns:a16="http://schemas.microsoft.com/office/drawing/2014/main" id="{59DBBDE0-5A80-4CDF-8482-F49533EBD03E}"/>
            </a:ext>
          </a:extLst>
        </xdr:cNvPr>
        <xdr:cNvSpPr/>
      </xdr:nvSpPr>
      <xdr:spPr>
        <a:xfrm>
          <a:off x="3119437" y="1890712"/>
          <a:ext cx="5239050" cy="1440000"/>
        </a:xfrm>
        <a:prstGeom prst="roundRect">
          <a:avLst>
            <a:gd name="adj" fmla="val 10052"/>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59532</xdr:colOff>
      <xdr:row>18</xdr:row>
      <xdr:rowOff>35718</xdr:rowOff>
    </xdr:from>
    <xdr:to>
      <xdr:col>13</xdr:col>
      <xdr:colOff>300102</xdr:colOff>
      <xdr:row>43</xdr:row>
      <xdr:rowOff>38614</xdr:rowOff>
    </xdr:to>
    <xdr:sp macro="" textlink="">
      <xdr:nvSpPr>
        <xdr:cNvPr id="5" name="Rectangle: Rounded Corners 4">
          <a:extLst>
            <a:ext uri="{FF2B5EF4-FFF2-40B4-BE49-F238E27FC236}">
              <a16:creationId xmlns:a16="http://schemas.microsoft.com/office/drawing/2014/main" id="{D6C960BE-3130-4D62-9413-F500BD7258FE}"/>
            </a:ext>
          </a:extLst>
        </xdr:cNvPr>
        <xdr:cNvSpPr/>
      </xdr:nvSpPr>
      <xdr:spPr>
        <a:xfrm>
          <a:off x="3084363" y="3523927"/>
          <a:ext cx="5080300" cy="4829755"/>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509575</xdr:colOff>
      <xdr:row>9</xdr:row>
      <xdr:rowOff>154460</xdr:rowOff>
    </xdr:from>
    <xdr:to>
      <xdr:col>25</xdr:col>
      <xdr:colOff>484058</xdr:colOff>
      <xdr:row>25</xdr:row>
      <xdr:rowOff>104385</xdr:rowOff>
    </xdr:to>
    <xdr:sp macro="" textlink="">
      <xdr:nvSpPr>
        <xdr:cNvPr id="6" name="Rectangle: Rounded Corners 5">
          <a:extLst>
            <a:ext uri="{FF2B5EF4-FFF2-40B4-BE49-F238E27FC236}">
              <a16:creationId xmlns:a16="http://schemas.microsoft.com/office/drawing/2014/main" id="{A0E784E8-7B1F-4DAC-870C-A1294950930D}"/>
            </a:ext>
          </a:extLst>
        </xdr:cNvPr>
        <xdr:cNvSpPr/>
      </xdr:nvSpPr>
      <xdr:spPr>
        <a:xfrm>
          <a:off x="8374136" y="1905001"/>
          <a:ext cx="7234077" cy="3039114"/>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443629</xdr:colOff>
      <xdr:row>26</xdr:row>
      <xdr:rowOff>26096</xdr:rowOff>
    </xdr:from>
    <xdr:to>
      <xdr:col>24</xdr:col>
      <xdr:colOff>0</xdr:colOff>
      <xdr:row>43</xdr:row>
      <xdr:rowOff>51486</xdr:rowOff>
    </xdr:to>
    <xdr:sp macro="" textlink="">
      <xdr:nvSpPr>
        <xdr:cNvPr id="7" name="Rectangle: Rounded Corners 6">
          <a:extLst>
            <a:ext uri="{FF2B5EF4-FFF2-40B4-BE49-F238E27FC236}">
              <a16:creationId xmlns:a16="http://schemas.microsoft.com/office/drawing/2014/main" id="{246CF68A-3546-4DB4-8BCF-8968FC225ABF}"/>
            </a:ext>
          </a:extLst>
        </xdr:cNvPr>
        <xdr:cNvSpPr/>
      </xdr:nvSpPr>
      <xdr:spPr>
        <a:xfrm>
          <a:off x="8308190" y="5058900"/>
          <a:ext cx="6210999" cy="3307654"/>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124917</xdr:colOff>
      <xdr:row>26</xdr:row>
      <xdr:rowOff>25743</xdr:rowOff>
    </xdr:from>
    <xdr:to>
      <xdr:col>35</xdr:col>
      <xdr:colOff>272141</xdr:colOff>
      <xdr:row>43</xdr:row>
      <xdr:rowOff>38614</xdr:rowOff>
    </xdr:to>
    <xdr:sp macro="" textlink="">
      <xdr:nvSpPr>
        <xdr:cNvPr id="8" name="Rectangle: Rounded Corners 7">
          <a:extLst>
            <a:ext uri="{FF2B5EF4-FFF2-40B4-BE49-F238E27FC236}">
              <a16:creationId xmlns:a16="http://schemas.microsoft.com/office/drawing/2014/main" id="{D2E0DDE7-654A-4158-9F1E-D9CAFBF135B2}"/>
            </a:ext>
          </a:extLst>
        </xdr:cNvPr>
        <xdr:cNvSpPr/>
      </xdr:nvSpPr>
      <xdr:spPr>
        <a:xfrm>
          <a:off x="14644106" y="5058547"/>
          <a:ext cx="6801853" cy="3295135"/>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119062</xdr:colOff>
      <xdr:row>10</xdr:row>
      <xdr:rowOff>166687</xdr:rowOff>
    </xdr:from>
    <xdr:to>
      <xdr:col>7</xdr:col>
      <xdr:colOff>92625</xdr:colOff>
      <xdr:row>16</xdr:row>
      <xdr:rowOff>159542</xdr:rowOff>
    </xdr:to>
    <xdr:sp macro="" textlink="">
      <xdr:nvSpPr>
        <xdr:cNvPr id="9" name="Rectangle: Rounded Corners 8">
          <a:extLst>
            <a:ext uri="{FF2B5EF4-FFF2-40B4-BE49-F238E27FC236}">
              <a16:creationId xmlns:a16="http://schemas.microsoft.com/office/drawing/2014/main" id="{07FE1BF2-9288-4742-B64B-6F2AF0084AC9}"/>
            </a:ext>
          </a:extLst>
        </xdr:cNvPr>
        <xdr:cNvSpPr/>
      </xdr:nvSpPr>
      <xdr:spPr>
        <a:xfrm>
          <a:off x="3167062" y="2081212"/>
          <a:ext cx="1192763"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238125</xdr:colOff>
      <xdr:row>10</xdr:row>
      <xdr:rowOff>152398</xdr:rowOff>
    </xdr:from>
    <xdr:to>
      <xdr:col>9</xdr:col>
      <xdr:colOff>211687</xdr:colOff>
      <xdr:row>16</xdr:row>
      <xdr:rowOff>145253</xdr:rowOff>
    </xdr:to>
    <xdr:sp macro="" textlink="">
      <xdr:nvSpPr>
        <xdr:cNvPr id="10" name="Rectangle: Rounded Corners 9">
          <a:extLst>
            <a:ext uri="{FF2B5EF4-FFF2-40B4-BE49-F238E27FC236}">
              <a16:creationId xmlns:a16="http://schemas.microsoft.com/office/drawing/2014/main" id="{9F394012-D391-470A-BBF0-2011EF690CF4}"/>
            </a:ext>
          </a:extLst>
        </xdr:cNvPr>
        <xdr:cNvSpPr/>
      </xdr:nvSpPr>
      <xdr:spPr>
        <a:xfrm>
          <a:off x="4505325" y="2066923"/>
          <a:ext cx="1192762"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285750</xdr:colOff>
      <xdr:row>10</xdr:row>
      <xdr:rowOff>126207</xdr:rowOff>
    </xdr:from>
    <xdr:to>
      <xdr:col>11</xdr:col>
      <xdr:colOff>259313</xdr:colOff>
      <xdr:row>16</xdr:row>
      <xdr:rowOff>119062</xdr:rowOff>
    </xdr:to>
    <xdr:sp macro="" textlink="">
      <xdr:nvSpPr>
        <xdr:cNvPr id="11" name="Rectangle: Rounded Corners 10">
          <a:extLst>
            <a:ext uri="{FF2B5EF4-FFF2-40B4-BE49-F238E27FC236}">
              <a16:creationId xmlns:a16="http://schemas.microsoft.com/office/drawing/2014/main" id="{A0014D20-9896-4BEC-88C3-00640F4B0D91}"/>
            </a:ext>
          </a:extLst>
        </xdr:cNvPr>
        <xdr:cNvSpPr/>
      </xdr:nvSpPr>
      <xdr:spPr>
        <a:xfrm>
          <a:off x="5772150" y="2040732"/>
          <a:ext cx="1192763"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6</xdr:row>
      <xdr:rowOff>31710</xdr:rowOff>
    </xdr:from>
    <xdr:to>
      <xdr:col>11</xdr:col>
      <xdr:colOff>130970</xdr:colOff>
      <xdr:row>8</xdr:row>
      <xdr:rowOff>96461</xdr:rowOff>
    </xdr:to>
    <xdr:sp macro="" textlink="">
      <xdr:nvSpPr>
        <xdr:cNvPr id="12" name="TextBox 11">
          <a:extLst>
            <a:ext uri="{FF2B5EF4-FFF2-40B4-BE49-F238E27FC236}">
              <a16:creationId xmlns:a16="http://schemas.microsoft.com/office/drawing/2014/main" id="{7CA82CE8-DCD1-459A-A0C8-2FA6EEB025E5}"/>
            </a:ext>
          </a:extLst>
        </xdr:cNvPr>
        <xdr:cNvSpPr txBox="1"/>
      </xdr:nvSpPr>
      <xdr:spPr>
        <a:xfrm>
          <a:off x="3048001" y="1174710"/>
          <a:ext cx="3788569" cy="45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rgbClr val="385F7C"/>
              </a:solidFill>
              <a:latin typeface="+mn-lt"/>
              <a:cs typeface="Arial" panose="020B0604020202020204" pitchFamily="34" charset="0"/>
            </a:rPr>
            <a:t>RETAIL</a:t>
          </a:r>
          <a:r>
            <a:rPr lang="en-US" sz="2800" baseline="0">
              <a:solidFill>
                <a:srgbClr val="385F7C"/>
              </a:solidFill>
              <a:latin typeface="+mn-lt"/>
              <a:cs typeface="Arial" panose="020B0604020202020204" pitchFamily="34" charset="0"/>
            </a:rPr>
            <a:t> SALES OVERVIEW</a:t>
          </a:r>
          <a:endParaRPr lang="en-US" sz="2800">
            <a:solidFill>
              <a:srgbClr val="385F7C"/>
            </a:solidFill>
            <a:latin typeface="+mn-lt"/>
            <a:cs typeface="Arial" panose="020B0604020202020204" pitchFamily="34" charset="0"/>
          </a:endParaRPr>
        </a:p>
      </xdr:txBody>
    </xdr:sp>
    <xdr:clientData/>
  </xdr:twoCellAnchor>
  <xdr:twoCellAnchor>
    <xdr:from>
      <xdr:col>5</xdr:col>
      <xdr:colOff>1</xdr:colOff>
      <xdr:row>8</xdr:row>
      <xdr:rowOff>72556</xdr:rowOff>
    </xdr:from>
    <xdr:to>
      <xdr:col>12</xdr:col>
      <xdr:colOff>309563</xdr:colOff>
      <xdr:row>9</xdr:row>
      <xdr:rowOff>84461</xdr:rowOff>
    </xdr:to>
    <xdr:sp macro="" textlink="">
      <xdr:nvSpPr>
        <xdr:cNvPr id="13" name="TextBox 12">
          <a:extLst>
            <a:ext uri="{FF2B5EF4-FFF2-40B4-BE49-F238E27FC236}">
              <a16:creationId xmlns:a16="http://schemas.microsoft.com/office/drawing/2014/main" id="{D5C2FB8F-0946-424F-8FC9-9C9B0D0F0980}"/>
            </a:ext>
          </a:extLst>
        </xdr:cNvPr>
        <xdr:cNvSpPr txBox="1"/>
      </xdr:nvSpPr>
      <xdr:spPr>
        <a:xfrm>
          <a:off x="3048001" y="1606081"/>
          <a:ext cx="4576762" cy="20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50000"/>
                  <a:lumOff val="50000"/>
                </a:schemeClr>
              </a:solidFill>
            </a:rPr>
            <a:t>A summary of sales performance, revenue and profit across the</a:t>
          </a:r>
          <a:r>
            <a:rPr lang="en-US" sz="1200" baseline="0">
              <a:solidFill>
                <a:schemeClr val="tx1">
                  <a:lumMod val="50000"/>
                  <a:lumOff val="50000"/>
                </a:schemeClr>
              </a:solidFill>
            </a:rPr>
            <a:t> U.S.</a:t>
          </a:r>
          <a:endParaRPr lang="en-US" sz="1200">
            <a:solidFill>
              <a:schemeClr val="tx1">
                <a:lumMod val="50000"/>
                <a:lumOff val="50000"/>
              </a:schemeClr>
            </a:solidFill>
          </a:endParaRPr>
        </a:p>
      </xdr:txBody>
    </xdr:sp>
    <xdr:clientData/>
  </xdr:twoCellAnchor>
  <xdr:twoCellAnchor>
    <xdr:from>
      <xdr:col>5</xdr:col>
      <xdr:colOff>101938</xdr:colOff>
      <xdr:row>10</xdr:row>
      <xdr:rowOff>144101</xdr:rowOff>
    </xdr:from>
    <xdr:to>
      <xdr:col>7</xdr:col>
      <xdr:colOff>117432</xdr:colOff>
      <xdr:row>12</xdr:row>
      <xdr:rowOff>68097</xdr:rowOff>
    </xdr:to>
    <xdr:sp macro="" textlink="">
      <xdr:nvSpPr>
        <xdr:cNvPr id="14" name="TextBox 13">
          <a:extLst>
            <a:ext uri="{FF2B5EF4-FFF2-40B4-BE49-F238E27FC236}">
              <a16:creationId xmlns:a16="http://schemas.microsoft.com/office/drawing/2014/main" id="{2F79899D-3455-466E-A26B-F1B0325778DF}"/>
            </a:ext>
          </a:extLst>
        </xdr:cNvPr>
        <xdr:cNvSpPr txBox="1"/>
      </xdr:nvSpPr>
      <xdr:spPr>
        <a:xfrm>
          <a:off x="3149938"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Revenue</a:t>
          </a:r>
          <a:endParaRPr lang="en-US" sz="1200" b="1">
            <a:solidFill>
              <a:schemeClr val="tx1">
                <a:lumMod val="50000"/>
                <a:lumOff val="50000"/>
              </a:schemeClr>
            </a:solidFill>
          </a:endParaRPr>
        </a:p>
      </xdr:txBody>
    </xdr:sp>
    <xdr:clientData/>
  </xdr:twoCellAnchor>
  <xdr:twoCellAnchor>
    <xdr:from>
      <xdr:col>25</xdr:col>
      <xdr:colOff>577746</xdr:colOff>
      <xdr:row>9</xdr:row>
      <xdr:rowOff>167332</xdr:rowOff>
    </xdr:from>
    <xdr:to>
      <xdr:col>35</xdr:col>
      <xdr:colOff>258536</xdr:colOff>
      <xdr:row>25</xdr:row>
      <xdr:rowOff>134393</xdr:rowOff>
    </xdr:to>
    <xdr:sp macro="" textlink="">
      <xdr:nvSpPr>
        <xdr:cNvPr id="15" name="Rectangle: Rounded Corners 14">
          <a:extLst>
            <a:ext uri="{FF2B5EF4-FFF2-40B4-BE49-F238E27FC236}">
              <a16:creationId xmlns:a16="http://schemas.microsoft.com/office/drawing/2014/main" id="{5ED1A79F-FFD9-45EE-B9BD-60F7F1855D1B}"/>
            </a:ext>
          </a:extLst>
        </xdr:cNvPr>
        <xdr:cNvSpPr/>
      </xdr:nvSpPr>
      <xdr:spPr>
        <a:xfrm>
          <a:off x="15701901" y="1917873"/>
          <a:ext cx="5730453" cy="3056250"/>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369085</xdr:colOff>
      <xdr:row>10</xdr:row>
      <xdr:rowOff>138113</xdr:rowOff>
    </xdr:from>
    <xdr:to>
      <xdr:col>13</xdr:col>
      <xdr:colOff>342647</xdr:colOff>
      <xdr:row>16</xdr:row>
      <xdr:rowOff>130968</xdr:rowOff>
    </xdr:to>
    <xdr:sp macro="" textlink="">
      <xdr:nvSpPr>
        <xdr:cNvPr id="16" name="Rectangle: Rounded Corners 15">
          <a:extLst>
            <a:ext uri="{FF2B5EF4-FFF2-40B4-BE49-F238E27FC236}">
              <a16:creationId xmlns:a16="http://schemas.microsoft.com/office/drawing/2014/main" id="{619D9727-894D-4C38-BD8E-8079846B5637}"/>
            </a:ext>
          </a:extLst>
        </xdr:cNvPr>
        <xdr:cNvSpPr/>
      </xdr:nvSpPr>
      <xdr:spPr>
        <a:xfrm>
          <a:off x="7074685" y="2052638"/>
          <a:ext cx="1192762"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228242</xdr:colOff>
      <xdr:row>10</xdr:row>
      <xdr:rowOff>144101</xdr:rowOff>
    </xdr:from>
    <xdr:to>
      <xdr:col>9</xdr:col>
      <xdr:colOff>243736</xdr:colOff>
      <xdr:row>12</xdr:row>
      <xdr:rowOff>68097</xdr:rowOff>
    </xdr:to>
    <xdr:sp macro="" textlink="">
      <xdr:nvSpPr>
        <xdr:cNvPr id="17" name="TextBox 16">
          <a:extLst>
            <a:ext uri="{FF2B5EF4-FFF2-40B4-BE49-F238E27FC236}">
              <a16:creationId xmlns:a16="http://schemas.microsoft.com/office/drawing/2014/main" id="{D96DEF30-78C8-4706-94F4-ECA4E69DB6B0}"/>
            </a:ext>
          </a:extLst>
        </xdr:cNvPr>
        <xdr:cNvSpPr txBox="1"/>
      </xdr:nvSpPr>
      <xdr:spPr>
        <a:xfrm>
          <a:off x="4495442"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Profit</a:t>
          </a:r>
          <a:endParaRPr lang="en-US" sz="1200" b="1">
            <a:solidFill>
              <a:schemeClr val="tx1">
                <a:lumMod val="50000"/>
                <a:lumOff val="50000"/>
              </a:schemeClr>
            </a:solidFill>
          </a:endParaRPr>
        </a:p>
      </xdr:txBody>
    </xdr:sp>
    <xdr:clientData/>
  </xdr:twoCellAnchor>
  <xdr:twoCellAnchor>
    <xdr:from>
      <xdr:col>9</xdr:col>
      <xdr:colOff>263209</xdr:colOff>
      <xdr:row>10</xdr:row>
      <xdr:rowOff>144101</xdr:rowOff>
    </xdr:from>
    <xdr:to>
      <xdr:col>11</xdr:col>
      <xdr:colOff>278703</xdr:colOff>
      <xdr:row>12</xdr:row>
      <xdr:rowOff>68097</xdr:rowOff>
    </xdr:to>
    <xdr:sp macro="" textlink="">
      <xdr:nvSpPr>
        <xdr:cNvPr id="18" name="TextBox 17">
          <a:extLst>
            <a:ext uri="{FF2B5EF4-FFF2-40B4-BE49-F238E27FC236}">
              <a16:creationId xmlns:a16="http://schemas.microsoft.com/office/drawing/2014/main" id="{8D8F0AA3-BC15-4A66-AA45-1281415997E6}"/>
            </a:ext>
          </a:extLst>
        </xdr:cNvPr>
        <xdr:cNvSpPr txBox="1"/>
      </xdr:nvSpPr>
      <xdr:spPr>
        <a:xfrm>
          <a:off x="5749609"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Orders</a:t>
          </a:r>
          <a:endParaRPr lang="en-US" sz="1200" b="1">
            <a:solidFill>
              <a:schemeClr val="tx1">
                <a:lumMod val="50000"/>
                <a:lumOff val="50000"/>
              </a:schemeClr>
            </a:solidFill>
          </a:endParaRPr>
        </a:p>
      </xdr:txBody>
    </xdr:sp>
    <xdr:clientData/>
  </xdr:twoCellAnchor>
  <xdr:twoCellAnchor>
    <xdr:from>
      <xdr:col>11</xdr:col>
      <xdr:colOff>363418</xdr:colOff>
      <xdr:row>10</xdr:row>
      <xdr:rowOff>144101</xdr:rowOff>
    </xdr:from>
    <xdr:to>
      <xdr:col>13</xdr:col>
      <xdr:colOff>378912</xdr:colOff>
      <xdr:row>12</xdr:row>
      <xdr:rowOff>68097</xdr:rowOff>
    </xdr:to>
    <xdr:sp macro="" textlink="">
      <xdr:nvSpPr>
        <xdr:cNvPr id="19" name="TextBox 18">
          <a:extLst>
            <a:ext uri="{FF2B5EF4-FFF2-40B4-BE49-F238E27FC236}">
              <a16:creationId xmlns:a16="http://schemas.microsoft.com/office/drawing/2014/main" id="{734784BD-3EF3-4BB4-BF05-FEC7F0AF149A}"/>
            </a:ext>
          </a:extLst>
        </xdr:cNvPr>
        <xdr:cNvSpPr txBox="1"/>
      </xdr:nvSpPr>
      <xdr:spPr>
        <a:xfrm>
          <a:off x="7069018"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Avg</a:t>
          </a:r>
          <a:r>
            <a:rPr lang="en-US" sz="1200" b="1" baseline="0">
              <a:solidFill>
                <a:schemeClr val="tx1">
                  <a:lumMod val="50000"/>
                  <a:lumOff val="50000"/>
                </a:schemeClr>
              </a:solidFill>
            </a:rPr>
            <a:t> Order Value</a:t>
          </a:r>
          <a:endParaRPr lang="en-US" sz="1200" b="1">
            <a:solidFill>
              <a:schemeClr val="tx1">
                <a:lumMod val="50000"/>
                <a:lumOff val="50000"/>
              </a:schemeClr>
            </a:solidFill>
          </a:endParaRPr>
        </a:p>
      </xdr:txBody>
    </xdr:sp>
    <xdr:clientData/>
  </xdr:twoCellAnchor>
  <xdr:twoCellAnchor>
    <xdr:from>
      <xdr:col>4</xdr:col>
      <xdr:colOff>531084</xdr:colOff>
      <xdr:row>18</xdr:row>
      <xdr:rowOff>71283</xdr:rowOff>
    </xdr:from>
    <xdr:to>
      <xdr:col>7</xdr:col>
      <xdr:colOff>609368</xdr:colOff>
      <xdr:row>19</xdr:row>
      <xdr:rowOff>180091</xdr:rowOff>
    </xdr:to>
    <xdr:sp macro="" textlink="">
      <xdr:nvSpPr>
        <xdr:cNvPr id="20" name="TextBox 19">
          <a:extLst>
            <a:ext uri="{FF2B5EF4-FFF2-40B4-BE49-F238E27FC236}">
              <a16:creationId xmlns:a16="http://schemas.microsoft.com/office/drawing/2014/main" id="{6BFC8855-64FC-4A17-B26D-906932288052}"/>
            </a:ext>
          </a:extLst>
        </xdr:cNvPr>
        <xdr:cNvSpPr txBox="1"/>
      </xdr:nvSpPr>
      <xdr:spPr>
        <a:xfrm>
          <a:off x="2969484" y="3509808"/>
          <a:ext cx="1907084" cy="299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 Profit By Region</a:t>
          </a:r>
          <a:endParaRPr lang="en-US" sz="1400">
            <a:solidFill>
              <a:srgbClr val="385F7C"/>
            </a:solidFill>
          </a:endParaRPr>
        </a:p>
      </xdr:txBody>
    </xdr:sp>
    <xdr:clientData/>
  </xdr:twoCellAnchor>
  <xdr:twoCellAnchor>
    <xdr:from>
      <xdr:col>13</xdr:col>
      <xdr:colOff>344814</xdr:colOff>
      <xdr:row>10</xdr:row>
      <xdr:rowOff>61586</xdr:rowOff>
    </xdr:from>
    <xdr:to>
      <xdr:col>16</xdr:col>
      <xdr:colOff>421150</xdr:colOff>
      <xdr:row>11</xdr:row>
      <xdr:rowOff>176082</xdr:rowOff>
    </xdr:to>
    <xdr:sp macro="" textlink="">
      <xdr:nvSpPr>
        <xdr:cNvPr id="21" name="TextBox 20">
          <a:extLst>
            <a:ext uri="{FF2B5EF4-FFF2-40B4-BE49-F238E27FC236}">
              <a16:creationId xmlns:a16="http://schemas.microsoft.com/office/drawing/2014/main" id="{34DBECAA-A1CF-4CD5-86E7-BFE5C4FC8FB3}"/>
            </a:ext>
          </a:extLst>
        </xdr:cNvPr>
        <xdr:cNvSpPr txBox="1"/>
      </xdr:nvSpPr>
      <xdr:spPr>
        <a:xfrm>
          <a:off x="8269614" y="1976111"/>
          <a:ext cx="1905136"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Sales By Category</a:t>
          </a:r>
        </a:p>
      </xdr:txBody>
    </xdr:sp>
    <xdr:clientData/>
  </xdr:twoCellAnchor>
  <xdr:twoCellAnchor>
    <xdr:from>
      <xdr:col>24</xdr:col>
      <xdr:colOff>133472</xdr:colOff>
      <xdr:row>26</xdr:row>
      <xdr:rowOff>125290</xdr:rowOff>
    </xdr:from>
    <xdr:to>
      <xdr:col>27</xdr:col>
      <xdr:colOff>440486</xdr:colOff>
      <xdr:row>27</xdr:row>
      <xdr:rowOff>146964</xdr:rowOff>
    </xdr:to>
    <xdr:sp macro="" textlink="">
      <xdr:nvSpPr>
        <xdr:cNvPr id="22" name="TextBox 21">
          <a:extLst>
            <a:ext uri="{FF2B5EF4-FFF2-40B4-BE49-F238E27FC236}">
              <a16:creationId xmlns:a16="http://schemas.microsoft.com/office/drawing/2014/main" id="{9855E13A-5333-42E2-81A7-9F18E439A662}"/>
            </a:ext>
          </a:extLst>
        </xdr:cNvPr>
        <xdr:cNvSpPr txBox="1"/>
      </xdr:nvSpPr>
      <xdr:spPr>
        <a:xfrm>
          <a:off x="14652661" y="5158094"/>
          <a:ext cx="2121913" cy="214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Monthly Revenue Trend</a:t>
          </a:r>
          <a:endParaRPr lang="en-US" sz="1400">
            <a:solidFill>
              <a:srgbClr val="385F7C"/>
            </a:solidFill>
          </a:endParaRPr>
        </a:p>
      </xdr:txBody>
    </xdr:sp>
    <xdr:clientData/>
  </xdr:twoCellAnchor>
  <xdr:twoCellAnchor>
    <xdr:from>
      <xdr:col>26</xdr:col>
      <xdr:colOff>31187</xdr:colOff>
      <xdr:row>10</xdr:row>
      <xdr:rowOff>61586</xdr:rowOff>
    </xdr:from>
    <xdr:to>
      <xdr:col>29</xdr:col>
      <xdr:colOff>109471</xdr:colOff>
      <xdr:row>11</xdr:row>
      <xdr:rowOff>181301</xdr:rowOff>
    </xdr:to>
    <xdr:sp macro="" textlink="">
      <xdr:nvSpPr>
        <xdr:cNvPr id="23" name="TextBox 22">
          <a:extLst>
            <a:ext uri="{FF2B5EF4-FFF2-40B4-BE49-F238E27FC236}">
              <a16:creationId xmlns:a16="http://schemas.microsoft.com/office/drawing/2014/main" id="{4700F03B-2911-4E68-AF88-221A0D1759B6}"/>
            </a:ext>
          </a:extLst>
        </xdr:cNvPr>
        <xdr:cNvSpPr txBox="1"/>
      </xdr:nvSpPr>
      <xdr:spPr>
        <a:xfrm>
          <a:off x="15880787" y="1976111"/>
          <a:ext cx="1907084" cy="3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Revenue By Region</a:t>
          </a:r>
          <a:endParaRPr lang="en-US" sz="1400">
            <a:solidFill>
              <a:srgbClr val="385F7C"/>
            </a:solidFill>
          </a:endParaRPr>
        </a:p>
      </xdr:txBody>
    </xdr:sp>
    <xdr:clientData/>
  </xdr:twoCellAnchor>
  <xdr:twoCellAnchor>
    <xdr:from>
      <xdr:col>5</xdr:col>
      <xdr:colOff>241680</xdr:colOff>
      <xdr:row>11</xdr:row>
      <xdr:rowOff>142168</xdr:rowOff>
    </xdr:from>
    <xdr:to>
      <xdr:col>6</xdr:col>
      <xdr:colOff>582874</xdr:colOff>
      <xdr:row>15</xdr:row>
      <xdr:rowOff>170600</xdr:rowOff>
    </xdr:to>
    <xdr:sp macro="" textlink="sale">
      <xdr:nvSpPr>
        <xdr:cNvPr id="24" name="TextBox 23">
          <a:extLst>
            <a:ext uri="{FF2B5EF4-FFF2-40B4-BE49-F238E27FC236}">
              <a16:creationId xmlns:a16="http://schemas.microsoft.com/office/drawing/2014/main" id="{335DDD61-2EE6-494D-A8F0-6130E8321EDF}"/>
            </a:ext>
          </a:extLst>
        </xdr:cNvPr>
        <xdr:cNvSpPr txBox="1"/>
      </xdr:nvSpPr>
      <xdr:spPr>
        <a:xfrm>
          <a:off x="3289680" y="2247193"/>
          <a:ext cx="950794" cy="79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BB31F1-2165-4A4E-8427-20D2133626FD}" type="TxLink">
            <a:rPr lang="en-US" sz="1800" b="0" i="0" u="none" strike="noStrike">
              <a:solidFill>
                <a:srgbClr val="385F7C"/>
              </a:solidFill>
              <a:latin typeface="+mn-lt"/>
              <a:cs typeface="Arial" panose="020B0604020202020204" pitchFamily="34" charset="0"/>
            </a:rPr>
            <a:pPr algn="ctr"/>
            <a:t>$78.7M</a:t>
          </a:fld>
          <a:endParaRPr lang="en-US" sz="2400" b="0">
            <a:solidFill>
              <a:srgbClr val="385F7C"/>
            </a:solidFill>
            <a:latin typeface="+mn-lt"/>
            <a:cs typeface="Arial" panose="020B0604020202020204" pitchFamily="34" charset="0"/>
          </a:endParaRPr>
        </a:p>
      </xdr:txBody>
    </xdr:sp>
    <xdr:clientData/>
  </xdr:twoCellAnchor>
  <xdr:twoCellAnchor>
    <xdr:from>
      <xdr:col>7</xdr:col>
      <xdr:colOff>369627</xdr:colOff>
      <xdr:row>13</xdr:row>
      <xdr:rowOff>28436</xdr:rowOff>
    </xdr:from>
    <xdr:to>
      <xdr:col>9</xdr:col>
      <xdr:colOff>56866</xdr:colOff>
      <xdr:row>14</xdr:row>
      <xdr:rowOff>99519</xdr:rowOff>
    </xdr:to>
    <xdr:sp macro="" textlink="profi">
      <xdr:nvSpPr>
        <xdr:cNvPr id="25" name="TextBox 24">
          <a:extLst>
            <a:ext uri="{FF2B5EF4-FFF2-40B4-BE49-F238E27FC236}">
              <a16:creationId xmlns:a16="http://schemas.microsoft.com/office/drawing/2014/main" id="{E8FADEC0-E0EF-49DF-961D-FB2A85372A30}"/>
            </a:ext>
          </a:extLst>
        </xdr:cNvPr>
        <xdr:cNvSpPr txBox="1"/>
      </xdr:nvSpPr>
      <xdr:spPr>
        <a:xfrm>
          <a:off x="4636827" y="2514461"/>
          <a:ext cx="906439" cy="26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CAE3E3-C856-42A7-8E04-A0D90CCF20FA}" type="TxLink">
            <a:rPr lang="en-US" sz="1800" b="0" i="0" u="none" strike="noStrike">
              <a:solidFill>
                <a:srgbClr val="385F7C"/>
              </a:solidFill>
              <a:latin typeface="+mn-lt"/>
              <a:ea typeface="+mn-ea"/>
              <a:cs typeface="Arial" panose="020B0604020202020204" pitchFamily="34" charset="0"/>
            </a:rPr>
            <a:pPr marL="0" indent="0" algn="ctr"/>
            <a:t>$35.6M</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xdr:from>
      <xdr:col>9</xdr:col>
      <xdr:colOff>270111</xdr:colOff>
      <xdr:row>13</xdr:row>
      <xdr:rowOff>14220</xdr:rowOff>
    </xdr:from>
    <xdr:to>
      <xdr:col>11</xdr:col>
      <xdr:colOff>241678</xdr:colOff>
      <xdr:row>14</xdr:row>
      <xdr:rowOff>113735</xdr:rowOff>
    </xdr:to>
    <xdr:sp macro="" textlink="orde">
      <xdr:nvSpPr>
        <xdr:cNvPr id="26" name="TextBox 25">
          <a:extLst>
            <a:ext uri="{FF2B5EF4-FFF2-40B4-BE49-F238E27FC236}">
              <a16:creationId xmlns:a16="http://schemas.microsoft.com/office/drawing/2014/main" id="{CF13180B-165A-4403-A722-B76559A4EDE6}"/>
            </a:ext>
          </a:extLst>
        </xdr:cNvPr>
        <xdr:cNvSpPr txBox="1"/>
      </xdr:nvSpPr>
      <xdr:spPr>
        <a:xfrm>
          <a:off x="5756511" y="2500245"/>
          <a:ext cx="1190767" cy="29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1D5BA0-D501-444F-A93E-5AD915AD6C48}" type="TxLink">
            <a:rPr lang="en-US" sz="1800" b="0" i="0" u="none" strike="noStrike">
              <a:solidFill>
                <a:srgbClr val="385F7C"/>
              </a:solidFill>
              <a:latin typeface="+mn-lt"/>
              <a:ea typeface="+mn-ea"/>
              <a:cs typeface="Arial" panose="020B0604020202020204" pitchFamily="34" charset="0"/>
            </a:rPr>
            <a:pPr marL="0" indent="0" algn="ctr"/>
            <a:t>3000</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xdr:from>
      <xdr:col>11</xdr:col>
      <xdr:colOff>511790</xdr:colOff>
      <xdr:row>12</xdr:row>
      <xdr:rowOff>135059</xdr:rowOff>
    </xdr:from>
    <xdr:to>
      <xdr:col>13</xdr:col>
      <xdr:colOff>184813</xdr:colOff>
      <xdr:row>14</xdr:row>
      <xdr:rowOff>177709</xdr:rowOff>
    </xdr:to>
    <xdr:sp macro="" textlink="avg">
      <xdr:nvSpPr>
        <xdr:cNvPr id="27" name="TextBox 26">
          <a:extLst>
            <a:ext uri="{FF2B5EF4-FFF2-40B4-BE49-F238E27FC236}">
              <a16:creationId xmlns:a16="http://schemas.microsoft.com/office/drawing/2014/main" id="{1E149306-3BCB-4AAE-8A9D-9455662C4F8C}"/>
            </a:ext>
          </a:extLst>
        </xdr:cNvPr>
        <xdr:cNvSpPr txBox="1"/>
      </xdr:nvSpPr>
      <xdr:spPr>
        <a:xfrm>
          <a:off x="7217390" y="2430584"/>
          <a:ext cx="892223" cy="423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3C12ED-BC97-4D90-BCF8-98638082FCBF}" type="TxLink">
            <a:rPr lang="en-US" sz="1800" b="0" i="0" u="none" strike="noStrike">
              <a:solidFill>
                <a:srgbClr val="385F7C"/>
              </a:solidFill>
              <a:latin typeface="+mn-lt"/>
              <a:ea typeface="+mn-ea"/>
              <a:cs typeface="Arial" panose="020B0604020202020204" pitchFamily="34" charset="0"/>
            </a:rPr>
            <a:pPr marL="0" indent="0" algn="ctr"/>
            <a:t>$26.2K</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xdr:from>
      <xdr:col>5</xdr:col>
      <xdr:colOff>241679</xdr:colOff>
      <xdr:row>14</xdr:row>
      <xdr:rowOff>68579</xdr:rowOff>
    </xdr:from>
    <xdr:to>
      <xdr:col>6</xdr:col>
      <xdr:colOff>497575</xdr:colOff>
      <xdr:row>17</xdr:row>
      <xdr:rowOff>63121</xdr:rowOff>
    </xdr:to>
    <xdr:sp macro="" textlink="yoy1">
      <xdr:nvSpPr>
        <xdr:cNvPr id="28" name="TextBox 27">
          <a:extLst>
            <a:ext uri="{FF2B5EF4-FFF2-40B4-BE49-F238E27FC236}">
              <a16:creationId xmlns:a16="http://schemas.microsoft.com/office/drawing/2014/main" id="{41ACCCAF-7650-4952-9F45-DCCF2A510B48}"/>
            </a:ext>
          </a:extLst>
        </xdr:cNvPr>
        <xdr:cNvSpPr txBox="1"/>
      </xdr:nvSpPr>
      <xdr:spPr>
        <a:xfrm>
          <a:off x="3289679" y="2745104"/>
          <a:ext cx="865496"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1C7FCF2E-7717-49B0-95A2-2BBC8ADB4A26}" type="TxLink">
            <a:rPr lang="en-US" sz="1200" b="0" i="0" u="none" strike="noStrike" baseline="0">
              <a:solidFill>
                <a:schemeClr val="tx1">
                  <a:lumMod val="50000"/>
                  <a:lumOff val="50000"/>
                </a:schemeClr>
              </a:solidFill>
              <a:latin typeface="Bahnschrift Condensed" panose="020B0502040204020203" pitchFamily="34" charset="0"/>
              <a:cs typeface="Calibri"/>
            </a:rPr>
            <a:pPr algn="ctr"/>
            <a:t>22.7%</a:t>
          </a:fld>
          <a:r>
            <a:rPr lang="en-US" sz="1200" b="0" i="0" u="none" strike="noStrike" baseline="0">
              <a:solidFill>
                <a:schemeClr val="tx1">
                  <a:lumMod val="50000"/>
                  <a:lumOff val="50000"/>
                </a:schemeClr>
              </a:solidFill>
              <a:latin typeface="Bahnschrift Condensed" panose="020B0502040204020203" pitchFamily="34" charset="0"/>
              <a:cs typeface="Calibri"/>
            </a:rPr>
            <a:t> YoY</a:t>
          </a:r>
          <a:endParaRPr lang="en-US" sz="1600" b="0" baseline="0">
            <a:solidFill>
              <a:schemeClr val="tx1">
                <a:lumMod val="50000"/>
                <a:lumOff val="50000"/>
              </a:schemeClr>
            </a:solidFill>
            <a:latin typeface="Bahnschrift Condensed" panose="020B0502040204020203" pitchFamily="34" charset="0"/>
          </a:endParaRPr>
        </a:p>
      </xdr:txBody>
    </xdr:sp>
    <xdr:clientData/>
  </xdr:twoCellAnchor>
  <xdr:twoCellAnchor>
    <xdr:from>
      <xdr:col>9</xdr:col>
      <xdr:colOff>255896</xdr:colOff>
      <xdr:row>14</xdr:row>
      <xdr:rowOff>68579</xdr:rowOff>
    </xdr:from>
    <xdr:to>
      <xdr:col>11</xdr:col>
      <xdr:colOff>270112</xdr:colOff>
      <xdr:row>17</xdr:row>
      <xdr:rowOff>63121</xdr:rowOff>
    </xdr:to>
    <xdr:sp macro="" textlink="yoy3">
      <xdr:nvSpPr>
        <xdr:cNvPr id="29" name="TextBox 28">
          <a:extLst>
            <a:ext uri="{FF2B5EF4-FFF2-40B4-BE49-F238E27FC236}">
              <a16:creationId xmlns:a16="http://schemas.microsoft.com/office/drawing/2014/main" id="{CF014DD8-743E-42CE-97FE-4F91C897D7FA}"/>
            </a:ext>
          </a:extLst>
        </xdr:cNvPr>
        <xdr:cNvSpPr txBox="1"/>
      </xdr:nvSpPr>
      <xdr:spPr>
        <a:xfrm>
          <a:off x="5742296" y="2745104"/>
          <a:ext cx="1233416"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F1541DEB-E24D-43BA-B7C3-73E41113238F}"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13.0%</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aseline="0">
            <a:solidFill>
              <a:schemeClr val="tx1">
                <a:lumMod val="50000"/>
                <a:lumOff val="50000"/>
              </a:schemeClr>
            </a:solidFill>
            <a:latin typeface="Bahnschrift Condensed" panose="020B0502040204020203" pitchFamily="34" charset="0"/>
          </a:endParaRPr>
        </a:p>
      </xdr:txBody>
    </xdr:sp>
    <xdr:clientData/>
  </xdr:twoCellAnchor>
  <xdr:twoCellAnchor>
    <xdr:from>
      <xdr:col>7</xdr:col>
      <xdr:colOff>379861</xdr:colOff>
      <xdr:row>14</xdr:row>
      <xdr:rowOff>99515</xdr:rowOff>
    </xdr:from>
    <xdr:to>
      <xdr:col>9</xdr:col>
      <xdr:colOff>71081</xdr:colOff>
      <xdr:row>17</xdr:row>
      <xdr:rowOff>63121</xdr:rowOff>
    </xdr:to>
    <xdr:sp macro="" textlink="yoy2">
      <xdr:nvSpPr>
        <xdr:cNvPr id="30" name="TextBox 29">
          <a:extLst>
            <a:ext uri="{FF2B5EF4-FFF2-40B4-BE49-F238E27FC236}">
              <a16:creationId xmlns:a16="http://schemas.microsoft.com/office/drawing/2014/main" id="{3BECE17F-7E59-4E7E-9659-EFCEC2B27B39}"/>
            </a:ext>
          </a:extLst>
        </xdr:cNvPr>
        <xdr:cNvSpPr txBox="1"/>
      </xdr:nvSpPr>
      <xdr:spPr>
        <a:xfrm>
          <a:off x="4647061" y="2776040"/>
          <a:ext cx="910420" cy="535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E7725FBF-398C-4836-8F78-CA5B675F4AE6}"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22.8%</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aseline="0">
            <a:solidFill>
              <a:schemeClr val="tx1">
                <a:lumMod val="50000"/>
                <a:lumOff val="50000"/>
              </a:schemeClr>
            </a:solidFill>
            <a:latin typeface="Bahnschrift Condensed" panose="020B0502040204020203" pitchFamily="34" charset="0"/>
          </a:endParaRPr>
        </a:p>
      </xdr:txBody>
    </xdr:sp>
    <xdr:clientData/>
  </xdr:twoCellAnchor>
  <xdr:twoCellAnchor>
    <xdr:from>
      <xdr:col>11</xdr:col>
      <xdr:colOff>319014</xdr:colOff>
      <xdr:row>14</xdr:row>
      <xdr:rowOff>68579</xdr:rowOff>
    </xdr:from>
    <xdr:to>
      <xdr:col>13</xdr:col>
      <xdr:colOff>355408</xdr:colOff>
      <xdr:row>17</xdr:row>
      <xdr:rowOff>63121</xdr:rowOff>
    </xdr:to>
    <xdr:sp macro="" textlink="yoy4">
      <xdr:nvSpPr>
        <xdr:cNvPr id="31" name="TextBox 30">
          <a:extLst>
            <a:ext uri="{FF2B5EF4-FFF2-40B4-BE49-F238E27FC236}">
              <a16:creationId xmlns:a16="http://schemas.microsoft.com/office/drawing/2014/main" id="{6D234AFD-E924-4E4B-8572-ABC292FBAD43}"/>
            </a:ext>
          </a:extLst>
        </xdr:cNvPr>
        <xdr:cNvSpPr txBox="1"/>
      </xdr:nvSpPr>
      <xdr:spPr>
        <a:xfrm>
          <a:off x="7024614" y="2745104"/>
          <a:ext cx="1255594"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939143F5-2E1F-449F-8A5E-FD422C371ECD}"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8.7%</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0" baseline="0">
            <a:solidFill>
              <a:schemeClr val="tx1">
                <a:lumMod val="50000"/>
                <a:lumOff val="50000"/>
              </a:schemeClr>
            </a:solidFill>
            <a:latin typeface="Bahnschrift Condensed" panose="020B0502040204020203" pitchFamily="34" charset="0"/>
          </a:endParaRPr>
        </a:p>
      </xdr:txBody>
    </xdr:sp>
    <xdr:clientData/>
  </xdr:twoCellAnchor>
  <xdr:twoCellAnchor>
    <xdr:from>
      <xdr:col>24</xdr:col>
      <xdr:colOff>171762</xdr:colOff>
      <xdr:row>30</xdr:row>
      <xdr:rowOff>141588</xdr:rowOff>
    </xdr:from>
    <xdr:to>
      <xdr:col>35</xdr:col>
      <xdr:colOff>156381</xdr:colOff>
      <xdr:row>42</xdr:row>
      <xdr:rowOff>78161</xdr:rowOff>
    </xdr:to>
    <xdr:graphicFrame macro="">
      <xdr:nvGraphicFramePr>
        <xdr:cNvPr id="32" name="Chart 31">
          <a:extLst>
            <a:ext uri="{FF2B5EF4-FFF2-40B4-BE49-F238E27FC236}">
              <a16:creationId xmlns:a16="http://schemas.microsoft.com/office/drawing/2014/main" id="{3DA374EF-1011-42F0-8AF1-79F324E629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133945</xdr:colOff>
      <xdr:row>20</xdr:row>
      <xdr:rowOff>51487</xdr:rowOff>
    </xdr:from>
    <xdr:to>
      <xdr:col>13</xdr:col>
      <xdr:colOff>133945</xdr:colOff>
      <xdr:row>42</xdr:row>
      <xdr:rowOff>167331</xdr:rowOff>
    </xdr:to>
    <xdr:graphicFrame macro="">
      <xdr:nvGraphicFramePr>
        <xdr:cNvPr id="33" name="Chart 32">
          <a:extLst>
            <a:ext uri="{FF2B5EF4-FFF2-40B4-BE49-F238E27FC236}">
              <a16:creationId xmlns:a16="http://schemas.microsoft.com/office/drawing/2014/main" id="{C54A5DEE-69FC-4A3C-A3AA-68650C223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499672</xdr:colOff>
      <xdr:row>11</xdr:row>
      <xdr:rowOff>124919</xdr:rowOff>
    </xdr:from>
    <xdr:to>
      <xdr:col>25</xdr:col>
      <xdr:colOff>437212</xdr:colOff>
      <xdr:row>25</xdr:row>
      <xdr:rowOff>109304</xdr:rowOff>
    </xdr:to>
    <xdr:graphicFrame macro="">
      <xdr:nvGraphicFramePr>
        <xdr:cNvPr id="34" name="Chart 33">
          <a:extLst>
            <a:ext uri="{FF2B5EF4-FFF2-40B4-BE49-F238E27FC236}">
              <a16:creationId xmlns:a16="http://schemas.microsoft.com/office/drawing/2014/main" id="{B318C0B7-0F1B-479B-908B-6F2A6FC237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1836</xdr:colOff>
      <xdr:row>11</xdr:row>
      <xdr:rowOff>155597</xdr:rowOff>
    </xdr:from>
    <xdr:to>
      <xdr:col>35</xdr:col>
      <xdr:colOff>196102</xdr:colOff>
      <xdr:row>25</xdr:row>
      <xdr:rowOff>56029</xdr:rowOff>
    </xdr:to>
    <xdr:graphicFrame macro="">
      <xdr:nvGraphicFramePr>
        <xdr:cNvPr id="35" name="Chart 34">
          <a:extLst>
            <a:ext uri="{FF2B5EF4-FFF2-40B4-BE49-F238E27FC236}">
              <a16:creationId xmlns:a16="http://schemas.microsoft.com/office/drawing/2014/main" id="{CD3294C0-CAE6-4FF1-8BD0-5D8C5E165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193730</xdr:colOff>
      <xdr:row>26</xdr:row>
      <xdr:rowOff>113008</xdr:rowOff>
    </xdr:from>
    <xdr:to>
      <xdr:col>23</xdr:col>
      <xdr:colOff>519957</xdr:colOff>
      <xdr:row>42</xdr:row>
      <xdr:rowOff>96864</xdr:rowOff>
    </xdr:to>
    <xdr:graphicFrame macro="">
      <xdr:nvGraphicFramePr>
        <xdr:cNvPr id="36" name="Chart 35">
          <a:extLst>
            <a:ext uri="{FF2B5EF4-FFF2-40B4-BE49-F238E27FC236}">
              <a16:creationId xmlns:a16="http://schemas.microsoft.com/office/drawing/2014/main" id="{4A89D677-65FA-40A1-967E-42628C339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96863</xdr:colOff>
      <xdr:row>31</xdr:row>
      <xdr:rowOff>0</xdr:rowOff>
    </xdr:from>
    <xdr:to>
      <xdr:col>21</xdr:col>
      <xdr:colOff>322881</xdr:colOff>
      <xdr:row>38</xdr:row>
      <xdr:rowOff>113008</xdr:rowOff>
    </xdr:to>
    <xdr:sp macro="" textlink="">
      <xdr:nvSpPr>
        <xdr:cNvPr id="37" name="Oval 36">
          <a:extLst>
            <a:ext uri="{FF2B5EF4-FFF2-40B4-BE49-F238E27FC236}">
              <a16:creationId xmlns:a16="http://schemas.microsoft.com/office/drawing/2014/main" id="{8FE42DA7-F3DD-43EA-9433-94CD409A191E}"/>
            </a:ext>
          </a:extLst>
        </xdr:cNvPr>
        <xdr:cNvSpPr/>
      </xdr:nvSpPr>
      <xdr:spPr>
        <a:xfrm>
          <a:off x="11679263" y="5915025"/>
          <a:ext cx="1445218" cy="1446508"/>
        </a:xfrm>
        <a:prstGeom prst="ellipse">
          <a:avLst/>
        </a:prstGeom>
        <a:solidFill>
          <a:srgbClr val="CCDCE8"/>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474026</xdr:colOff>
      <xdr:row>34</xdr:row>
      <xdr:rowOff>10508</xdr:rowOff>
    </xdr:from>
    <xdr:to>
      <xdr:col>21</xdr:col>
      <xdr:colOff>552309</xdr:colOff>
      <xdr:row>35</xdr:row>
      <xdr:rowOff>131357</xdr:rowOff>
    </xdr:to>
    <xdr:sp macro="" textlink="">
      <xdr:nvSpPr>
        <xdr:cNvPr id="38" name="TextBox 37">
          <a:extLst>
            <a:ext uri="{FF2B5EF4-FFF2-40B4-BE49-F238E27FC236}">
              <a16:creationId xmlns:a16="http://schemas.microsoft.com/office/drawing/2014/main" id="{261BF89C-1B09-4980-87B2-C59828720B90}"/>
            </a:ext>
          </a:extLst>
        </xdr:cNvPr>
        <xdr:cNvSpPr txBox="1"/>
      </xdr:nvSpPr>
      <xdr:spPr>
        <a:xfrm>
          <a:off x="11446826" y="6497033"/>
          <a:ext cx="1907083" cy="311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Sales Method</a:t>
          </a:r>
          <a:endParaRPr lang="en-US" sz="1400">
            <a:solidFill>
              <a:srgbClr val="385F7C"/>
            </a:solidFill>
          </a:endParaRPr>
        </a:p>
      </xdr:txBody>
    </xdr:sp>
    <xdr:clientData/>
  </xdr:twoCellAnchor>
  <xdr:twoCellAnchor>
    <xdr:from>
      <xdr:col>13</xdr:col>
      <xdr:colOff>492062</xdr:colOff>
      <xdr:row>26</xdr:row>
      <xdr:rowOff>113010</xdr:rowOff>
    </xdr:from>
    <xdr:to>
      <xdr:col>18</xdr:col>
      <xdr:colOff>48433</xdr:colOff>
      <xdr:row>42</xdr:row>
      <xdr:rowOff>145297</xdr:rowOff>
    </xdr:to>
    <xdr:graphicFrame macro="">
      <xdr:nvGraphicFramePr>
        <xdr:cNvPr id="39" name="Chart 38">
          <a:extLst>
            <a:ext uri="{FF2B5EF4-FFF2-40B4-BE49-F238E27FC236}">
              <a16:creationId xmlns:a16="http://schemas.microsoft.com/office/drawing/2014/main" id="{06C40129-1717-446D-883B-7C84651E9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468177</xdr:colOff>
      <xdr:row>26</xdr:row>
      <xdr:rowOff>64576</xdr:rowOff>
    </xdr:from>
    <xdr:to>
      <xdr:col>17</xdr:col>
      <xdr:colOff>546460</xdr:colOff>
      <xdr:row>28</xdr:row>
      <xdr:rowOff>16144</xdr:rowOff>
    </xdr:to>
    <xdr:sp macro="" textlink="">
      <xdr:nvSpPr>
        <xdr:cNvPr id="40" name="TextBox 39">
          <a:extLst>
            <a:ext uri="{FF2B5EF4-FFF2-40B4-BE49-F238E27FC236}">
              <a16:creationId xmlns:a16="http://schemas.microsoft.com/office/drawing/2014/main" id="{78D06595-650A-4691-A9B1-DAE65B9E7C22}"/>
            </a:ext>
          </a:extLst>
        </xdr:cNvPr>
        <xdr:cNvSpPr txBox="1"/>
      </xdr:nvSpPr>
      <xdr:spPr>
        <a:xfrm>
          <a:off x="9002577" y="5027101"/>
          <a:ext cx="1907083" cy="332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385F7C"/>
              </a:solidFill>
            </a:rPr>
            <a:t>Sales By Gender</a:t>
          </a:r>
        </a:p>
      </xdr:txBody>
    </xdr:sp>
    <xdr:clientData/>
  </xdr:twoCellAnchor>
  <xdr:twoCellAnchor editAs="oneCell">
    <xdr:from>
      <xdr:col>1</xdr:col>
      <xdr:colOff>175969</xdr:colOff>
      <xdr:row>14</xdr:row>
      <xdr:rowOff>31076</xdr:rowOff>
    </xdr:from>
    <xdr:to>
      <xdr:col>4</xdr:col>
      <xdr:colOff>401987</xdr:colOff>
      <xdr:row>23</xdr:row>
      <xdr:rowOff>65383</xdr:rowOff>
    </xdr:to>
    <mc:AlternateContent xmlns:mc="http://schemas.openxmlformats.org/markup-compatibility/2006">
      <mc:Choice xmlns:a14="http://schemas.microsoft.com/office/drawing/2010/main" Requires="a14">
        <xdr:graphicFrame macro="">
          <xdr:nvGraphicFramePr>
            <xdr:cNvPr id="41" name="Item-Category 1">
              <a:extLst>
                <a:ext uri="{FF2B5EF4-FFF2-40B4-BE49-F238E27FC236}">
                  <a16:creationId xmlns:a16="http://schemas.microsoft.com/office/drawing/2014/main" id="{1EE2E965-B07C-4A1E-87A8-7B22219CFE1F}"/>
                </a:ext>
              </a:extLst>
            </xdr:cNvPr>
            <xdr:cNvGraphicFramePr/>
          </xdr:nvGraphicFramePr>
          <xdr:xfrm>
            <a:off x="0" y="0"/>
            <a:ext cx="0" cy="0"/>
          </xdr:xfrm>
          <a:graphic>
            <a:graphicData uri="http://schemas.microsoft.com/office/drawing/2010/slicer">
              <sle:slicer xmlns:sle="http://schemas.microsoft.com/office/drawing/2010/slicer" name="Item-Category 1"/>
            </a:graphicData>
          </a:graphic>
        </xdr:graphicFrame>
      </mc:Choice>
      <mc:Fallback>
        <xdr:sp macro="" textlink="">
          <xdr:nvSpPr>
            <xdr:cNvPr id="0" name=""/>
            <xdr:cNvSpPr>
              <a:spLocks noTextEdit="1"/>
            </xdr:cNvSpPr>
          </xdr:nvSpPr>
          <xdr:spPr>
            <a:xfrm>
              <a:off x="780935" y="2746988"/>
              <a:ext cx="2040917" cy="17719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158614</xdr:colOff>
      <xdr:row>24</xdr:row>
      <xdr:rowOff>109375</xdr:rowOff>
    </xdr:from>
    <xdr:to>
      <xdr:col>4</xdr:col>
      <xdr:colOff>367077</xdr:colOff>
      <xdr:row>33</xdr:row>
      <xdr:rowOff>91117</xdr:rowOff>
    </xdr:to>
    <mc:AlternateContent xmlns:mc="http://schemas.openxmlformats.org/markup-compatibility/2006">
      <mc:Choice xmlns:a14="http://schemas.microsoft.com/office/drawing/2010/main" Requires="a14">
        <xdr:graphicFrame macro="">
          <xdr:nvGraphicFramePr>
            <xdr:cNvPr id="42" name="Years (OrderDate) 1">
              <a:extLst>
                <a:ext uri="{FF2B5EF4-FFF2-40B4-BE49-F238E27FC236}">
                  <a16:creationId xmlns:a16="http://schemas.microsoft.com/office/drawing/2014/main" id="{D855B949-F9E7-4B55-8515-3E96BEE70B59}"/>
                </a:ext>
              </a:extLst>
            </xdr:cNvPr>
            <xdr:cNvGraphicFramePr/>
          </xdr:nvGraphicFramePr>
          <xdr:xfrm>
            <a:off x="0" y="0"/>
            <a:ext cx="0" cy="0"/>
          </xdr:xfrm>
          <a:graphic>
            <a:graphicData uri="http://schemas.microsoft.com/office/drawing/2010/slicer">
              <sle:slicer xmlns:sle="http://schemas.microsoft.com/office/drawing/2010/slicer" name="Years (OrderDate) 1"/>
            </a:graphicData>
          </a:graphic>
        </xdr:graphicFrame>
      </mc:Choice>
      <mc:Fallback>
        <xdr:sp macro="" textlink="">
          <xdr:nvSpPr>
            <xdr:cNvPr id="0" name=""/>
            <xdr:cNvSpPr>
              <a:spLocks noTextEdit="1"/>
            </xdr:cNvSpPr>
          </xdr:nvSpPr>
          <xdr:spPr>
            <a:xfrm>
              <a:off x="763580" y="4756030"/>
              <a:ext cx="2023362" cy="17194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571498</xdr:colOff>
      <xdr:row>6</xdr:row>
      <xdr:rowOff>32821</xdr:rowOff>
    </xdr:from>
    <xdr:to>
      <xdr:col>36</xdr:col>
      <xdr:colOff>202405</xdr:colOff>
      <xdr:row>9</xdr:row>
      <xdr:rowOff>166363</xdr:rowOff>
    </xdr:to>
    <xdr:sp macro="" textlink="">
      <xdr:nvSpPr>
        <xdr:cNvPr id="49" name="TextBox 48">
          <a:extLst>
            <a:ext uri="{FF2B5EF4-FFF2-40B4-BE49-F238E27FC236}">
              <a16:creationId xmlns:a16="http://schemas.microsoft.com/office/drawing/2014/main" id="{2098D983-8A38-7AF5-C6F5-F85CB49CE8D6}"/>
            </a:ext>
          </a:extLst>
        </xdr:cNvPr>
        <xdr:cNvSpPr txBox="1"/>
      </xdr:nvSpPr>
      <xdr:spPr>
        <a:xfrm>
          <a:off x="18720484" y="1191267"/>
          <a:ext cx="3260705" cy="725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a:solidFill>
                <a:srgbClr val="385F7C"/>
              </a:solidFill>
              <a:latin typeface="Arial" panose="020B0604020202020204" pitchFamily="34" charset="0"/>
              <a:ea typeface="+mn-ea"/>
              <a:cs typeface="Arial" panose="020B0604020202020204" pitchFamily="34" charset="0"/>
            </a:rPr>
            <a:t>Designed by Scott</a:t>
          </a:r>
        </a:p>
      </xdr:txBody>
    </xdr:sp>
    <xdr:clientData/>
  </xdr:twoCellAnchor>
  <xdr:twoCellAnchor>
    <xdr:from>
      <xdr:col>33</xdr:col>
      <xdr:colOff>83317</xdr:colOff>
      <xdr:row>8</xdr:row>
      <xdr:rowOff>116165</xdr:rowOff>
    </xdr:from>
    <xdr:to>
      <xdr:col>35</xdr:col>
      <xdr:colOff>464317</xdr:colOff>
      <xdr:row>9</xdr:row>
      <xdr:rowOff>128072</xdr:rowOff>
    </xdr:to>
    <xdr:sp macro="" textlink="">
      <xdr:nvSpPr>
        <xdr:cNvPr id="50" name="TextBox 49">
          <a:extLst>
            <a:ext uri="{FF2B5EF4-FFF2-40B4-BE49-F238E27FC236}">
              <a16:creationId xmlns:a16="http://schemas.microsoft.com/office/drawing/2014/main" id="{1D3D61AF-18B2-8617-5220-4E57C596089F}"/>
            </a:ext>
          </a:extLst>
        </xdr:cNvPr>
        <xdr:cNvSpPr txBox="1"/>
      </xdr:nvSpPr>
      <xdr:spPr>
        <a:xfrm>
          <a:off x="20047202" y="1673631"/>
          <a:ext cx="1590933" cy="204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a:solidFill>
                <a:schemeClr val="tx1">
                  <a:lumMod val="50000"/>
                  <a:lumOff val="50000"/>
                </a:schemeClr>
              </a:solidFill>
              <a:latin typeface="+mn-lt"/>
              <a:ea typeface="+mn-ea"/>
              <a:cs typeface="+mn-cs"/>
            </a:rPr>
            <a:t>Date: 18/03/2026</a:t>
          </a:r>
        </a:p>
      </xdr:txBody>
    </xdr:sp>
    <xdr:clientData/>
  </xdr:twoCellAnchor>
  <xdr:twoCellAnchor>
    <xdr:from>
      <xdr:col>11</xdr:col>
      <xdr:colOff>564029</xdr:colOff>
      <xdr:row>19</xdr:row>
      <xdr:rowOff>112058</xdr:rowOff>
    </xdr:from>
    <xdr:to>
      <xdr:col>29</xdr:col>
      <xdr:colOff>322169</xdr:colOff>
      <xdr:row>37</xdr:row>
      <xdr:rowOff>48556</xdr:rowOff>
    </xdr:to>
    <xdr:grpSp>
      <xdr:nvGrpSpPr>
        <xdr:cNvPr id="56" name="InsightsBox" hidden="1">
          <a:extLst>
            <a:ext uri="{FF2B5EF4-FFF2-40B4-BE49-F238E27FC236}">
              <a16:creationId xmlns:a16="http://schemas.microsoft.com/office/drawing/2014/main" id="{A0FB6E62-1601-F535-C23F-8B2A0FA14B0A}"/>
            </a:ext>
          </a:extLst>
        </xdr:cNvPr>
        <xdr:cNvGrpSpPr/>
      </xdr:nvGrpSpPr>
      <xdr:grpSpPr>
        <a:xfrm>
          <a:off x="7218657" y="3793342"/>
          <a:ext cx="10647532" cy="3411836"/>
          <a:chOff x="8299758" y="8690542"/>
          <a:chExt cx="10144125" cy="3384210"/>
        </a:xfrm>
      </xdr:grpSpPr>
      <xdr:sp macro="" textlink="">
        <xdr:nvSpPr>
          <xdr:cNvPr id="55" name="Rectangle: Rounded Corners 54" hidden="1">
            <a:extLst>
              <a:ext uri="{FF2B5EF4-FFF2-40B4-BE49-F238E27FC236}">
                <a16:creationId xmlns:a16="http://schemas.microsoft.com/office/drawing/2014/main" id="{D9A52AF5-2B4B-6EB1-139E-34D9CE546BE3}"/>
              </a:ext>
            </a:extLst>
          </xdr:cNvPr>
          <xdr:cNvSpPr/>
        </xdr:nvSpPr>
        <xdr:spPr>
          <a:xfrm>
            <a:off x="8299758" y="8690542"/>
            <a:ext cx="10144125" cy="3384210"/>
          </a:xfrm>
          <a:prstGeom prst="roundRect">
            <a:avLst>
              <a:gd name="adj" fmla="val 8415"/>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aseline="0">
                <a:solidFill>
                  <a:srgbClr val="385F7C"/>
                </a:solidFill>
                <a:effectLst/>
                <a:latin typeface="+mn-lt"/>
                <a:ea typeface="+mn-ea"/>
                <a:cs typeface="+mn-cs"/>
              </a:rPr>
              <a:t>Key Insights</a:t>
            </a:r>
            <a:endParaRPr lang="en-US" sz="3200">
              <a:solidFill>
                <a:srgbClr val="385F7C"/>
              </a:solidFill>
              <a:effectLst/>
            </a:endParaRPr>
          </a:p>
          <a:p>
            <a:pPr algn="l"/>
            <a:endParaRPr lang="en-US" sz="1100"/>
          </a:p>
        </xdr:txBody>
      </xdr:sp>
      <xdr:sp macro="" textlink="">
        <xdr:nvSpPr>
          <xdr:cNvPr id="53" name="InsightBox" hidden="1">
            <a:extLst>
              <a:ext uri="{FF2B5EF4-FFF2-40B4-BE49-F238E27FC236}">
                <a16:creationId xmlns:a16="http://schemas.microsoft.com/office/drawing/2014/main" id="{018420B5-23AB-D917-957C-C71A0B7E5FE6}"/>
              </a:ext>
            </a:extLst>
          </xdr:cNvPr>
          <xdr:cNvSpPr txBox="1"/>
        </xdr:nvSpPr>
        <xdr:spPr>
          <a:xfrm>
            <a:off x="8941219" y="9338900"/>
            <a:ext cx="8969375" cy="2460625"/>
          </a:xfrm>
          <a:prstGeom prst="rect">
            <a:avLst/>
          </a:prstGeom>
          <a:solidFill>
            <a:srgbClr val="CCDCE8"/>
          </a:solidFill>
          <a:ln w="9525" cmpd="sng">
            <a:noFill/>
          </a:ln>
          <a:effectLst>
            <a:outerShdw blurRad="50800" dist="38100" dir="2700000" algn="tl"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lumMod val="95000"/>
                    <a:lumOff val="5000"/>
                  </a:schemeClr>
                </a:solidFill>
              </a:rPr>
              <a:t>1.</a:t>
            </a:r>
            <a:r>
              <a:rPr lang="en-US" sz="1800" baseline="0">
                <a:solidFill>
                  <a:schemeClr val="tx1">
                    <a:lumMod val="95000"/>
                    <a:lumOff val="5000"/>
                  </a:schemeClr>
                </a:solidFill>
              </a:rPr>
              <a:t> </a:t>
            </a:r>
            <a:r>
              <a:rPr lang="en-US" sz="1800" baseline="0">
                <a:solidFill>
                  <a:schemeClr val="tx1">
                    <a:lumMod val="85000"/>
                    <a:lumOff val="15000"/>
                  </a:schemeClr>
                </a:solidFill>
              </a:rPr>
              <a:t>West region generates $41.2m, that is 52% of total revenue. North contributes only 14.5% despite being an active region.</a:t>
            </a:r>
          </a:p>
          <a:p>
            <a:pPr algn="l"/>
            <a:br>
              <a:rPr lang="en-US" sz="1800" baseline="0">
                <a:solidFill>
                  <a:schemeClr val="tx1">
                    <a:lumMod val="85000"/>
                    <a:lumOff val="15000"/>
                  </a:schemeClr>
                </a:solidFill>
              </a:rPr>
            </a:br>
            <a:r>
              <a:rPr lang="en-US" sz="1800" baseline="0">
                <a:solidFill>
                  <a:schemeClr val="tx1">
                    <a:lumMod val="95000"/>
                    <a:lumOff val="5000"/>
                  </a:schemeClr>
                </a:solidFill>
              </a:rPr>
              <a:t>2. </a:t>
            </a:r>
            <a:r>
              <a:rPr lang="en-US" sz="1800" baseline="0">
                <a:solidFill>
                  <a:schemeClr val="tx1">
                    <a:lumMod val="85000"/>
                    <a:lumOff val="15000"/>
                  </a:schemeClr>
                </a:solidFill>
              </a:rPr>
              <a:t>All three regions maintain 45% profit margin. North's low profit is a volume problem, not a pricing problem.</a:t>
            </a:r>
          </a:p>
          <a:p>
            <a:pPr algn="l"/>
            <a:br>
              <a:rPr lang="en-US" sz="1800" baseline="0">
                <a:solidFill>
                  <a:schemeClr val="tx1">
                    <a:lumMod val="85000"/>
                    <a:lumOff val="15000"/>
                  </a:schemeClr>
                </a:solidFill>
              </a:rPr>
            </a:br>
            <a:r>
              <a:rPr lang="en-US" sz="1800" baseline="0">
                <a:solidFill>
                  <a:schemeClr val="tx1">
                    <a:lumMod val="95000"/>
                    <a:lumOff val="5000"/>
                  </a:schemeClr>
                </a:solidFill>
              </a:rPr>
              <a:t>3. </a:t>
            </a:r>
            <a:r>
              <a:rPr lang="en-US" sz="1800" baseline="0">
                <a:solidFill>
                  <a:schemeClr val="tx1">
                    <a:lumMod val="85000"/>
                    <a:lumOff val="15000"/>
                  </a:schemeClr>
                </a:solidFill>
              </a:rPr>
              <a:t>Bag-Women leads all categories , $30.2m in sales, nearly x5 more than Bag-Kids. Shoe-Women follows closely at $20.6M.</a:t>
            </a:r>
            <a:endParaRPr lang="en-US" sz="1100">
              <a:solidFill>
                <a:schemeClr val="tx1">
                  <a:lumMod val="85000"/>
                  <a:lumOff val="15000"/>
                </a:schemeClr>
              </a:solidFill>
            </a:endParaRPr>
          </a:p>
        </xdr:txBody>
      </xdr:sp>
    </xdr:grpSp>
    <xdr:clientData/>
  </xdr:twoCellAnchor>
  <xdr:twoCellAnchor>
    <xdr:from>
      <xdr:col>1</xdr:col>
      <xdr:colOff>560295</xdr:colOff>
      <xdr:row>5</xdr:row>
      <xdr:rowOff>93382</xdr:rowOff>
    </xdr:from>
    <xdr:to>
      <xdr:col>3</xdr:col>
      <xdr:colOff>597647</xdr:colOff>
      <xdr:row>12</xdr:row>
      <xdr:rowOff>74707</xdr:rowOff>
    </xdr:to>
    <xdr:grpSp>
      <xdr:nvGrpSpPr>
        <xdr:cNvPr id="54" name="Group 53">
          <a:extLst>
            <a:ext uri="{FF2B5EF4-FFF2-40B4-BE49-F238E27FC236}">
              <a16:creationId xmlns:a16="http://schemas.microsoft.com/office/drawing/2014/main" id="{A27BBDEF-9BED-5EB4-EA28-8CF793E8BD50}"/>
            </a:ext>
          </a:extLst>
        </xdr:cNvPr>
        <xdr:cNvGrpSpPr/>
      </xdr:nvGrpSpPr>
      <xdr:grpSpPr>
        <a:xfrm>
          <a:off x="1165261" y="1058754"/>
          <a:ext cx="1247285" cy="1345717"/>
          <a:chOff x="25785239" y="3035333"/>
          <a:chExt cx="920379" cy="920585"/>
        </a:xfrm>
      </xdr:grpSpPr>
      <xdr:sp macro="[0]!ResetFilters" textlink="">
        <xdr:nvSpPr>
          <xdr:cNvPr id="52" name="Oval 51">
            <a:extLst>
              <a:ext uri="{FF2B5EF4-FFF2-40B4-BE49-F238E27FC236}">
                <a16:creationId xmlns:a16="http://schemas.microsoft.com/office/drawing/2014/main" id="{A1153AC1-8287-91AC-B8AF-B4D373F3DCA5}"/>
              </a:ext>
            </a:extLst>
          </xdr:cNvPr>
          <xdr:cNvSpPr/>
        </xdr:nvSpPr>
        <xdr:spPr>
          <a:xfrm>
            <a:off x="25998921" y="3231696"/>
            <a:ext cx="522638" cy="507175"/>
          </a:xfrm>
          <a:prstGeom prst="ellipse">
            <a:avLst/>
          </a:prstGeom>
          <a:solidFill>
            <a:srgbClr val="A7CCD5"/>
          </a:solid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pic macro="[0]!ResetFilters">
        <xdr:nvPicPr>
          <xdr:cNvPr id="46" name="Graphic 45" descr="Arrow circle with solid fill">
            <a:extLst>
              <a:ext uri="{FF2B5EF4-FFF2-40B4-BE49-F238E27FC236}">
                <a16:creationId xmlns:a16="http://schemas.microsoft.com/office/drawing/2014/main" id="{A7DCD908-82B3-15F4-EB00-D32237E4B4E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785239" y="3035333"/>
            <a:ext cx="920379" cy="920585"/>
          </a:xfrm>
          <a:prstGeom prst="rect">
            <a:avLst/>
          </a:prstGeom>
        </xdr:spPr>
      </xdr:pic>
    </xdr:grpSp>
    <xdr:clientData/>
  </xdr:twoCellAnchor>
  <xdr:twoCellAnchor>
    <xdr:from>
      <xdr:col>1</xdr:col>
      <xdr:colOff>466910</xdr:colOff>
      <xdr:row>36</xdr:row>
      <xdr:rowOff>149412</xdr:rowOff>
    </xdr:from>
    <xdr:to>
      <xdr:col>3</xdr:col>
      <xdr:colOff>597646</xdr:colOff>
      <xdr:row>43</xdr:row>
      <xdr:rowOff>18676</xdr:rowOff>
    </xdr:to>
    <xdr:grpSp>
      <xdr:nvGrpSpPr>
        <xdr:cNvPr id="71" name="Group 70">
          <a:extLst>
            <a:ext uri="{FF2B5EF4-FFF2-40B4-BE49-F238E27FC236}">
              <a16:creationId xmlns:a16="http://schemas.microsoft.com/office/drawing/2014/main" id="{2AD858EC-BDC7-EBF6-C5FC-E402A921E305}"/>
            </a:ext>
          </a:extLst>
        </xdr:cNvPr>
        <xdr:cNvGrpSpPr/>
      </xdr:nvGrpSpPr>
      <xdr:grpSpPr>
        <a:xfrm>
          <a:off x="1071876" y="7112959"/>
          <a:ext cx="1340669" cy="1220785"/>
          <a:chOff x="6928970" y="11840883"/>
          <a:chExt cx="1363383" cy="1176617"/>
        </a:xfrm>
      </xdr:grpSpPr>
      <xdr:sp macro="[0]!ToggleInsights" textlink="">
        <xdr:nvSpPr>
          <xdr:cNvPr id="69" name="Rectangle: Rounded Corners 68">
            <a:extLst>
              <a:ext uri="{FF2B5EF4-FFF2-40B4-BE49-F238E27FC236}">
                <a16:creationId xmlns:a16="http://schemas.microsoft.com/office/drawing/2014/main" id="{8017094D-5BC0-7CBC-35FC-3EC236F5B588}"/>
              </a:ext>
            </a:extLst>
          </xdr:cNvPr>
          <xdr:cNvSpPr/>
        </xdr:nvSpPr>
        <xdr:spPr>
          <a:xfrm>
            <a:off x="6928970" y="11840883"/>
            <a:ext cx="1363383" cy="1176617"/>
          </a:xfrm>
          <a:prstGeom prst="roundRect">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oggleInsights">
        <xdr:nvPicPr>
          <xdr:cNvPr id="68" name="Graphic 67" descr="Lightbulb with solid fill">
            <a:extLst>
              <a:ext uri="{FF2B5EF4-FFF2-40B4-BE49-F238E27FC236}">
                <a16:creationId xmlns:a16="http://schemas.microsoft.com/office/drawing/2014/main" id="{B7E179A5-928C-5930-0FAD-961A6A0D39E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53088" y="11971618"/>
            <a:ext cx="914400" cy="91440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10.465312268519" createdVersion="8" refreshedVersion="8" minRefreshableVersion="3" recordCount="3000" xr:uid="{10D7EF45-6AA3-4AEE-9311-C72C24AD490B}">
  <cacheSource type="worksheet">
    <worksheetSource name="Table"/>
  </cacheSource>
  <cacheFields count="20">
    <cacheField name="OrderID" numFmtId="0">
      <sharedItems/>
    </cacheField>
    <cacheField name="OrderDate" numFmtId="164">
      <sharedItems containsSemiMixedTypes="0" containsNonDate="0" containsDate="1" containsString="0" minDate="2020-01-02T00:00:00" maxDate="2025-01-01T00:00:00" count="1437">
        <d v="2021-03-13T00:00:00"/>
        <d v="2021-10-29T00:00:00"/>
        <d v="2020-08-23T00:00:00"/>
        <d v="2024-07-13T00:00:00"/>
        <d v="2024-11-23T00:00:00"/>
        <d v="2023-11-26T00:00:00"/>
        <d v="2020-01-25T00:00:00"/>
        <d v="2021-10-02T00:00:00"/>
        <d v="2023-11-08T00:00:00"/>
        <d v="2021-10-18T00:00:00"/>
        <d v="2024-12-19T00:00:00"/>
        <d v="2021-02-06T00:00:00"/>
        <d v="2023-08-31T00:00:00"/>
        <d v="2022-06-23T00:00:00"/>
        <d v="2023-10-04T00:00:00"/>
        <d v="2023-10-12T00:00:00"/>
        <d v="2023-01-30T00:00:00"/>
        <d v="2023-10-17T00:00:00"/>
        <d v="2023-10-16T00:00:00"/>
        <d v="2024-09-27T00:00:00"/>
        <d v="2024-09-15T00:00:00"/>
        <d v="2022-01-05T00:00:00"/>
        <d v="2023-07-01T00:00:00"/>
        <d v="2024-05-07T00:00:00"/>
        <d v="2023-07-24T00:00:00"/>
        <d v="2023-06-26T00:00:00"/>
        <d v="2021-08-09T00:00:00"/>
        <d v="2023-07-14T00:00:00"/>
        <d v="2021-08-31T00:00:00"/>
        <d v="2023-02-07T00:00:00"/>
        <d v="2024-09-22T00:00:00"/>
        <d v="2022-10-08T00:00:00"/>
        <d v="2022-10-04T00:00:00"/>
        <d v="2024-12-22T00:00:00"/>
        <d v="2022-01-15T00:00:00"/>
        <d v="2021-08-25T00:00:00"/>
        <d v="2024-01-27T00:00:00"/>
        <d v="2024-08-26T00:00:00"/>
        <d v="2024-02-08T00:00:00"/>
        <d v="2024-09-07T00:00:00"/>
        <d v="2023-10-31T00:00:00"/>
        <d v="2021-05-13T00:00:00"/>
        <d v="2022-01-09T00:00:00"/>
        <d v="2022-05-09T00:00:00"/>
        <d v="2024-04-09T00:00:00"/>
        <d v="2023-01-07T00:00:00"/>
        <d v="2021-10-16T00:00:00"/>
        <d v="2020-02-20T00:00:00"/>
        <d v="2022-05-25T00:00:00"/>
        <d v="2024-10-31T00:00:00"/>
        <d v="2023-01-14T00:00:00"/>
        <d v="2023-11-22T00:00:00"/>
        <d v="2020-05-09T00:00:00"/>
        <d v="2024-04-14T00:00:00"/>
        <d v="2023-02-17T00:00:00"/>
        <d v="2021-04-08T00:00:00"/>
        <d v="2023-03-18T00:00:00"/>
        <d v="2022-06-12T00:00:00"/>
        <d v="2024-01-08T00:00:00"/>
        <d v="2022-09-07T00:00:00"/>
        <d v="2023-01-15T00:00:00"/>
        <d v="2022-12-16T00:00:00"/>
        <d v="2024-10-27T00:00:00"/>
        <d v="2024-12-03T00:00:00"/>
        <d v="2021-05-09T00:00:00"/>
        <d v="2021-03-09T00:00:00"/>
        <d v="2024-07-22T00:00:00"/>
        <d v="2021-04-30T00:00:00"/>
        <d v="2022-09-10T00:00:00"/>
        <d v="2023-07-28T00:00:00"/>
        <d v="2024-08-20T00:00:00"/>
        <d v="2021-11-02T00:00:00"/>
        <d v="2020-08-03T00:00:00"/>
        <d v="2023-01-16T00:00:00"/>
        <d v="2024-07-14T00:00:00"/>
        <d v="2024-07-30T00:00:00"/>
        <d v="2020-07-09T00:00:00"/>
        <d v="2023-04-25T00:00:00"/>
        <d v="2024-12-21T00:00:00"/>
        <d v="2024-02-16T00:00:00"/>
        <d v="2023-12-12T00:00:00"/>
        <d v="2023-09-27T00:00:00"/>
        <d v="2020-08-08T00:00:00"/>
        <d v="2023-10-21T00:00:00"/>
        <d v="2023-09-26T00:00:00"/>
        <d v="2024-11-26T00:00:00"/>
        <d v="2022-10-17T00:00:00"/>
        <d v="2020-07-07T00:00:00"/>
        <d v="2022-09-01T00:00:00"/>
        <d v="2023-07-06T00:00:00"/>
        <d v="2023-11-05T00:00:00"/>
        <d v="2022-03-07T00:00:00"/>
        <d v="2024-03-20T00:00:00"/>
        <d v="2023-11-16T00:00:00"/>
        <d v="2024-08-28T00:00:00"/>
        <d v="2020-09-03T00:00:00"/>
        <d v="2022-07-22T00:00:00"/>
        <d v="2022-08-30T00:00:00"/>
        <d v="2022-06-04T00:00:00"/>
        <d v="2024-05-29T00:00:00"/>
        <d v="2022-08-29T00:00:00"/>
        <d v="2024-06-10T00:00:00"/>
        <d v="2024-08-11T00:00:00"/>
        <d v="2021-05-31T00:00:00"/>
        <d v="2022-11-24T00:00:00"/>
        <d v="2023-07-05T00:00:00"/>
        <d v="2021-04-06T00:00:00"/>
        <d v="2021-02-07T00:00:00"/>
        <d v="2024-11-22T00:00:00"/>
        <d v="2024-02-03T00:00:00"/>
        <d v="2024-05-25T00:00:00"/>
        <d v="2023-11-06T00:00:00"/>
        <d v="2023-06-04T00:00:00"/>
        <d v="2022-06-26T00:00:00"/>
        <d v="2022-03-23T00:00:00"/>
        <d v="2022-01-26T00:00:00"/>
        <d v="2022-03-15T00:00:00"/>
        <d v="2024-06-12T00:00:00"/>
        <d v="2023-12-19T00:00:00"/>
        <d v="2023-01-17T00:00:00"/>
        <d v="2023-05-07T00:00:00"/>
        <d v="2021-12-13T00:00:00"/>
        <d v="2023-04-14T00:00:00"/>
        <d v="2024-02-21T00:00:00"/>
        <d v="2024-11-29T00:00:00"/>
        <d v="2020-10-17T00:00:00"/>
        <d v="2022-04-06T00:00:00"/>
        <d v="2021-06-15T00:00:00"/>
        <d v="2023-08-27T00:00:00"/>
        <d v="2023-08-21T00:00:00"/>
        <d v="2023-02-01T00:00:00"/>
        <d v="2020-03-08T00:00:00"/>
        <d v="2022-02-02T00:00:00"/>
        <d v="2024-08-17T00:00:00"/>
        <d v="2024-01-12T00:00:00"/>
        <d v="2024-04-29T00:00:00"/>
        <d v="2022-09-11T00:00:00"/>
        <d v="2024-08-25T00:00:00"/>
        <d v="2021-09-03T00:00:00"/>
        <d v="2021-04-28T00:00:00"/>
        <d v="2021-10-07T00:00:00"/>
        <d v="2021-08-22T00:00:00"/>
        <d v="2024-04-01T00:00:00"/>
        <d v="2021-12-17T00:00:00"/>
        <d v="2024-02-18T00:00:00"/>
        <d v="2021-06-11T00:00:00"/>
        <d v="2024-03-12T00:00:00"/>
        <d v="2022-08-19T00:00:00"/>
        <d v="2020-03-19T00:00:00"/>
        <d v="2024-10-19T00:00:00"/>
        <d v="2024-11-16T00:00:00"/>
        <d v="2021-06-14T00:00:00"/>
        <d v="2024-04-12T00:00:00"/>
        <d v="2021-06-05T00:00:00"/>
        <d v="2020-07-03T00:00:00"/>
        <d v="2022-01-06T00:00:00"/>
        <d v="2020-02-23T00:00:00"/>
        <d v="2024-08-19T00:00:00"/>
        <d v="2022-08-07T00:00:00"/>
        <d v="2021-05-23T00:00:00"/>
        <d v="2022-08-23T00:00:00"/>
        <d v="2023-10-22T00:00:00"/>
        <d v="2022-01-22T00:00:00"/>
        <d v="2022-10-21T00:00:00"/>
        <d v="2024-07-07T00:00:00"/>
        <d v="2022-04-19T00:00:00"/>
        <d v="2023-03-05T00:00:00"/>
        <d v="2022-11-29T00:00:00"/>
        <d v="2023-01-05T00:00:00"/>
        <d v="2021-03-10T00:00:00"/>
        <d v="2024-02-14T00:00:00"/>
        <d v="2022-12-20T00:00:00"/>
        <d v="2023-02-06T00:00:00"/>
        <d v="2021-01-31T00:00:00"/>
        <d v="2023-04-15T00:00:00"/>
        <d v="2023-01-29T00:00:00"/>
        <d v="2024-05-17T00:00:00"/>
        <d v="2021-03-22T00:00:00"/>
        <d v="2024-12-01T00:00:00"/>
        <d v="2023-01-24T00:00:00"/>
        <d v="2021-07-08T00:00:00"/>
        <d v="2024-01-01T00:00:00"/>
        <d v="2021-09-24T00:00:00"/>
        <d v="2021-05-30T00:00:00"/>
        <d v="2021-08-19T00:00:00"/>
        <d v="2024-11-04T00:00:00"/>
        <d v="2023-10-09T00:00:00"/>
        <d v="2023-11-27T00:00:00"/>
        <d v="2024-08-09T00:00:00"/>
        <d v="2023-09-13T00:00:00"/>
        <d v="2022-10-06T00:00:00"/>
        <d v="2023-12-24T00:00:00"/>
        <d v="2023-01-01T00:00:00"/>
        <d v="2024-07-10T00:00:00"/>
        <d v="2023-11-11T00:00:00"/>
        <d v="2023-11-10T00:00:00"/>
        <d v="2024-08-16T00:00:00"/>
        <d v="2022-10-07T00:00:00"/>
        <d v="2020-03-28T00:00:00"/>
        <d v="2024-03-21T00:00:00"/>
        <d v="2024-05-15T00:00:00"/>
        <d v="2021-12-23T00:00:00"/>
        <d v="2024-10-20T00:00:00"/>
        <d v="2024-03-29T00:00:00"/>
        <d v="2023-10-10T00:00:00"/>
        <d v="2023-02-21T00:00:00"/>
        <d v="2024-04-26T00:00:00"/>
        <d v="2024-09-20T00:00:00"/>
        <d v="2022-04-12T00:00:00"/>
        <d v="2022-03-25T00:00:00"/>
        <d v="2024-11-27T00:00:00"/>
        <d v="2023-05-22T00:00:00"/>
        <d v="2022-08-03T00:00:00"/>
        <d v="2022-03-29T00:00:00"/>
        <d v="2022-06-07T00:00:00"/>
        <d v="2020-06-19T00:00:00"/>
        <d v="2022-09-02T00:00:00"/>
        <d v="2022-03-08T00:00:00"/>
        <d v="2022-09-08T00:00:00"/>
        <d v="2021-12-31T00:00:00"/>
        <d v="2024-02-23T00:00:00"/>
        <d v="2020-09-11T00:00:00"/>
        <d v="2021-05-12T00:00:00"/>
        <d v="2022-08-22T00:00:00"/>
        <d v="2023-08-13T00:00:00"/>
        <d v="2024-12-13T00:00:00"/>
        <d v="2023-01-06T00:00:00"/>
        <d v="2022-05-01T00:00:00"/>
        <d v="2024-07-05T00:00:00"/>
        <d v="2024-07-28T00:00:00"/>
        <d v="2023-12-11T00:00:00"/>
        <d v="2024-03-31T00:00:00"/>
        <d v="2022-05-31T00:00:00"/>
        <d v="2024-12-17T00:00:00"/>
        <d v="2023-10-01T00:00:00"/>
        <d v="2022-08-02T00:00:00"/>
        <d v="2022-04-01T00:00:00"/>
        <d v="2023-03-21T00:00:00"/>
        <d v="2023-09-16T00:00:00"/>
        <d v="2024-01-05T00:00:00"/>
        <d v="2020-09-21T00:00:00"/>
        <d v="2023-04-20T00:00:00"/>
        <d v="2020-05-08T00:00:00"/>
        <d v="2023-10-27T00:00:00"/>
        <d v="2021-04-23T00:00:00"/>
        <d v="2023-02-13T00:00:00"/>
        <d v="2024-10-08T00:00:00"/>
        <d v="2023-04-10T00:00:00"/>
        <d v="2021-11-25T00:00:00"/>
        <d v="2020-05-13T00:00:00"/>
        <d v="2023-12-06T00:00:00"/>
        <d v="2020-04-15T00:00:00"/>
        <d v="2023-03-31T00:00:00"/>
        <d v="2024-02-28T00:00:00"/>
        <d v="2024-11-03T00:00:00"/>
        <d v="2024-12-16T00:00:00"/>
        <d v="2020-12-13T00:00:00"/>
        <d v="2022-05-11T00:00:00"/>
        <d v="2022-04-16T00:00:00"/>
        <d v="2022-10-13T00:00:00"/>
        <d v="2021-12-25T00:00:00"/>
        <d v="2022-04-14T00:00:00"/>
        <d v="2022-07-24T00:00:00"/>
        <d v="2023-12-22T00:00:00"/>
        <d v="2024-04-22T00:00:00"/>
        <d v="2024-08-31T00:00:00"/>
        <d v="2024-07-01T00:00:00"/>
        <d v="2020-06-26T00:00:00"/>
        <d v="2023-11-19T00:00:00"/>
        <d v="2024-05-13T00:00:00"/>
        <d v="2023-09-07T00:00:00"/>
        <d v="2022-06-10T00:00:00"/>
        <d v="2023-07-19T00:00:00"/>
        <d v="2022-06-27T00:00:00"/>
        <d v="2021-11-27T00:00:00"/>
        <d v="2022-02-05T00:00:00"/>
        <d v="2024-05-24T00:00:00"/>
        <d v="2020-02-11T00:00:00"/>
        <d v="2024-07-16T00:00:00"/>
        <d v="2020-10-08T00:00:00"/>
        <d v="2023-07-22T00:00:00"/>
        <d v="2022-03-20T00:00:00"/>
        <d v="2022-05-15T00:00:00"/>
        <d v="2020-10-02T00:00:00"/>
        <d v="2021-01-17T00:00:00"/>
        <d v="2020-04-16T00:00:00"/>
        <d v="2024-06-04T00:00:00"/>
        <d v="2022-02-24T00:00:00"/>
        <d v="2022-06-11T00:00:00"/>
        <d v="2023-07-23T00:00:00"/>
        <d v="2024-09-18T00:00:00"/>
        <d v="2023-04-22T00:00:00"/>
        <d v="2022-08-11T00:00:00"/>
        <d v="2023-03-20T00:00:00"/>
        <d v="2020-07-23T00:00:00"/>
        <d v="2024-05-06T00:00:00"/>
        <d v="2022-06-29T00:00:00"/>
        <d v="2023-03-17T00:00:00"/>
        <d v="2023-11-15T00:00:00"/>
        <d v="2024-02-04T00:00:00"/>
        <d v="2021-09-14T00:00:00"/>
        <d v="2024-09-13T00:00:00"/>
        <d v="2023-12-14T00:00:00"/>
        <d v="2021-03-12T00:00:00"/>
        <d v="2022-03-16T00:00:00"/>
        <d v="2021-04-29T00:00:00"/>
        <d v="2021-04-26T00:00:00"/>
        <d v="2023-08-20T00:00:00"/>
        <d v="2022-05-27T00:00:00"/>
        <d v="2022-06-15T00:00:00"/>
        <d v="2020-12-27T00:00:00"/>
        <d v="2021-03-16T00:00:00"/>
        <d v="2023-04-17T00:00:00"/>
        <d v="2021-05-26T00:00:00"/>
        <d v="2023-03-04T00:00:00"/>
        <d v="2024-12-27T00:00:00"/>
        <d v="2021-05-29T00:00:00"/>
        <d v="2023-07-31T00:00:00"/>
        <d v="2020-07-11T00:00:00"/>
        <d v="2024-06-03T00:00:00"/>
        <d v="2024-09-25T00:00:00"/>
        <d v="2023-11-01T00:00:00"/>
        <d v="2023-08-14T00:00:00"/>
        <d v="2022-04-02T00:00:00"/>
        <d v="2020-08-31T00:00:00"/>
        <d v="2020-06-03T00:00:00"/>
        <d v="2024-08-10T00:00:00"/>
        <d v="2022-11-03T00:00:00"/>
        <d v="2023-05-30T00:00:00"/>
        <d v="2023-11-17T00:00:00"/>
        <d v="2024-03-05T00:00:00"/>
        <d v="2023-07-30T00:00:00"/>
        <d v="2024-05-23T00:00:00"/>
        <d v="2022-11-19T00:00:00"/>
        <d v="2023-09-01T00:00:00"/>
        <d v="2022-09-29T00:00:00"/>
        <d v="2024-05-03T00:00:00"/>
        <d v="2022-04-23T00:00:00"/>
        <d v="2021-12-03T00:00:00"/>
        <d v="2024-06-14T00:00:00"/>
        <d v="2021-07-21T00:00:00"/>
        <d v="2022-08-17T00:00:00"/>
        <d v="2024-09-01T00:00:00"/>
        <d v="2024-11-18T00:00:00"/>
        <d v="2023-06-07T00:00:00"/>
        <d v="2021-01-26T00:00:00"/>
        <d v="2022-12-23T00:00:00"/>
        <d v="2020-11-29T00:00:00"/>
        <d v="2023-01-20T00:00:00"/>
        <d v="2024-10-03T00:00:00"/>
        <d v="2020-11-26T00:00:00"/>
        <d v="2021-05-01T00:00:00"/>
        <d v="2021-08-30T00:00:00"/>
        <d v="2021-12-21T00:00:00"/>
        <d v="2024-10-22T00:00:00"/>
        <d v="2022-04-24T00:00:00"/>
        <d v="2023-05-04T00:00:00"/>
        <d v="2020-08-20T00:00:00"/>
        <d v="2024-12-23T00:00:00"/>
        <d v="2023-01-21T00:00:00"/>
        <d v="2024-04-25T00:00:00"/>
        <d v="2023-09-30T00:00:00"/>
        <d v="2024-08-15T00:00:00"/>
        <d v="2021-03-24T00:00:00"/>
        <d v="2021-12-29T00:00:00"/>
        <d v="2021-01-13T00:00:00"/>
        <d v="2022-12-10T00:00:00"/>
        <d v="2023-02-14T00:00:00"/>
        <d v="2023-12-30T00:00:00"/>
        <d v="2020-05-14T00:00:00"/>
        <d v="2024-11-02T00:00:00"/>
        <d v="2020-03-26T00:00:00"/>
        <d v="2024-07-29T00:00:00"/>
        <d v="2021-08-24T00:00:00"/>
        <d v="2022-03-02T00:00:00"/>
        <d v="2020-02-25T00:00:00"/>
        <d v="2021-12-10T00:00:00"/>
        <d v="2020-10-23T00:00:00"/>
        <d v="2023-04-05T00:00:00"/>
        <d v="2023-07-04T00:00:00"/>
        <d v="2024-04-06T00:00:00"/>
        <d v="2023-02-22T00:00:00"/>
        <d v="2024-11-25T00:00:00"/>
        <d v="2024-01-16T00:00:00"/>
        <d v="2023-09-10T00:00:00"/>
        <d v="2024-03-01T00:00:00"/>
        <d v="2021-07-19T00:00:00"/>
        <d v="2023-06-30T00:00:00"/>
        <d v="2023-08-05T00:00:00"/>
        <d v="2021-09-12T00:00:00"/>
        <d v="2022-06-02T00:00:00"/>
        <d v="2023-04-06T00:00:00"/>
        <d v="2022-03-24T00:00:00"/>
        <d v="2022-07-06T00:00:00"/>
        <d v="2024-05-08T00:00:00"/>
        <d v="2021-04-20T00:00:00"/>
        <d v="2024-07-04T00:00:00"/>
        <d v="2023-09-17T00:00:00"/>
        <d v="2022-11-18T00:00:00"/>
        <d v="2023-06-17T00:00:00"/>
        <d v="2020-08-24T00:00:00"/>
        <d v="2021-04-03T00:00:00"/>
        <d v="2023-06-23T00:00:00"/>
        <d v="2021-08-29T00:00:00"/>
        <d v="2024-03-04T00:00:00"/>
        <d v="2020-10-19T00:00:00"/>
        <d v="2024-10-18T00:00:00"/>
        <d v="2024-07-23T00:00:00"/>
        <d v="2023-07-03T00:00:00"/>
        <d v="2024-05-09T00:00:00"/>
        <d v="2024-12-09T00:00:00"/>
        <d v="2020-07-21T00:00:00"/>
        <d v="2023-10-03T00:00:00"/>
        <d v="2024-10-26T00:00:00"/>
        <d v="2023-10-11T00:00:00"/>
        <d v="2022-08-31T00:00:00"/>
        <d v="2023-12-03T00:00:00"/>
        <d v="2020-09-04T00:00:00"/>
        <d v="2021-09-15T00:00:00"/>
        <d v="2021-12-20T00:00:00"/>
        <d v="2021-03-02T00:00:00"/>
        <d v="2022-01-04T00:00:00"/>
        <d v="2021-08-08T00:00:00"/>
        <d v="2022-03-26T00:00:00"/>
        <d v="2024-12-24T00:00:00"/>
        <d v="2023-08-15T00:00:00"/>
        <d v="2022-11-22T00:00:00"/>
        <d v="2022-02-20T00:00:00"/>
        <d v="2022-05-16T00:00:00"/>
        <d v="2021-06-06T00:00:00"/>
        <d v="2021-06-28T00:00:00"/>
        <d v="2023-08-19T00:00:00"/>
        <d v="2023-03-26T00:00:00"/>
        <d v="2023-07-15T00:00:00"/>
        <d v="2023-06-16T00:00:00"/>
        <d v="2024-12-11T00:00:00"/>
        <d v="2021-09-16T00:00:00"/>
        <d v="2024-11-07T00:00:00"/>
        <d v="2024-04-17T00:00:00"/>
        <d v="2023-02-03T00:00:00"/>
        <d v="2023-08-07T00:00:00"/>
        <d v="2024-09-29T00:00:00"/>
        <d v="2022-11-17T00:00:00"/>
        <d v="2024-01-29T00:00:00"/>
        <d v="2020-04-09T00:00:00"/>
        <d v="2024-10-13T00:00:00"/>
        <d v="2024-10-16T00:00:00"/>
        <d v="2023-06-19T00:00:00"/>
        <d v="2024-07-03T00:00:00"/>
        <d v="2024-01-11T00:00:00"/>
        <d v="2020-11-11T00:00:00"/>
        <d v="2024-12-05T00:00:00"/>
        <d v="2023-05-18T00:00:00"/>
        <d v="2020-02-13T00:00:00"/>
        <d v="2020-11-30T00:00:00"/>
        <d v="2020-04-06T00:00:00"/>
        <d v="2023-07-20T00:00:00"/>
        <d v="2021-12-19T00:00:00"/>
        <d v="2021-07-30T00:00:00"/>
        <d v="2023-06-08T00:00:00"/>
        <d v="2024-08-22T00:00:00"/>
        <d v="2024-09-09T00:00:00"/>
        <d v="2023-08-25T00:00:00"/>
        <d v="2020-12-02T00:00:00"/>
        <d v="2022-04-09T00:00:00"/>
        <d v="2021-10-05T00:00:00"/>
        <d v="2024-11-28T00:00:00"/>
        <d v="2021-10-28T00:00:00"/>
        <d v="2021-04-15T00:00:00"/>
        <d v="2022-01-13T00:00:00"/>
        <d v="2024-02-05T00:00:00"/>
        <d v="2021-08-14T00:00:00"/>
        <d v="2021-07-14T00:00:00"/>
        <d v="2023-07-11T00:00:00"/>
        <d v="2021-10-17T00:00:00"/>
        <d v="2021-01-18T00:00:00"/>
        <d v="2024-02-15T00:00:00"/>
        <d v="2020-04-03T00:00:00"/>
        <d v="2021-09-06T00:00:00"/>
        <d v="2023-05-17T00:00:00"/>
        <d v="2024-01-02T00:00:00"/>
        <d v="2021-11-23T00:00:00"/>
        <d v="2023-10-08T00:00:00"/>
        <d v="2020-06-16T00:00:00"/>
        <d v="2021-10-22T00:00:00"/>
        <d v="2021-06-24T00:00:00"/>
        <d v="2022-12-07T00:00:00"/>
        <d v="2024-03-19T00:00:00"/>
        <d v="2020-12-29T00:00:00"/>
        <d v="2024-02-22T00:00:00"/>
        <d v="2021-03-07T00:00:00"/>
        <d v="2022-09-23T00:00:00"/>
        <d v="2021-06-03T00:00:00"/>
        <d v="2022-10-20T00:00:00"/>
        <d v="2021-01-05T00:00:00"/>
        <d v="2024-08-27T00:00:00"/>
        <d v="2024-02-17T00:00:00"/>
        <d v="2021-02-27T00:00:00"/>
        <d v="2022-08-13T00:00:00"/>
        <d v="2020-12-07T00:00:00"/>
        <d v="2022-02-26T00:00:00"/>
        <d v="2020-08-07T00:00:00"/>
        <d v="2023-04-03T00:00:00"/>
        <d v="2022-11-21T00:00:00"/>
        <d v="2022-01-25T00:00:00"/>
        <d v="2022-02-19T00:00:00"/>
        <d v="2024-03-07T00:00:00"/>
        <d v="2024-04-13T00:00:00"/>
        <d v="2022-09-15T00:00:00"/>
        <d v="2022-01-27T00:00:00"/>
        <d v="2022-11-10T00:00:00"/>
        <d v="2022-03-17T00:00:00"/>
        <d v="2022-01-11T00:00:00"/>
        <d v="2020-03-12T00:00:00"/>
        <d v="2022-09-19T00:00:00"/>
        <d v="2021-03-28T00:00:00"/>
        <d v="2022-06-21T00:00:00"/>
        <d v="2024-02-09T00:00:00"/>
        <d v="2021-07-17T00:00:00"/>
        <d v="2024-01-31T00:00:00"/>
        <d v="2022-01-14T00:00:00"/>
        <d v="2023-08-02T00:00:00"/>
        <d v="2020-11-24T00:00:00"/>
        <d v="2020-07-12T00:00:00"/>
        <d v="2022-07-14T00:00:00"/>
        <d v="2021-04-19T00:00:00"/>
        <d v="2022-06-08T00:00:00"/>
        <d v="2021-12-15T00:00:00"/>
        <d v="2022-04-17T00:00:00"/>
        <d v="2024-03-23T00:00:00"/>
        <d v="2024-09-06T00:00:00"/>
        <d v="2023-12-16T00:00:00"/>
        <d v="2022-08-28T00:00:00"/>
        <d v="2022-08-09T00:00:00"/>
        <d v="2024-08-02T00:00:00"/>
        <d v="2020-08-22T00:00:00"/>
        <d v="2020-04-21T00:00:00"/>
        <d v="2022-01-08T00:00:00"/>
        <d v="2023-01-27T00:00:00"/>
        <d v="2024-07-12T00:00:00"/>
        <d v="2024-11-20T00:00:00"/>
        <d v="2024-03-03T00:00:00"/>
        <d v="2021-05-21T00:00:00"/>
        <d v="2021-06-30T00:00:00"/>
        <d v="2020-04-02T00:00:00"/>
        <d v="2023-06-14T00:00:00"/>
        <d v="2024-06-11T00:00:00"/>
        <d v="2020-01-10T00:00:00"/>
        <d v="2021-07-11T00:00:00"/>
        <d v="2024-10-02T00:00:00"/>
        <d v="2023-03-03T00:00:00"/>
        <d v="2022-09-05T00:00:00"/>
        <d v="2020-01-07T00:00:00"/>
        <d v="2022-10-09T00:00:00"/>
        <d v="2024-10-21T00:00:00"/>
        <d v="2023-06-29T00:00:00"/>
        <d v="2022-04-08T00:00:00"/>
        <d v="2022-12-05T00:00:00"/>
        <d v="2020-06-30T00:00:00"/>
        <d v="2022-12-17T00:00:00"/>
        <d v="2022-05-05T00:00:00"/>
        <d v="2020-01-29T00:00:00"/>
        <d v="2024-09-21T00:00:00"/>
        <d v="2020-11-05T00:00:00"/>
        <d v="2024-10-06T00:00:00"/>
        <d v="2023-10-29T00:00:00"/>
        <d v="2023-01-18T00:00:00"/>
        <d v="2023-07-12T00:00:00"/>
        <d v="2020-04-04T00:00:00"/>
        <d v="2022-02-06T00:00:00"/>
        <d v="2022-12-27T00:00:00"/>
        <d v="2024-05-14T00:00:00"/>
        <d v="2020-09-09T00:00:00"/>
        <d v="2023-08-09T00:00:00"/>
        <d v="2022-07-07T00:00:00"/>
        <d v="2020-05-22T00:00:00"/>
        <d v="2024-05-01T00:00:00"/>
        <d v="2022-12-01T00:00:00"/>
        <d v="2024-04-21T00:00:00"/>
        <d v="2020-06-29T00:00:00"/>
        <d v="2023-05-25T00:00:00"/>
        <d v="2024-10-29T00:00:00"/>
        <d v="2020-04-24T00:00:00"/>
        <d v="2021-05-05T00:00:00"/>
        <d v="2023-08-18T00:00:00"/>
        <d v="2024-08-08T00:00:00"/>
        <d v="2024-06-21T00:00:00"/>
        <d v="2024-09-17T00:00:00"/>
        <d v="2023-01-25T00:00:00"/>
        <d v="2024-06-09T00:00:00"/>
        <d v="2023-03-14T00:00:00"/>
        <d v="2022-03-06T00:00:00"/>
        <d v="2024-02-10T00:00:00"/>
        <d v="2024-09-23T00:00:00"/>
        <d v="2024-09-11T00:00:00"/>
        <d v="2023-06-01T00:00:00"/>
        <d v="2022-07-23T00:00:00"/>
        <d v="2022-07-20T00:00:00"/>
        <d v="2021-04-16T00:00:00"/>
        <d v="2020-04-17T00:00:00"/>
        <d v="2021-01-07T00:00:00"/>
        <d v="2023-03-19T00:00:00"/>
        <d v="2020-03-27T00:00:00"/>
        <d v="2024-01-19T00:00:00"/>
        <d v="2024-02-11T00:00:00"/>
        <d v="2023-01-03T00:00:00"/>
        <d v="2024-08-05T00:00:00"/>
        <d v="2022-08-27T00:00:00"/>
        <d v="2020-06-07T00:00:00"/>
        <d v="2022-01-30T00:00:00"/>
        <d v="2024-06-19T00:00:00"/>
        <d v="2024-03-16T00:00:00"/>
        <d v="2022-10-18T00:00:00"/>
        <d v="2021-06-01T00:00:00"/>
        <d v="2023-04-18T00:00:00"/>
        <d v="2022-07-11T00:00:00"/>
        <d v="2022-03-10T00:00:00"/>
        <d v="2023-08-06T00:00:00"/>
        <d v="2022-02-21T00:00:00"/>
        <d v="2022-12-29T00:00:00"/>
        <d v="2023-05-10T00:00:00"/>
        <d v="2022-01-19T00:00:00"/>
        <d v="2021-09-26T00:00:00"/>
        <d v="2022-01-12T00:00:00"/>
        <d v="2020-10-20T00:00:00"/>
        <d v="2021-08-01T00:00:00"/>
        <d v="2023-08-24T00:00:00"/>
        <d v="2023-03-29T00:00:00"/>
        <d v="2022-10-03T00:00:00"/>
        <d v="2023-11-13T00:00:00"/>
        <d v="2023-12-01T00:00:00"/>
        <d v="2020-10-22T00:00:00"/>
        <d v="2023-01-13T00:00:00"/>
        <d v="2024-10-23T00:00:00"/>
        <d v="2021-05-14T00:00:00"/>
        <d v="2022-07-05T00:00:00"/>
        <d v="2022-04-27T00:00:00"/>
        <d v="2023-10-28T00:00:00"/>
        <d v="2022-04-25T00:00:00"/>
        <d v="2023-05-06T00:00:00"/>
        <d v="2021-10-25T00:00:00"/>
        <d v="2021-09-07T00:00:00"/>
        <d v="2024-04-03T00:00:00"/>
        <d v="2023-04-04T00:00:00"/>
        <d v="2021-07-22T00:00:00"/>
        <d v="2022-11-27T00:00:00"/>
        <d v="2023-04-13T00:00:00"/>
        <d v="2022-12-28T00:00:00"/>
        <d v="2021-12-27T00:00:00"/>
        <d v="2020-08-27T00:00:00"/>
        <d v="2023-02-05T00:00:00"/>
        <d v="2024-01-14T00:00:00"/>
        <d v="2021-04-18T00:00:00"/>
        <d v="2022-08-04T00:00:00"/>
        <d v="2020-05-20T00:00:00"/>
        <d v="2023-07-10T00:00:00"/>
        <d v="2023-05-16T00:00:00"/>
        <d v="2021-01-08T00:00:00"/>
        <d v="2023-05-12T00:00:00"/>
        <d v="2023-10-23T00:00:00"/>
        <d v="2022-11-25T00:00:00"/>
        <d v="2022-04-26T00:00:00"/>
        <d v="2023-11-18T00:00:00"/>
        <d v="2020-05-10T00:00:00"/>
        <d v="2021-12-07T00:00:00"/>
        <d v="2020-02-21T00:00:00"/>
        <d v="2023-10-30T00:00:00"/>
        <d v="2021-10-13T00:00:00"/>
        <d v="2022-02-16T00:00:00"/>
        <d v="2021-01-21T00:00:00"/>
        <d v="2021-01-11T00:00:00"/>
        <d v="2023-03-07T00:00:00"/>
        <d v="2023-01-28T00:00:00"/>
        <d v="2021-04-10T00:00:00"/>
        <d v="2022-02-18T00:00:00"/>
        <d v="2022-05-03T00:00:00"/>
        <d v="2024-09-24T00:00:00"/>
        <d v="2020-01-15T00:00:00"/>
        <d v="2024-02-20T00:00:00"/>
        <d v="2023-11-04T00:00:00"/>
        <d v="2024-05-11T00:00:00"/>
        <d v="2021-09-23T00:00:00"/>
        <d v="2023-05-28T00:00:00"/>
        <d v="2024-04-24T00:00:00"/>
        <d v="2024-04-15T00:00:00"/>
        <d v="2023-10-05T00:00:00"/>
        <d v="2024-01-13T00:00:00"/>
        <d v="2022-03-19T00:00:00"/>
        <d v="2020-01-21T00:00:00"/>
        <d v="2024-10-17T00:00:00"/>
        <d v="2021-11-16T00:00:00"/>
        <d v="2024-07-27T00:00:00"/>
        <d v="2022-11-13T00:00:00"/>
        <d v="2023-12-13T00:00:00"/>
        <d v="2024-12-15T00:00:00"/>
        <d v="2021-02-18T00:00:00"/>
        <d v="2022-01-07T00:00:00"/>
        <d v="2020-05-06T00:00:00"/>
        <d v="2024-11-05T00:00:00"/>
        <d v="2021-11-07T00:00:00"/>
        <d v="2020-08-10T00:00:00"/>
        <d v="2022-05-14T00:00:00"/>
        <d v="2023-06-02T00:00:00"/>
        <d v="2021-07-18T00:00:00"/>
        <d v="2021-01-01T00:00:00"/>
        <d v="2024-07-09T00:00:00"/>
        <d v="2021-07-23T00:00:00"/>
        <d v="2021-01-25T00:00:00"/>
        <d v="2022-07-03T00:00:00"/>
        <d v="2024-03-22T00:00:00"/>
        <d v="2021-04-27T00:00:00"/>
        <d v="2024-02-24T00:00:00"/>
        <d v="2022-07-27T00:00:00"/>
        <d v="2021-07-03T00:00:00"/>
        <d v="2020-01-20T00:00:00"/>
        <d v="2021-11-06T00:00:00"/>
        <d v="2022-12-26T00:00:00"/>
        <d v="2021-04-11T00:00:00"/>
        <d v="2022-07-10T00:00:00"/>
        <d v="2021-07-31T00:00:00"/>
        <d v="2023-04-26T00:00:00"/>
        <d v="2023-12-27T00:00:00"/>
        <d v="2024-10-28T00:00:00"/>
        <d v="2023-04-27T00:00:00"/>
        <d v="2021-11-21T00:00:00"/>
        <d v="2024-07-20T00:00:00"/>
        <d v="2023-10-20T00:00:00"/>
        <d v="2020-11-10T00:00:00"/>
        <d v="2022-10-24T00:00:00"/>
        <d v="2020-12-23T00:00:00"/>
        <d v="2022-05-18T00:00:00"/>
        <d v="2023-01-26T00:00:00"/>
        <d v="2023-04-01T00:00:00"/>
        <d v="2024-10-10T00:00:00"/>
        <d v="2023-07-27T00:00:00"/>
        <d v="2020-04-26T00:00:00"/>
        <d v="2022-01-28T00:00:00"/>
        <d v="2023-06-27T00:00:00"/>
        <d v="2024-05-12T00:00:00"/>
        <d v="2022-04-20T00:00:00"/>
        <d v="2020-10-03T00:00:00"/>
        <d v="2024-09-08T00:00:00"/>
        <d v="2024-12-28T00:00:00"/>
        <d v="2023-05-23T00:00:00"/>
        <d v="2022-07-28T00:00:00"/>
        <d v="2024-08-01T00:00:00"/>
        <d v="2020-05-02T00:00:00"/>
        <d v="2020-03-31T00:00:00"/>
        <d v="2024-06-28T00:00:00"/>
        <d v="2024-12-02T00:00:00"/>
        <d v="2022-07-30T00:00:00"/>
        <d v="2024-10-04T00:00:00"/>
        <d v="2021-11-29T00:00:00"/>
        <d v="2021-03-05T00:00:00"/>
        <d v="2024-04-28T00:00:00"/>
        <d v="2022-12-19T00:00:00"/>
        <d v="2024-02-26T00:00:00"/>
        <d v="2021-12-09T00:00:00"/>
        <d v="2021-02-25T00:00:00"/>
        <d v="2021-01-23T00:00:00"/>
        <d v="2022-10-28T00:00:00"/>
        <d v="2021-01-24T00:00:00"/>
        <d v="2023-06-03T00:00:00"/>
        <d v="2024-04-18T00:00:00"/>
        <d v="2024-06-17T00:00:00"/>
        <d v="2022-10-02T00:00:00"/>
        <d v="2024-03-10T00:00:00"/>
        <d v="2020-11-18T00:00:00"/>
        <d v="2023-09-02T00:00:00"/>
        <d v="2020-01-26T00:00:00"/>
        <d v="2021-11-05T00:00:00"/>
        <d v="2021-10-12T00:00:00"/>
        <d v="2023-02-02T00:00:00"/>
        <d v="2022-11-20T00:00:00"/>
        <d v="2020-05-29T00:00:00"/>
        <d v="2021-02-22T00:00:00"/>
        <d v="2021-07-27T00:00:00"/>
        <d v="2022-07-19T00:00:00"/>
        <d v="2024-11-13T00:00:00"/>
        <d v="2023-01-22T00:00:00"/>
        <d v="2021-04-22T00:00:00"/>
        <d v="2023-12-08T00:00:00"/>
        <d v="2021-06-19T00:00:00"/>
        <d v="2024-03-11T00:00:00"/>
        <d v="2020-12-17T00:00:00"/>
        <d v="2022-01-21T00:00:00"/>
        <d v="2020-12-08T00:00:00"/>
        <d v="2023-02-15T00:00:00"/>
        <d v="2020-03-24T00:00:00"/>
        <d v="2023-01-08T00:00:00"/>
        <d v="2023-08-22T00:00:00"/>
        <d v="2023-04-28T00:00:00"/>
        <d v="2020-12-10T00:00:00"/>
        <d v="2023-06-25T00:00:00"/>
        <d v="2022-02-25T00:00:00"/>
        <d v="2021-10-30T00:00:00"/>
        <d v="2024-06-18T00:00:00"/>
        <d v="2022-12-09T00:00:00"/>
        <d v="2024-08-07T00:00:00"/>
        <d v="2021-11-26T00:00:00"/>
        <d v="2022-05-26T00:00:00"/>
        <d v="2023-10-26T00:00:00"/>
        <d v="2023-11-24T00:00:00"/>
        <d v="2022-03-04T00:00:00"/>
        <d v="2024-04-02T00:00:00"/>
        <d v="2024-04-19T00:00:00"/>
        <d v="2024-01-28T00:00:00"/>
        <d v="2024-12-26T00:00:00"/>
        <d v="2024-08-12T00:00:00"/>
        <d v="2021-05-27T00:00:00"/>
        <d v="2021-12-08T00:00:00"/>
        <d v="2023-07-18T00:00:00"/>
        <d v="2023-10-13T00:00:00"/>
        <d v="2024-07-25T00:00:00"/>
        <d v="2023-09-14T00:00:00"/>
        <d v="2022-10-12T00:00:00"/>
        <d v="2024-03-25T00:00:00"/>
        <d v="2024-11-17T00:00:00"/>
        <d v="2023-05-29T00:00:00"/>
        <d v="2022-09-16T00:00:00"/>
        <d v="2020-10-24T00:00:00"/>
        <d v="2022-05-17T00:00:00"/>
        <d v="2022-10-05T00:00:00"/>
        <d v="2022-09-03T00:00:00"/>
        <d v="2023-07-25T00:00:00"/>
        <d v="2023-05-21T00:00:00"/>
        <d v="2023-10-07T00:00:00"/>
        <d v="2021-12-30T00:00:00"/>
        <d v="2024-06-01T00:00:00"/>
        <d v="2020-08-11T00:00:00"/>
        <d v="2024-09-14T00:00:00"/>
        <d v="2020-02-26T00:00:00"/>
        <d v="2023-03-27T00:00:00"/>
        <d v="2024-06-25T00:00:00"/>
        <d v="2023-11-14T00:00:00"/>
        <d v="2024-11-14T00:00:00"/>
        <d v="2022-04-30T00:00:00"/>
        <d v="2021-03-01T00:00:00"/>
        <d v="2023-12-10T00:00:00"/>
        <d v="2022-06-13T00:00:00"/>
        <d v="2022-10-29T00:00:00"/>
        <d v="2022-02-08T00:00:00"/>
        <d v="2020-02-16T00:00:00"/>
        <d v="2023-07-08T00:00:00"/>
        <d v="2020-04-29T00:00:00"/>
        <d v="2022-02-10T00:00:00"/>
        <d v="2020-03-11T00:00:00"/>
        <d v="2021-03-14T00:00:00"/>
        <d v="2022-09-06T00:00:00"/>
        <d v="2023-04-23T00:00:00"/>
        <d v="2020-11-15T00:00:00"/>
        <d v="2020-05-19T00:00:00"/>
        <d v="2024-02-12T00:00:00"/>
        <d v="2022-04-04T00:00:00"/>
        <d v="2021-11-01T00:00:00"/>
        <d v="2023-04-21T00:00:00"/>
        <d v="2020-03-23T00:00:00"/>
        <d v="2020-05-05T00:00:00"/>
        <d v="2020-08-15T00:00:00"/>
        <d v="2020-10-28T00:00:00"/>
        <d v="2023-03-28T00:00:00"/>
        <d v="2024-01-30T00:00:00"/>
        <d v="2020-12-15T00:00:00"/>
        <d v="2024-05-10T00:00:00"/>
        <d v="2024-06-24T00:00:00"/>
        <d v="2024-08-23T00:00:00"/>
        <d v="2024-07-24T00:00:00"/>
        <d v="2022-02-14T00:00:00"/>
        <d v="2024-05-21T00:00:00"/>
        <d v="2023-02-23T00:00:00"/>
        <d v="2023-03-09T00:00:00"/>
        <d v="2021-08-26T00:00:00"/>
        <d v="2024-09-05T00:00:00"/>
        <d v="2023-09-25T00:00:00"/>
        <d v="2023-05-13T00:00:00"/>
        <d v="2023-06-22T00:00:00"/>
        <d v="2023-09-18T00:00:00"/>
        <d v="2020-03-30T00:00:00"/>
        <d v="2023-11-28T00:00:00"/>
        <d v="2021-08-13T00:00:00"/>
        <d v="2020-07-16T00:00:00"/>
        <d v="2024-06-05T00:00:00"/>
        <d v="2023-05-19T00:00:00"/>
        <d v="2022-08-10T00:00:00"/>
        <d v="2021-07-28T00:00:00"/>
        <d v="2024-07-31T00:00:00"/>
        <d v="2024-01-25T00:00:00"/>
        <d v="2020-06-18T00:00:00"/>
        <d v="2023-08-23T00:00:00"/>
        <d v="2024-12-04T00:00:00"/>
        <d v="2020-04-05T00:00:00"/>
        <d v="2023-02-26T00:00:00"/>
        <d v="2021-11-15T00:00:00"/>
        <d v="2021-10-03T00:00:00"/>
        <d v="2021-02-09T00:00:00"/>
        <d v="2021-06-17T00:00:00"/>
        <d v="2022-04-03T00:00:00"/>
        <d v="2024-02-27T00:00:00"/>
        <d v="2023-09-21T00:00:00"/>
        <d v="2021-11-08T00:00:00"/>
        <d v="2021-02-08T00:00:00"/>
        <d v="2022-10-27T00:00:00"/>
        <d v="2024-03-24T00:00:00"/>
        <d v="2024-11-01T00:00:00"/>
        <d v="2024-05-30T00:00:00"/>
        <d v="2024-08-06T00:00:00"/>
        <d v="2022-07-25T00:00:00"/>
        <d v="2022-06-16T00:00:00"/>
        <d v="2022-02-22T00:00:00"/>
        <d v="2024-09-10T00:00:00"/>
        <d v="2020-11-22T00:00:00"/>
        <d v="2024-05-31T00:00:00"/>
        <d v="2023-04-24T00:00:00"/>
        <d v="2021-08-06T00:00:00"/>
        <d v="2020-01-19T00:00:00"/>
        <d v="2024-03-28T00:00:00"/>
        <d v="2023-11-20T00:00:00"/>
        <d v="2024-05-16T00:00:00"/>
        <d v="2024-10-01T00:00:00"/>
        <d v="2021-10-27T00:00:00"/>
        <d v="2020-09-28T00:00:00"/>
        <d v="2021-11-13T00:00:00"/>
        <d v="2022-07-12T00:00:00"/>
        <d v="2023-05-03T00:00:00"/>
        <d v="2020-07-10T00:00:00"/>
        <d v="2022-12-22T00:00:00"/>
        <d v="2024-05-18T00:00:00"/>
        <d v="2020-09-30T00:00:00"/>
        <d v="2021-03-19T00:00:00"/>
        <d v="2024-01-18T00:00:00"/>
        <d v="2021-05-10T00:00:00"/>
        <d v="2023-02-12T00:00:00"/>
        <d v="2020-03-07T00:00:00"/>
        <d v="2024-12-25T00:00:00"/>
        <d v="2023-09-28T00:00:00"/>
        <d v="2021-10-21T00:00:00"/>
        <d v="2020-06-17T00:00:00"/>
        <d v="2020-09-23T00:00:00"/>
        <d v="2024-10-07T00:00:00"/>
        <d v="2021-08-17T00:00:00"/>
        <d v="2020-11-21T00:00:00"/>
        <d v="2023-02-16T00:00:00"/>
        <d v="2020-02-15T00:00:00"/>
        <d v="2023-08-08T00:00:00"/>
        <d v="2022-03-18T00:00:00"/>
        <d v="2021-09-19T00:00:00"/>
        <d v="2022-06-22T00:00:00"/>
        <d v="2020-11-08T00:00:00"/>
        <d v="2020-08-26T00:00:00"/>
        <d v="2020-12-19T00:00:00"/>
        <d v="2023-09-06T00:00:00"/>
        <d v="2022-09-14T00:00:00"/>
        <d v="2020-07-15T00:00:00"/>
        <d v="2021-07-06T00:00:00"/>
        <d v="2021-01-06T00:00:00"/>
        <d v="2022-09-13T00:00:00"/>
        <d v="2023-11-03T00:00:00"/>
        <d v="2023-01-19T00:00:00"/>
        <d v="2022-08-24T00:00:00"/>
        <d v="2024-01-24T00:00:00"/>
        <d v="2022-09-25T00:00:00"/>
        <d v="2023-08-26T00:00:00"/>
        <d v="2022-03-03T00:00:00"/>
        <d v="2022-02-23T00:00:00"/>
        <d v="2022-10-16T00:00:00"/>
        <d v="2021-06-29T00:00:00"/>
        <d v="2024-11-09T00:00:00"/>
        <d v="2022-04-28T00:00:00"/>
        <d v="2024-06-30T00:00:00"/>
        <d v="2022-12-12T00:00:00"/>
        <d v="2022-09-04T00:00:00"/>
        <d v="2020-04-28T00:00:00"/>
        <d v="2020-10-30T00:00:00"/>
        <d v="2023-08-03T00:00:00"/>
        <d v="2021-08-05T00:00:00"/>
        <d v="2021-06-07T00:00:00"/>
        <d v="2022-05-23T00:00:00"/>
        <d v="2022-08-01T00:00:00"/>
        <d v="2020-01-31T00:00:00"/>
        <d v="2023-02-11T00:00:00"/>
        <d v="2021-12-26T00:00:00"/>
        <d v="2020-12-22T00:00:00"/>
        <d v="2024-05-22T00:00:00"/>
        <d v="2021-10-19T00:00:00"/>
        <d v="2024-04-05T00:00:00"/>
        <d v="2021-06-26T00:00:00"/>
        <d v="2022-11-30T00:00:00"/>
        <d v="2023-03-06T00:00:00"/>
        <d v="2022-07-29T00:00:00"/>
        <d v="2021-03-25T00:00:00"/>
        <d v="2023-09-22T00:00:00"/>
        <d v="2024-12-18T00:00:00"/>
        <d v="2024-10-12T00:00:00"/>
        <d v="2022-11-05T00:00:00"/>
        <d v="2021-05-22T00:00:00"/>
        <d v="2021-07-10T00:00:00"/>
        <d v="2020-07-14T00:00:00"/>
        <d v="2023-12-21T00:00:00"/>
        <d v="2021-07-24T00:00:00"/>
        <d v="2024-03-08T00:00:00"/>
        <d v="2024-07-08T00:00:00"/>
        <d v="2021-05-02T00:00:00"/>
        <d v="2023-04-29T00:00:00"/>
        <d v="2021-10-08T00:00:00"/>
        <d v="2021-11-12T00:00:00"/>
        <d v="2024-12-31T00:00:00"/>
        <d v="2023-01-12T00:00:00"/>
        <d v="2022-12-04T00:00:00"/>
        <d v="2020-08-14T00:00:00"/>
        <d v="2021-08-10T00:00:00"/>
        <d v="2022-01-20T00:00:00"/>
        <d v="2023-08-12T00:00:00"/>
        <d v="2023-07-16T00:00:00"/>
        <d v="2022-08-16T00:00:00"/>
        <d v="2024-01-22T00:00:00"/>
        <d v="2020-12-21T00:00:00"/>
        <d v="2023-03-13T00:00:00"/>
        <d v="2022-08-12T00:00:00"/>
        <d v="2023-03-08T00:00:00"/>
        <d v="2023-08-01T00:00:00"/>
        <d v="2024-10-05T00:00:00"/>
        <d v="2024-12-30T00:00:00"/>
        <d v="2024-05-04T00:00:00"/>
        <d v="2022-05-30T00:00:00"/>
        <d v="2022-10-14T00:00:00"/>
        <d v="2021-03-04T00:00:00"/>
        <d v="2020-12-06T00:00:00"/>
        <d v="2022-10-15T00:00:00"/>
        <d v="2020-03-18T00:00:00"/>
        <d v="2024-11-10T00:00:00"/>
        <d v="2023-09-04T00:00:00"/>
        <d v="2020-06-13T00:00:00"/>
        <d v="2023-09-03T00:00:00"/>
        <d v="2020-10-07T00:00:00"/>
        <d v="2023-01-02T00:00:00"/>
        <d v="2020-09-14T00:00:00"/>
        <d v="2021-03-11T00:00:00"/>
        <d v="2021-11-03T00:00:00"/>
        <d v="2021-10-26T00:00:00"/>
        <d v="2022-02-03T00:00:00"/>
        <d v="2023-04-11T00:00:00"/>
        <d v="2022-11-11T00:00:00"/>
        <d v="2022-08-15T00:00:00"/>
        <d v="2020-02-01T00:00:00"/>
        <d v="2024-02-29T00:00:00"/>
        <d v="2023-12-05T00:00:00"/>
        <d v="2020-11-20T00:00:00"/>
        <d v="2020-05-30T00:00:00"/>
        <d v="2021-12-04T00:00:00"/>
        <d v="2022-11-07T00:00:00"/>
        <d v="2020-06-09T00:00:00"/>
        <d v="2020-08-25T00:00:00"/>
        <d v="2023-08-16T00:00:00"/>
        <d v="2021-12-06T00:00:00"/>
        <d v="2021-11-10T00:00:00"/>
        <d v="2021-05-24T00:00:00"/>
        <d v="2024-04-20T00:00:00"/>
        <d v="2023-04-19T00:00:00"/>
        <d v="2024-11-15T00:00:00"/>
        <d v="2021-05-06T00:00:00"/>
        <d v="2021-04-04T00:00:00"/>
        <d v="2020-03-16T00:00:00"/>
        <d v="2022-11-23T00:00:00"/>
        <d v="2024-09-26T00:00:00"/>
        <d v="2023-07-17T00:00:00"/>
        <d v="2021-07-02T00:00:00"/>
        <d v="2023-04-08T00:00:00"/>
        <d v="2023-03-01T00:00:00"/>
        <d v="2023-12-31T00:00:00"/>
        <d v="2023-08-04T00:00:00"/>
        <d v="2021-06-13T00:00:00"/>
        <d v="2021-11-30T00:00:00"/>
        <d v="2024-07-17T00:00:00"/>
        <d v="2023-09-09T00:00:00"/>
        <d v="2022-05-13T00:00:00"/>
        <d v="2022-12-02T00:00:00"/>
        <d v="2020-07-05T00:00:00"/>
        <d v="2022-03-27T00:00:00"/>
        <d v="2021-09-29T00:00:00"/>
        <d v="2022-12-14T00:00:00"/>
        <d v="2023-03-22T00:00:00"/>
        <d v="2024-06-22T00:00:00"/>
        <d v="2020-11-25T00:00:00"/>
        <d v="2020-11-28T00:00:00"/>
        <d v="2024-05-02T00:00:00"/>
        <d v="2020-10-06T00:00:00"/>
        <d v="2021-07-25T00:00:00"/>
        <d v="2021-01-15T00:00:00"/>
        <d v="2021-12-28T00:00:00"/>
        <d v="2022-06-30T00:00:00"/>
        <d v="2024-04-30T00:00:00"/>
        <d v="2023-05-14T00:00:00"/>
        <d v="2024-10-14T00:00:00"/>
        <d v="2021-05-19T00:00:00"/>
        <d v="2024-05-28T00:00:00"/>
        <d v="2023-12-28T00:00:00"/>
        <d v="2020-02-06T00:00:00"/>
        <d v="2024-04-08T00:00:00"/>
        <d v="2021-06-25T00:00:00"/>
        <d v="2021-02-13T00:00:00"/>
        <d v="2024-03-17T00:00:00"/>
        <d v="2022-01-17T00:00:00"/>
        <d v="2021-07-07T00:00:00"/>
        <d v="2021-08-02T00:00:00"/>
        <d v="2023-03-23T00:00:00"/>
        <d v="2023-07-21T00:00:00"/>
        <d v="2024-06-02T00:00:00"/>
        <d v="2024-10-15T00:00:00"/>
        <d v="2022-12-11T00:00:00"/>
        <d v="2022-08-26T00:00:00"/>
        <d v="2020-12-03T00:00:00"/>
        <d v="2020-12-11T00:00:00"/>
        <d v="2021-12-18T00:00:00"/>
        <d v="2023-09-19T00:00:00"/>
        <d v="2023-05-24T00:00:00"/>
        <d v="2021-08-15T00:00:00"/>
        <d v="2020-08-01T00:00:00"/>
        <d v="2020-05-21T00:00:00"/>
        <d v="2023-10-24T00:00:00"/>
        <d v="2022-08-20T00:00:00"/>
        <d v="2023-12-17T00:00:00"/>
        <d v="2023-07-29T00:00:00"/>
        <d v="2023-03-30T00:00:00"/>
        <d v="2022-06-09T00:00:00"/>
        <d v="2023-08-17T00:00:00"/>
        <d v="2024-06-15T00:00:00"/>
        <d v="2021-03-23T00:00:00"/>
        <d v="2020-05-17T00:00:00"/>
        <d v="2020-07-22T00:00:00"/>
        <d v="2021-10-01T00:00:00"/>
        <d v="2023-04-12T00:00:00"/>
        <d v="2021-01-10T00:00:00"/>
        <d v="2022-12-31T00:00:00"/>
        <d v="2024-01-26T00:00:00"/>
        <d v="2024-01-07T00:00:00"/>
        <d v="2023-11-23T00:00:00"/>
        <d v="2021-04-02T00:00:00"/>
        <d v="2023-05-20T00:00:00"/>
        <d v="2024-11-11T00:00:00"/>
        <d v="2023-11-29T00:00:00"/>
        <d v="2020-05-25T00:00:00"/>
        <d v="2020-06-28T00:00:00"/>
        <d v="2022-01-24T00:00:00"/>
        <d v="2020-06-27T00:00:00"/>
        <d v="2023-02-25T00:00:00"/>
        <d v="2021-06-22T00:00:00"/>
        <d v="2020-02-05T00:00:00"/>
        <d v="2022-02-17T00:00:00"/>
        <d v="2022-06-25T00:00:00"/>
        <d v="2024-01-09T00:00:00"/>
        <d v="2020-08-21T00:00:00"/>
        <d v="2023-06-05T00:00:00"/>
        <d v="2020-01-04T00:00:00"/>
        <d v="2024-03-18T00:00:00"/>
        <d v="2023-12-29T00:00:00"/>
        <d v="2024-05-27T00:00:00"/>
        <d v="2022-04-07T00:00:00"/>
        <d v="2020-09-02T00:00:00"/>
        <d v="2023-01-10T00:00:00"/>
        <d v="2024-05-20T00:00:00"/>
        <d v="2022-12-13T00:00:00"/>
        <d v="2024-08-29T00:00:00"/>
        <d v="2023-07-02T00:00:00"/>
        <d v="2024-11-30T00:00:00"/>
        <d v="2021-11-24T00:00:00"/>
        <d v="2024-12-10T00:00:00"/>
        <d v="2021-10-11T00:00:00"/>
        <d v="2020-05-04T00:00:00"/>
        <d v="2022-07-04T00:00:00"/>
        <d v="2023-02-04T00:00:00"/>
        <d v="2022-02-07T00:00:00"/>
        <d v="2022-12-15T00:00:00"/>
        <d v="2022-02-28T00:00:00"/>
        <d v="2023-02-10T00:00:00"/>
        <d v="2020-11-12T00:00:00"/>
        <d v="2022-10-23T00:00:00"/>
        <d v="2021-08-03T00:00:00"/>
        <d v="2023-05-31T00:00:00"/>
        <d v="2021-05-03T00:00:00"/>
        <d v="2022-06-03T00:00:00"/>
        <d v="2024-11-21T00:00:00"/>
        <d v="2024-08-18T00:00:00"/>
        <d v="2022-10-31T00:00:00"/>
        <d v="2024-05-05T00:00:00"/>
        <d v="2023-02-08T00:00:00"/>
        <d v="2024-01-21T00:00:00"/>
        <d v="2020-12-01T00:00:00"/>
        <d v="2020-05-07T00:00:00"/>
        <d v="2020-12-09T00:00:00"/>
        <d v="2022-11-08T00:00:00"/>
        <d v="2021-05-18T00:00:00"/>
        <d v="2022-01-16T00:00:00"/>
        <d v="2024-03-30T00:00:00"/>
        <d v="2021-04-07T00:00:00"/>
        <d v="2021-10-23T00:00:00"/>
        <d v="2024-12-08T00:00:00"/>
        <d v="2021-02-14T00:00:00"/>
        <d v="2024-04-11T00:00:00"/>
        <d v="2021-03-27T00:00:00"/>
        <d v="2020-07-31T00:00:00"/>
        <d v="2023-04-30T00:00:00"/>
        <d v="2020-04-07T00:00:00"/>
        <d v="2023-09-15T00:00:00"/>
        <d v="2020-09-01T00:00:00"/>
        <d v="2024-03-26T00:00:00"/>
        <d v="2020-01-06T00:00:00"/>
        <d v="2022-10-26T00:00:00"/>
        <d v="2024-01-04T00:00:00"/>
        <d v="2020-05-12T00:00:00"/>
        <d v="2021-03-17T00:00:00"/>
        <d v="2020-03-01T00:00:00"/>
        <d v="2022-04-11T00:00:00"/>
        <d v="2023-11-12T00:00:00"/>
        <d v="2022-01-23T00:00:00"/>
        <d v="2023-05-11T00:00:00"/>
        <d v="2020-08-18T00:00:00"/>
        <d v="2022-06-24T00:00:00"/>
        <d v="2022-11-01T00:00:00"/>
        <d v="2021-04-12T00:00:00"/>
        <d v="2022-12-08T00:00:00"/>
        <d v="2021-09-08T00:00:00"/>
        <d v="2023-01-04T00:00:00"/>
        <d v="2020-02-22T00:00:00"/>
        <d v="2022-12-21T00:00:00"/>
        <d v="2023-08-10T00:00:00"/>
        <d v="2021-09-09T00:00:00"/>
        <d v="2023-12-04T00:00:00"/>
        <d v="2020-07-04T00:00:00"/>
        <d v="2020-03-15T00:00:00"/>
        <d v="2024-12-20T00:00:00"/>
        <d v="2022-08-18T00:00:00"/>
        <d v="2023-05-02T00:00:00"/>
        <d v="2023-05-05T00:00:00"/>
        <d v="2021-08-18T00:00:00"/>
        <d v="2021-06-18T00:00:00"/>
        <d v="2024-10-24T00:00:00"/>
        <d v="2024-09-16T00:00:00"/>
        <d v="2023-09-23T00:00:00"/>
        <d v="2022-03-11T00:00:00"/>
        <d v="2022-05-21T00:00:00"/>
        <d v="2020-12-20T00:00:00"/>
        <d v="2023-10-19T00:00:00"/>
        <d v="2024-10-25T00:00:00"/>
        <d v="2023-03-16T00:00:00"/>
        <d v="2024-07-21T00:00:00"/>
        <d v="2021-02-12T00:00:00"/>
        <d v="2024-03-06T00:00:00"/>
        <d v="2023-12-02T00:00:00"/>
        <d v="2024-02-25T00:00:00"/>
        <d v="2021-05-25T00:00:00"/>
        <d v="2021-12-16T00:00:00"/>
        <d v="2022-06-06T00:00:00"/>
        <d v="2024-01-17T00:00:00"/>
        <d v="2024-09-28T00:00:00"/>
        <d v="2021-12-12T00:00:00"/>
        <d v="2022-07-13T00:00:00"/>
        <d v="2021-06-21T00:00:00"/>
        <d v="2020-01-27T00:00:00"/>
        <d v="2021-02-28T00:00:00"/>
        <d v="2020-05-03T00:00:00"/>
        <d v="2024-07-02T00:00:00"/>
        <d v="2022-10-25T00:00:00"/>
        <d v="2021-05-04T00:00:00"/>
        <d v="2024-02-02T00:00:00"/>
        <d v="2022-11-26T00:00:00"/>
        <d v="2024-06-27T00:00:00"/>
        <d v="2023-05-01T00:00:00"/>
        <d v="2021-07-12T00:00:00"/>
        <d v="2020-08-06T00:00:00"/>
        <d v="2024-06-07T00:00:00"/>
        <d v="2022-01-29T00:00:00"/>
        <d v="2021-01-12T00:00:00"/>
        <d v="2024-03-13T00:00:00"/>
        <d v="2022-12-18T00:00:00"/>
        <d v="2024-08-03T00:00:00"/>
        <d v="2024-08-13T00:00:00"/>
        <d v="2021-11-18T00:00:00"/>
        <d v="2022-01-03T00:00:00"/>
        <d v="2021-09-01T00:00:00"/>
        <d v="2021-10-06T00:00:00"/>
        <d v="2022-05-12T00:00:00"/>
        <d v="2020-04-22T00:00:00"/>
        <d v="2020-10-09T00:00:00"/>
        <d v="2023-07-13T00:00:00"/>
        <d v="2022-11-06T00:00:00"/>
        <d v="2022-06-14T00:00:00"/>
        <d v="2021-01-03T00:00:00"/>
        <d v="2023-06-10T00:00:00"/>
        <d v="2023-12-09T00:00:00"/>
        <d v="2021-05-08T00:00:00"/>
        <d v="2022-03-22T00:00:00"/>
        <d v="2022-08-25T00:00:00"/>
        <d v="2024-09-12T00:00:00"/>
        <d v="2024-04-07T00:00:00"/>
        <d v="2020-08-12T00:00:00"/>
        <d v="2024-12-12T00:00:00"/>
        <d v="2021-02-20T00:00:00"/>
        <d v="2022-10-22T00:00:00"/>
        <d v="2021-11-17T00:00:00"/>
        <d v="2024-08-14T00:00:00"/>
        <d v="2024-10-11T00:00:00"/>
        <d v="2020-06-22T00:00:00"/>
        <d v="2021-03-18T00:00:00"/>
        <d v="2022-12-30T00:00:00"/>
        <d v="2024-05-19T00:00:00"/>
        <d v="2022-10-19T00:00:00"/>
        <d v="2024-06-23T00:00:00"/>
        <d v="2022-05-22T00:00:00"/>
        <d v="2023-09-12T00:00:00"/>
        <d v="2020-03-06T00:00:00"/>
        <d v="2022-05-07T00:00:00"/>
        <d v="2021-12-01T00:00:00"/>
        <d v="2022-07-09T00:00:00"/>
        <d v="2020-12-28T00:00:00"/>
        <d v="2024-01-06T00:00:00"/>
        <d v="2022-07-18T00:00:00"/>
        <d v="2022-09-26T00:00:00"/>
        <d v="2024-12-29T00:00:00"/>
        <d v="2020-03-29T00:00:00"/>
        <d v="2022-04-10T00:00:00"/>
        <d v="2023-06-13T00:00:00"/>
        <d v="2024-07-18T00:00:00"/>
        <d v="2021-02-23T00:00:00"/>
        <d v="2023-01-31T00:00:00"/>
        <d v="2024-11-19T00:00:00"/>
        <d v="2024-07-19T00:00:00"/>
        <d v="2023-09-29T00:00:00"/>
        <d v="2022-06-05T00:00:00"/>
        <d v="2024-12-14T00:00:00"/>
        <d v="2022-10-30T00:00:00"/>
        <d v="2022-03-28T00:00:00"/>
        <d v="2021-02-11T00:00:00"/>
        <d v="2020-06-12T00:00:00"/>
        <d v="2020-04-12T00:00:00"/>
        <d v="2023-06-21T00:00:00"/>
        <d v="2023-09-11T00:00:00"/>
        <d v="2024-06-08T00:00:00"/>
        <d v="2020-05-11T00:00:00"/>
        <d v="2023-07-07T00:00:00"/>
        <d v="2022-06-20T00:00:00"/>
        <d v="2022-03-30T00:00:00"/>
        <d v="2024-06-20T00:00:00"/>
        <d v="2022-12-25T00:00:00"/>
        <d v="2024-03-02T00:00:00"/>
        <d v="2022-09-09T00:00:00"/>
        <d v="2024-10-09T00:00:00"/>
        <d v="2021-08-28T00:00:00"/>
        <d v="2021-06-16T00:00:00"/>
        <d v="2021-02-24T00:00:00"/>
        <d v="2020-12-31T00:00:00"/>
        <d v="2020-09-18T00:00:00"/>
        <d v="2022-09-22T00:00:00"/>
        <d v="2022-02-13T00:00:00"/>
        <d v="2021-11-04T00:00:00"/>
        <d v="2024-02-07T00:00:00"/>
        <d v="2022-04-15T00:00:00"/>
        <d v="2021-12-02T00:00:00"/>
        <d v="2024-04-27T00:00:00"/>
        <d v="2020-06-21T00:00:00"/>
        <d v="2022-05-19T00:00:00"/>
        <d v="2020-07-19T00:00:00"/>
        <d v="2021-03-21T00:00:00"/>
        <d v="2020-02-08T00:00:00"/>
        <d v="2023-03-15T00:00:00"/>
        <d v="2021-11-11T00:00:00"/>
        <d v="2023-09-20T00:00:00"/>
        <d v="2024-07-11T00:00:00"/>
        <d v="2023-06-28T00:00:00"/>
        <d v="2020-03-03T00:00:00"/>
        <d v="2021-04-24T00:00:00"/>
        <d v="2020-08-05T00:00:00"/>
        <d v="2022-08-06T00:00:00"/>
        <d v="2020-10-12T00:00:00"/>
        <d v="2024-09-04T00:00:00"/>
        <d v="2020-12-05T00:00:00"/>
        <d v="2024-11-06T00:00:00"/>
        <d v="2024-07-26T00:00:00"/>
        <d v="2020-09-06T00:00:00"/>
        <d v="2024-01-15T00:00:00"/>
        <d v="2021-10-20T00:00:00"/>
        <d v="2022-06-17T00:00:00"/>
        <d v="2024-07-15T00:00:00"/>
        <d v="2024-02-06T00:00:00"/>
        <d v="2023-04-16T00:00:00"/>
        <d v="2023-06-06T00:00:00"/>
        <d v="2024-06-13T00:00:00"/>
        <d v="2023-06-24T00:00:00"/>
        <d v="2023-12-15T00:00:00"/>
        <d v="2021-09-11T00:00:00"/>
        <d v="2021-01-28T00:00:00"/>
        <d v="2022-03-31T00:00:00"/>
        <d v="2020-02-12T00:00:00"/>
        <d v="2022-06-18T00:00:00"/>
        <d v="2021-02-02T00:00:00"/>
        <d v="2020-01-17T00:00:00"/>
        <d v="2023-09-05T00:00:00"/>
        <d v="2024-11-12T00:00:00"/>
        <d v="2021-03-26T00:00:00"/>
        <d v="2024-07-06T00:00:00"/>
        <d v="2024-01-23T00:00:00"/>
        <d v="2024-01-03T00:00:00"/>
        <d v="2021-08-16T00:00:00"/>
        <d v="2020-07-27T00:00:00"/>
        <d v="2022-08-21T00:00:00"/>
        <d v="2020-08-09T00:00:00"/>
        <d v="2023-05-26T00:00:00"/>
        <d v="2023-11-09T00:00:00"/>
        <d v="2020-08-28T00:00:00"/>
        <d v="2023-12-26T00:00:00"/>
        <d v="2022-10-10T00:00:00"/>
        <d v="2021-03-15T00:00:00"/>
        <d v="2020-01-02T00:00:00"/>
        <d v="2021-10-14T00:00:00"/>
        <d v="2024-01-10T00:00:00"/>
        <d v="2020-01-16T00:00:00"/>
        <d v="2024-08-30T00:00:00"/>
        <d v="2022-07-01T00:00:00"/>
        <d v="2024-04-04T00:00:00"/>
        <d v="2020-10-15T00:00:00"/>
        <d v="2024-11-24T00:00:00"/>
        <d v="2021-10-24T00:00:00"/>
        <d v="2023-05-08T00:00:00"/>
        <d v="2023-08-11T00:00:00"/>
        <d v="2021-04-25T00:00:00"/>
        <d v="2020-05-24T00:00:00"/>
        <d v="2023-10-14T00:00:00"/>
        <d v="2022-11-09T00:00:00"/>
        <d v="2021-06-10T00:00:00"/>
        <d v="2022-11-28T00:00:00"/>
        <d v="2022-05-20T00:00:00"/>
        <d v="2022-09-12T00:00:00"/>
        <d v="2021-09-05T00:00:00"/>
        <d v="2023-08-30T00:00:00"/>
        <d v="2023-07-09T00:00:00"/>
        <d v="2023-01-09T00:00:00"/>
        <d v="2023-05-27T00:00:00"/>
        <d v="2021-09-21T00:00:00"/>
      </sharedItems>
      <fieldGroup par="18"/>
    </cacheField>
    <cacheField name="CustomerID" numFmtId="0">
      <sharedItems containsSemiMixedTypes="0" containsString="0" containsNumber="1" containsInteger="1" minValue="1004" maxValue="9998"/>
    </cacheField>
    <cacheField name="DateOfBirth" numFmtId="0">
      <sharedItems/>
    </cacheField>
    <cacheField name="Gender" numFmtId="0">
      <sharedItems count="2">
        <s v="Male"/>
        <s v="Female"/>
      </sharedItems>
    </cacheField>
    <cacheField name="Item-Category" numFmtId="0">
      <sharedItems count="5">
        <s v="Bag-Kids"/>
        <s v="Bag-Women"/>
        <s v="Shoes-Men"/>
        <s v="Shirt-Men"/>
        <s v="Shoes-Women"/>
      </sharedItems>
    </cacheField>
    <cacheField name="SalesAmount" numFmtId="0">
      <sharedItems containsSemiMixedTypes="0" containsString="0" containsNumber="1" minValue="1513.3" maxValue="125683.85"/>
    </cacheField>
    <cacheField name="COGS" numFmtId="0">
      <sharedItems containsSemiMixedTypes="0" containsString="0" containsNumber="1" minValue="798.32" maxValue="72506.09"/>
    </cacheField>
    <cacheField name="StoreLocation" numFmtId="0">
      <sharedItems/>
    </cacheField>
    <cacheField name="Region" numFmtId="0">
      <sharedItems count="3">
        <s v="East"/>
        <s v="North"/>
        <s v="West"/>
      </sharedItems>
    </cacheField>
    <cacheField name="Size" numFmtId="0">
      <sharedItems/>
    </cacheField>
    <cacheField name="Colour" numFmtId="0">
      <sharedItems/>
    </cacheField>
    <cacheField name="Reviews" numFmtId="0">
      <sharedItems containsSemiMixedTypes="0" containsString="0" containsNumber="1" containsInteger="1" minValue="1" maxValue="5"/>
    </cacheField>
    <cacheField name="SalesMethod" numFmtId="0">
      <sharedItems count="3">
        <s v="Online"/>
        <s v="In-Store"/>
        <s v="Phone"/>
      </sharedItems>
    </cacheField>
    <cacheField name="ShoppingType" numFmtId="0">
      <sharedItems/>
    </cacheField>
    <cacheField name="PaymentType" numFmtId="0">
      <sharedItems/>
    </cacheField>
    <cacheField name="Months (OrderDate)" numFmtId="0" databaseField="0">
      <fieldGroup base="1">
        <rangePr groupBy="months" startDate="2020-01-02T00:00:00" endDate="2025-01-01T00:00:00"/>
        <groupItems count="14">
          <s v="&lt;2 01 2020"/>
          <s v="Jan"/>
          <s v="Feb"/>
          <s v="Mar"/>
          <s v="Apr"/>
          <s v="May"/>
          <s v="Jun"/>
          <s v="Jul"/>
          <s v="Aug"/>
          <s v="Sep"/>
          <s v="Oct"/>
          <s v="Nov"/>
          <s v="Dec"/>
          <s v="&gt;1 01 2025"/>
        </groupItems>
      </fieldGroup>
    </cacheField>
    <cacheField name="Quarters (OrderDate)" numFmtId="0" databaseField="0">
      <fieldGroup base="1">
        <rangePr groupBy="quarters" startDate="2020-01-02T00:00:00" endDate="2025-01-01T00:00:00"/>
        <groupItems count="6">
          <s v="&lt;2 01 2020"/>
          <s v="Qtr1"/>
          <s v="Qtr2"/>
          <s v="Qtr3"/>
          <s v="Qtr4"/>
          <s v="&gt;1 01 2025"/>
        </groupItems>
      </fieldGroup>
    </cacheField>
    <cacheField name="Years (OrderDate)" numFmtId="0" databaseField="0">
      <fieldGroup base="1">
        <rangePr groupBy="years" startDate="2020-01-02T00:00:00" endDate="2025-01-01T00:00:00"/>
        <groupItems count="8">
          <s v="&lt;2 01 2020"/>
          <s v="2020"/>
          <s v="2021"/>
          <s v="2022"/>
          <s v="2023"/>
          <s v="2024"/>
          <s v="2025"/>
          <s v="&gt;1 01 2025"/>
        </groupItems>
      </fieldGroup>
    </cacheField>
    <cacheField name="Profit" numFmtId="0" formula="SalesAmount-COGS" databaseField="0"/>
  </cacheFields>
  <extLst>
    <ext xmlns:x14="http://schemas.microsoft.com/office/spreadsheetml/2009/9/main" uri="{725AE2AE-9491-48be-B2B4-4EB974FC3084}">
      <x14:pivotCacheDefinition pivotCacheId="1031174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s v="ORD-202400001"/>
    <x v="0"/>
    <n v="9935"/>
    <s v="07/08/1974"/>
    <x v="0"/>
    <x v="0"/>
    <n v="10252.82"/>
    <n v="4678.9399999999996"/>
    <s v="New York"/>
    <x v="0"/>
    <s v="S"/>
    <s v="Blue"/>
    <n v="2"/>
    <x v="0"/>
    <s v="Retail"/>
    <s v="Cash"/>
  </r>
  <r>
    <s v="ORD-202400002"/>
    <x v="1"/>
    <n v="1106"/>
    <s v="24/06/1982"/>
    <x v="0"/>
    <x v="1"/>
    <n v="53519.55"/>
    <n v="27725.81"/>
    <s v="Boston"/>
    <x v="0"/>
    <s v="M"/>
    <s v="Blue"/>
    <n v="3"/>
    <x v="1"/>
    <s v="Retail"/>
    <s v="Bank Transfer"/>
  </r>
  <r>
    <s v="ORD-202400003"/>
    <x v="2"/>
    <n v="3045"/>
    <s v="20/01/1994"/>
    <x v="1"/>
    <x v="2"/>
    <n v="5400.23"/>
    <n v="2746.75"/>
    <s v="Detroit"/>
    <x v="1"/>
    <s v="L"/>
    <s v="Yellow"/>
    <n v="2"/>
    <x v="0"/>
    <s v="Retail"/>
    <s v="Cash"/>
  </r>
  <r>
    <s v="ORD-202400004"/>
    <x v="3"/>
    <n v="8428"/>
    <s v="21/06/1982"/>
    <x v="1"/>
    <x v="3"/>
    <n v="5666.47"/>
    <n v="2952.54"/>
    <s v="New York"/>
    <x v="0"/>
    <s v="L"/>
    <s v="Black"/>
    <n v="1"/>
    <x v="0"/>
    <s v="Retail"/>
    <s v="PayPal"/>
  </r>
  <r>
    <s v="ORD-202400005"/>
    <x v="4"/>
    <n v="4598"/>
    <s v="13/11/2000"/>
    <x v="1"/>
    <x v="2"/>
    <n v="52221.17"/>
    <n v="31604.25"/>
    <s v="San Francisco"/>
    <x v="2"/>
    <s v="M"/>
    <s v="Red"/>
    <n v="3"/>
    <x v="1"/>
    <s v="Retail"/>
    <s v="PayPal"/>
  </r>
  <r>
    <s v="ORD-202400006"/>
    <x v="5"/>
    <n v="3340"/>
    <s v="01/08/1990"/>
    <x v="1"/>
    <x v="4"/>
    <n v="11355.95"/>
    <n v="6802.19"/>
    <s v="Minneapolis"/>
    <x v="1"/>
    <s v="L"/>
    <s v="Black"/>
    <n v="5"/>
    <x v="1"/>
    <s v="Retail"/>
    <s v="Bank Transfer"/>
  </r>
  <r>
    <s v="ORD-202400007"/>
    <x v="6"/>
    <n v="3504"/>
    <s v="02/12/1974"/>
    <x v="0"/>
    <x v="1"/>
    <n v="62839.61"/>
    <n v="33583.5"/>
    <s v="Los Angeles"/>
    <x v="2"/>
    <s v="S"/>
    <s v="White"/>
    <n v="4"/>
    <x v="0"/>
    <s v="Retail"/>
    <s v="Bank Transfer"/>
  </r>
  <r>
    <s v="ORD-202400008"/>
    <x v="7"/>
    <n v="6573"/>
    <s v="20/12/1981"/>
    <x v="0"/>
    <x v="0"/>
    <n v="4944.29"/>
    <n v="2381.33"/>
    <s v="Chicago"/>
    <x v="1"/>
    <s v="S"/>
    <s v="Black"/>
    <n v="3"/>
    <x v="2"/>
    <s v="Wholesale"/>
    <s v="PayPal"/>
  </r>
  <r>
    <s v="ORD-202400009"/>
    <x v="8"/>
    <n v="3504"/>
    <s v="03/12/1978"/>
    <x v="1"/>
    <x v="2"/>
    <n v="27740.46"/>
    <n v="15475.73"/>
    <s v="Detroit"/>
    <x v="1"/>
    <s v="S"/>
    <s v="Yellow"/>
    <n v="3"/>
    <x v="0"/>
    <s v="Retail"/>
    <s v="Bank Transfer"/>
  </r>
  <r>
    <s v="ORD-202400010"/>
    <x v="9"/>
    <n v="2403"/>
    <s v="14/07/1973"/>
    <x v="1"/>
    <x v="2"/>
    <n v="21629.59"/>
    <n v="13964"/>
    <s v="Minneapolis"/>
    <x v="1"/>
    <s v="M"/>
    <s v="Blue"/>
    <n v="4"/>
    <x v="2"/>
    <s v="Retail"/>
    <s v="PayPal"/>
  </r>
  <r>
    <s v="ORD-202400011"/>
    <x v="10"/>
    <n v="6107"/>
    <s v="09/01/1979"/>
    <x v="1"/>
    <x v="3"/>
    <n v="14005.66"/>
    <n v="8122.94"/>
    <s v="Minneapolis"/>
    <x v="1"/>
    <s v="XL"/>
    <s v="Yellow"/>
    <n v="4"/>
    <x v="1"/>
    <s v="Retail"/>
    <s v="Bank Transfer"/>
  </r>
  <r>
    <s v="ORD-202400012"/>
    <x v="11"/>
    <n v="1964"/>
    <s v="23/04/1998"/>
    <x v="0"/>
    <x v="2"/>
    <n v="9408.7000000000007"/>
    <n v="4293.03"/>
    <s v="Seattle"/>
    <x v="2"/>
    <s v="L"/>
    <s v="Red"/>
    <n v="5"/>
    <x v="1"/>
    <s v="Wholesale"/>
    <s v="Cash"/>
  </r>
  <r>
    <s v="ORD-202400013"/>
    <x v="12"/>
    <n v="8749"/>
    <s v="25/11/1980"/>
    <x v="1"/>
    <x v="3"/>
    <n v="5612.14"/>
    <n v="2634.26"/>
    <s v="Boston"/>
    <x v="0"/>
    <s v="XL"/>
    <s v="Green"/>
    <n v="4"/>
    <x v="1"/>
    <s v="Wholesale"/>
    <s v="Cash"/>
  </r>
  <r>
    <s v="ORD-202400014"/>
    <x v="13"/>
    <n v="5073"/>
    <s v="26/11/1974"/>
    <x v="0"/>
    <x v="4"/>
    <n v="15037.73"/>
    <n v="8116.2"/>
    <s v="Boston"/>
    <x v="0"/>
    <s v="XL"/>
    <s v="Blue"/>
    <n v="3"/>
    <x v="0"/>
    <s v="Wholesale"/>
    <s v="Cash"/>
  </r>
  <r>
    <s v="ORD-202400015"/>
    <x v="14"/>
    <n v="2528"/>
    <s v="30/08/1970"/>
    <x v="0"/>
    <x v="4"/>
    <n v="19531.849999999999"/>
    <n v="10686.43"/>
    <s v="Seattle"/>
    <x v="2"/>
    <s v="M"/>
    <s v="White"/>
    <n v="1"/>
    <x v="1"/>
    <s v="Retail"/>
    <s v="Bank Transfer"/>
  </r>
  <r>
    <s v="ORD-202400016"/>
    <x v="15"/>
    <n v="8973"/>
    <s v="10/09/1999"/>
    <x v="0"/>
    <x v="2"/>
    <n v="18307.95"/>
    <n v="9035.7099999999991"/>
    <s v="San Francisco"/>
    <x v="2"/>
    <s v="S"/>
    <s v="Yellow"/>
    <n v="5"/>
    <x v="1"/>
    <s v="Retail"/>
    <s v="Cash"/>
  </r>
  <r>
    <s v="ORD-202400017"/>
    <x v="16"/>
    <n v="2312"/>
    <s v="12/10/1992"/>
    <x v="0"/>
    <x v="3"/>
    <n v="3859.99"/>
    <n v="1789.46"/>
    <s v="Boston"/>
    <x v="0"/>
    <s v="M"/>
    <s v="White"/>
    <n v="1"/>
    <x v="2"/>
    <s v="Retail"/>
    <s v="PayPal"/>
  </r>
  <r>
    <s v="ORD-202400018"/>
    <x v="17"/>
    <n v="6183"/>
    <s v="14/06/1993"/>
    <x v="1"/>
    <x v="4"/>
    <n v="17891.23"/>
    <n v="10613.76"/>
    <s v="Boston"/>
    <x v="0"/>
    <s v="M"/>
    <s v="Green"/>
    <n v="4"/>
    <x v="1"/>
    <s v="Wholesale"/>
    <s v="Bank Transfer"/>
  </r>
  <r>
    <s v="ORD-202400019"/>
    <x v="18"/>
    <n v="2200"/>
    <s v="27/06/1974"/>
    <x v="0"/>
    <x v="4"/>
    <n v="36870.47"/>
    <n v="17568.46"/>
    <s v="Los Angeles"/>
    <x v="2"/>
    <s v="L"/>
    <s v="Red"/>
    <n v="2"/>
    <x v="1"/>
    <s v="Retail"/>
    <s v="PayPal"/>
  </r>
  <r>
    <s v="ORD-202400020"/>
    <x v="19"/>
    <n v="5905"/>
    <s v="09/05/1970"/>
    <x v="0"/>
    <x v="3"/>
    <n v="17795.78"/>
    <n v="8486.06"/>
    <s v="Boston"/>
    <x v="0"/>
    <s v="S"/>
    <s v="Red"/>
    <n v="5"/>
    <x v="1"/>
    <s v="Retail"/>
    <s v="Cash"/>
  </r>
  <r>
    <s v="ORD-202400021"/>
    <x v="20"/>
    <n v="5114"/>
    <s v="01/12/1991"/>
    <x v="0"/>
    <x v="0"/>
    <n v="6047.91"/>
    <n v="3233.91"/>
    <s v="New York"/>
    <x v="0"/>
    <s v="L"/>
    <s v="Red"/>
    <n v="1"/>
    <x v="1"/>
    <s v="Retail"/>
    <s v="Bank Transfer"/>
  </r>
  <r>
    <s v="ORD-202400022"/>
    <x v="21"/>
    <n v="2232"/>
    <s v="07/01/1975"/>
    <x v="0"/>
    <x v="1"/>
    <n v="62193.71"/>
    <n v="38368.480000000003"/>
    <s v="San Francisco"/>
    <x v="2"/>
    <s v="M"/>
    <s v="White"/>
    <n v="2"/>
    <x v="1"/>
    <s v="Retail"/>
    <s v="Cash"/>
  </r>
  <r>
    <s v="ORD-202400023"/>
    <x v="22"/>
    <n v="7658"/>
    <s v="12/02/1995"/>
    <x v="0"/>
    <x v="0"/>
    <n v="14596.58"/>
    <n v="7259.57"/>
    <s v="Chicago"/>
    <x v="1"/>
    <s v="M"/>
    <s v="Blue"/>
    <n v="4"/>
    <x v="1"/>
    <s v="Wholesale"/>
    <s v="Bank Transfer"/>
  </r>
  <r>
    <s v="ORD-202400024"/>
    <x v="23"/>
    <n v="3608"/>
    <s v="20/12/1981"/>
    <x v="0"/>
    <x v="3"/>
    <n v="9102.2099999999991"/>
    <n v="4166.49"/>
    <s v="Miami"/>
    <x v="0"/>
    <s v="XL"/>
    <s v="Blue"/>
    <n v="2"/>
    <x v="2"/>
    <s v="Retail"/>
    <s v="Bank Transfer"/>
  </r>
  <r>
    <s v="ORD-202400025"/>
    <x v="24"/>
    <n v="5564"/>
    <s v="22/09/1984"/>
    <x v="0"/>
    <x v="2"/>
    <n v="33557.58"/>
    <n v="16974.259999999998"/>
    <s v="Chicago"/>
    <x v="1"/>
    <s v="XL"/>
    <s v="Black"/>
    <n v="5"/>
    <x v="1"/>
    <s v="Retail"/>
    <s v="Bank Transfer"/>
  </r>
  <r>
    <s v="ORD-202400026"/>
    <x v="25"/>
    <n v="8149"/>
    <s v="27/01/1984"/>
    <x v="0"/>
    <x v="4"/>
    <n v="30708.080000000002"/>
    <n v="17359.82"/>
    <s v="San Francisco"/>
    <x v="2"/>
    <s v="L"/>
    <s v="Red"/>
    <n v="4"/>
    <x v="1"/>
    <s v="Wholesale"/>
    <s v="PayPal"/>
  </r>
  <r>
    <s v="ORD-202400027"/>
    <x v="26"/>
    <n v="6409"/>
    <s v="20/02/1973"/>
    <x v="1"/>
    <x v="0"/>
    <n v="11151.25"/>
    <n v="5296.01"/>
    <s v="Boston"/>
    <x v="0"/>
    <s v="L"/>
    <s v="Yellow"/>
    <n v="3"/>
    <x v="0"/>
    <s v="Retail"/>
    <s v="PayPal"/>
  </r>
  <r>
    <s v="ORD-202400028"/>
    <x v="27"/>
    <n v="3851"/>
    <s v="20/05/2000"/>
    <x v="1"/>
    <x v="4"/>
    <n v="31774.2"/>
    <n v="19596.580000000002"/>
    <s v="Los Angeles"/>
    <x v="2"/>
    <s v="L"/>
    <s v="Green"/>
    <n v="2"/>
    <x v="1"/>
    <s v="Retail"/>
    <s v="PayPal"/>
  </r>
  <r>
    <s v="ORD-202400029"/>
    <x v="28"/>
    <n v="2389"/>
    <s v="12/08/1977"/>
    <x v="1"/>
    <x v="1"/>
    <n v="50620.56"/>
    <n v="29187.22"/>
    <s v="San Francisco"/>
    <x v="2"/>
    <s v="L"/>
    <s v="Red"/>
    <n v="2"/>
    <x v="0"/>
    <s v="Retail"/>
    <s v="Cash"/>
  </r>
  <r>
    <s v="ORD-202400030"/>
    <x v="29"/>
    <n v="7790"/>
    <s v="06/06/1990"/>
    <x v="0"/>
    <x v="2"/>
    <n v="42373.47"/>
    <n v="22322.16"/>
    <s v="Los Angeles"/>
    <x v="2"/>
    <s v="XL"/>
    <s v="Blue"/>
    <n v="2"/>
    <x v="0"/>
    <s v="Retail"/>
    <s v="Cash"/>
  </r>
  <r>
    <s v="ORD-202400031"/>
    <x v="30"/>
    <n v="1822"/>
    <s v="03/11/1990"/>
    <x v="0"/>
    <x v="4"/>
    <n v="52432.99"/>
    <n v="24867.48"/>
    <s v="New York"/>
    <x v="0"/>
    <s v="M"/>
    <s v="White"/>
    <n v="5"/>
    <x v="2"/>
    <s v="Retail"/>
    <s v="Bank Transfer"/>
  </r>
  <r>
    <s v="ORD-202400032"/>
    <x v="31"/>
    <n v="3607"/>
    <s v="01/01/1990"/>
    <x v="1"/>
    <x v="3"/>
    <n v="8125.87"/>
    <n v="4878.41"/>
    <s v="Boston"/>
    <x v="0"/>
    <s v="L"/>
    <s v="Yellow"/>
    <n v="4"/>
    <x v="0"/>
    <s v="Retail"/>
    <s v="Cash"/>
  </r>
  <r>
    <s v="ORD-202400033"/>
    <x v="32"/>
    <n v="3267"/>
    <s v="13/08/1973"/>
    <x v="0"/>
    <x v="2"/>
    <n v="14631.63"/>
    <n v="8614.9599999999991"/>
    <s v="New York"/>
    <x v="0"/>
    <s v="M"/>
    <s v="Red"/>
    <n v="4"/>
    <x v="1"/>
    <s v="Retail"/>
    <s v="Bank Transfer"/>
  </r>
  <r>
    <s v="ORD-202400034"/>
    <x v="33"/>
    <n v="7232"/>
    <s v="17/11/1970"/>
    <x v="1"/>
    <x v="2"/>
    <n v="10791.86"/>
    <n v="5615.56"/>
    <s v="San Francisco"/>
    <x v="2"/>
    <s v="XL"/>
    <s v="White"/>
    <n v="5"/>
    <x v="0"/>
    <s v="Retail"/>
    <s v="PayPal"/>
  </r>
  <r>
    <s v="ORD-202400035"/>
    <x v="34"/>
    <n v="6507"/>
    <s v="12/06/1987"/>
    <x v="1"/>
    <x v="4"/>
    <n v="26096.03"/>
    <n v="16129.99"/>
    <s v="Minneapolis"/>
    <x v="1"/>
    <s v="M"/>
    <s v="Yellow"/>
    <n v="5"/>
    <x v="1"/>
    <s v="Retail"/>
    <s v="PayPal"/>
  </r>
  <r>
    <s v="ORD-202400036"/>
    <x v="35"/>
    <n v="1823"/>
    <s v="25/02/1978"/>
    <x v="1"/>
    <x v="0"/>
    <n v="7647.46"/>
    <n v="3765.09"/>
    <s v="New York"/>
    <x v="0"/>
    <s v="L"/>
    <s v="Green"/>
    <n v="4"/>
    <x v="1"/>
    <s v="Wholesale"/>
    <s v="Bank Transfer"/>
  </r>
  <r>
    <s v="ORD-202400037"/>
    <x v="36"/>
    <n v="4673"/>
    <s v="12/09/1985"/>
    <x v="0"/>
    <x v="1"/>
    <n v="103545.02"/>
    <n v="60092.45"/>
    <s v="Los Angeles"/>
    <x v="2"/>
    <s v="S"/>
    <s v="Blue"/>
    <n v="2"/>
    <x v="2"/>
    <s v="Wholesale"/>
    <s v="Cash"/>
  </r>
  <r>
    <s v="ORD-202400038"/>
    <x v="37"/>
    <n v="7043"/>
    <s v="30/06/1981"/>
    <x v="0"/>
    <x v="4"/>
    <n v="45627.040000000001"/>
    <n v="29326.639999999999"/>
    <s v="Seattle"/>
    <x v="2"/>
    <s v="S"/>
    <s v="Blue"/>
    <n v="3"/>
    <x v="1"/>
    <s v="Retail"/>
    <s v="Bank Transfer"/>
  </r>
  <r>
    <s v="ORD-202400039"/>
    <x v="38"/>
    <n v="4978"/>
    <s v="23/07/1996"/>
    <x v="0"/>
    <x v="2"/>
    <n v="37509.21"/>
    <n v="19141.57"/>
    <s v="Miami"/>
    <x v="0"/>
    <s v="S"/>
    <s v="Yellow"/>
    <n v="1"/>
    <x v="1"/>
    <s v="Retail"/>
    <s v="Bank Transfer"/>
  </r>
  <r>
    <s v="ORD-202400040"/>
    <x v="39"/>
    <n v="8102"/>
    <s v="26/09/1974"/>
    <x v="1"/>
    <x v="2"/>
    <n v="41961.46"/>
    <n v="25837.41"/>
    <s v="Seattle"/>
    <x v="2"/>
    <s v="M"/>
    <s v="White"/>
    <n v="2"/>
    <x v="0"/>
    <s v="Wholesale"/>
    <s v="Bank Transfer"/>
  </r>
  <r>
    <s v="ORD-202400041"/>
    <x v="40"/>
    <n v="6280"/>
    <s v="15/01/1982"/>
    <x v="0"/>
    <x v="0"/>
    <n v="17877.439999999999"/>
    <n v="8354.7099999999991"/>
    <s v="Boston"/>
    <x v="0"/>
    <s v="XL"/>
    <s v="Blue"/>
    <n v="4"/>
    <x v="0"/>
    <s v="Wholesale"/>
    <s v="Bank Transfer"/>
  </r>
  <r>
    <s v="ORD-202400042"/>
    <x v="41"/>
    <n v="5581"/>
    <s v="08/04/1985"/>
    <x v="1"/>
    <x v="4"/>
    <n v="29135.55"/>
    <n v="16121.44"/>
    <s v="San Francisco"/>
    <x v="2"/>
    <s v="M"/>
    <s v="Red"/>
    <n v="2"/>
    <x v="0"/>
    <s v="Retail"/>
    <s v="Cash"/>
  </r>
  <r>
    <s v="ORD-202400043"/>
    <x v="42"/>
    <n v="5820"/>
    <s v="05/03/1974"/>
    <x v="0"/>
    <x v="0"/>
    <n v="9363.82"/>
    <n v="4669.37"/>
    <s v="Boston"/>
    <x v="0"/>
    <s v="L"/>
    <s v="White"/>
    <n v="5"/>
    <x v="0"/>
    <s v="Retail"/>
    <s v="PayPal"/>
  </r>
  <r>
    <s v="ORD-202400044"/>
    <x v="43"/>
    <n v="2976"/>
    <s v="05/05/1980"/>
    <x v="0"/>
    <x v="0"/>
    <n v="8075.45"/>
    <n v="4833.7700000000004"/>
    <s v="Miami"/>
    <x v="0"/>
    <s v="M"/>
    <s v="Blue"/>
    <n v="2"/>
    <x v="0"/>
    <s v="Retail"/>
    <s v="PayPal"/>
  </r>
  <r>
    <s v="ORD-202400045"/>
    <x v="44"/>
    <n v="4727"/>
    <s v="16/04/1983"/>
    <x v="1"/>
    <x v="1"/>
    <n v="23530.53"/>
    <n v="10655.32"/>
    <s v="Detroit"/>
    <x v="1"/>
    <s v="M"/>
    <s v="Green"/>
    <n v="1"/>
    <x v="2"/>
    <s v="Retail"/>
    <s v="PayPal"/>
  </r>
  <r>
    <s v="ORD-202400046"/>
    <x v="45"/>
    <n v="5658"/>
    <s v="02/10/1995"/>
    <x v="1"/>
    <x v="3"/>
    <n v="7317.39"/>
    <n v="3791.44"/>
    <s v="Detroit"/>
    <x v="1"/>
    <s v="S"/>
    <s v="Green"/>
    <n v="4"/>
    <x v="1"/>
    <s v="Retail"/>
    <s v="Bank Transfer"/>
  </r>
  <r>
    <s v="ORD-202400047"/>
    <x v="46"/>
    <n v="2395"/>
    <s v="19/08/1983"/>
    <x v="0"/>
    <x v="0"/>
    <n v="5321.9"/>
    <n v="3208.51"/>
    <s v="Seattle"/>
    <x v="2"/>
    <s v="M"/>
    <s v="Yellow"/>
    <n v="4"/>
    <x v="0"/>
    <s v="Retail"/>
    <s v="PayPal"/>
  </r>
  <r>
    <s v="ORD-202400048"/>
    <x v="47"/>
    <n v="4457"/>
    <s v="28/04/1979"/>
    <x v="1"/>
    <x v="1"/>
    <n v="33868.83"/>
    <n v="16304.84"/>
    <s v="Minneapolis"/>
    <x v="1"/>
    <s v="M"/>
    <s v="Yellow"/>
    <n v="1"/>
    <x v="1"/>
    <s v="Retail"/>
    <s v="PayPal"/>
  </r>
  <r>
    <s v="ORD-202400049"/>
    <x v="48"/>
    <n v="2166"/>
    <s v="14/05/1990"/>
    <x v="0"/>
    <x v="4"/>
    <n v="42184.71"/>
    <n v="25629.98"/>
    <s v="Miami"/>
    <x v="0"/>
    <s v="M"/>
    <s v="White"/>
    <n v="1"/>
    <x v="0"/>
    <s v="Wholesale"/>
    <s v="Bank Transfer"/>
  </r>
  <r>
    <s v="ORD-202400050"/>
    <x v="49"/>
    <n v="5728"/>
    <s v="14/07/1995"/>
    <x v="1"/>
    <x v="4"/>
    <n v="11813.52"/>
    <n v="6943.23"/>
    <s v="Chicago"/>
    <x v="1"/>
    <s v="XL"/>
    <s v="Green"/>
    <n v="5"/>
    <x v="0"/>
    <s v="Retail"/>
    <s v="PayPal"/>
  </r>
  <r>
    <s v="ORD-202400051"/>
    <x v="50"/>
    <n v="4750"/>
    <s v="05/02/1974"/>
    <x v="0"/>
    <x v="0"/>
    <n v="24831.439999999999"/>
    <n v="14512.89"/>
    <s v="San Francisco"/>
    <x v="2"/>
    <s v="L"/>
    <s v="Yellow"/>
    <n v="1"/>
    <x v="0"/>
    <s v="Retail"/>
    <s v="PayPal"/>
  </r>
  <r>
    <s v="ORD-202400052"/>
    <x v="51"/>
    <n v="2494"/>
    <s v="22/01/1992"/>
    <x v="1"/>
    <x v="4"/>
    <n v="24005.74"/>
    <n v="12402.85"/>
    <s v="Miami"/>
    <x v="0"/>
    <s v="S"/>
    <s v="Blue"/>
    <n v="3"/>
    <x v="1"/>
    <s v="Retail"/>
    <s v="PayPal"/>
  </r>
  <r>
    <s v="ORD-202400053"/>
    <x v="52"/>
    <n v="2899"/>
    <s v="02/07/1984"/>
    <x v="1"/>
    <x v="4"/>
    <n v="22500.95"/>
    <n v="13837.76"/>
    <s v="Detroit"/>
    <x v="1"/>
    <s v="S"/>
    <s v="Black"/>
    <n v="5"/>
    <x v="0"/>
    <s v="Retail"/>
    <s v="PayPal"/>
  </r>
  <r>
    <s v="ORD-202400054"/>
    <x v="53"/>
    <n v="9998"/>
    <s v="24/12/1981"/>
    <x v="0"/>
    <x v="0"/>
    <n v="25426.880000000001"/>
    <n v="13670.08"/>
    <s v="San Francisco"/>
    <x v="2"/>
    <s v="XL"/>
    <s v="Red"/>
    <n v="1"/>
    <x v="2"/>
    <s v="Wholesale"/>
    <s v="Cash"/>
  </r>
  <r>
    <s v="ORD-202400055"/>
    <x v="54"/>
    <n v="2858"/>
    <s v="30/01/1980"/>
    <x v="1"/>
    <x v="1"/>
    <n v="93305.75"/>
    <n v="54074.6"/>
    <s v="Miami"/>
    <x v="0"/>
    <s v="M"/>
    <s v="White"/>
    <n v="3"/>
    <x v="0"/>
    <s v="Retail"/>
    <s v="Bank Transfer"/>
  </r>
  <r>
    <s v="ORD-202400056"/>
    <x v="55"/>
    <n v="9327"/>
    <s v="20/11/1996"/>
    <x v="0"/>
    <x v="1"/>
    <n v="47859.65"/>
    <n v="24181.06"/>
    <s v="Chicago"/>
    <x v="1"/>
    <s v="XL"/>
    <s v="Green"/>
    <n v="5"/>
    <x v="1"/>
    <s v="Retail"/>
    <s v="PayPal"/>
  </r>
  <r>
    <s v="ORD-202400057"/>
    <x v="56"/>
    <n v="9824"/>
    <s v="12/01/1990"/>
    <x v="1"/>
    <x v="1"/>
    <n v="51327.79"/>
    <n v="28763.25"/>
    <s v="Seattle"/>
    <x v="2"/>
    <s v="XL"/>
    <s v="White"/>
    <n v="3"/>
    <x v="2"/>
    <s v="Wholesale"/>
    <s v="Cash"/>
  </r>
  <r>
    <s v="ORD-202400058"/>
    <x v="57"/>
    <n v="7246"/>
    <s v="21/03/1991"/>
    <x v="1"/>
    <x v="3"/>
    <n v="14855.18"/>
    <n v="9039.06"/>
    <s v="New York"/>
    <x v="0"/>
    <s v="M"/>
    <s v="White"/>
    <n v="1"/>
    <x v="1"/>
    <s v="Wholesale"/>
    <s v="Bank Transfer"/>
  </r>
  <r>
    <s v="ORD-202400059"/>
    <x v="58"/>
    <n v="7717"/>
    <s v="19/06/1976"/>
    <x v="0"/>
    <x v="4"/>
    <n v="10095.6"/>
    <n v="6121.01"/>
    <s v="Minneapolis"/>
    <x v="1"/>
    <s v="L"/>
    <s v="Green"/>
    <n v="5"/>
    <x v="0"/>
    <s v="Wholesale"/>
    <s v="Bank Transfer"/>
  </r>
  <r>
    <s v="ORD-202400060"/>
    <x v="59"/>
    <n v="1588"/>
    <s v="09/04/1994"/>
    <x v="0"/>
    <x v="2"/>
    <n v="11060.56"/>
    <n v="6491.22"/>
    <s v="Detroit"/>
    <x v="1"/>
    <s v="L"/>
    <s v="Blue"/>
    <n v="1"/>
    <x v="1"/>
    <s v="Retail"/>
    <s v="PayPal"/>
  </r>
  <r>
    <s v="ORD-202400061"/>
    <x v="60"/>
    <n v="6314"/>
    <s v="24/01/1972"/>
    <x v="0"/>
    <x v="1"/>
    <n v="38428.22"/>
    <n v="20173.59"/>
    <s v="New York"/>
    <x v="0"/>
    <s v="M"/>
    <s v="Blue"/>
    <n v="5"/>
    <x v="1"/>
    <s v="Wholesale"/>
    <s v="Cash"/>
  </r>
  <r>
    <s v="ORD-202400062"/>
    <x v="61"/>
    <n v="9153"/>
    <s v="20/10/1980"/>
    <x v="0"/>
    <x v="1"/>
    <n v="34739.71"/>
    <n v="20064.990000000002"/>
    <s v="Los Angeles"/>
    <x v="2"/>
    <s v="XL"/>
    <s v="Green"/>
    <n v="1"/>
    <x v="2"/>
    <s v="Retail"/>
    <s v="Bank Transfer"/>
  </r>
  <r>
    <s v="ORD-202400063"/>
    <x v="62"/>
    <n v="7951"/>
    <s v="03/06/1983"/>
    <x v="1"/>
    <x v="4"/>
    <n v="31128.66"/>
    <n v="15888.83"/>
    <s v="New York"/>
    <x v="0"/>
    <s v="XL"/>
    <s v="White"/>
    <n v="1"/>
    <x v="1"/>
    <s v="Retail"/>
    <s v="PayPal"/>
  </r>
  <r>
    <s v="ORD-202400064"/>
    <x v="63"/>
    <n v="5497"/>
    <s v="03/10/1987"/>
    <x v="0"/>
    <x v="2"/>
    <n v="38513.49"/>
    <n v="22613.58"/>
    <s v="Seattle"/>
    <x v="2"/>
    <s v="S"/>
    <s v="Yellow"/>
    <n v="4"/>
    <x v="2"/>
    <s v="Wholesale"/>
    <s v="Cash"/>
  </r>
  <r>
    <s v="ORD-202400065"/>
    <x v="64"/>
    <n v="3240"/>
    <s v="27/05/2000"/>
    <x v="0"/>
    <x v="4"/>
    <n v="35212.050000000003"/>
    <n v="20397.22"/>
    <s v="Miami"/>
    <x v="0"/>
    <s v="L"/>
    <s v="White"/>
    <n v="1"/>
    <x v="0"/>
    <s v="Wholesale"/>
    <s v="Cash"/>
  </r>
  <r>
    <s v="ORD-202400066"/>
    <x v="65"/>
    <n v="6994"/>
    <s v="13/03/1994"/>
    <x v="1"/>
    <x v="0"/>
    <n v="9907.93"/>
    <n v="4967.78"/>
    <s v="Minneapolis"/>
    <x v="1"/>
    <s v="XL"/>
    <s v="Green"/>
    <n v="3"/>
    <x v="2"/>
    <s v="Retail"/>
    <s v="Cash"/>
  </r>
  <r>
    <s v="ORD-202400067"/>
    <x v="66"/>
    <n v="6992"/>
    <s v="01/01/1995"/>
    <x v="0"/>
    <x v="3"/>
    <n v="18575.29"/>
    <n v="8410.59"/>
    <s v="Los Angeles"/>
    <x v="2"/>
    <s v="S"/>
    <s v="White"/>
    <n v="3"/>
    <x v="0"/>
    <s v="Wholesale"/>
    <s v="PayPal"/>
  </r>
  <r>
    <s v="ORD-202400068"/>
    <x v="67"/>
    <n v="1410"/>
    <s v="24/02/1991"/>
    <x v="1"/>
    <x v="3"/>
    <n v="14219.51"/>
    <n v="7028.33"/>
    <s v="Seattle"/>
    <x v="2"/>
    <s v="S"/>
    <s v="Black"/>
    <n v="4"/>
    <x v="2"/>
    <s v="Retail"/>
    <s v="Bank Transfer"/>
  </r>
  <r>
    <s v="ORD-202400069"/>
    <x v="68"/>
    <n v="2592"/>
    <s v="18/03/1975"/>
    <x v="0"/>
    <x v="3"/>
    <n v="16308.89"/>
    <n v="7781.51"/>
    <s v="Los Angeles"/>
    <x v="2"/>
    <s v="XL"/>
    <s v="Green"/>
    <n v="5"/>
    <x v="1"/>
    <s v="Wholesale"/>
    <s v="Cash"/>
  </r>
  <r>
    <s v="ORD-202400070"/>
    <x v="69"/>
    <n v="1536"/>
    <s v="20/07/1982"/>
    <x v="1"/>
    <x v="4"/>
    <n v="13833.62"/>
    <n v="7455.48"/>
    <s v="Detroit"/>
    <x v="1"/>
    <s v="M"/>
    <s v="Green"/>
    <n v="1"/>
    <x v="2"/>
    <s v="Retail"/>
    <s v="PayPal"/>
  </r>
  <r>
    <s v="ORD-202400071"/>
    <x v="70"/>
    <n v="4475"/>
    <s v="10/02/1974"/>
    <x v="0"/>
    <x v="2"/>
    <n v="13003.64"/>
    <n v="6719"/>
    <s v="San Francisco"/>
    <x v="2"/>
    <s v="M"/>
    <s v="Yellow"/>
    <n v="2"/>
    <x v="1"/>
    <s v="Wholesale"/>
    <s v="Cash"/>
  </r>
  <r>
    <s v="ORD-202400072"/>
    <x v="71"/>
    <n v="5542"/>
    <s v="16/02/1970"/>
    <x v="0"/>
    <x v="2"/>
    <n v="33650.14"/>
    <n v="18778.23"/>
    <s v="New York"/>
    <x v="0"/>
    <s v="M"/>
    <s v="Red"/>
    <n v="1"/>
    <x v="1"/>
    <s v="Retail"/>
    <s v="Cash"/>
  </r>
  <r>
    <s v="ORD-202400073"/>
    <x v="72"/>
    <n v="2862"/>
    <s v="07/08/1993"/>
    <x v="0"/>
    <x v="4"/>
    <n v="19215.830000000002"/>
    <n v="11637.17"/>
    <s v="New York"/>
    <x v="0"/>
    <s v="S"/>
    <s v="White"/>
    <n v="5"/>
    <x v="1"/>
    <s v="Wholesale"/>
    <s v="PayPal"/>
  </r>
  <r>
    <s v="ORD-202400074"/>
    <x v="73"/>
    <n v="8847"/>
    <s v="23/09/1972"/>
    <x v="1"/>
    <x v="1"/>
    <n v="49585.67"/>
    <n v="23384.22"/>
    <s v="Boston"/>
    <x v="0"/>
    <s v="XL"/>
    <s v="Red"/>
    <n v="1"/>
    <x v="1"/>
    <s v="Retail"/>
    <s v="Cash"/>
  </r>
  <r>
    <s v="ORD-202400075"/>
    <x v="74"/>
    <n v="9692"/>
    <s v="18/10/1996"/>
    <x v="1"/>
    <x v="1"/>
    <n v="67681.84"/>
    <n v="38652.11"/>
    <s v="Seattle"/>
    <x v="2"/>
    <s v="S"/>
    <s v="Black"/>
    <n v="1"/>
    <x v="2"/>
    <s v="Wholesale"/>
    <s v="PayPal"/>
  </r>
  <r>
    <s v="ORD-202400076"/>
    <x v="75"/>
    <n v="8430"/>
    <s v="16/03/1985"/>
    <x v="1"/>
    <x v="1"/>
    <n v="52959.06"/>
    <n v="24838.71"/>
    <s v="New York"/>
    <x v="0"/>
    <s v="XL"/>
    <s v="Green"/>
    <n v="3"/>
    <x v="1"/>
    <s v="Retail"/>
    <s v="Bank Transfer"/>
  </r>
  <r>
    <s v="ORD-202400077"/>
    <x v="76"/>
    <n v="1982"/>
    <s v="02/11/1975"/>
    <x v="1"/>
    <x v="4"/>
    <n v="29511.439999999999"/>
    <n v="15704.86"/>
    <s v="Los Angeles"/>
    <x v="2"/>
    <s v="XL"/>
    <s v="Black"/>
    <n v="1"/>
    <x v="2"/>
    <s v="Wholesale"/>
    <s v="Bank Transfer"/>
  </r>
  <r>
    <s v="ORD-202400078"/>
    <x v="77"/>
    <n v="6736"/>
    <s v="09/11/1974"/>
    <x v="1"/>
    <x v="4"/>
    <n v="16906.04"/>
    <n v="8549.6200000000008"/>
    <s v="Seattle"/>
    <x v="2"/>
    <s v="M"/>
    <s v="White"/>
    <n v="5"/>
    <x v="2"/>
    <s v="Wholesale"/>
    <s v="PayPal"/>
  </r>
  <r>
    <s v="ORD-202400079"/>
    <x v="78"/>
    <n v="1474"/>
    <s v="30/12/1981"/>
    <x v="0"/>
    <x v="4"/>
    <n v="22638.76"/>
    <n v="13639.44"/>
    <s v="Boston"/>
    <x v="0"/>
    <s v="L"/>
    <s v="Green"/>
    <n v="1"/>
    <x v="1"/>
    <s v="Retail"/>
    <s v="PayPal"/>
  </r>
  <r>
    <s v="ORD-202400080"/>
    <x v="79"/>
    <n v="4524"/>
    <s v="18/10/1993"/>
    <x v="1"/>
    <x v="0"/>
    <n v="14381.36"/>
    <n v="7452.12"/>
    <s v="Los Angeles"/>
    <x v="2"/>
    <s v="L"/>
    <s v="Green"/>
    <n v="3"/>
    <x v="0"/>
    <s v="Retail"/>
    <s v="Cash"/>
  </r>
  <r>
    <s v="ORD-202400081"/>
    <x v="80"/>
    <n v="5458"/>
    <s v="29/08/1973"/>
    <x v="1"/>
    <x v="4"/>
    <n v="28024.12"/>
    <n v="15332.9"/>
    <s v="Chicago"/>
    <x v="1"/>
    <s v="XL"/>
    <s v="White"/>
    <n v="3"/>
    <x v="1"/>
    <s v="Retail"/>
    <s v="Bank Transfer"/>
  </r>
  <r>
    <s v="ORD-202400082"/>
    <x v="81"/>
    <n v="6053"/>
    <s v="05/12/1999"/>
    <x v="0"/>
    <x v="0"/>
    <n v="9242.57"/>
    <n v="5978.92"/>
    <s v="San Francisco"/>
    <x v="2"/>
    <s v="S"/>
    <s v="Red"/>
    <n v="2"/>
    <x v="1"/>
    <s v="Retail"/>
    <s v="Cash"/>
  </r>
  <r>
    <s v="ORD-202400083"/>
    <x v="82"/>
    <n v="3116"/>
    <s v="18/11/1977"/>
    <x v="1"/>
    <x v="2"/>
    <n v="18431.41"/>
    <n v="9142.39"/>
    <s v="Miami"/>
    <x v="0"/>
    <s v="L"/>
    <s v="Red"/>
    <n v="4"/>
    <x v="2"/>
    <s v="Retail"/>
    <s v="Cash"/>
  </r>
  <r>
    <s v="ORD-202400084"/>
    <x v="83"/>
    <n v="7843"/>
    <s v="22/02/1988"/>
    <x v="1"/>
    <x v="3"/>
    <n v="4530.62"/>
    <n v="2057.6799999999998"/>
    <s v="New York"/>
    <x v="0"/>
    <s v="L"/>
    <s v="Blue"/>
    <n v="5"/>
    <x v="0"/>
    <s v="Wholesale"/>
    <s v="Bank Transfer"/>
  </r>
  <r>
    <s v="ORD-202400085"/>
    <x v="84"/>
    <n v="7484"/>
    <s v="12/07/1973"/>
    <x v="1"/>
    <x v="2"/>
    <n v="43623.95"/>
    <n v="21563.95"/>
    <s v="Los Angeles"/>
    <x v="2"/>
    <s v="M"/>
    <s v="Red"/>
    <n v="5"/>
    <x v="0"/>
    <s v="Retail"/>
    <s v="Cash"/>
  </r>
  <r>
    <s v="ORD-202400086"/>
    <x v="85"/>
    <n v="4871"/>
    <s v="16/08/1976"/>
    <x v="0"/>
    <x v="2"/>
    <n v="11093.12"/>
    <n v="5429.58"/>
    <s v="Minneapolis"/>
    <x v="1"/>
    <s v="M"/>
    <s v="Black"/>
    <n v="1"/>
    <x v="1"/>
    <s v="Wholesale"/>
    <s v="Bank Transfer"/>
  </r>
  <r>
    <s v="ORD-202400087"/>
    <x v="86"/>
    <n v="6295"/>
    <s v="04/11/1998"/>
    <x v="1"/>
    <x v="0"/>
    <n v="5688.88"/>
    <n v="2637.69"/>
    <s v="Boston"/>
    <x v="0"/>
    <s v="XL"/>
    <s v="Black"/>
    <n v="3"/>
    <x v="0"/>
    <s v="Retail"/>
    <s v="Bank Transfer"/>
  </r>
  <r>
    <s v="ORD-202400088"/>
    <x v="87"/>
    <n v="2257"/>
    <s v="17/11/1982"/>
    <x v="0"/>
    <x v="1"/>
    <n v="42671.71"/>
    <n v="23529.759999999998"/>
    <s v="Miami"/>
    <x v="0"/>
    <s v="XL"/>
    <s v="Yellow"/>
    <n v="5"/>
    <x v="2"/>
    <s v="Wholesale"/>
    <s v="Cash"/>
  </r>
  <r>
    <s v="ORD-202400089"/>
    <x v="88"/>
    <n v="3471"/>
    <s v="28/06/1992"/>
    <x v="0"/>
    <x v="0"/>
    <n v="12039.1"/>
    <n v="7370.26"/>
    <s v="Seattle"/>
    <x v="2"/>
    <s v="L"/>
    <s v="Black"/>
    <n v="1"/>
    <x v="0"/>
    <s v="Retail"/>
    <s v="Cash"/>
  </r>
  <r>
    <s v="ORD-202400090"/>
    <x v="89"/>
    <n v="5634"/>
    <s v="22/09/1986"/>
    <x v="1"/>
    <x v="1"/>
    <n v="48116.19"/>
    <n v="24908.47"/>
    <s v="Miami"/>
    <x v="0"/>
    <s v="S"/>
    <s v="Black"/>
    <n v="3"/>
    <x v="1"/>
    <s v="Retail"/>
    <s v="PayPal"/>
  </r>
  <r>
    <s v="ORD-202400091"/>
    <x v="90"/>
    <n v="6461"/>
    <s v="29/09/1976"/>
    <x v="0"/>
    <x v="0"/>
    <n v="16490.62"/>
    <n v="7887.23"/>
    <s v="San Francisco"/>
    <x v="2"/>
    <s v="L"/>
    <s v="Green"/>
    <n v="4"/>
    <x v="1"/>
    <s v="Wholesale"/>
    <s v="Cash"/>
  </r>
  <r>
    <s v="ORD-202400092"/>
    <x v="91"/>
    <n v="9624"/>
    <s v="23/01/2000"/>
    <x v="0"/>
    <x v="0"/>
    <n v="15440.83"/>
    <n v="8255.92"/>
    <s v="San Francisco"/>
    <x v="2"/>
    <s v="L"/>
    <s v="Red"/>
    <n v="3"/>
    <x v="1"/>
    <s v="Wholesale"/>
    <s v="Bank Transfer"/>
  </r>
  <r>
    <s v="ORD-202400093"/>
    <x v="92"/>
    <n v="5846"/>
    <s v="18/06/1973"/>
    <x v="0"/>
    <x v="4"/>
    <n v="25110.49"/>
    <n v="14010.5"/>
    <s v="Minneapolis"/>
    <x v="1"/>
    <s v="S"/>
    <s v="Black"/>
    <n v="3"/>
    <x v="2"/>
    <s v="Wholesale"/>
    <s v="PayPal"/>
  </r>
  <r>
    <s v="ORD-202400094"/>
    <x v="93"/>
    <n v="8170"/>
    <s v="05/06/1977"/>
    <x v="0"/>
    <x v="4"/>
    <n v="32018.44"/>
    <n v="18739.52"/>
    <s v="Los Angeles"/>
    <x v="2"/>
    <s v="M"/>
    <s v="White"/>
    <n v="5"/>
    <x v="1"/>
    <s v="Wholesale"/>
    <s v="Bank Transfer"/>
  </r>
  <r>
    <s v="ORD-202400095"/>
    <x v="94"/>
    <n v="7026"/>
    <s v="14/09/1978"/>
    <x v="1"/>
    <x v="2"/>
    <n v="33353.160000000003"/>
    <n v="16888.52"/>
    <s v="Los Angeles"/>
    <x v="2"/>
    <s v="XL"/>
    <s v="Yellow"/>
    <n v="5"/>
    <x v="1"/>
    <s v="Retail"/>
    <s v="Cash"/>
  </r>
  <r>
    <s v="ORD-202400096"/>
    <x v="95"/>
    <n v="2680"/>
    <s v="26/08/1986"/>
    <x v="0"/>
    <x v="3"/>
    <n v="3410.6"/>
    <n v="2055.31"/>
    <s v="Chicago"/>
    <x v="1"/>
    <s v="L"/>
    <s v="White"/>
    <n v="5"/>
    <x v="1"/>
    <s v="Retail"/>
    <s v="Cash"/>
  </r>
  <r>
    <s v="ORD-202400097"/>
    <x v="96"/>
    <n v="7126"/>
    <s v="08/07/1992"/>
    <x v="0"/>
    <x v="3"/>
    <n v="5495.31"/>
    <n v="2562.58"/>
    <s v="Minneapolis"/>
    <x v="1"/>
    <s v="M"/>
    <s v="Red"/>
    <n v="3"/>
    <x v="2"/>
    <s v="Wholesale"/>
    <s v="PayPal"/>
  </r>
  <r>
    <s v="ORD-202400098"/>
    <x v="97"/>
    <n v="8685"/>
    <s v="23/03/1976"/>
    <x v="1"/>
    <x v="4"/>
    <n v="36921.46"/>
    <n v="23303.77"/>
    <s v="Los Angeles"/>
    <x v="2"/>
    <s v="S"/>
    <s v="Green"/>
    <n v="2"/>
    <x v="2"/>
    <s v="Retail"/>
    <s v="PayPal"/>
  </r>
  <r>
    <s v="ORD-202400099"/>
    <x v="98"/>
    <n v="1782"/>
    <s v="20/06/1975"/>
    <x v="0"/>
    <x v="4"/>
    <n v="23533.55"/>
    <n v="14326.75"/>
    <s v="Miami"/>
    <x v="0"/>
    <s v="XL"/>
    <s v="Red"/>
    <n v="1"/>
    <x v="2"/>
    <s v="Retail"/>
    <s v="PayPal"/>
  </r>
  <r>
    <s v="ORD-202400100"/>
    <x v="99"/>
    <n v="1025"/>
    <s v="03/04/1989"/>
    <x v="1"/>
    <x v="1"/>
    <n v="44341.78"/>
    <n v="23648.07"/>
    <s v="Seattle"/>
    <x v="2"/>
    <s v="S"/>
    <s v="Yellow"/>
    <n v="3"/>
    <x v="1"/>
    <s v="Retail"/>
    <s v="PayPal"/>
  </r>
  <r>
    <s v="ORD-202400101"/>
    <x v="100"/>
    <n v="7338"/>
    <s v="15/12/1971"/>
    <x v="1"/>
    <x v="1"/>
    <n v="30516.47"/>
    <n v="13831.54"/>
    <s v="Boston"/>
    <x v="0"/>
    <s v="S"/>
    <s v="Green"/>
    <n v="2"/>
    <x v="0"/>
    <s v="Wholesale"/>
    <s v="PayPal"/>
  </r>
  <r>
    <s v="ORD-202400102"/>
    <x v="13"/>
    <n v="3868"/>
    <s v="01/11/1998"/>
    <x v="1"/>
    <x v="4"/>
    <n v="44290.31"/>
    <n v="24169.5"/>
    <s v="Miami"/>
    <x v="0"/>
    <s v="M"/>
    <s v="Blue"/>
    <n v="1"/>
    <x v="0"/>
    <s v="Wholesale"/>
    <s v="Cash"/>
  </r>
  <r>
    <s v="ORD-202400103"/>
    <x v="101"/>
    <n v="9444"/>
    <s v="29/11/1983"/>
    <x v="1"/>
    <x v="0"/>
    <n v="26763.42"/>
    <n v="14950.21"/>
    <s v="Los Angeles"/>
    <x v="2"/>
    <s v="L"/>
    <s v="Red"/>
    <n v="2"/>
    <x v="1"/>
    <s v="Wholesale"/>
    <s v="Cash"/>
  </r>
  <r>
    <s v="ORD-202400104"/>
    <x v="102"/>
    <n v="8204"/>
    <s v="11/12/1987"/>
    <x v="1"/>
    <x v="2"/>
    <n v="17051.45"/>
    <n v="8310.25"/>
    <s v="Minneapolis"/>
    <x v="1"/>
    <s v="XL"/>
    <s v="Green"/>
    <n v="5"/>
    <x v="1"/>
    <s v="Retail"/>
    <s v="Bank Transfer"/>
  </r>
  <r>
    <s v="ORD-202400105"/>
    <x v="103"/>
    <n v="2680"/>
    <s v="29/05/1984"/>
    <x v="0"/>
    <x v="3"/>
    <n v="6730.98"/>
    <n v="3426.93"/>
    <s v="Seattle"/>
    <x v="2"/>
    <s v="XL"/>
    <s v="Yellow"/>
    <n v="4"/>
    <x v="1"/>
    <s v="Retail"/>
    <s v="Bank Transfer"/>
  </r>
  <r>
    <s v="ORD-202400106"/>
    <x v="104"/>
    <n v="2229"/>
    <s v="28/07/1972"/>
    <x v="1"/>
    <x v="1"/>
    <n v="46226.06"/>
    <n v="28208.03"/>
    <s v="San Francisco"/>
    <x v="2"/>
    <s v="M"/>
    <s v="Red"/>
    <n v="2"/>
    <x v="2"/>
    <s v="Wholesale"/>
    <s v="Bank Transfer"/>
  </r>
  <r>
    <s v="ORD-202400107"/>
    <x v="105"/>
    <n v="1530"/>
    <s v="05/03/1987"/>
    <x v="0"/>
    <x v="2"/>
    <n v="40584.49"/>
    <n v="25964.52"/>
    <s v="Los Angeles"/>
    <x v="2"/>
    <s v="L"/>
    <s v="White"/>
    <n v="1"/>
    <x v="0"/>
    <s v="Retail"/>
    <s v="Bank Transfer"/>
  </r>
  <r>
    <s v="ORD-202400108"/>
    <x v="106"/>
    <n v="9482"/>
    <s v="21/05/1992"/>
    <x v="1"/>
    <x v="2"/>
    <n v="37889.839999999997"/>
    <n v="17942.82"/>
    <s v="San Francisco"/>
    <x v="2"/>
    <s v="L"/>
    <s v="Black"/>
    <n v="4"/>
    <x v="1"/>
    <s v="Wholesale"/>
    <s v="PayPal"/>
  </r>
  <r>
    <s v="ORD-202400109"/>
    <x v="107"/>
    <n v="3828"/>
    <s v="12/04/1990"/>
    <x v="1"/>
    <x v="4"/>
    <n v="28622.93"/>
    <n v="17520.169999999998"/>
    <s v="Minneapolis"/>
    <x v="1"/>
    <s v="L"/>
    <s v="Black"/>
    <n v="3"/>
    <x v="0"/>
    <s v="Retail"/>
    <s v="Bank Transfer"/>
  </r>
  <r>
    <s v="ORD-202400110"/>
    <x v="108"/>
    <n v="6922"/>
    <s v="23/10/1977"/>
    <x v="0"/>
    <x v="0"/>
    <n v="4931.0200000000004"/>
    <n v="2417.17"/>
    <s v="Chicago"/>
    <x v="1"/>
    <s v="M"/>
    <s v="Blue"/>
    <n v="4"/>
    <x v="1"/>
    <s v="Retail"/>
    <s v="Bank Transfer"/>
  </r>
  <r>
    <s v="ORD-202400111"/>
    <x v="109"/>
    <n v="7523"/>
    <s v="16/11/1983"/>
    <x v="1"/>
    <x v="4"/>
    <n v="34313.42"/>
    <n v="20719.57"/>
    <s v="Boston"/>
    <x v="0"/>
    <s v="S"/>
    <s v="Blue"/>
    <n v="3"/>
    <x v="0"/>
    <s v="Retail"/>
    <s v="PayPal"/>
  </r>
  <r>
    <s v="ORD-202400112"/>
    <x v="4"/>
    <n v="3981"/>
    <s v="14/05/1996"/>
    <x v="0"/>
    <x v="3"/>
    <n v="9884.66"/>
    <n v="6248.51"/>
    <s v="New York"/>
    <x v="0"/>
    <s v="S"/>
    <s v="Red"/>
    <n v="5"/>
    <x v="1"/>
    <s v="Retail"/>
    <s v="Bank Transfer"/>
  </r>
  <r>
    <s v="ORD-202400113"/>
    <x v="110"/>
    <n v="5105"/>
    <s v="16/07/1973"/>
    <x v="0"/>
    <x v="2"/>
    <n v="26209.58"/>
    <n v="14681.78"/>
    <s v="Chicago"/>
    <x v="1"/>
    <s v="M"/>
    <s v="Black"/>
    <n v="3"/>
    <x v="0"/>
    <s v="Retail"/>
    <s v="PayPal"/>
  </r>
  <r>
    <s v="ORD-202400114"/>
    <x v="111"/>
    <n v="1674"/>
    <s v="22/02/1985"/>
    <x v="0"/>
    <x v="4"/>
    <n v="15187.24"/>
    <n v="9715.42"/>
    <s v="Seattle"/>
    <x v="2"/>
    <s v="L"/>
    <s v="Black"/>
    <n v="2"/>
    <x v="0"/>
    <s v="Retail"/>
    <s v="PayPal"/>
  </r>
  <r>
    <s v="ORD-202400115"/>
    <x v="112"/>
    <n v="5012"/>
    <s v="31/08/1991"/>
    <x v="1"/>
    <x v="1"/>
    <n v="46523.49"/>
    <n v="21614.560000000001"/>
    <s v="Seattle"/>
    <x v="2"/>
    <s v="S"/>
    <s v="Blue"/>
    <n v="4"/>
    <x v="1"/>
    <s v="Retail"/>
    <s v="Bank Transfer"/>
  </r>
  <r>
    <s v="ORD-202400116"/>
    <x v="113"/>
    <n v="3142"/>
    <s v="20/11/1987"/>
    <x v="1"/>
    <x v="3"/>
    <n v="8937.25"/>
    <n v="4211.5600000000004"/>
    <s v="Miami"/>
    <x v="0"/>
    <s v="M"/>
    <s v="White"/>
    <n v="1"/>
    <x v="1"/>
    <s v="Retail"/>
    <s v="Cash"/>
  </r>
  <r>
    <s v="ORD-202400117"/>
    <x v="114"/>
    <n v="6123"/>
    <s v="08/09/1984"/>
    <x v="0"/>
    <x v="3"/>
    <n v="14446.82"/>
    <n v="7940.74"/>
    <s v="San Francisco"/>
    <x v="2"/>
    <s v="XL"/>
    <s v="White"/>
    <n v="3"/>
    <x v="0"/>
    <s v="Retail"/>
    <s v="Bank Transfer"/>
  </r>
  <r>
    <s v="ORD-202400118"/>
    <x v="115"/>
    <n v="9108"/>
    <s v="15/08/1982"/>
    <x v="1"/>
    <x v="4"/>
    <n v="18572.689999999999"/>
    <n v="8388.09"/>
    <s v="New York"/>
    <x v="0"/>
    <s v="S"/>
    <s v="White"/>
    <n v="2"/>
    <x v="2"/>
    <s v="Wholesale"/>
    <s v="Bank Transfer"/>
  </r>
  <r>
    <s v="ORD-202400119"/>
    <x v="105"/>
    <n v="5728"/>
    <s v="26/10/1994"/>
    <x v="0"/>
    <x v="4"/>
    <n v="30766.97"/>
    <n v="16616.34"/>
    <s v="San Francisco"/>
    <x v="2"/>
    <s v="L"/>
    <s v="Yellow"/>
    <n v="5"/>
    <x v="1"/>
    <s v="Wholesale"/>
    <s v="Bank Transfer"/>
  </r>
  <r>
    <s v="ORD-202400120"/>
    <x v="116"/>
    <n v="9341"/>
    <s v="06/12/1978"/>
    <x v="1"/>
    <x v="1"/>
    <n v="58206.82"/>
    <n v="26720.46"/>
    <s v="San Francisco"/>
    <x v="2"/>
    <s v="M"/>
    <s v="Black"/>
    <n v="3"/>
    <x v="2"/>
    <s v="Retail"/>
    <s v="Cash"/>
  </r>
  <r>
    <s v="ORD-202400121"/>
    <x v="117"/>
    <n v="7438"/>
    <s v="16/04/1977"/>
    <x v="1"/>
    <x v="4"/>
    <n v="37459.769999999997"/>
    <n v="20657.68"/>
    <s v="Boston"/>
    <x v="0"/>
    <s v="XL"/>
    <s v="Black"/>
    <n v="5"/>
    <x v="1"/>
    <s v="Wholesale"/>
    <s v="Bank Transfer"/>
  </r>
  <r>
    <s v="ORD-202400122"/>
    <x v="118"/>
    <n v="1436"/>
    <s v="24/03/1998"/>
    <x v="1"/>
    <x v="3"/>
    <n v="8030.4"/>
    <n v="4666.6099999999997"/>
    <s v="Los Angeles"/>
    <x v="2"/>
    <s v="M"/>
    <s v="Black"/>
    <n v="1"/>
    <x v="0"/>
    <s v="Retail"/>
    <s v="PayPal"/>
  </r>
  <r>
    <s v="ORD-202400123"/>
    <x v="119"/>
    <n v="2800"/>
    <s v="07/09/1995"/>
    <x v="0"/>
    <x v="4"/>
    <n v="10005.780000000001"/>
    <n v="5130.3500000000004"/>
    <s v="Miami"/>
    <x v="0"/>
    <s v="M"/>
    <s v="White"/>
    <n v="2"/>
    <x v="1"/>
    <s v="Wholesale"/>
    <s v="Bank Transfer"/>
  </r>
  <r>
    <s v="ORD-202400124"/>
    <x v="30"/>
    <n v="6325"/>
    <s v="21/04/1979"/>
    <x v="1"/>
    <x v="0"/>
    <n v="10424.459999999999"/>
    <n v="5345.15"/>
    <s v="Detroit"/>
    <x v="1"/>
    <s v="M"/>
    <s v="White"/>
    <n v="5"/>
    <x v="1"/>
    <s v="Retail"/>
    <s v="PayPal"/>
  </r>
  <r>
    <s v="ORD-202400125"/>
    <x v="120"/>
    <n v="5890"/>
    <s v="08/07/1982"/>
    <x v="0"/>
    <x v="2"/>
    <n v="43779.38"/>
    <n v="28301.27"/>
    <s v="Boston"/>
    <x v="0"/>
    <s v="L"/>
    <s v="Black"/>
    <n v="2"/>
    <x v="0"/>
    <s v="Retail"/>
    <s v="Bank Transfer"/>
  </r>
  <r>
    <s v="ORD-202400126"/>
    <x v="121"/>
    <n v="7220"/>
    <s v="14/05/1994"/>
    <x v="1"/>
    <x v="2"/>
    <n v="34686.589999999997"/>
    <n v="22231.39"/>
    <s v="Seattle"/>
    <x v="2"/>
    <s v="M"/>
    <s v="Green"/>
    <n v="1"/>
    <x v="1"/>
    <s v="Wholesale"/>
    <s v="Bank Transfer"/>
  </r>
  <r>
    <s v="ORD-202400127"/>
    <x v="122"/>
    <n v="5442"/>
    <s v="28/02/1994"/>
    <x v="1"/>
    <x v="2"/>
    <n v="9944.6299999999992"/>
    <n v="5699.62"/>
    <s v="Detroit"/>
    <x v="1"/>
    <s v="M"/>
    <s v="Blue"/>
    <n v="1"/>
    <x v="0"/>
    <s v="Retail"/>
    <s v="PayPal"/>
  </r>
  <r>
    <s v="ORD-202400128"/>
    <x v="123"/>
    <n v="3252"/>
    <s v="22/07/2000"/>
    <x v="0"/>
    <x v="2"/>
    <n v="58243.68"/>
    <n v="37601.08"/>
    <s v="Los Angeles"/>
    <x v="2"/>
    <s v="M"/>
    <s v="White"/>
    <n v="4"/>
    <x v="0"/>
    <s v="Retail"/>
    <s v="Bank Transfer"/>
  </r>
  <r>
    <s v="ORD-202400129"/>
    <x v="124"/>
    <n v="4804"/>
    <s v="03/10/1995"/>
    <x v="0"/>
    <x v="4"/>
    <n v="62684.25"/>
    <n v="30402.67"/>
    <s v="Seattle"/>
    <x v="2"/>
    <s v="M"/>
    <s v="Red"/>
    <n v="4"/>
    <x v="0"/>
    <s v="Retail"/>
    <s v="PayPal"/>
  </r>
  <r>
    <s v="ORD-202400130"/>
    <x v="125"/>
    <n v="2758"/>
    <s v="14/01/1997"/>
    <x v="1"/>
    <x v="3"/>
    <n v="3407.07"/>
    <n v="2207.17"/>
    <s v="Minneapolis"/>
    <x v="1"/>
    <s v="XL"/>
    <s v="Blue"/>
    <n v="5"/>
    <x v="0"/>
    <s v="Retail"/>
    <s v="Cash"/>
  </r>
  <r>
    <s v="ORD-202400131"/>
    <x v="126"/>
    <n v="6523"/>
    <s v="19/08/1970"/>
    <x v="1"/>
    <x v="1"/>
    <n v="64137.64"/>
    <n v="38576"/>
    <s v="Seattle"/>
    <x v="2"/>
    <s v="M"/>
    <s v="Yellow"/>
    <n v="4"/>
    <x v="2"/>
    <s v="Retail"/>
    <s v="Cash"/>
  </r>
  <r>
    <s v="ORD-202400132"/>
    <x v="127"/>
    <n v="1111"/>
    <s v="16/02/1981"/>
    <x v="1"/>
    <x v="4"/>
    <n v="22636.1"/>
    <n v="12208.71"/>
    <s v="Los Angeles"/>
    <x v="2"/>
    <s v="L"/>
    <s v="Green"/>
    <n v="3"/>
    <x v="0"/>
    <s v="Retail"/>
    <s v="Bank Transfer"/>
  </r>
  <r>
    <s v="ORD-202400133"/>
    <x v="128"/>
    <n v="3616"/>
    <s v="06/10/1983"/>
    <x v="1"/>
    <x v="2"/>
    <n v="34086.49"/>
    <n v="21632.01"/>
    <s v="Boston"/>
    <x v="0"/>
    <s v="L"/>
    <s v="Black"/>
    <n v="1"/>
    <x v="0"/>
    <s v="Wholesale"/>
    <s v="Bank Transfer"/>
  </r>
  <r>
    <s v="ORD-202400134"/>
    <x v="129"/>
    <n v="7121"/>
    <s v="04/03/1997"/>
    <x v="1"/>
    <x v="3"/>
    <n v="12965.4"/>
    <n v="8201.39"/>
    <s v="New York"/>
    <x v="0"/>
    <s v="M"/>
    <s v="Blue"/>
    <n v="5"/>
    <x v="2"/>
    <s v="Retail"/>
    <s v="Bank Transfer"/>
  </r>
  <r>
    <s v="ORD-202400135"/>
    <x v="130"/>
    <n v="9281"/>
    <s v="26/07/1994"/>
    <x v="0"/>
    <x v="4"/>
    <n v="33568.46"/>
    <n v="16111.87"/>
    <s v="Miami"/>
    <x v="0"/>
    <s v="L"/>
    <s v="Yellow"/>
    <n v="4"/>
    <x v="1"/>
    <s v="Retail"/>
    <s v="PayPal"/>
  </r>
  <r>
    <s v="ORD-202400136"/>
    <x v="131"/>
    <n v="7806"/>
    <s v="09/01/1993"/>
    <x v="1"/>
    <x v="1"/>
    <n v="39874.14"/>
    <n v="22399.67"/>
    <s v="Boston"/>
    <x v="0"/>
    <s v="L"/>
    <s v="Black"/>
    <n v="1"/>
    <x v="1"/>
    <s v="Wholesale"/>
    <s v="PayPal"/>
  </r>
  <r>
    <s v="ORD-202400137"/>
    <x v="132"/>
    <n v="1987"/>
    <s v="11/04/1994"/>
    <x v="0"/>
    <x v="4"/>
    <n v="53384.49"/>
    <n v="29063.279999999999"/>
    <s v="Los Angeles"/>
    <x v="2"/>
    <s v="L"/>
    <s v="White"/>
    <n v="2"/>
    <x v="0"/>
    <s v="Wholesale"/>
    <s v="PayPal"/>
  </r>
  <r>
    <s v="ORD-202400138"/>
    <x v="133"/>
    <n v="7154"/>
    <s v="07/12/1986"/>
    <x v="0"/>
    <x v="2"/>
    <n v="36912.629999999997"/>
    <n v="21496.38"/>
    <s v="Miami"/>
    <x v="0"/>
    <s v="M"/>
    <s v="Black"/>
    <n v="3"/>
    <x v="1"/>
    <s v="Wholesale"/>
    <s v="Bank Transfer"/>
  </r>
  <r>
    <s v="ORD-202400139"/>
    <x v="134"/>
    <n v="8585"/>
    <s v="21/05/1983"/>
    <x v="1"/>
    <x v="3"/>
    <n v="11436.46"/>
    <n v="7029.67"/>
    <s v="Boston"/>
    <x v="0"/>
    <s v="M"/>
    <s v="White"/>
    <n v="3"/>
    <x v="1"/>
    <s v="Retail"/>
    <s v="PayPal"/>
  </r>
  <r>
    <s v="ORD-202400140"/>
    <x v="42"/>
    <n v="4376"/>
    <s v="18/10/1980"/>
    <x v="0"/>
    <x v="3"/>
    <n v="3761.21"/>
    <n v="1717.8"/>
    <s v="New York"/>
    <x v="0"/>
    <s v="S"/>
    <s v="Blue"/>
    <n v="1"/>
    <x v="1"/>
    <s v="Retail"/>
    <s v="Cash"/>
  </r>
  <r>
    <s v="ORD-202400141"/>
    <x v="135"/>
    <n v="6224"/>
    <s v="04/11/1995"/>
    <x v="1"/>
    <x v="4"/>
    <n v="20956.810000000001"/>
    <n v="13103.28"/>
    <s v="New York"/>
    <x v="0"/>
    <s v="M"/>
    <s v="White"/>
    <n v="3"/>
    <x v="1"/>
    <s v="Retail"/>
    <s v="PayPal"/>
  </r>
  <r>
    <s v="ORD-202400142"/>
    <x v="136"/>
    <n v="6642"/>
    <s v="08/02/1972"/>
    <x v="1"/>
    <x v="0"/>
    <n v="11170.62"/>
    <n v="5738.87"/>
    <s v="Chicago"/>
    <x v="1"/>
    <s v="XL"/>
    <s v="White"/>
    <n v="2"/>
    <x v="1"/>
    <s v="Retail"/>
    <s v="PayPal"/>
  </r>
  <r>
    <s v="ORD-202400143"/>
    <x v="137"/>
    <n v="7761"/>
    <s v="02/08/1972"/>
    <x v="1"/>
    <x v="2"/>
    <n v="31738.080000000002"/>
    <n v="15133.31"/>
    <s v="New York"/>
    <x v="0"/>
    <s v="M"/>
    <s v="Green"/>
    <n v="2"/>
    <x v="1"/>
    <s v="Retail"/>
    <s v="Bank Transfer"/>
  </r>
  <r>
    <s v="ORD-202400144"/>
    <x v="36"/>
    <n v="7179"/>
    <s v="16/01/1982"/>
    <x v="0"/>
    <x v="1"/>
    <n v="71038.399999999994"/>
    <n v="34640.639999999999"/>
    <s v="Chicago"/>
    <x v="1"/>
    <s v="M"/>
    <s v="White"/>
    <n v="2"/>
    <x v="2"/>
    <s v="Retail"/>
    <s v="Cash"/>
  </r>
  <r>
    <s v="ORD-202400145"/>
    <x v="138"/>
    <n v="4350"/>
    <s v="18/11/1980"/>
    <x v="1"/>
    <x v="3"/>
    <n v="14217.86"/>
    <n v="7967.91"/>
    <s v="Los Angeles"/>
    <x v="2"/>
    <s v="L"/>
    <s v="White"/>
    <n v="4"/>
    <x v="0"/>
    <s v="Retail"/>
    <s v="Bank Transfer"/>
  </r>
  <r>
    <s v="ORD-202400146"/>
    <x v="94"/>
    <n v="4328"/>
    <s v="13/05/1984"/>
    <x v="1"/>
    <x v="1"/>
    <n v="52264.959999999999"/>
    <n v="23997.1"/>
    <s v="San Francisco"/>
    <x v="2"/>
    <s v="M"/>
    <s v="Black"/>
    <n v="2"/>
    <x v="1"/>
    <s v="Retail"/>
    <s v="PayPal"/>
  </r>
  <r>
    <s v="ORD-202400147"/>
    <x v="139"/>
    <n v="5026"/>
    <s v="15/01/1987"/>
    <x v="1"/>
    <x v="2"/>
    <n v="21395.52"/>
    <n v="13665.17"/>
    <s v="Miami"/>
    <x v="0"/>
    <s v="L"/>
    <s v="Green"/>
    <n v="4"/>
    <x v="2"/>
    <s v="Wholesale"/>
    <s v="Bank Transfer"/>
  </r>
  <r>
    <s v="ORD-202400148"/>
    <x v="140"/>
    <n v="4015"/>
    <s v="27/11/1991"/>
    <x v="0"/>
    <x v="0"/>
    <n v="9432.61"/>
    <n v="5827.6"/>
    <s v="Boston"/>
    <x v="0"/>
    <s v="S"/>
    <s v="Black"/>
    <n v="1"/>
    <x v="0"/>
    <s v="Retail"/>
    <s v="PayPal"/>
  </r>
  <r>
    <s v="ORD-202400149"/>
    <x v="141"/>
    <n v="1990"/>
    <s v="28/09/1986"/>
    <x v="1"/>
    <x v="4"/>
    <n v="33041.39"/>
    <n v="14972.59"/>
    <s v="Seattle"/>
    <x v="2"/>
    <s v="XL"/>
    <s v="Red"/>
    <n v="1"/>
    <x v="0"/>
    <s v="Retail"/>
    <s v="Bank Transfer"/>
  </r>
  <r>
    <s v="ORD-202400150"/>
    <x v="142"/>
    <n v="2578"/>
    <s v="20/10/1974"/>
    <x v="0"/>
    <x v="0"/>
    <n v="10491.07"/>
    <n v="6021.41"/>
    <s v="Seattle"/>
    <x v="2"/>
    <s v="L"/>
    <s v="Green"/>
    <n v="3"/>
    <x v="0"/>
    <s v="Retail"/>
    <s v="Bank Transfer"/>
  </r>
  <r>
    <s v="ORD-202400151"/>
    <x v="143"/>
    <n v="1519"/>
    <s v="13/08/1973"/>
    <x v="0"/>
    <x v="3"/>
    <n v="6431.08"/>
    <n v="3379.11"/>
    <s v="New York"/>
    <x v="0"/>
    <s v="XL"/>
    <s v="Red"/>
    <n v="1"/>
    <x v="0"/>
    <s v="Retail"/>
    <s v="Bank Transfer"/>
  </r>
  <r>
    <s v="ORD-202400152"/>
    <x v="144"/>
    <n v="1697"/>
    <s v="10/09/1993"/>
    <x v="0"/>
    <x v="1"/>
    <n v="34291.81"/>
    <n v="21385.17"/>
    <s v="Miami"/>
    <x v="0"/>
    <s v="XL"/>
    <s v="Green"/>
    <n v="1"/>
    <x v="2"/>
    <s v="Wholesale"/>
    <s v="Bank Transfer"/>
  </r>
  <r>
    <s v="ORD-202400153"/>
    <x v="145"/>
    <n v="4394"/>
    <s v="14/09/1970"/>
    <x v="0"/>
    <x v="0"/>
    <n v="9184.9"/>
    <n v="5442.44"/>
    <s v="Detroit"/>
    <x v="1"/>
    <s v="XL"/>
    <s v="Red"/>
    <n v="3"/>
    <x v="1"/>
    <s v="Retail"/>
    <s v="Bank Transfer"/>
  </r>
  <r>
    <s v="ORD-202400154"/>
    <x v="146"/>
    <n v="2284"/>
    <s v="02/12/2000"/>
    <x v="1"/>
    <x v="2"/>
    <n v="10964.98"/>
    <n v="5892.77"/>
    <s v="Boston"/>
    <x v="0"/>
    <s v="S"/>
    <s v="Green"/>
    <n v="5"/>
    <x v="0"/>
    <s v="Wholesale"/>
    <s v="Bank Transfer"/>
  </r>
  <r>
    <s v="ORD-202400155"/>
    <x v="147"/>
    <n v="4737"/>
    <s v="04/01/1992"/>
    <x v="1"/>
    <x v="4"/>
    <n v="21346.799999999999"/>
    <n v="11208.89"/>
    <s v="Minneapolis"/>
    <x v="1"/>
    <s v="M"/>
    <s v="Black"/>
    <n v="5"/>
    <x v="0"/>
    <s v="Retail"/>
    <s v="PayPal"/>
  </r>
  <r>
    <s v="ORD-202400156"/>
    <x v="148"/>
    <n v="3527"/>
    <s v="17/01/1987"/>
    <x v="1"/>
    <x v="0"/>
    <n v="7282.65"/>
    <n v="3432.39"/>
    <s v="Los Angeles"/>
    <x v="2"/>
    <s v="S"/>
    <s v="Green"/>
    <n v="4"/>
    <x v="1"/>
    <s v="Retail"/>
    <s v="Cash"/>
  </r>
  <r>
    <s v="ORD-202400157"/>
    <x v="69"/>
    <n v="1430"/>
    <s v="20/08/1974"/>
    <x v="0"/>
    <x v="1"/>
    <n v="52213.33"/>
    <n v="24467.84"/>
    <s v="San Francisco"/>
    <x v="2"/>
    <s v="L"/>
    <s v="White"/>
    <n v="1"/>
    <x v="1"/>
    <s v="Retail"/>
    <s v="Cash"/>
  </r>
  <r>
    <s v="ORD-202400158"/>
    <x v="149"/>
    <n v="3778"/>
    <s v="17/05/1993"/>
    <x v="1"/>
    <x v="3"/>
    <n v="5773.46"/>
    <n v="2908.58"/>
    <s v="Boston"/>
    <x v="0"/>
    <s v="L"/>
    <s v="White"/>
    <n v="2"/>
    <x v="1"/>
    <s v="Retail"/>
    <s v="Bank Transfer"/>
  </r>
  <r>
    <s v="ORD-202400159"/>
    <x v="150"/>
    <n v="4203"/>
    <s v="29/03/1992"/>
    <x v="1"/>
    <x v="2"/>
    <n v="15795.13"/>
    <n v="8070.23"/>
    <s v="Los Angeles"/>
    <x v="2"/>
    <s v="XL"/>
    <s v="Green"/>
    <n v="5"/>
    <x v="1"/>
    <s v="Wholesale"/>
    <s v="Bank Transfer"/>
  </r>
  <r>
    <s v="ORD-202400160"/>
    <x v="151"/>
    <n v="4290"/>
    <s v="22/01/1997"/>
    <x v="1"/>
    <x v="3"/>
    <n v="6555.84"/>
    <n v="4214.8500000000004"/>
    <s v="Seattle"/>
    <x v="2"/>
    <s v="L"/>
    <s v="Green"/>
    <n v="4"/>
    <x v="2"/>
    <s v="Wholesale"/>
    <s v="Bank Transfer"/>
  </r>
  <r>
    <s v="ORD-202400161"/>
    <x v="152"/>
    <n v="9939"/>
    <s v="26/07/1996"/>
    <x v="0"/>
    <x v="2"/>
    <n v="44244.78"/>
    <n v="24777.95"/>
    <s v="San Francisco"/>
    <x v="2"/>
    <s v="XL"/>
    <s v="Black"/>
    <n v="2"/>
    <x v="1"/>
    <s v="Retail"/>
    <s v="PayPal"/>
  </r>
  <r>
    <s v="ORD-202400162"/>
    <x v="153"/>
    <n v="5139"/>
    <s v="09/11/1980"/>
    <x v="0"/>
    <x v="0"/>
    <n v="14148.35"/>
    <n v="8599.58"/>
    <s v="San Francisco"/>
    <x v="2"/>
    <s v="S"/>
    <s v="White"/>
    <n v="5"/>
    <x v="0"/>
    <s v="Retail"/>
    <s v="PayPal"/>
  </r>
  <r>
    <s v="ORD-202400163"/>
    <x v="154"/>
    <n v="2392"/>
    <s v="31/01/1994"/>
    <x v="0"/>
    <x v="2"/>
    <n v="18211.21"/>
    <n v="10590.19"/>
    <s v="Detroit"/>
    <x v="1"/>
    <s v="L"/>
    <s v="Blue"/>
    <n v="5"/>
    <x v="1"/>
    <s v="Wholesale"/>
    <s v="PayPal"/>
  </r>
  <r>
    <s v="ORD-202400164"/>
    <x v="155"/>
    <n v="5239"/>
    <s v="04/06/1974"/>
    <x v="0"/>
    <x v="3"/>
    <n v="8883.4500000000007"/>
    <n v="4919.3"/>
    <s v="Miami"/>
    <x v="0"/>
    <s v="M"/>
    <s v="White"/>
    <n v="3"/>
    <x v="1"/>
    <s v="Wholesale"/>
    <s v="PayPal"/>
  </r>
  <r>
    <s v="ORD-202400165"/>
    <x v="156"/>
    <n v="7815"/>
    <s v="03/04/1983"/>
    <x v="0"/>
    <x v="2"/>
    <n v="8122.72"/>
    <n v="5183.3900000000003"/>
    <s v="New York"/>
    <x v="0"/>
    <s v="M"/>
    <s v="Green"/>
    <n v="3"/>
    <x v="1"/>
    <s v="Wholesale"/>
    <s v="PayPal"/>
  </r>
  <r>
    <s v="ORD-202400166"/>
    <x v="157"/>
    <n v="2100"/>
    <s v="22/04/1984"/>
    <x v="1"/>
    <x v="4"/>
    <n v="12066.59"/>
    <n v="7145.3"/>
    <s v="Miami"/>
    <x v="0"/>
    <s v="S"/>
    <s v="Green"/>
    <n v="1"/>
    <x v="0"/>
    <s v="Retail"/>
    <s v="PayPal"/>
  </r>
  <r>
    <s v="ORD-202400167"/>
    <x v="158"/>
    <n v="4798"/>
    <s v="23/09/1990"/>
    <x v="1"/>
    <x v="1"/>
    <n v="69567"/>
    <n v="33898.43"/>
    <s v="Los Angeles"/>
    <x v="2"/>
    <s v="XL"/>
    <s v="White"/>
    <n v="1"/>
    <x v="0"/>
    <s v="Wholesale"/>
    <s v="Bank Transfer"/>
  </r>
  <r>
    <s v="ORD-202400168"/>
    <x v="159"/>
    <n v="2667"/>
    <s v="22/10/1972"/>
    <x v="0"/>
    <x v="4"/>
    <n v="18304.189999999999"/>
    <n v="8958.34"/>
    <s v="Miami"/>
    <x v="0"/>
    <s v="S"/>
    <s v="Green"/>
    <n v="4"/>
    <x v="0"/>
    <s v="Wholesale"/>
    <s v="PayPal"/>
  </r>
  <r>
    <s v="ORD-202400169"/>
    <x v="160"/>
    <n v="3826"/>
    <s v="10/09/1997"/>
    <x v="1"/>
    <x v="1"/>
    <n v="94876.59"/>
    <n v="53893.1"/>
    <s v="San Francisco"/>
    <x v="2"/>
    <s v="M"/>
    <s v="Green"/>
    <n v="1"/>
    <x v="1"/>
    <s v="Retail"/>
    <s v="Bank Transfer"/>
  </r>
  <r>
    <s v="ORD-202400170"/>
    <x v="161"/>
    <n v="7931"/>
    <s v="19/03/1987"/>
    <x v="0"/>
    <x v="2"/>
    <n v="26519.13"/>
    <n v="14783.77"/>
    <s v="Boston"/>
    <x v="0"/>
    <s v="M"/>
    <s v="Yellow"/>
    <n v="2"/>
    <x v="0"/>
    <s v="Retail"/>
    <s v="Bank Transfer"/>
  </r>
  <r>
    <s v="ORD-202400171"/>
    <x v="21"/>
    <n v="3236"/>
    <s v="27/09/1991"/>
    <x v="0"/>
    <x v="4"/>
    <n v="28622.240000000002"/>
    <n v="18397.400000000001"/>
    <s v="Detroit"/>
    <x v="1"/>
    <s v="XL"/>
    <s v="White"/>
    <n v="4"/>
    <x v="1"/>
    <s v="Wholesale"/>
    <s v="Bank Transfer"/>
  </r>
  <r>
    <s v="ORD-202400172"/>
    <x v="99"/>
    <n v="5503"/>
    <s v="20/06/1971"/>
    <x v="0"/>
    <x v="4"/>
    <n v="41837.279999999999"/>
    <n v="20234.259999999998"/>
    <s v="Seattle"/>
    <x v="2"/>
    <s v="XL"/>
    <s v="Yellow"/>
    <n v="4"/>
    <x v="0"/>
    <s v="Retail"/>
    <s v="Cash"/>
  </r>
  <r>
    <s v="ORD-202400173"/>
    <x v="162"/>
    <n v="9951"/>
    <s v="19/10/1989"/>
    <x v="0"/>
    <x v="3"/>
    <n v="17846.64"/>
    <n v="8396.5499999999993"/>
    <s v="Seattle"/>
    <x v="2"/>
    <s v="M"/>
    <s v="Green"/>
    <n v="1"/>
    <x v="1"/>
    <s v="Retail"/>
    <s v="Cash"/>
  </r>
  <r>
    <s v="ORD-202400174"/>
    <x v="1"/>
    <n v="6744"/>
    <s v="29/11/2000"/>
    <x v="1"/>
    <x v="0"/>
    <n v="6024.87"/>
    <n v="2878.97"/>
    <s v="Los Angeles"/>
    <x v="2"/>
    <s v="M"/>
    <s v="Blue"/>
    <n v="1"/>
    <x v="0"/>
    <s v="Retail"/>
    <s v="PayPal"/>
  </r>
  <r>
    <s v="ORD-202400175"/>
    <x v="163"/>
    <n v="9428"/>
    <s v="29/12/1981"/>
    <x v="0"/>
    <x v="3"/>
    <n v="4194.8599999999997"/>
    <n v="2516.9899999999998"/>
    <s v="Miami"/>
    <x v="0"/>
    <s v="XL"/>
    <s v="Red"/>
    <n v="3"/>
    <x v="2"/>
    <s v="Retail"/>
    <s v="Cash"/>
  </r>
  <r>
    <s v="ORD-202400176"/>
    <x v="121"/>
    <n v="9019"/>
    <s v="14/08/1987"/>
    <x v="0"/>
    <x v="2"/>
    <n v="26576.14"/>
    <n v="13387.56"/>
    <s v="Seattle"/>
    <x v="2"/>
    <s v="XL"/>
    <s v="White"/>
    <n v="4"/>
    <x v="1"/>
    <s v="Wholesale"/>
    <s v="Cash"/>
  </r>
  <r>
    <s v="ORD-202400177"/>
    <x v="164"/>
    <n v="8996"/>
    <s v="25/05/1990"/>
    <x v="1"/>
    <x v="2"/>
    <n v="39306.800000000003"/>
    <n v="24518.86"/>
    <s v="Seattle"/>
    <x v="2"/>
    <s v="S"/>
    <s v="Black"/>
    <n v="4"/>
    <x v="0"/>
    <s v="Wholesale"/>
    <s v="Cash"/>
  </r>
  <r>
    <s v="ORD-202400178"/>
    <x v="165"/>
    <n v="5399"/>
    <s v="11/03/1992"/>
    <x v="1"/>
    <x v="4"/>
    <n v="38648.71"/>
    <n v="20002.68"/>
    <s v="Miami"/>
    <x v="0"/>
    <s v="M"/>
    <s v="Yellow"/>
    <n v="4"/>
    <x v="0"/>
    <s v="Wholesale"/>
    <s v="Cash"/>
  </r>
  <r>
    <s v="ORD-202400179"/>
    <x v="166"/>
    <n v="8230"/>
    <s v="01/02/1977"/>
    <x v="1"/>
    <x v="0"/>
    <n v="4843.53"/>
    <n v="3107.64"/>
    <s v="Seattle"/>
    <x v="2"/>
    <s v="M"/>
    <s v="Black"/>
    <n v="2"/>
    <x v="2"/>
    <s v="Retail"/>
    <s v="Bank Transfer"/>
  </r>
  <r>
    <s v="ORD-202400180"/>
    <x v="167"/>
    <n v="1848"/>
    <s v="04/06/1977"/>
    <x v="1"/>
    <x v="2"/>
    <n v="33173.93"/>
    <n v="19745.05"/>
    <s v="San Francisco"/>
    <x v="2"/>
    <s v="M"/>
    <s v="White"/>
    <n v="1"/>
    <x v="0"/>
    <s v="Retail"/>
    <s v="Bank Transfer"/>
  </r>
  <r>
    <s v="ORD-202400181"/>
    <x v="168"/>
    <n v="6629"/>
    <s v="13/05/1970"/>
    <x v="0"/>
    <x v="2"/>
    <n v="54660.57"/>
    <n v="29214.04"/>
    <s v="Seattle"/>
    <x v="2"/>
    <s v="M"/>
    <s v="White"/>
    <n v="1"/>
    <x v="1"/>
    <s v="Retail"/>
    <s v="Cash"/>
  </r>
  <r>
    <s v="ORD-202400182"/>
    <x v="169"/>
    <n v="3340"/>
    <s v="12/10/1998"/>
    <x v="0"/>
    <x v="3"/>
    <n v="9313.98"/>
    <n v="4207.08"/>
    <s v="San Francisco"/>
    <x v="2"/>
    <s v="M"/>
    <s v="White"/>
    <n v="3"/>
    <x v="0"/>
    <s v="Wholesale"/>
    <s v="Cash"/>
  </r>
  <r>
    <s v="ORD-202400183"/>
    <x v="170"/>
    <n v="3293"/>
    <s v="05/07/1974"/>
    <x v="0"/>
    <x v="0"/>
    <n v="11295.77"/>
    <n v="5950.68"/>
    <s v="Detroit"/>
    <x v="1"/>
    <s v="XL"/>
    <s v="Green"/>
    <n v="2"/>
    <x v="1"/>
    <s v="Wholesale"/>
    <s v="Cash"/>
  </r>
  <r>
    <s v="ORD-202400184"/>
    <x v="171"/>
    <n v="5942"/>
    <s v="16/03/1971"/>
    <x v="0"/>
    <x v="0"/>
    <n v="11007.36"/>
    <n v="6075.01"/>
    <s v="Boston"/>
    <x v="0"/>
    <s v="XL"/>
    <s v="Green"/>
    <n v="1"/>
    <x v="0"/>
    <s v="Wholesale"/>
    <s v="Cash"/>
  </r>
  <r>
    <s v="ORD-202400185"/>
    <x v="172"/>
    <n v="1197"/>
    <s v="12/09/1993"/>
    <x v="1"/>
    <x v="2"/>
    <n v="43492.43"/>
    <n v="20719.64"/>
    <s v="New York"/>
    <x v="0"/>
    <s v="XL"/>
    <s v="Green"/>
    <n v="5"/>
    <x v="0"/>
    <s v="Wholesale"/>
    <s v="Cash"/>
  </r>
  <r>
    <s v="ORD-202400186"/>
    <x v="173"/>
    <n v="9300"/>
    <s v="08/11/1987"/>
    <x v="1"/>
    <x v="4"/>
    <n v="31882.26"/>
    <n v="17541.93"/>
    <s v="Los Angeles"/>
    <x v="2"/>
    <s v="XL"/>
    <s v="White"/>
    <n v="4"/>
    <x v="1"/>
    <s v="Retail"/>
    <s v="PayPal"/>
  </r>
  <r>
    <s v="ORD-202400187"/>
    <x v="174"/>
    <n v="9788"/>
    <s v="20/12/1976"/>
    <x v="1"/>
    <x v="2"/>
    <n v="27453.91"/>
    <n v="15837.03"/>
    <s v="Los Angeles"/>
    <x v="2"/>
    <s v="S"/>
    <s v="Green"/>
    <n v="4"/>
    <x v="0"/>
    <s v="Wholesale"/>
    <s v="Cash"/>
  </r>
  <r>
    <s v="ORD-202400188"/>
    <x v="175"/>
    <n v="3877"/>
    <s v="16/11/1983"/>
    <x v="0"/>
    <x v="4"/>
    <n v="11686.67"/>
    <n v="5579.71"/>
    <s v="San Francisco"/>
    <x v="2"/>
    <s v="S"/>
    <s v="Blue"/>
    <n v="4"/>
    <x v="2"/>
    <s v="Retail"/>
    <s v="PayPal"/>
  </r>
  <r>
    <s v="ORD-202400189"/>
    <x v="176"/>
    <n v="1480"/>
    <s v="19/04/1975"/>
    <x v="1"/>
    <x v="4"/>
    <n v="56794.49"/>
    <n v="28646.92"/>
    <s v="San Francisco"/>
    <x v="2"/>
    <s v="S"/>
    <s v="Green"/>
    <n v="5"/>
    <x v="0"/>
    <s v="Retail"/>
    <s v="PayPal"/>
  </r>
  <r>
    <s v="ORD-202400190"/>
    <x v="177"/>
    <n v="2685"/>
    <s v="11/06/1981"/>
    <x v="0"/>
    <x v="3"/>
    <n v="5462.16"/>
    <n v="3013.83"/>
    <s v="San Francisco"/>
    <x v="2"/>
    <s v="S"/>
    <s v="Red"/>
    <n v="2"/>
    <x v="1"/>
    <s v="Retail"/>
    <s v="Cash"/>
  </r>
  <r>
    <s v="ORD-202400191"/>
    <x v="178"/>
    <n v="4678"/>
    <s v="23/10/1988"/>
    <x v="1"/>
    <x v="1"/>
    <n v="45184.82"/>
    <n v="28609.72"/>
    <s v="Los Angeles"/>
    <x v="2"/>
    <s v="L"/>
    <s v="Green"/>
    <n v="1"/>
    <x v="0"/>
    <s v="Retail"/>
    <s v="PayPal"/>
  </r>
  <r>
    <s v="ORD-202400192"/>
    <x v="179"/>
    <n v="2129"/>
    <s v="26/12/1987"/>
    <x v="1"/>
    <x v="2"/>
    <n v="30686.94"/>
    <n v="18556.560000000001"/>
    <s v="Chicago"/>
    <x v="1"/>
    <s v="L"/>
    <s v="Green"/>
    <n v="1"/>
    <x v="0"/>
    <s v="Retail"/>
    <s v="Cash"/>
  </r>
  <r>
    <s v="ORD-202400193"/>
    <x v="180"/>
    <n v="9083"/>
    <s v="17/07/1996"/>
    <x v="0"/>
    <x v="0"/>
    <n v="14403.13"/>
    <n v="8055.84"/>
    <s v="San Francisco"/>
    <x v="2"/>
    <s v="M"/>
    <s v="Blue"/>
    <n v="1"/>
    <x v="2"/>
    <s v="Retail"/>
    <s v="PayPal"/>
  </r>
  <r>
    <s v="ORD-202400194"/>
    <x v="181"/>
    <n v="7164"/>
    <s v="27/06/1999"/>
    <x v="1"/>
    <x v="3"/>
    <n v="5699.04"/>
    <n v="3168.45"/>
    <s v="Seattle"/>
    <x v="2"/>
    <s v="M"/>
    <s v="White"/>
    <n v="4"/>
    <x v="2"/>
    <s v="Wholesale"/>
    <s v="Cash"/>
  </r>
  <r>
    <s v="ORD-202400195"/>
    <x v="182"/>
    <n v="7102"/>
    <s v="12/07/1988"/>
    <x v="1"/>
    <x v="4"/>
    <n v="37449.75"/>
    <n v="17488.3"/>
    <s v="New York"/>
    <x v="0"/>
    <s v="S"/>
    <s v="Yellow"/>
    <n v="2"/>
    <x v="0"/>
    <s v="Retail"/>
    <s v="PayPal"/>
  </r>
  <r>
    <s v="ORD-202400196"/>
    <x v="183"/>
    <n v="6161"/>
    <s v="16/09/1981"/>
    <x v="1"/>
    <x v="0"/>
    <n v="11611.44"/>
    <n v="6932.85"/>
    <s v="Miami"/>
    <x v="0"/>
    <s v="L"/>
    <s v="White"/>
    <n v="3"/>
    <x v="1"/>
    <s v="Wholesale"/>
    <s v="Cash"/>
  </r>
  <r>
    <s v="ORD-202400197"/>
    <x v="184"/>
    <n v="6145"/>
    <s v="27/11/1990"/>
    <x v="1"/>
    <x v="4"/>
    <n v="10597.17"/>
    <n v="5528.09"/>
    <s v="Boston"/>
    <x v="0"/>
    <s v="M"/>
    <s v="White"/>
    <n v="3"/>
    <x v="0"/>
    <s v="Wholesale"/>
    <s v="Cash"/>
  </r>
  <r>
    <s v="ORD-202400198"/>
    <x v="185"/>
    <n v="4522"/>
    <s v="23/10/1971"/>
    <x v="1"/>
    <x v="2"/>
    <n v="17842.03"/>
    <n v="10566.61"/>
    <s v="Seattle"/>
    <x v="2"/>
    <s v="L"/>
    <s v="White"/>
    <n v="5"/>
    <x v="1"/>
    <s v="Retail"/>
    <s v="Cash"/>
  </r>
  <r>
    <s v="ORD-202400199"/>
    <x v="186"/>
    <n v="2551"/>
    <s v="17/03/1981"/>
    <x v="1"/>
    <x v="3"/>
    <n v="5207.8999999999996"/>
    <n v="3170.37"/>
    <s v="San Francisco"/>
    <x v="2"/>
    <s v="S"/>
    <s v="Red"/>
    <n v="1"/>
    <x v="2"/>
    <s v="Wholesale"/>
    <s v="Cash"/>
  </r>
  <r>
    <s v="ORD-202400200"/>
    <x v="187"/>
    <n v="5240"/>
    <s v="08/10/1973"/>
    <x v="0"/>
    <x v="2"/>
    <n v="10652.78"/>
    <n v="4931.1099999999997"/>
    <s v="San Francisco"/>
    <x v="2"/>
    <s v="XL"/>
    <s v="Blue"/>
    <n v="1"/>
    <x v="2"/>
    <s v="Wholesale"/>
    <s v="Bank Transfer"/>
  </r>
  <r>
    <s v="ORD-202400201"/>
    <x v="188"/>
    <n v="9128"/>
    <s v="20/09/1987"/>
    <x v="0"/>
    <x v="4"/>
    <n v="33241.480000000003"/>
    <n v="17795.25"/>
    <s v="San Francisco"/>
    <x v="2"/>
    <s v="L"/>
    <s v="Blue"/>
    <n v="2"/>
    <x v="1"/>
    <s v="Retail"/>
    <s v="Cash"/>
  </r>
  <r>
    <s v="ORD-202400202"/>
    <x v="189"/>
    <n v="8848"/>
    <s v="25/06/1988"/>
    <x v="0"/>
    <x v="1"/>
    <n v="25397.07"/>
    <n v="13374.17"/>
    <s v="Seattle"/>
    <x v="2"/>
    <s v="XL"/>
    <s v="Blue"/>
    <n v="5"/>
    <x v="1"/>
    <s v="Wholesale"/>
    <s v="PayPal"/>
  </r>
  <r>
    <s v="ORD-202400203"/>
    <x v="190"/>
    <n v="6636"/>
    <s v="28/09/1991"/>
    <x v="1"/>
    <x v="0"/>
    <n v="9131.5300000000007"/>
    <n v="4437.59"/>
    <s v="Miami"/>
    <x v="0"/>
    <s v="L"/>
    <s v="Yellow"/>
    <n v="2"/>
    <x v="1"/>
    <s v="Wholesale"/>
    <s v="Bank Transfer"/>
  </r>
  <r>
    <s v="ORD-202400204"/>
    <x v="135"/>
    <n v="2640"/>
    <s v="28/02/1977"/>
    <x v="0"/>
    <x v="1"/>
    <n v="89926.65"/>
    <n v="45260.57"/>
    <s v="San Francisco"/>
    <x v="2"/>
    <s v="S"/>
    <s v="Blue"/>
    <n v="5"/>
    <x v="2"/>
    <s v="Wholesale"/>
    <s v="Bank Transfer"/>
  </r>
  <r>
    <s v="ORD-202400205"/>
    <x v="191"/>
    <n v="1462"/>
    <s v="04/02/1986"/>
    <x v="1"/>
    <x v="4"/>
    <n v="37138.97"/>
    <n v="20898.89"/>
    <s v="Chicago"/>
    <x v="1"/>
    <s v="M"/>
    <s v="White"/>
    <n v="5"/>
    <x v="1"/>
    <s v="Retail"/>
    <s v="Cash"/>
  </r>
  <r>
    <s v="ORD-202400206"/>
    <x v="192"/>
    <n v="4300"/>
    <s v="18/11/1984"/>
    <x v="0"/>
    <x v="4"/>
    <n v="28439.16"/>
    <n v="13806.98"/>
    <s v="Seattle"/>
    <x v="2"/>
    <s v="L"/>
    <s v="Red"/>
    <n v="1"/>
    <x v="1"/>
    <s v="Wholesale"/>
    <s v="Cash"/>
  </r>
  <r>
    <s v="ORD-202400207"/>
    <x v="193"/>
    <n v="7481"/>
    <s v="14/09/1999"/>
    <x v="0"/>
    <x v="3"/>
    <n v="8383.77"/>
    <n v="4313.62"/>
    <s v="Boston"/>
    <x v="0"/>
    <s v="M"/>
    <s v="Black"/>
    <n v="4"/>
    <x v="0"/>
    <s v="Wholesale"/>
    <s v="PayPal"/>
  </r>
  <r>
    <s v="ORD-202400208"/>
    <x v="194"/>
    <n v="4657"/>
    <s v="03/01/1986"/>
    <x v="0"/>
    <x v="3"/>
    <n v="9977.1299999999992"/>
    <n v="5954.34"/>
    <s v="Seattle"/>
    <x v="2"/>
    <s v="L"/>
    <s v="Blue"/>
    <n v="2"/>
    <x v="0"/>
    <s v="Wholesale"/>
    <s v="PayPal"/>
  </r>
  <r>
    <s v="ORD-202400209"/>
    <x v="195"/>
    <n v="2705"/>
    <s v="29/11/1979"/>
    <x v="1"/>
    <x v="4"/>
    <n v="18221.25"/>
    <n v="10915.78"/>
    <s v="Seattle"/>
    <x v="2"/>
    <s v="M"/>
    <s v="Green"/>
    <n v="3"/>
    <x v="1"/>
    <s v="Wholesale"/>
    <s v="Cash"/>
  </r>
  <r>
    <s v="ORD-202400210"/>
    <x v="196"/>
    <n v="5345"/>
    <s v="06/07/1970"/>
    <x v="0"/>
    <x v="0"/>
    <n v="6673.45"/>
    <n v="3093.54"/>
    <s v="Detroit"/>
    <x v="1"/>
    <s v="L"/>
    <s v="Red"/>
    <n v="1"/>
    <x v="1"/>
    <s v="Retail"/>
    <s v="Bank Transfer"/>
  </r>
  <r>
    <s v="ORD-202400211"/>
    <x v="197"/>
    <n v="2661"/>
    <s v="02/11/1986"/>
    <x v="1"/>
    <x v="1"/>
    <n v="52182.97"/>
    <n v="29515.27"/>
    <s v="Minneapolis"/>
    <x v="1"/>
    <s v="M"/>
    <s v="Blue"/>
    <n v="4"/>
    <x v="1"/>
    <s v="Wholesale"/>
    <s v="Bank Transfer"/>
  </r>
  <r>
    <s v="ORD-202400212"/>
    <x v="198"/>
    <n v="3636"/>
    <s v="04/11/1986"/>
    <x v="0"/>
    <x v="3"/>
    <n v="8404.27"/>
    <n v="5291.54"/>
    <s v="San Francisco"/>
    <x v="2"/>
    <s v="S"/>
    <s v="Green"/>
    <n v="5"/>
    <x v="2"/>
    <s v="Wholesale"/>
    <s v="PayPal"/>
  </r>
  <r>
    <s v="ORD-202400213"/>
    <x v="199"/>
    <n v="2659"/>
    <s v="27/05/1972"/>
    <x v="1"/>
    <x v="4"/>
    <n v="23408.05"/>
    <n v="11423.05"/>
    <s v="Seattle"/>
    <x v="2"/>
    <s v="L"/>
    <s v="Black"/>
    <n v="3"/>
    <x v="1"/>
    <s v="Retail"/>
    <s v="Bank Transfer"/>
  </r>
  <r>
    <s v="ORD-202400214"/>
    <x v="158"/>
    <n v="5825"/>
    <s v="06/12/1973"/>
    <x v="1"/>
    <x v="4"/>
    <n v="15387.97"/>
    <n v="7003.79"/>
    <s v="Miami"/>
    <x v="0"/>
    <s v="M"/>
    <s v="Black"/>
    <n v="3"/>
    <x v="2"/>
    <s v="Retail"/>
    <s v="Cash"/>
  </r>
  <r>
    <s v="ORD-202400215"/>
    <x v="200"/>
    <n v="9914"/>
    <s v="02/02/1974"/>
    <x v="1"/>
    <x v="1"/>
    <n v="38244.49"/>
    <n v="23983.06"/>
    <s v="San Francisco"/>
    <x v="2"/>
    <s v="L"/>
    <s v="Blue"/>
    <n v="4"/>
    <x v="1"/>
    <s v="Retail"/>
    <s v="Bank Transfer"/>
  </r>
  <r>
    <s v="ORD-202400216"/>
    <x v="201"/>
    <n v="2584"/>
    <s v="10/12/1999"/>
    <x v="0"/>
    <x v="1"/>
    <n v="61989.79"/>
    <n v="37915.19"/>
    <s v="San Francisco"/>
    <x v="2"/>
    <s v="XL"/>
    <s v="Yellow"/>
    <n v="2"/>
    <x v="0"/>
    <s v="Wholesale"/>
    <s v="PayPal"/>
  </r>
  <r>
    <s v="ORD-202400217"/>
    <x v="202"/>
    <n v="8803"/>
    <s v="27/07/1980"/>
    <x v="1"/>
    <x v="0"/>
    <n v="6967.27"/>
    <n v="4393.25"/>
    <s v="Seattle"/>
    <x v="2"/>
    <s v="S"/>
    <s v="Yellow"/>
    <n v="5"/>
    <x v="2"/>
    <s v="Wholesale"/>
    <s v="PayPal"/>
  </r>
  <r>
    <s v="ORD-202400218"/>
    <x v="203"/>
    <n v="4471"/>
    <s v="01/07/1977"/>
    <x v="0"/>
    <x v="4"/>
    <n v="11877.08"/>
    <n v="6350.38"/>
    <s v="Chicago"/>
    <x v="1"/>
    <s v="XL"/>
    <s v="Blue"/>
    <n v="2"/>
    <x v="2"/>
    <s v="Retail"/>
    <s v="PayPal"/>
  </r>
  <r>
    <s v="ORD-202400219"/>
    <x v="204"/>
    <n v="5525"/>
    <s v="18/08/1984"/>
    <x v="1"/>
    <x v="4"/>
    <n v="36168.93"/>
    <n v="16365.46"/>
    <s v="Chicago"/>
    <x v="1"/>
    <s v="XL"/>
    <s v="Red"/>
    <n v="4"/>
    <x v="1"/>
    <s v="Retail"/>
    <s v="PayPal"/>
  </r>
  <r>
    <s v="ORD-202400220"/>
    <x v="205"/>
    <n v="9775"/>
    <s v="01/11/1982"/>
    <x v="1"/>
    <x v="3"/>
    <n v="15494.72"/>
    <n v="7791.17"/>
    <s v="New York"/>
    <x v="0"/>
    <s v="XL"/>
    <s v="Yellow"/>
    <n v="5"/>
    <x v="0"/>
    <s v="Retail"/>
    <s v="Bank Transfer"/>
  </r>
  <r>
    <s v="ORD-202400221"/>
    <x v="96"/>
    <n v="4892"/>
    <s v="14/11/1984"/>
    <x v="0"/>
    <x v="0"/>
    <n v="17176.05"/>
    <n v="10892.48"/>
    <s v="Seattle"/>
    <x v="2"/>
    <s v="L"/>
    <s v="Red"/>
    <n v="3"/>
    <x v="2"/>
    <s v="Retail"/>
    <s v="Bank Transfer"/>
  </r>
  <r>
    <s v="ORD-202400222"/>
    <x v="206"/>
    <n v="5923"/>
    <s v="11/01/1976"/>
    <x v="1"/>
    <x v="0"/>
    <n v="13803.23"/>
    <n v="7097.26"/>
    <s v="Detroit"/>
    <x v="1"/>
    <s v="XL"/>
    <s v="Yellow"/>
    <n v="1"/>
    <x v="1"/>
    <s v="Retail"/>
    <s v="Bank Transfer"/>
  </r>
  <r>
    <s v="ORD-202400223"/>
    <x v="207"/>
    <n v="2075"/>
    <s v="17/02/1977"/>
    <x v="1"/>
    <x v="3"/>
    <n v="14212.02"/>
    <n v="7541.99"/>
    <s v="Boston"/>
    <x v="0"/>
    <s v="S"/>
    <s v="Blue"/>
    <n v="2"/>
    <x v="2"/>
    <s v="Retail"/>
    <s v="Cash"/>
  </r>
  <r>
    <s v="ORD-202400224"/>
    <x v="208"/>
    <n v="7035"/>
    <s v="16/04/1982"/>
    <x v="1"/>
    <x v="4"/>
    <n v="32027.61"/>
    <n v="18482.560000000001"/>
    <s v="San Francisco"/>
    <x v="2"/>
    <s v="S"/>
    <s v="Black"/>
    <n v="1"/>
    <x v="1"/>
    <s v="Retail"/>
    <s v="Bank Transfer"/>
  </r>
  <r>
    <s v="ORD-202400225"/>
    <x v="209"/>
    <n v="2480"/>
    <s v="08/08/1981"/>
    <x v="1"/>
    <x v="1"/>
    <n v="16804.66"/>
    <n v="7728.97"/>
    <s v="San Francisco"/>
    <x v="2"/>
    <s v="M"/>
    <s v="Blue"/>
    <n v="2"/>
    <x v="0"/>
    <s v="Retail"/>
    <s v="Bank Transfer"/>
  </r>
  <r>
    <s v="ORD-202400226"/>
    <x v="210"/>
    <n v="1138"/>
    <s v="08/10/1977"/>
    <x v="0"/>
    <x v="4"/>
    <n v="21673.06"/>
    <n v="13242.61"/>
    <s v="Boston"/>
    <x v="0"/>
    <s v="L"/>
    <s v="Black"/>
    <n v="3"/>
    <x v="1"/>
    <s v="Retail"/>
    <s v="Bank Transfer"/>
  </r>
  <r>
    <s v="ORD-202400227"/>
    <x v="93"/>
    <n v="2676"/>
    <s v="25/10/1987"/>
    <x v="0"/>
    <x v="1"/>
    <n v="56741.58"/>
    <n v="33050.33"/>
    <s v="New York"/>
    <x v="0"/>
    <s v="L"/>
    <s v="Yellow"/>
    <n v="5"/>
    <x v="0"/>
    <s v="Retail"/>
    <s v="Cash"/>
  </r>
  <r>
    <s v="ORD-202400228"/>
    <x v="211"/>
    <n v="5895"/>
    <s v="18/09/1981"/>
    <x v="0"/>
    <x v="3"/>
    <n v="5030.2299999999996"/>
    <n v="3033.71"/>
    <s v="Miami"/>
    <x v="0"/>
    <s v="S"/>
    <s v="Yellow"/>
    <n v="4"/>
    <x v="0"/>
    <s v="Wholesale"/>
    <s v="PayPal"/>
  </r>
  <r>
    <s v="ORD-202400229"/>
    <x v="212"/>
    <n v="7361"/>
    <s v="24/02/1988"/>
    <x v="0"/>
    <x v="3"/>
    <n v="11745.36"/>
    <n v="7622.16"/>
    <s v="San Francisco"/>
    <x v="2"/>
    <s v="M"/>
    <s v="Green"/>
    <n v="2"/>
    <x v="0"/>
    <s v="Wholesale"/>
    <s v="Bank Transfer"/>
  </r>
  <r>
    <s v="ORD-202400230"/>
    <x v="213"/>
    <n v="3967"/>
    <s v="02/07/1999"/>
    <x v="1"/>
    <x v="2"/>
    <n v="7665.68"/>
    <n v="3645.71"/>
    <s v="Detroit"/>
    <x v="1"/>
    <s v="L"/>
    <s v="Black"/>
    <n v="5"/>
    <x v="0"/>
    <s v="Retail"/>
    <s v="PayPal"/>
  </r>
  <r>
    <s v="ORD-202400231"/>
    <x v="214"/>
    <n v="6428"/>
    <s v="11/11/1988"/>
    <x v="1"/>
    <x v="4"/>
    <n v="13230.52"/>
    <n v="6731.82"/>
    <s v="Detroit"/>
    <x v="1"/>
    <s v="S"/>
    <s v="White"/>
    <n v="1"/>
    <x v="2"/>
    <s v="Retail"/>
    <s v="PayPal"/>
  </r>
  <r>
    <s v="ORD-202400232"/>
    <x v="74"/>
    <n v="5888"/>
    <s v="07/10/1993"/>
    <x v="1"/>
    <x v="1"/>
    <n v="23919.79"/>
    <n v="14850.55"/>
    <s v="Los Angeles"/>
    <x v="2"/>
    <s v="M"/>
    <s v="Blue"/>
    <n v="3"/>
    <x v="1"/>
    <s v="Retail"/>
    <s v="Bank Transfer"/>
  </r>
  <r>
    <s v="ORD-202400233"/>
    <x v="215"/>
    <n v="3897"/>
    <s v="22/04/1998"/>
    <x v="1"/>
    <x v="4"/>
    <n v="28328.82"/>
    <n v="12774.67"/>
    <s v="Seattle"/>
    <x v="2"/>
    <s v="L"/>
    <s v="Blue"/>
    <n v="2"/>
    <x v="0"/>
    <s v="Retail"/>
    <s v="Cash"/>
  </r>
  <r>
    <s v="ORD-202400234"/>
    <x v="216"/>
    <n v="1076"/>
    <s v="13/03/1987"/>
    <x v="0"/>
    <x v="0"/>
    <n v="13487.82"/>
    <n v="8040.52"/>
    <s v="San Francisco"/>
    <x v="2"/>
    <s v="S"/>
    <s v="Green"/>
    <n v="5"/>
    <x v="1"/>
    <s v="Wholesale"/>
    <s v="PayPal"/>
  </r>
  <r>
    <s v="ORD-202400235"/>
    <x v="217"/>
    <n v="7284"/>
    <s v="10/08/1974"/>
    <x v="1"/>
    <x v="0"/>
    <n v="5921.79"/>
    <n v="3640.53"/>
    <s v="New York"/>
    <x v="0"/>
    <s v="L"/>
    <s v="Green"/>
    <n v="4"/>
    <x v="0"/>
    <s v="Retail"/>
    <s v="Bank Transfer"/>
  </r>
  <r>
    <s v="ORD-202400236"/>
    <x v="218"/>
    <n v="4087"/>
    <s v="11/02/1986"/>
    <x v="0"/>
    <x v="3"/>
    <n v="17221.27"/>
    <n v="10912.1"/>
    <s v="Seattle"/>
    <x v="2"/>
    <s v="XL"/>
    <s v="Red"/>
    <n v="2"/>
    <x v="1"/>
    <s v="Wholesale"/>
    <s v="Cash"/>
  </r>
  <r>
    <s v="ORD-202400237"/>
    <x v="219"/>
    <n v="1612"/>
    <s v="08/03/1999"/>
    <x v="1"/>
    <x v="1"/>
    <n v="64589.56"/>
    <n v="32369.56"/>
    <s v="Boston"/>
    <x v="0"/>
    <s v="S"/>
    <s v="Yellow"/>
    <n v="1"/>
    <x v="0"/>
    <s v="Wholesale"/>
    <s v="Cash"/>
  </r>
  <r>
    <s v="ORD-202400238"/>
    <x v="31"/>
    <n v="8772"/>
    <s v="03/05/1981"/>
    <x v="0"/>
    <x v="2"/>
    <n v="16537.599999999999"/>
    <n v="9710.02"/>
    <s v="Los Angeles"/>
    <x v="2"/>
    <s v="S"/>
    <s v="Green"/>
    <n v="4"/>
    <x v="0"/>
    <s v="Wholesale"/>
    <s v="Bank Transfer"/>
  </r>
  <r>
    <s v="ORD-202400239"/>
    <x v="220"/>
    <n v="2928"/>
    <s v="12/12/1992"/>
    <x v="1"/>
    <x v="4"/>
    <n v="15273.08"/>
    <n v="7197.48"/>
    <s v="Boston"/>
    <x v="0"/>
    <s v="M"/>
    <s v="Yellow"/>
    <n v="2"/>
    <x v="0"/>
    <s v="Wholesale"/>
    <s v="Cash"/>
  </r>
  <r>
    <s v="ORD-202400240"/>
    <x v="221"/>
    <n v="8875"/>
    <s v="26/04/1979"/>
    <x v="1"/>
    <x v="2"/>
    <n v="13264.81"/>
    <n v="6002.99"/>
    <s v="San Francisco"/>
    <x v="2"/>
    <s v="S"/>
    <s v="Red"/>
    <n v="5"/>
    <x v="0"/>
    <s v="Retail"/>
    <s v="Cash"/>
  </r>
  <r>
    <s v="ORD-202400241"/>
    <x v="222"/>
    <n v="4787"/>
    <s v="26/11/1998"/>
    <x v="1"/>
    <x v="0"/>
    <n v="15160.31"/>
    <n v="7719.7"/>
    <s v="New York"/>
    <x v="0"/>
    <s v="XL"/>
    <s v="Red"/>
    <n v="1"/>
    <x v="2"/>
    <s v="Wholesale"/>
    <s v="Bank Transfer"/>
  </r>
  <r>
    <s v="ORD-202400242"/>
    <x v="144"/>
    <n v="1158"/>
    <s v="22/01/1972"/>
    <x v="0"/>
    <x v="2"/>
    <n v="43336.07"/>
    <n v="20979.1"/>
    <s v="Seattle"/>
    <x v="2"/>
    <s v="L"/>
    <s v="White"/>
    <n v="5"/>
    <x v="1"/>
    <s v="Wholesale"/>
    <s v="Bank Transfer"/>
  </r>
  <r>
    <s v="ORD-202400243"/>
    <x v="223"/>
    <n v="7319"/>
    <s v="12/03/1982"/>
    <x v="1"/>
    <x v="4"/>
    <n v="28197.200000000001"/>
    <n v="16347.87"/>
    <s v="Chicago"/>
    <x v="1"/>
    <s v="M"/>
    <s v="Red"/>
    <n v="2"/>
    <x v="0"/>
    <s v="Retail"/>
    <s v="Cash"/>
  </r>
  <r>
    <s v="ORD-202400244"/>
    <x v="224"/>
    <n v="7221"/>
    <s v="17/02/1978"/>
    <x v="1"/>
    <x v="1"/>
    <n v="78148.25"/>
    <n v="48648.47"/>
    <s v="Seattle"/>
    <x v="2"/>
    <s v="M"/>
    <s v="White"/>
    <n v="4"/>
    <x v="1"/>
    <s v="Retail"/>
    <s v="Cash"/>
  </r>
  <r>
    <s v="ORD-202400245"/>
    <x v="225"/>
    <n v="4669"/>
    <s v="17/07/1993"/>
    <x v="1"/>
    <x v="2"/>
    <n v="36195.43"/>
    <n v="21270.18"/>
    <s v="Seattle"/>
    <x v="2"/>
    <s v="S"/>
    <s v="White"/>
    <n v="2"/>
    <x v="0"/>
    <s v="Wholesale"/>
    <s v="PayPal"/>
  </r>
  <r>
    <s v="ORD-202400246"/>
    <x v="226"/>
    <n v="3571"/>
    <s v="11/11/1998"/>
    <x v="1"/>
    <x v="3"/>
    <n v="18144.78"/>
    <n v="11320.22"/>
    <s v="Seattle"/>
    <x v="2"/>
    <s v="S"/>
    <s v="White"/>
    <n v="3"/>
    <x v="1"/>
    <s v="Wholesale"/>
    <s v="Cash"/>
  </r>
  <r>
    <s v="ORD-202400247"/>
    <x v="227"/>
    <n v="8521"/>
    <s v="15/07/1973"/>
    <x v="1"/>
    <x v="0"/>
    <n v="15118.29"/>
    <n v="8158.13"/>
    <s v="Boston"/>
    <x v="0"/>
    <s v="XL"/>
    <s v="White"/>
    <n v="3"/>
    <x v="1"/>
    <s v="Retail"/>
    <s v="PayPal"/>
  </r>
  <r>
    <s v="ORD-202400248"/>
    <x v="192"/>
    <n v="5990"/>
    <s v="29/01/1974"/>
    <x v="0"/>
    <x v="2"/>
    <n v="39470.300000000003"/>
    <n v="21362.97"/>
    <s v="San Francisco"/>
    <x v="2"/>
    <s v="L"/>
    <s v="Green"/>
    <n v="1"/>
    <x v="2"/>
    <s v="Wholesale"/>
    <s v="Bank Transfer"/>
  </r>
  <r>
    <s v="ORD-202400249"/>
    <x v="228"/>
    <n v="2868"/>
    <s v="20/04/1990"/>
    <x v="0"/>
    <x v="1"/>
    <n v="84287.95"/>
    <n v="41667.699999999997"/>
    <s v="Boston"/>
    <x v="0"/>
    <s v="L"/>
    <s v="Green"/>
    <n v="3"/>
    <x v="0"/>
    <s v="Retail"/>
    <s v="Cash"/>
  </r>
  <r>
    <s v="ORD-202400250"/>
    <x v="229"/>
    <n v="5166"/>
    <s v="19/10/1974"/>
    <x v="0"/>
    <x v="1"/>
    <n v="38536"/>
    <n v="24510.560000000001"/>
    <s v="Los Angeles"/>
    <x v="2"/>
    <s v="XL"/>
    <s v="Blue"/>
    <n v="4"/>
    <x v="2"/>
    <s v="Retail"/>
    <s v="Bank Transfer"/>
  </r>
  <r>
    <s v="ORD-202400251"/>
    <x v="230"/>
    <n v="3018"/>
    <s v="31/05/1996"/>
    <x v="1"/>
    <x v="4"/>
    <n v="34394.22"/>
    <n v="19531.21"/>
    <s v="San Francisco"/>
    <x v="2"/>
    <s v="M"/>
    <s v="White"/>
    <n v="1"/>
    <x v="0"/>
    <s v="Retail"/>
    <s v="Bank Transfer"/>
  </r>
  <r>
    <s v="ORD-202400252"/>
    <x v="231"/>
    <n v="3845"/>
    <s v="15/12/1995"/>
    <x v="0"/>
    <x v="3"/>
    <n v="3557.27"/>
    <n v="2068.5700000000002"/>
    <s v="Minneapolis"/>
    <x v="1"/>
    <s v="L"/>
    <s v="Yellow"/>
    <n v="4"/>
    <x v="1"/>
    <s v="Wholesale"/>
    <s v="PayPal"/>
  </r>
  <r>
    <s v="ORD-202400253"/>
    <x v="232"/>
    <n v="3185"/>
    <s v="25/04/1990"/>
    <x v="0"/>
    <x v="2"/>
    <n v="20620.599999999999"/>
    <n v="12166.21"/>
    <s v="Miami"/>
    <x v="0"/>
    <s v="L"/>
    <s v="Black"/>
    <n v="5"/>
    <x v="2"/>
    <s v="Wholesale"/>
    <s v="PayPal"/>
  </r>
  <r>
    <s v="ORD-202400254"/>
    <x v="233"/>
    <n v="3173"/>
    <s v="28/06/1985"/>
    <x v="0"/>
    <x v="4"/>
    <n v="33305.07"/>
    <n v="19612.099999999999"/>
    <s v="New York"/>
    <x v="0"/>
    <s v="L"/>
    <s v="Black"/>
    <n v="1"/>
    <x v="0"/>
    <s v="Retail"/>
    <s v="PayPal"/>
  </r>
  <r>
    <s v="ORD-202400255"/>
    <x v="234"/>
    <n v="7920"/>
    <s v="29/10/1982"/>
    <x v="0"/>
    <x v="0"/>
    <n v="12741.52"/>
    <n v="5798.09"/>
    <s v="Boston"/>
    <x v="0"/>
    <s v="M"/>
    <s v="Red"/>
    <n v="1"/>
    <x v="1"/>
    <s v="Wholesale"/>
    <s v="Cash"/>
  </r>
  <r>
    <s v="ORD-202400256"/>
    <x v="10"/>
    <n v="4342"/>
    <s v="29/03/1983"/>
    <x v="0"/>
    <x v="2"/>
    <n v="17659.240000000002"/>
    <n v="9545.15"/>
    <s v="Detroit"/>
    <x v="1"/>
    <s v="M"/>
    <s v="Black"/>
    <n v="5"/>
    <x v="1"/>
    <s v="Retail"/>
    <s v="PayPal"/>
  </r>
  <r>
    <s v="ORD-202400257"/>
    <x v="235"/>
    <n v="6122"/>
    <s v="25/09/2000"/>
    <x v="0"/>
    <x v="4"/>
    <n v="10175.66"/>
    <n v="5090.5600000000004"/>
    <s v="Seattle"/>
    <x v="2"/>
    <s v="XL"/>
    <s v="Blue"/>
    <n v="3"/>
    <x v="0"/>
    <s v="Retail"/>
    <s v="PayPal"/>
  </r>
  <r>
    <s v="ORD-202400258"/>
    <x v="236"/>
    <n v="2220"/>
    <s v="15/08/2000"/>
    <x v="0"/>
    <x v="3"/>
    <n v="17437.13"/>
    <n v="10410.24"/>
    <s v="Seattle"/>
    <x v="2"/>
    <s v="S"/>
    <s v="White"/>
    <n v="1"/>
    <x v="1"/>
    <s v="Retail"/>
    <s v="Cash"/>
  </r>
  <r>
    <s v="ORD-202400259"/>
    <x v="237"/>
    <n v="3518"/>
    <s v="17/10/1971"/>
    <x v="1"/>
    <x v="4"/>
    <n v="41516.71"/>
    <n v="25106.49"/>
    <s v="San Francisco"/>
    <x v="2"/>
    <s v="L"/>
    <s v="White"/>
    <n v="5"/>
    <x v="0"/>
    <s v="Retail"/>
    <s v="PayPal"/>
  </r>
  <r>
    <s v="ORD-202400260"/>
    <x v="238"/>
    <n v="7814"/>
    <s v="24/02/1977"/>
    <x v="1"/>
    <x v="3"/>
    <n v="5036.0600000000004"/>
    <n v="2489.02"/>
    <s v="Los Angeles"/>
    <x v="2"/>
    <s v="M"/>
    <s v="Black"/>
    <n v="3"/>
    <x v="1"/>
    <s v="Retail"/>
    <s v="PayPal"/>
  </r>
  <r>
    <s v="ORD-202400261"/>
    <x v="239"/>
    <n v="6668"/>
    <s v="23/02/1975"/>
    <x v="1"/>
    <x v="3"/>
    <n v="6880.44"/>
    <n v="3980.01"/>
    <s v="Boston"/>
    <x v="0"/>
    <s v="M"/>
    <s v="Red"/>
    <n v="3"/>
    <x v="1"/>
    <s v="Wholesale"/>
    <s v="Cash"/>
  </r>
  <r>
    <s v="ORD-202400262"/>
    <x v="240"/>
    <n v="9426"/>
    <s v="27/10/1986"/>
    <x v="1"/>
    <x v="0"/>
    <n v="9502.7999999999993"/>
    <n v="4839.6499999999996"/>
    <s v="Seattle"/>
    <x v="2"/>
    <s v="M"/>
    <s v="Green"/>
    <n v="5"/>
    <x v="1"/>
    <s v="Retail"/>
    <s v="PayPal"/>
  </r>
  <r>
    <s v="ORD-202400263"/>
    <x v="241"/>
    <n v="7950"/>
    <s v="29/09/2000"/>
    <x v="0"/>
    <x v="4"/>
    <n v="17947.41"/>
    <n v="11051.11"/>
    <s v="Boston"/>
    <x v="0"/>
    <s v="XL"/>
    <s v="Black"/>
    <n v="1"/>
    <x v="0"/>
    <s v="Retail"/>
    <s v="Bank Transfer"/>
  </r>
  <r>
    <s v="ORD-202400264"/>
    <x v="242"/>
    <n v="2154"/>
    <s v="13/01/1995"/>
    <x v="0"/>
    <x v="4"/>
    <n v="31279.88"/>
    <n v="16626.09"/>
    <s v="New York"/>
    <x v="0"/>
    <s v="XL"/>
    <s v="Black"/>
    <n v="4"/>
    <x v="1"/>
    <s v="Retail"/>
    <s v="PayPal"/>
  </r>
  <r>
    <s v="ORD-202400265"/>
    <x v="243"/>
    <n v="2189"/>
    <s v="16/01/1972"/>
    <x v="1"/>
    <x v="0"/>
    <n v="23400.240000000002"/>
    <n v="11026.83"/>
    <s v="Los Angeles"/>
    <x v="2"/>
    <s v="L"/>
    <s v="Yellow"/>
    <n v="1"/>
    <x v="1"/>
    <s v="Wholesale"/>
    <s v="Bank Transfer"/>
  </r>
  <r>
    <s v="ORD-202400266"/>
    <x v="244"/>
    <n v="7406"/>
    <s v="13/02/1976"/>
    <x v="1"/>
    <x v="4"/>
    <n v="44395.47"/>
    <n v="21257.22"/>
    <s v="Seattle"/>
    <x v="2"/>
    <s v="L"/>
    <s v="Red"/>
    <n v="5"/>
    <x v="2"/>
    <s v="Retail"/>
    <s v="Cash"/>
  </r>
  <r>
    <s v="ORD-202400267"/>
    <x v="245"/>
    <n v="4441"/>
    <s v="02/09/1983"/>
    <x v="1"/>
    <x v="2"/>
    <n v="19302.5"/>
    <n v="12182.3"/>
    <s v="Seattle"/>
    <x v="2"/>
    <s v="M"/>
    <s v="Blue"/>
    <n v="2"/>
    <x v="1"/>
    <s v="Wholesale"/>
    <s v="Cash"/>
  </r>
  <r>
    <s v="ORD-202400268"/>
    <x v="246"/>
    <n v="2198"/>
    <s v="10/09/1990"/>
    <x v="1"/>
    <x v="0"/>
    <n v="19859.150000000001"/>
    <n v="9932.31"/>
    <s v="Seattle"/>
    <x v="2"/>
    <s v="M"/>
    <s v="Black"/>
    <n v="5"/>
    <x v="0"/>
    <s v="Retail"/>
    <s v="Cash"/>
  </r>
  <r>
    <s v="ORD-202400269"/>
    <x v="247"/>
    <n v="8960"/>
    <s v="03/04/1984"/>
    <x v="1"/>
    <x v="4"/>
    <n v="23171.13"/>
    <n v="13482.92"/>
    <s v="New York"/>
    <x v="0"/>
    <s v="M"/>
    <s v="Yellow"/>
    <n v="5"/>
    <x v="1"/>
    <s v="Retail"/>
    <s v="Bank Transfer"/>
  </r>
  <r>
    <s v="ORD-202400270"/>
    <x v="248"/>
    <n v="5533"/>
    <s v="25/07/1989"/>
    <x v="1"/>
    <x v="2"/>
    <n v="11660.73"/>
    <n v="6956.73"/>
    <s v="San Francisco"/>
    <x v="2"/>
    <s v="XL"/>
    <s v="White"/>
    <n v="4"/>
    <x v="1"/>
    <s v="Retail"/>
    <s v="PayPal"/>
  </r>
  <r>
    <s v="ORD-202400271"/>
    <x v="146"/>
    <n v="4218"/>
    <s v="28/02/1994"/>
    <x v="1"/>
    <x v="1"/>
    <n v="98323.14"/>
    <n v="56567.64"/>
    <s v="Seattle"/>
    <x v="2"/>
    <s v="S"/>
    <s v="Red"/>
    <n v="5"/>
    <x v="0"/>
    <s v="Wholesale"/>
    <s v="PayPal"/>
  </r>
  <r>
    <s v="ORD-202400272"/>
    <x v="249"/>
    <n v="9842"/>
    <s v="19/05/1994"/>
    <x v="1"/>
    <x v="4"/>
    <n v="28975.14"/>
    <n v="13900.15"/>
    <s v="Seattle"/>
    <x v="2"/>
    <s v="XL"/>
    <s v="Blue"/>
    <n v="5"/>
    <x v="0"/>
    <s v="Retail"/>
    <s v="Bank Transfer"/>
  </r>
  <r>
    <s v="ORD-202400273"/>
    <x v="250"/>
    <n v="3717"/>
    <s v="18/09/1980"/>
    <x v="0"/>
    <x v="2"/>
    <n v="24984.07"/>
    <n v="12137.99"/>
    <s v="New York"/>
    <x v="0"/>
    <s v="M"/>
    <s v="Black"/>
    <n v="4"/>
    <x v="2"/>
    <s v="Retail"/>
    <s v="Bank Transfer"/>
  </r>
  <r>
    <s v="ORD-202400274"/>
    <x v="251"/>
    <n v="6918"/>
    <s v="26/03/1993"/>
    <x v="1"/>
    <x v="2"/>
    <n v="20249.32"/>
    <n v="10953.44"/>
    <s v="San Francisco"/>
    <x v="2"/>
    <s v="S"/>
    <s v="Red"/>
    <n v="3"/>
    <x v="1"/>
    <s v="Wholesale"/>
    <s v="PayPal"/>
  </r>
  <r>
    <s v="ORD-202400275"/>
    <x v="252"/>
    <n v="7201"/>
    <s v="24/11/1986"/>
    <x v="1"/>
    <x v="2"/>
    <n v="22764.31"/>
    <n v="14333.44"/>
    <s v="Detroit"/>
    <x v="1"/>
    <s v="S"/>
    <s v="Yellow"/>
    <n v="3"/>
    <x v="1"/>
    <s v="Wholesale"/>
    <s v="PayPal"/>
  </r>
  <r>
    <s v="ORD-202400276"/>
    <x v="111"/>
    <n v="9222"/>
    <s v="19/04/1970"/>
    <x v="0"/>
    <x v="1"/>
    <n v="60875.4"/>
    <n v="30194.09"/>
    <s v="San Francisco"/>
    <x v="2"/>
    <s v="L"/>
    <s v="Blue"/>
    <n v="2"/>
    <x v="1"/>
    <s v="Retail"/>
    <s v="PayPal"/>
  </r>
  <r>
    <s v="ORD-202400277"/>
    <x v="253"/>
    <n v="8844"/>
    <s v="08/08/1991"/>
    <x v="1"/>
    <x v="2"/>
    <n v="13081.15"/>
    <n v="6308.37"/>
    <s v="Detroit"/>
    <x v="1"/>
    <s v="XL"/>
    <s v="Red"/>
    <n v="2"/>
    <x v="1"/>
    <s v="Retail"/>
    <s v="Cash"/>
  </r>
  <r>
    <s v="ORD-202400278"/>
    <x v="175"/>
    <n v="5231"/>
    <s v="18/06/1977"/>
    <x v="0"/>
    <x v="4"/>
    <n v="37419.67"/>
    <n v="19873.259999999998"/>
    <s v="Seattle"/>
    <x v="2"/>
    <s v="S"/>
    <s v="Black"/>
    <n v="3"/>
    <x v="2"/>
    <s v="Retail"/>
    <s v="PayPal"/>
  </r>
  <r>
    <s v="ORD-202400279"/>
    <x v="254"/>
    <n v="3979"/>
    <s v="27/05/1976"/>
    <x v="1"/>
    <x v="4"/>
    <n v="13317.85"/>
    <n v="7819.15"/>
    <s v="Minneapolis"/>
    <x v="1"/>
    <s v="XL"/>
    <s v="Yellow"/>
    <n v="5"/>
    <x v="1"/>
    <s v="Retail"/>
    <s v="Cash"/>
  </r>
  <r>
    <s v="ORD-202400280"/>
    <x v="255"/>
    <n v="3450"/>
    <s v="30/10/1988"/>
    <x v="0"/>
    <x v="1"/>
    <n v="37427.730000000003"/>
    <n v="23591.51"/>
    <s v="Los Angeles"/>
    <x v="2"/>
    <s v="S"/>
    <s v="Yellow"/>
    <n v="5"/>
    <x v="0"/>
    <s v="Retail"/>
    <s v="PayPal"/>
  </r>
  <r>
    <s v="ORD-202400281"/>
    <x v="256"/>
    <n v="8069"/>
    <s v="15/02/1999"/>
    <x v="1"/>
    <x v="1"/>
    <n v="35133.800000000003"/>
    <n v="16115.44"/>
    <s v="Seattle"/>
    <x v="2"/>
    <s v="XL"/>
    <s v="Blue"/>
    <n v="4"/>
    <x v="0"/>
    <s v="Retail"/>
    <s v="PayPal"/>
  </r>
  <r>
    <s v="ORD-202400282"/>
    <x v="257"/>
    <n v="4809"/>
    <s v="28/05/1991"/>
    <x v="0"/>
    <x v="1"/>
    <n v="24508.85"/>
    <n v="15326.69"/>
    <s v="Detroit"/>
    <x v="1"/>
    <s v="XL"/>
    <s v="Green"/>
    <n v="2"/>
    <x v="1"/>
    <s v="Wholesale"/>
    <s v="Cash"/>
  </r>
  <r>
    <s v="ORD-202400283"/>
    <x v="258"/>
    <n v="6175"/>
    <s v="07/11/2000"/>
    <x v="1"/>
    <x v="1"/>
    <n v="38445.69"/>
    <n v="18490.669999999998"/>
    <s v="New York"/>
    <x v="0"/>
    <s v="L"/>
    <s v="Green"/>
    <n v="5"/>
    <x v="1"/>
    <s v="Retail"/>
    <s v="Bank Transfer"/>
  </r>
  <r>
    <s v="ORD-202400284"/>
    <x v="259"/>
    <n v="3928"/>
    <s v="23/08/1991"/>
    <x v="1"/>
    <x v="0"/>
    <n v="8705.15"/>
    <n v="4759.5600000000004"/>
    <s v="Minneapolis"/>
    <x v="1"/>
    <s v="L"/>
    <s v="Yellow"/>
    <n v="3"/>
    <x v="0"/>
    <s v="Retail"/>
    <s v="Cash"/>
  </r>
  <r>
    <s v="ORD-202400285"/>
    <x v="260"/>
    <n v="2642"/>
    <s v="04/04/1977"/>
    <x v="0"/>
    <x v="4"/>
    <n v="17090.55"/>
    <n v="10377.66"/>
    <s v="Detroit"/>
    <x v="1"/>
    <s v="S"/>
    <s v="Blue"/>
    <n v="4"/>
    <x v="2"/>
    <s v="Retail"/>
    <s v="Cash"/>
  </r>
  <r>
    <s v="ORD-202400286"/>
    <x v="132"/>
    <n v="4633"/>
    <s v="20/10/1981"/>
    <x v="1"/>
    <x v="3"/>
    <n v="2625.37"/>
    <n v="1201.24"/>
    <s v="Minneapolis"/>
    <x v="1"/>
    <s v="XL"/>
    <s v="White"/>
    <n v="5"/>
    <x v="0"/>
    <s v="Retail"/>
    <s v="PayPal"/>
  </r>
  <r>
    <s v="ORD-202400287"/>
    <x v="261"/>
    <n v="9489"/>
    <s v="20/06/1999"/>
    <x v="1"/>
    <x v="0"/>
    <n v="7588.59"/>
    <n v="4604.6899999999996"/>
    <s v="Los Angeles"/>
    <x v="2"/>
    <s v="M"/>
    <s v="Yellow"/>
    <n v="2"/>
    <x v="0"/>
    <s v="Retail"/>
    <s v="PayPal"/>
  </r>
  <r>
    <s v="ORD-202400288"/>
    <x v="262"/>
    <n v="7474"/>
    <s v="03/11/1985"/>
    <x v="1"/>
    <x v="4"/>
    <n v="35621.96"/>
    <n v="19718.48"/>
    <s v="Los Angeles"/>
    <x v="2"/>
    <s v="S"/>
    <s v="Red"/>
    <n v="5"/>
    <x v="1"/>
    <s v="Wholesale"/>
    <s v="PayPal"/>
  </r>
  <r>
    <s v="ORD-202400289"/>
    <x v="70"/>
    <n v="1076"/>
    <s v="14/02/1988"/>
    <x v="1"/>
    <x v="2"/>
    <n v="19164.22"/>
    <n v="10564.23"/>
    <s v="San Francisco"/>
    <x v="2"/>
    <s v="S"/>
    <s v="Yellow"/>
    <n v="3"/>
    <x v="1"/>
    <s v="Retail"/>
    <s v="PayPal"/>
  </r>
  <r>
    <s v="ORD-202400290"/>
    <x v="263"/>
    <n v="7178"/>
    <s v="11/11/1989"/>
    <x v="1"/>
    <x v="3"/>
    <n v="10457.459999999999"/>
    <n v="6290.11"/>
    <s v="Detroit"/>
    <x v="1"/>
    <s v="XL"/>
    <s v="Black"/>
    <n v="4"/>
    <x v="2"/>
    <s v="Wholesale"/>
    <s v="Bank Transfer"/>
  </r>
  <r>
    <s v="ORD-202400291"/>
    <x v="264"/>
    <n v="4767"/>
    <s v="13/05/2000"/>
    <x v="1"/>
    <x v="2"/>
    <n v="30915.09"/>
    <n v="16094.99"/>
    <s v="Los Angeles"/>
    <x v="2"/>
    <s v="S"/>
    <s v="Black"/>
    <n v="3"/>
    <x v="1"/>
    <s v="Retail"/>
    <s v="PayPal"/>
  </r>
  <r>
    <s v="ORD-202400292"/>
    <x v="265"/>
    <n v="6792"/>
    <s v="30/01/1984"/>
    <x v="0"/>
    <x v="4"/>
    <n v="51362.13"/>
    <n v="25877.02"/>
    <s v="Miami"/>
    <x v="0"/>
    <s v="M"/>
    <s v="White"/>
    <n v="2"/>
    <x v="1"/>
    <s v="Retail"/>
    <s v="Bank Transfer"/>
  </r>
  <r>
    <s v="ORD-202400293"/>
    <x v="266"/>
    <n v="2747"/>
    <s v="30/12/1976"/>
    <x v="0"/>
    <x v="3"/>
    <n v="21003.53"/>
    <n v="12290.48"/>
    <s v="Los Angeles"/>
    <x v="2"/>
    <s v="XL"/>
    <s v="Yellow"/>
    <n v="1"/>
    <x v="0"/>
    <s v="Retail"/>
    <s v="Cash"/>
  </r>
  <r>
    <s v="ORD-202400294"/>
    <x v="161"/>
    <n v="9041"/>
    <s v="29/04/1982"/>
    <x v="0"/>
    <x v="0"/>
    <n v="15329.84"/>
    <n v="9706.8799999999992"/>
    <s v="Minneapolis"/>
    <x v="1"/>
    <s v="L"/>
    <s v="White"/>
    <n v="2"/>
    <x v="0"/>
    <s v="Retail"/>
    <s v="PayPal"/>
  </r>
  <r>
    <s v="ORD-202400295"/>
    <x v="267"/>
    <n v="3863"/>
    <s v="30/08/1987"/>
    <x v="1"/>
    <x v="3"/>
    <n v="11029.75"/>
    <n v="6503.68"/>
    <s v="Miami"/>
    <x v="0"/>
    <s v="XL"/>
    <s v="Green"/>
    <n v="1"/>
    <x v="1"/>
    <s v="Retail"/>
    <s v="PayPal"/>
  </r>
  <r>
    <s v="ORD-202400296"/>
    <x v="31"/>
    <n v="4885"/>
    <s v="16/10/1981"/>
    <x v="1"/>
    <x v="1"/>
    <n v="55689.85"/>
    <n v="31888.94"/>
    <s v="San Francisco"/>
    <x v="2"/>
    <s v="L"/>
    <s v="Blue"/>
    <n v="4"/>
    <x v="1"/>
    <s v="Retail"/>
    <s v="Bank Transfer"/>
  </r>
  <r>
    <s v="ORD-202400297"/>
    <x v="65"/>
    <n v="4744"/>
    <s v="01/11/1995"/>
    <x v="0"/>
    <x v="2"/>
    <n v="31402.65"/>
    <n v="19181.29"/>
    <s v="San Francisco"/>
    <x v="2"/>
    <s v="XL"/>
    <s v="White"/>
    <n v="2"/>
    <x v="1"/>
    <s v="Wholesale"/>
    <s v="Cash"/>
  </r>
  <r>
    <s v="ORD-202400298"/>
    <x v="268"/>
    <n v="9748"/>
    <s v="11/03/1993"/>
    <x v="1"/>
    <x v="4"/>
    <n v="42615.92"/>
    <n v="21734.41"/>
    <s v="New York"/>
    <x v="0"/>
    <s v="S"/>
    <s v="White"/>
    <n v="1"/>
    <x v="0"/>
    <s v="Retail"/>
    <s v="Bank Transfer"/>
  </r>
  <r>
    <s v="ORD-202400299"/>
    <x v="269"/>
    <n v="6903"/>
    <s v="12/03/1986"/>
    <x v="1"/>
    <x v="4"/>
    <n v="25916.49"/>
    <n v="13796.7"/>
    <s v="Boston"/>
    <x v="0"/>
    <s v="L"/>
    <s v="Black"/>
    <n v="5"/>
    <x v="1"/>
    <s v="Retail"/>
    <s v="PayPal"/>
  </r>
  <r>
    <s v="ORD-202400300"/>
    <x v="270"/>
    <n v="2284"/>
    <s v="18/01/1990"/>
    <x v="1"/>
    <x v="2"/>
    <n v="31338.54"/>
    <n v="17009.009999999998"/>
    <s v="Miami"/>
    <x v="0"/>
    <s v="M"/>
    <s v="Blue"/>
    <n v="3"/>
    <x v="1"/>
    <s v="Wholesale"/>
    <s v="Bank Transfer"/>
  </r>
  <r>
    <s v="ORD-202400301"/>
    <x v="271"/>
    <n v="5773"/>
    <s v="19/03/1984"/>
    <x v="1"/>
    <x v="4"/>
    <n v="22799.43"/>
    <n v="12062.97"/>
    <s v="Chicago"/>
    <x v="1"/>
    <s v="XL"/>
    <s v="Green"/>
    <n v="5"/>
    <x v="0"/>
    <s v="Retail"/>
    <s v="Cash"/>
  </r>
  <r>
    <s v="ORD-202400302"/>
    <x v="64"/>
    <n v="4450"/>
    <s v="04/08/1973"/>
    <x v="0"/>
    <x v="4"/>
    <n v="23144.5"/>
    <n v="10857.33"/>
    <s v="Los Angeles"/>
    <x v="2"/>
    <s v="XL"/>
    <s v="Yellow"/>
    <n v="1"/>
    <x v="1"/>
    <s v="Retail"/>
    <s v="Cash"/>
  </r>
  <r>
    <s v="ORD-202400303"/>
    <x v="272"/>
    <n v="4757"/>
    <s v="17/11/1983"/>
    <x v="0"/>
    <x v="4"/>
    <n v="48701.51"/>
    <n v="26232.2"/>
    <s v="Seattle"/>
    <x v="2"/>
    <s v="M"/>
    <s v="Blue"/>
    <n v="5"/>
    <x v="2"/>
    <s v="Retail"/>
    <s v="PayPal"/>
  </r>
  <r>
    <s v="ORD-202400304"/>
    <x v="14"/>
    <n v="9987"/>
    <s v="22/03/1982"/>
    <x v="1"/>
    <x v="3"/>
    <n v="5780.73"/>
    <n v="3697.92"/>
    <s v="San Francisco"/>
    <x v="2"/>
    <s v="M"/>
    <s v="Yellow"/>
    <n v="5"/>
    <x v="0"/>
    <s v="Wholesale"/>
    <s v="PayPal"/>
  </r>
  <r>
    <s v="ORD-202400305"/>
    <x v="273"/>
    <n v="9841"/>
    <s v="10/08/1991"/>
    <x v="0"/>
    <x v="0"/>
    <n v="18201.919999999998"/>
    <n v="9799.41"/>
    <s v="Seattle"/>
    <x v="2"/>
    <s v="L"/>
    <s v="White"/>
    <n v="3"/>
    <x v="1"/>
    <s v="Retail"/>
    <s v="PayPal"/>
  </r>
  <r>
    <s v="ORD-202400306"/>
    <x v="168"/>
    <n v="9059"/>
    <s v="07/11/2000"/>
    <x v="1"/>
    <x v="2"/>
    <n v="14565.16"/>
    <n v="8785.32"/>
    <s v="Chicago"/>
    <x v="1"/>
    <s v="L"/>
    <s v="Yellow"/>
    <n v="2"/>
    <x v="0"/>
    <s v="Retail"/>
    <s v="Cash"/>
  </r>
  <r>
    <s v="ORD-202400307"/>
    <x v="274"/>
    <n v="7199"/>
    <s v="26/06/1987"/>
    <x v="0"/>
    <x v="1"/>
    <n v="31821.51"/>
    <n v="17006.939999999999"/>
    <s v="Seattle"/>
    <x v="2"/>
    <s v="M"/>
    <s v="Yellow"/>
    <n v="5"/>
    <x v="2"/>
    <s v="Wholesale"/>
    <s v="Bank Transfer"/>
  </r>
  <r>
    <s v="ORD-202400308"/>
    <x v="275"/>
    <n v="3238"/>
    <s v="08/03/1978"/>
    <x v="1"/>
    <x v="3"/>
    <n v="3879.45"/>
    <n v="2099.0500000000002"/>
    <s v="Boston"/>
    <x v="0"/>
    <s v="XL"/>
    <s v="Green"/>
    <n v="5"/>
    <x v="0"/>
    <s v="Retail"/>
    <s v="Cash"/>
  </r>
  <r>
    <s v="ORD-202400309"/>
    <x v="276"/>
    <n v="3048"/>
    <s v="28/01/1982"/>
    <x v="1"/>
    <x v="4"/>
    <n v="52354.44"/>
    <n v="25997.23"/>
    <s v="Seattle"/>
    <x v="2"/>
    <s v="M"/>
    <s v="Red"/>
    <n v="4"/>
    <x v="1"/>
    <s v="Retail"/>
    <s v="Bank Transfer"/>
  </r>
  <r>
    <s v="ORD-202400310"/>
    <x v="277"/>
    <n v="1918"/>
    <s v="21/07/1976"/>
    <x v="1"/>
    <x v="0"/>
    <n v="8295.17"/>
    <n v="3851.26"/>
    <s v="Minneapolis"/>
    <x v="1"/>
    <s v="XL"/>
    <s v="Blue"/>
    <n v="2"/>
    <x v="2"/>
    <s v="Retail"/>
    <s v="Bank Transfer"/>
  </r>
  <r>
    <s v="ORD-202400311"/>
    <x v="278"/>
    <n v="5049"/>
    <s v="14/11/1989"/>
    <x v="0"/>
    <x v="3"/>
    <n v="4677.8900000000003"/>
    <n v="2793"/>
    <s v="Chicago"/>
    <x v="1"/>
    <s v="S"/>
    <s v="Yellow"/>
    <n v="2"/>
    <x v="0"/>
    <s v="Wholesale"/>
    <s v="Bank Transfer"/>
  </r>
  <r>
    <s v="ORD-202400312"/>
    <x v="279"/>
    <n v="3001"/>
    <s v="14/05/1993"/>
    <x v="1"/>
    <x v="0"/>
    <n v="5893.78"/>
    <n v="3004.43"/>
    <s v="Chicago"/>
    <x v="1"/>
    <s v="L"/>
    <s v="Red"/>
    <n v="2"/>
    <x v="2"/>
    <s v="Retail"/>
    <s v="Bank Transfer"/>
  </r>
  <r>
    <s v="ORD-202400313"/>
    <x v="280"/>
    <n v="1146"/>
    <s v="26/11/1980"/>
    <x v="0"/>
    <x v="0"/>
    <n v="16457.349999999999"/>
    <n v="9679.4"/>
    <s v="Los Angeles"/>
    <x v="2"/>
    <s v="M"/>
    <s v="Green"/>
    <n v="1"/>
    <x v="1"/>
    <s v="Retail"/>
    <s v="PayPal"/>
  </r>
  <r>
    <s v="ORD-202400314"/>
    <x v="281"/>
    <n v="2759"/>
    <s v="22/01/1994"/>
    <x v="0"/>
    <x v="4"/>
    <n v="26050.19"/>
    <n v="13372.81"/>
    <s v="Boston"/>
    <x v="0"/>
    <s v="L"/>
    <s v="White"/>
    <n v="2"/>
    <x v="1"/>
    <s v="Retail"/>
    <s v="PayPal"/>
  </r>
  <r>
    <s v="ORD-202400315"/>
    <x v="232"/>
    <n v="9029"/>
    <s v="07/05/1994"/>
    <x v="0"/>
    <x v="1"/>
    <n v="64043.07"/>
    <n v="35782.410000000003"/>
    <s v="Los Angeles"/>
    <x v="2"/>
    <s v="L"/>
    <s v="Black"/>
    <n v="4"/>
    <x v="1"/>
    <s v="Wholesale"/>
    <s v="PayPal"/>
  </r>
  <r>
    <s v="ORD-202400316"/>
    <x v="282"/>
    <n v="7014"/>
    <s v="18/04/1994"/>
    <x v="1"/>
    <x v="4"/>
    <n v="9631.9599999999991"/>
    <n v="5563.47"/>
    <s v="Seattle"/>
    <x v="2"/>
    <s v="XL"/>
    <s v="Black"/>
    <n v="2"/>
    <x v="2"/>
    <s v="Wholesale"/>
    <s v="Bank Transfer"/>
  </r>
  <r>
    <s v="ORD-202400317"/>
    <x v="283"/>
    <n v="4110"/>
    <s v="20/05/1987"/>
    <x v="1"/>
    <x v="2"/>
    <n v="24201.919999999998"/>
    <n v="11636.92"/>
    <s v="New York"/>
    <x v="0"/>
    <s v="L"/>
    <s v="Green"/>
    <n v="4"/>
    <x v="0"/>
    <s v="Retail"/>
    <s v="PayPal"/>
  </r>
  <r>
    <s v="ORD-202400318"/>
    <x v="284"/>
    <n v="2753"/>
    <s v="24/01/1979"/>
    <x v="1"/>
    <x v="3"/>
    <n v="4160.93"/>
    <n v="1898.9"/>
    <s v="New York"/>
    <x v="0"/>
    <s v="XL"/>
    <s v="Black"/>
    <n v="4"/>
    <x v="0"/>
    <s v="Wholesale"/>
    <s v="Bank Transfer"/>
  </r>
  <r>
    <s v="ORD-202400319"/>
    <x v="285"/>
    <n v="9051"/>
    <s v="01/06/1999"/>
    <x v="0"/>
    <x v="1"/>
    <n v="41551.49"/>
    <n v="24007.759999999998"/>
    <s v="Los Angeles"/>
    <x v="2"/>
    <s v="L"/>
    <s v="Yellow"/>
    <n v="4"/>
    <x v="2"/>
    <s v="Wholesale"/>
    <s v="Cash"/>
  </r>
  <r>
    <s v="ORD-202400320"/>
    <x v="286"/>
    <n v="4537"/>
    <s v="30/06/1973"/>
    <x v="0"/>
    <x v="1"/>
    <n v="18177.59"/>
    <n v="9019.7900000000009"/>
    <s v="Minneapolis"/>
    <x v="1"/>
    <s v="XL"/>
    <s v="Blue"/>
    <n v="2"/>
    <x v="0"/>
    <s v="Retail"/>
    <s v="PayPal"/>
  </r>
  <r>
    <s v="ORD-202400321"/>
    <x v="287"/>
    <n v="6864"/>
    <s v="25/08/1998"/>
    <x v="1"/>
    <x v="0"/>
    <n v="10265.24"/>
    <n v="5496.16"/>
    <s v="Detroit"/>
    <x v="1"/>
    <s v="S"/>
    <s v="Blue"/>
    <n v="2"/>
    <x v="0"/>
    <s v="Retail"/>
    <s v="PayPal"/>
  </r>
  <r>
    <s v="ORD-202400322"/>
    <x v="288"/>
    <n v="6319"/>
    <s v="04/09/1994"/>
    <x v="1"/>
    <x v="1"/>
    <n v="50521.27"/>
    <n v="29133"/>
    <s v="Seattle"/>
    <x v="2"/>
    <s v="L"/>
    <s v="Yellow"/>
    <n v="2"/>
    <x v="0"/>
    <s v="Retail"/>
    <s v="PayPal"/>
  </r>
  <r>
    <s v="ORD-202400323"/>
    <x v="289"/>
    <n v="1567"/>
    <s v="04/01/1970"/>
    <x v="1"/>
    <x v="2"/>
    <n v="22994.400000000001"/>
    <n v="12727.9"/>
    <s v="Minneapolis"/>
    <x v="1"/>
    <s v="L"/>
    <s v="Red"/>
    <n v="3"/>
    <x v="2"/>
    <s v="Retail"/>
    <s v="Bank Transfer"/>
  </r>
  <r>
    <s v="ORD-202400324"/>
    <x v="290"/>
    <n v="3534"/>
    <s v="15/12/1994"/>
    <x v="0"/>
    <x v="3"/>
    <n v="4457.5600000000004"/>
    <n v="2322.9699999999998"/>
    <s v="Seattle"/>
    <x v="2"/>
    <s v="M"/>
    <s v="Green"/>
    <n v="3"/>
    <x v="2"/>
    <s v="Retail"/>
    <s v="Bank Transfer"/>
  </r>
  <r>
    <s v="ORD-202400325"/>
    <x v="291"/>
    <n v="6319"/>
    <s v="18/06/1973"/>
    <x v="1"/>
    <x v="1"/>
    <n v="21236.37"/>
    <n v="13063.36"/>
    <s v="Chicago"/>
    <x v="1"/>
    <s v="S"/>
    <s v="Yellow"/>
    <n v="3"/>
    <x v="1"/>
    <s v="Wholesale"/>
    <s v="Bank Transfer"/>
  </r>
  <r>
    <s v="ORD-202400326"/>
    <x v="292"/>
    <n v="2974"/>
    <s v="07/09/1988"/>
    <x v="0"/>
    <x v="3"/>
    <n v="14215.18"/>
    <n v="8811.93"/>
    <s v="Los Angeles"/>
    <x v="2"/>
    <s v="S"/>
    <s v="Black"/>
    <n v="4"/>
    <x v="1"/>
    <s v="Retail"/>
    <s v="Bank Transfer"/>
  </r>
  <r>
    <s v="ORD-202400327"/>
    <x v="293"/>
    <n v="7436"/>
    <s v="07/04/1972"/>
    <x v="1"/>
    <x v="2"/>
    <n v="36620.29"/>
    <n v="20692.330000000002"/>
    <s v="New York"/>
    <x v="0"/>
    <s v="S"/>
    <s v="Blue"/>
    <n v="4"/>
    <x v="1"/>
    <s v="Retail"/>
    <s v="Cash"/>
  </r>
  <r>
    <s v="ORD-202400328"/>
    <x v="294"/>
    <n v="2393"/>
    <s v="11/10/1981"/>
    <x v="1"/>
    <x v="1"/>
    <n v="43769.78"/>
    <n v="26470.43"/>
    <s v="San Francisco"/>
    <x v="2"/>
    <s v="M"/>
    <s v="Blue"/>
    <n v="4"/>
    <x v="0"/>
    <s v="Retail"/>
    <s v="PayPal"/>
  </r>
  <r>
    <s v="ORD-202400329"/>
    <x v="295"/>
    <n v="2173"/>
    <s v="14/11/1980"/>
    <x v="1"/>
    <x v="1"/>
    <n v="85880.44"/>
    <n v="44201.14"/>
    <s v="Boston"/>
    <x v="0"/>
    <s v="S"/>
    <s v="Red"/>
    <n v="4"/>
    <x v="1"/>
    <s v="Retail"/>
    <s v="Bank Transfer"/>
  </r>
  <r>
    <s v="ORD-202400330"/>
    <x v="296"/>
    <n v="8245"/>
    <s v="23/08/1997"/>
    <x v="0"/>
    <x v="4"/>
    <n v="29156.58"/>
    <n v="18509.84"/>
    <s v="Seattle"/>
    <x v="2"/>
    <s v="M"/>
    <s v="Blue"/>
    <n v="3"/>
    <x v="1"/>
    <s v="Wholesale"/>
    <s v="Cash"/>
  </r>
  <r>
    <s v="ORD-202400331"/>
    <x v="297"/>
    <n v="1225"/>
    <s v="27/11/1982"/>
    <x v="1"/>
    <x v="2"/>
    <n v="41255.43"/>
    <n v="19483.11"/>
    <s v="Los Angeles"/>
    <x v="2"/>
    <s v="XL"/>
    <s v="White"/>
    <n v="1"/>
    <x v="1"/>
    <s v="Wholesale"/>
    <s v="Cash"/>
  </r>
  <r>
    <s v="ORD-202400332"/>
    <x v="298"/>
    <n v="1301"/>
    <s v="04/05/1976"/>
    <x v="1"/>
    <x v="0"/>
    <n v="16495.93"/>
    <n v="9612.27"/>
    <s v="Seattle"/>
    <x v="2"/>
    <s v="S"/>
    <s v="Green"/>
    <n v="2"/>
    <x v="1"/>
    <s v="Retail"/>
    <s v="PayPal"/>
  </r>
  <r>
    <s v="ORD-202400333"/>
    <x v="299"/>
    <n v="5445"/>
    <s v="08/06/1987"/>
    <x v="1"/>
    <x v="1"/>
    <n v="93865.76"/>
    <n v="42597.75"/>
    <s v="New York"/>
    <x v="0"/>
    <s v="XL"/>
    <s v="Blue"/>
    <n v="4"/>
    <x v="0"/>
    <s v="Wholesale"/>
    <s v="Bank Transfer"/>
  </r>
  <r>
    <s v="ORD-202400334"/>
    <x v="300"/>
    <n v="1352"/>
    <s v="18/07/1990"/>
    <x v="0"/>
    <x v="1"/>
    <n v="25550.68"/>
    <n v="14203.19"/>
    <s v="Boston"/>
    <x v="0"/>
    <s v="L"/>
    <s v="White"/>
    <n v="4"/>
    <x v="0"/>
    <s v="Retail"/>
    <s v="PayPal"/>
  </r>
  <r>
    <s v="ORD-202400335"/>
    <x v="301"/>
    <n v="2015"/>
    <s v="17/05/1982"/>
    <x v="1"/>
    <x v="2"/>
    <n v="53994.53"/>
    <n v="33912.910000000003"/>
    <s v="Seattle"/>
    <x v="2"/>
    <s v="S"/>
    <s v="Yellow"/>
    <n v="3"/>
    <x v="1"/>
    <s v="Retail"/>
    <s v="Bank Transfer"/>
  </r>
  <r>
    <s v="ORD-202400336"/>
    <x v="302"/>
    <n v="4726"/>
    <s v="22/06/1997"/>
    <x v="1"/>
    <x v="0"/>
    <n v="8033.02"/>
    <n v="3860.27"/>
    <s v="New York"/>
    <x v="0"/>
    <s v="L"/>
    <s v="Yellow"/>
    <n v="3"/>
    <x v="1"/>
    <s v="Retail"/>
    <s v="PayPal"/>
  </r>
  <r>
    <s v="ORD-202400337"/>
    <x v="303"/>
    <n v="9582"/>
    <s v="11/11/1983"/>
    <x v="0"/>
    <x v="0"/>
    <n v="9930.65"/>
    <n v="6274.19"/>
    <s v="Seattle"/>
    <x v="2"/>
    <s v="M"/>
    <s v="Black"/>
    <n v="5"/>
    <x v="2"/>
    <s v="Retail"/>
    <s v="PayPal"/>
  </r>
  <r>
    <s v="ORD-202400338"/>
    <x v="304"/>
    <n v="6221"/>
    <s v="29/04/1971"/>
    <x v="1"/>
    <x v="4"/>
    <n v="43564.26"/>
    <n v="22246.94"/>
    <s v="Boston"/>
    <x v="0"/>
    <s v="L"/>
    <s v="Blue"/>
    <n v="2"/>
    <x v="1"/>
    <s v="Retail"/>
    <s v="PayPal"/>
  </r>
  <r>
    <s v="ORD-202400339"/>
    <x v="305"/>
    <n v="1427"/>
    <s v="11/05/1980"/>
    <x v="1"/>
    <x v="1"/>
    <n v="15131.45"/>
    <n v="9169.1299999999992"/>
    <s v="Boston"/>
    <x v="0"/>
    <s v="M"/>
    <s v="Yellow"/>
    <n v="5"/>
    <x v="0"/>
    <s v="Wholesale"/>
    <s v="Cash"/>
  </r>
  <r>
    <s v="ORD-202400340"/>
    <x v="306"/>
    <n v="7694"/>
    <s v="13/06/1971"/>
    <x v="0"/>
    <x v="1"/>
    <n v="50717.440000000002"/>
    <n v="32461.17"/>
    <s v="Minneapolis"/>
    <x v="1"/>
    <s v="M"/>
    <s v="Black"/>
    <n v="2"/>
    <x v="0"/>
    <s v="Retail"/>
    <s v="Bank Transfer"/>
  </r>
  <r>
    <s v="ORD-202400341"/>
    <x v="295"/>
    <n v="7633"/>
    <s v="07/03/1989"/>
    <x v="0"/>
    <x v="0"/>
    <n v="11545.3"/>
    <n v="7098.81"/>
    <s v="Minneapolis"/>
    <x v="1"/>
    <s v="L"/>
    <s v="White"/>
    <n v="5"/>
    <x v="2"/>
    <s v="Retail"/>
    <s v="PayPal"/>
  </r>
  <r>
    <s v="ORD-202400342"/>
    <x v="307"/>
    <n v="1694"/>
    <s v="30/06/1990"/>
    <x v="0"/>
    <x v="0"/>
    <n v="12674.37"/>
    <n v="6706.29"/>
    <s v="Boston"/>
    <x v="0"/>
    <s v="S"/>
    <s v="Yellow"/>
    <n v="4"/>
    <x v="0"/>
    <s v="Wholesale"/>
    <s v="Cash"/>
  </r>
  <r>
    <s v="ORD-202400343"/>
    <x v="308"/>
    <n v="3727"/>
    <s v="11/09/1990"/>
    <x v="1"/>
    <x v="2"/>
    <n v="20059.02"/>
    <n v="12713.54"/>
    <s v="San Francisco"/>
    <x v="2"/>
    <s v="M"/>
    <s v="White"/>
    <n v="4"/>
    <x v="1"/>
    <s v="Retail"/>
    <s v="Cash"/>
  </r>
  <r>
    <s v="ORD-202400344"/>
    <x v="309"/>
    <n v="1408"/>
    <s v="24/03/1990"/>
    <x v="0"/>
    <x v="1"/>
    <n v="45118.69"/>
    <n v="28394.25"/>
    <s v="Boston"/>
    <x v="0"/>
    <s v="M"/>
    <s v="White"/>
    <n v="1"/>
    <x v="1"/>
    <s v="Wholesale"/>
    <s v="PayPal"/>
  </r>
  <r>
    <s v="ORD-202400345"/>
    <x v="310"/>
    <n v="6946"/>
    <s v="27/02/1990"/>
    <x v="0"/>
    <x v="0"/>
    <n v="8321.51"/>
    <n v="4383.92"/>
    <s v="Boston"/>
    <x v="0"/>
    <s v="M"/>
    <s v="White"/>
    <n v="5"/>
    <x v="1"/>
    <s v="Wholesale"/>
    <s v="Bank Transfer"/>
  </r>
  <r>
    <s v="ORD-202400346"/>
    <x v="311"/>
    <n v="1840"/>
    <s v="09/01/1978"/>
    <x v="1"/>
    <x v="3"/>
    <n v="5398.16"/>
    <n v="3217.48"/>
    <s v="Boston"/>
    <x v="0"/>
    <s v="XL"/>
    <s v="Green"/>
    <n v="2"/>
    <x v="1"/>
    <s v="Retail"/>
    <s v="Cash"/>
  </r>
  <r>
    <s v="ORD-202400347"/>
    <x v="189"/>
    <n v="1094"/>
    <s v="19/05/1994"/>
    <x v="1"/>
    <x v="4"/>
    <n v="23186.07"/>
    <n v="13164.41"/>
    <s v="San Francisco"/>
    <x v="2"/>
    <s v="XL"/>
    <s v="White"/>
    <n v="4"/>
    <x v="1"/>
    <s v="Wholesale"/>
    <s v="Cash"/>
  </r>
  <r>
    <s v="ORD-202400348"/>
    <x v="312"/>
    <n v="4028"/>
    <s v="12/03/1972"/>
    <x v="0"/>
    <x v="2"/>
    <n v="12167.61"/>
    <n v="6324.77"/>
    <s v="Seattle"/>
    <x v="2"/>
    <s v="M"/>
    <s v="Red"/>
    <n v="5"/>
    <x v="2"/>
    <s v="Retail"/>
    <s v="Cash"/>
  </r>
  <r>
    <s v="ORD-202400349"/>
    <x v="313"/>
    <n v="3906"/>
    <s v="31/05/1997"/>
    <x v="1"/>
    <x v="3"/>
    <n v="12104.02"/>
    <n v="6318.76"/>
    <s v="San Francisco"/>
    <x v="2"/>
    <s v="S"/>
    <s v="Red"/>
    <n v="3"/>
    <x v="1"/>
    <s v="Wholesale"/>
    <s v="Cash"/>
  </r>
  <r>
    <s v="ORD-202400350"/>
    <x v="314"/>
    <n v="6393"/>
    <s v="24/04/1982"/>
    <x v="1"/>
    <x v="4"/>
    <n v="31523.7"/>
    <n v="18572.689999999999"/>
    <s v="Boston"/>
    <x v="0"/>
    <s v="S"/>
    <s v="Red"/>
    <n v="5"/>
    <x v="0"/>
    <s v="Wholesale"/>
    <s v="Cash"/>
  </r>
  <r>
    <s v="ORD-202400351"/>
    <x v="315"/>
    <n v="7996"/>
    <s v="19/11/1982"/>
    <x v="1"/>
    <x v="1"/>
    <n v="38693.980000000003"/>
    <n v="21863.200000000001"/>
    <s v="Boston"/>
    <x v="0"/>
    <s v="L"/>
    <s v="Blue"/>
    <n v="5"/>
    <x v="0"/>
    <s v="Retail"/>
    <s v="PayPal"/>
  </r>
  <r>
    <s v="ORD-202400352"/>
    <x v="316"/>
    <n v="1025"/>
    <s v="07/09/1978"/>
    <x v="0"/>
    <x v="3"/>
    <n v="2379.86"/>
    <n v="1368.64"/>
    <s v="New York"/>
    <x v="0"/>
    <s v="S"/>
    <s v="Black"/>
    <n v="2"/>
    <x v="0"/>
    <s v="Wholesale"/>
    <s v="Bank Transfer"/>
  </r>
  <r>
    <s v="ORD-202400353"/>
    <x v="226"/>
    <n v="4296"/>
    <s v="26/09/1998"/>
    <x v="1"/>
    <x v="1"/>
    <n v="42190.02"/>
    <n v="19557.91"/>
    <s v="San Francisco"/>
    <x v="2"/>
    <s v="L"/>
    <s v="Yellow"/>
    <n v="5"/>
    <x v="1"/>
    <s v="Retail"/>
    <s v="PayPal"/>
  </r>
  <r>
    <s v="ORD-202400354"/>
    <x v="60"/>
    <n v="4178"/>
    <s v="17/11/1977"/>
    <x v="1"/>
    <x v="0"/>
    <n v="21514.84"/>
    <n v="13650.22"/>
    <s v="San Francisco"/>
    <x v="2"/>
    <s v="XL"/>
    <s v="White"/>
    <n v="1"/>
    <x v="0"/>
    <s v="Retail"/>
    <s v="PayPal"/>
  </r>
  <r>
    <s v="ORD-202400355"/>
    <x v="317"/>
    <n v="9537"/>
    <s v="06/07/1972"/>
    <x v="1"/>
    <x v="3"/>
    <n v="10996.05"/>
    <n v="6439.72"/>
    <s v="Boston"/>
    <x v="0"/>
    <s v="S"/>
    <s v="Blue"/>
    <n v="5"/>
    <x v="0"/>
    <s v="Wholesale"/>
    <s v="Bank Transfer"/>
  </r>
  <r>
    <s v="ORD-202400356"/>
    <x v="318"/>
    <n v="9753"/>
    <s v="07/02/1998"/>
    <x v="0"/>
    <x v="2"/>
    <n v="23258.15"/>
    <n v="12278.29"/>
    <s v="Los Angeles"/>
    <x v="2"/>
    <s v="S"/>
    <s v="Green"/>
    <n v="3"/>
    <x v="0"/>
    <s v="Retail"/>
    <s v="Cash"/>
  </r>
  <r>
    <s v="ORD-202400357"/>
    <x v="319"/>
    <n v="9603"/>
    <s v="12/09/1979"/>
    <x v="1"/>
    <x v="2"/>
    <n v="15969.28"/>
    <n v="8381.3700000000008"/>
    <s v="New York"/>
    <x v="0"/>
    <s v="S"/>
    <s v="Blue"/>
    <n v="1"/>
    <x v="1"/>
    <s v="Retail"/>
    <s v="Bank Transfer"/>
  </r>
  <r>
    <s v="ORD-202400358"/>
    <x v="320"/>
    <n v="6363"/>
    <s v="03/12/1983"/>
    <x v="0"/>
    <x v="4"/>
    <n v="34191.39"/>
    <n v="16058"/>
    <s v="Chicago"/>
    <x v="1"/>
    <s v="M"/>
    <s v="Blue"/>
    <n v="1"/>
    <x v="0"/>
    <s v="Wholesale"/>
    <s v="PayPal"/>
  </r>
  <r>
    <s v="ORD-202400359"/>
    <x v="321"/>
    <n v="6460"/>
    <s v="27/11/1973"/>
    <x v="1"/>
    <x v="3"/>
    <n v="18788.46"/>
    <n v="8842.24"/>
    <s v="San Francisco"/>
    <x v="2"/>
    <s v="L"/>
    <s v="Red"/>
    <n v="5"/>
    <x v="0"/>
    <s v="Wholesale"/>
    <s v="Cash"/>
  </r>
  <r>
    <s v="ORD-202400360"/>
    <x v="322"/>
    <n v="2927"/>
    <s v="08/02/2000"/>
    <x v="1"/>
    <x v="2"/>
    <n v="16460.07"/>
    <n v="8307.85"/>
    <s v="Los Angeles"/>
    <x v="2"/>
    <s v="S"/>
    <s v="Yellow"/>
    <n v="5"/>
    <x v="0"/>
    <s v="Retail"/>
    <s v="Bank Transfer"/>
  </r>
  <r>
    <s v="ORD-202400361"/>
    <x v="110"/>
    <n v="5011"/>
    <s v="02/10/1995"/>
    <x v="0"/>
    <x v="4"/>
    <n v="13294.98"/>
    <n v="7613.4"/>
    <s v="Miami"/>
    <x v="0"/>
    <s v="L"/>
    <s v="Yellow"/>
    <n v="4"/>
    <x v="1"/>
    <s v="Retail"/>
    <s v="PayPal"/>
  </r>
  <r>
    <s v="ORD-202400362"/>
    <x v="323"/>
    <n v="8304"/>
    <s v="27/09/1996"/>
    <x v="1"/>
    <x v="4"/>
    <n v="23472.36"/>
    <n v="14400.02"/>
    <s v="San Francisco"/>
    <x v="2"/>
    <s v="S"/>
    <s v="White"/>
    <n v="5"/>
    <x v="1"/>
    <s v="Wholesale"/>
    <s v="PayPal"/>
  </r>
  <r>
    <s v="ORD-202400363"/>
    <x v="128"/>
    <n v="4796"/>
    <s v="09/02/1991"/>
    <x v="0"/>
    <x v="2"/>
    <n v="13504.24"/>
    <n v="8496.06"/>
    <s v="Miami"/>
    <x v="0"/>
    <s v="L"/>
    <s v="Green"/>
    <n v="4"/>
    <x v="1"/>
    <s v="Wholesale"/>
    <s v="Bank Transfer"/>
  </r>
  <r>
    <s v="ORD-202400364"/>
    <x v="324"/>
    <n v="6758"/>
    <s v="24/01/1975"/>
    <x v="1"/>
    <x v="1"/>
    <n v="34252.980000000003"/>
    <n v="16583.93"/>
    <s v="Miami"/>
    <x v="0"/>
    <s v="L"/>
    <s v="Yellow"/>
    <n v="5"/>
    <x v="1"/>
    <s v="Retail"/>
    <s v="PayPal"/>
  </r>
  <r>
    <s v="ORD-202400365"/>
    <x v="325"/>
    <n v="8552"/>
    <s v="24/11/1993"/>
    <x v="1"/>
    <x v="1"/>
    <n v="41331.839999999997"/>
    <n v="20571.48"/>
    <s v="Miami"/>
    <x v="0"/>
    <s v="M"/>
    <s v="Yellow"/>
    <n v="2"/>
    <x v="2"/>
    <s v="Retail"/>
    <s v="Bank Transfer"/>
  </r>
  <r>
    <s v="ORD-202400366"/>
    <x v="326"/>
    <n v="6606"/>
    <s v="12/06/1995"/>
    <x v="0"/>
    <x v="1"/>
    <n v="36952.86"/>
    <n v="21577.55"/>
    <s v="Seattle"/>
    <x v="2"/>
    <s v="XL"/>
    <s v="Red"/>
    <n v="5"/>
    <x v="0"/>
    <s v="Retail"/>
    <s v="Cash"/>
  </r>
  <r>
    <s v="ORD-202400367"/>
    <x v="327"/>
    <n v="7208"/>
    <s v="17/11/1974"/>
    <x v="1"/>
    <x v="2"/>
    <n v="17483.8"/>
    <n v="10176.15"/>
    <s v="Chicago"/>
    <x v="1"/>
    <s v="S"/>
    <s v="Blue"/>
    <n v="2"/>
    <x v="2"/>
    <s v="Wholesale"/>
    <s v="PayPal"/>
  </r>
  <r>
    <s v="ORD-202400368"/>
    <x v="328"/>
    <n v="8326"/>
    <s v="30/06/1987"/>
    <x v="0"/>
    <x v="0"/>
    <n v="5590.81"/>
    <n v="3496.97"/>
    <s v="Chicago"/>
    <x v="1"/>
    <s v="L"/>
    <s v="Yellow"/>
    <n v="3"/>
    <x v="2"/>
    <s v="Wholesale"/>
    <s v="PayPal"/>
  </r>
  <r>
    <s v="ORD-202400369"/>
    <x v="195"/>
    <n v="7622"/>
    <s v="23/11/1992"/>
    <x v="0"/>
    <x v="3"/>
    <n v="11347.32"/>
    <n v="5247.93"/>
    <s v="Minneapolis"/>
    <x v="1"/>
    <s v="S"/>
    <s v="Red"/>
    <n v="5"/>
    <x v="2"/>
    <s v="Retail"/>
    <s v="Bank Transfer"/>
  </r>
  <r>
    <s v="ORD-202400370"/>
    <x v="329"/>
    <n v="7271"/>
    <s v="09/04/1984"/>
    <x v="1"/>
    <x v="1"/>
    <n v="34374.29"/>
    <n v="19216.04"/>
    <s v="Chicago"/>
    <x v="1"/>
    <s v="M"/>
    <s v="White"/>
    <n v="2"/>
    <x v="1"/>
    <s v="Retail"/>
    <s v="Bank Transfer"/>
  </r>
  <r>
    <s v="ORD-202400371"/>
    <x v="330"/>
    <n v="1190"/>
    <s v="10/01/1976"/>
    <x v="0"/>
    <x v="2"/>
    <n v="26622.04"/>
    <n v="12746.61"/>
    <s v="Chicago"/>
    <x v="1"/>
    <s v="XL"/>
    <s v="Black"/>
    <n v="4"/>
    <x v="2"/>
    <s v="Retail"/>
    <s v="Cash"/>
  </r>
  <r>
    <s v="ORD-202400372"/>
    <x v="33"/>
    <n v="7974"/>
    <s v="10/02/1997"/>
    <x v="0"/>
    <x v="3"/>
    <n v="10224.91"/>
    <n v="5468.54"/>
    <s v="Miami"/>
    <x v="0"/>
    <s v="XL"/>
    <s v="White"/>
    <n v="3"/>
    <x v="1"/>
    <s v="Retail"/>
    <s v="Cash"/>
  </r>
  <r>
    <s v="ORD-202400373"/>
    <x v="331"/>
    <n v="7012"/>
    <s v="02/07/1994"/>
    <x v="0"/>
    <x v="2"/>
    <n v="45173.96"/>
    <n v="25461.4"/>
    <s v="Boston"/>
    <x v="0"/>
    <s v="L"/>
    <s v="Red"/>
    <n v="5"/>
    <x v="0"/>
    <s v="Wholesale"/>
    <s v="Cash"/>
  </r>
  <r>
    <s v="ORD-202400374"/>
    <x v="332"/>
    <n v="9469"/>
    <s v="09/11/1990"/>
    <x v="0"/>
    <x v="3"/>
    <n v="11302.45"/>
    <n v="6465.16"/>
    <s v="Boston"/>
    <x v="0"/>
    <s v="M"/>
    <s v="White"/>
    <n v="1"/>
    <x v="0"/>
    <s v="Retail"/>
    <s v="PayPal"/>
  </r>
  <r>
    <s v="ORD-202400375"/>
    <x v="226"/>
    <n v="8438"/>
    <s v="12/01/1991"/>
    <x v="1"/>
    <x v="3"/>
    <n v="13350.9"/>
    <n v="6893.11"/>
    <s v="Los Angeles"/>
    <x v="2"/>
    <s v="L"/>
    <s v="Green"/>
    <n v="3"/>
    <x v="1"/>
    <s v="Wholesale"/>
    <s v="PayPal"/>
  </r>
  <r>
    <s v="ORD-202400376"/>
    <x v="333"/>
    <n v="3770"/>
    <s v="24/03/1991"/>
    <x v="0"/>
    <x v="0"/>
    <n v="13016.64"/>
    <n v="6617.02"/>
    <s v="Boston"/>
    <x v="0"/>
    <s v="S"/>
    <s v="Green"/>
    <n v="4"/>
    <x v="1"/>
    <s v="Retail"/>
    <s v="Bank Transfer"/>
  </r>
  <r>
    <s v="ORD-202400377"/>
    <x v="58"/>
    <n v="3860"/>
    <s v="02/01/1975"/>
    <x v="0"/>
    <x v="2"/>
    <n v="43128.2"/>
    <n v="22597.17"/>
    <s v="Seattle"/>
    <x v="2"/>
    <s v="M"/>
    <s v="Green"/>
    <n v="2"/>
    <x v="0"/>
    <s v="Wholesale"/>
    <s v="Cash"/>
  </r>
  <r>
    <s v="ORD-202400378"/>
    <x v="293"/>
    <n v="7765"/>
    <s v="31/03/1992"/>
    <x v="1"/>
    <x v="3"/>
    <n v="7554.59"/>
    <n v="4064.65"/>
    <s v="Los Angeles"/>
    <x v="2"/>
    <s v="M"/>
    <s v="Blue"/>
    <n v="5"/>
    <x v="0"/>
    <s v="Retail"/>
    <s v="PayPal"/>
  </r>
  <r>
    <s v="ORD-202400379"/>
    <x v="334"/>
    <n v="8803"/>
    <s v="09/07/1983"/>
    <x v="0"/>
    <x v="4"/>
    <n v="30432.63"/>
    <n v="17989.38"/>
    <s v="Los Angeles"/>
    <x v="2"/>
    <s v="XL"/>
    <s v="Green"/>
    <n v="2"/>
    <x v="0"/>
    <s v="Retail"/>
    <s v="Bank Transfer"/>
  </r>
  <r>
    <s v="ORD-202400380"/>
    <x v="335"/>
    <n v="1672"/>
    <s v="19/08/2000"/>
    <x v="0"/>
    <x v="2"/>
    <n v="27963.38"/>
    <n v="16148.43"/>
    <s v="Minneapolis"/>
    <x v="1"/>
    <s v="XL"/>
    <s v="Yellow"/>
    <n v="3"/>
    <x v="1"/>
    <s v="Retail"/>
    <s v="Cash"/>
  </r>
  <r>
    <s v="ORD-202400381"/>
    <x v="336"/>
    <n v="4193"/>
    <s v="21/02/2000"/>
    <x v="1"/>
    <x v="2"/>
    <n v="44047.05"/>
    <n v="28570.81"/>
    <s v="Seattle"/>
    <x v="2"/>
    <s v="L"/>
    <s v="Yellow"/>
    <n v="1"/>
    <x v="0"/>
    <s v="Wholesale"/>
    <s v="Cash"/>
  </r>
  <r>
    <s v="ORD-202400382"/>
    <x v="337"/>
    <n v="5127"/>
    <s v="16/09/1982"/>
    <x v="0"/>
    <x v="4"/>
    <n v="11111.45"/>
    <n v="6376.63"/>
    <s v="Seattle"/>
    <x v="2"/>
    <s v="S"/>
    <s v="Yellow"/>
    <n v="2"/>
    <x v="2"/>
    <s v="Wholesale"/>
    <s v="PayPal"/>
  </r>
  <r>
    <s v="ORD-202400383"/>
    <x v="338"/>
    <n v="4027"/>
    <s v="24/01/1999"/>
    <x v="0"/>
    <x v="3"/>
    <n v="7137.24"/>
    <n v="3573.38"/>
    <s v="Chicago"/>
    <x v="1"/>
    <s v="XL"/>
    <s v="Black"/>
    <n v="1"/>
    <x v="0"/>
    <s v="Wholesale"/>
    <s v="Bank Transfer"/>
  </r>
  <r>
    <s v="ORD-202400384"/>
    <x v="339"/>
    <n v="3653"/>
    <s v="18/07/1981"/>
    <x v="0"/>
    <x v="3"/>
    <n v="7457.62"/>
    <n v="3448.98"/>
    <s v="Boston"/>
    <x v="0"/>
    <s v="XL"/>
    <s v="Green"/>
    <n v="1"/>
    <x v="1"/>
    <s v="Wholesale"/>
    <s v="Cash"/>
  </r>
  <r>
    <s v="ORD-202400385"/>
    <x v="340"/>
    <n v="9061"/>
    <s v="02/01/1978"/>
    <x v="0"/>
    <x v="3"/>
    <n v="4384.38"/>
    <n v="2647.03"/>
    <s v="San Francisco"/>
    <x v="2"/>
    <s v="M"/>
    <s v="Yellow"/>
    <n v="1"/>
    <x v="2"/>
    <s v="Wholesale"/>
    <s v="Cash"/>
  </r>
  <r>
    <s v="ORD-202400386"/>
    <x v="341"/>
    <n v="9154"/>
    <s v="04/11/1970"/>
    <x v="0"/>
    <x v="1"/>
    <n v="71591"/>
    <n v="32228.37"/>
    <s v="Los Angeles"/>
    <x v="2"/>
    <s v="S"/>
    <s v="Black"/>
    <n v="4"/>
    <x v="1"/>
    <s v="Wholesale"/>
    <s v="Bank Transfer"/>
  </r>
  <r>
    <s v="ORD-202400387"/>
    <x v="342"/>
    <n v="7617"/>
    <s v="24/07/1989"/>
    <x v="0"/>
    <x v="0"/>
    <n v="14164.83"/>
    <n v="6383.54"/>
    <s v="Boston"/>
    <x v="0"/>
    <s v="XL"/>
    <s v="Red"/>
    <n v="5"/>
    <x v="0"/>
    <s v="Wholesale"/>
    <s v="Bank Transfer"/>
  </r>
  <r>
    <s v="ORD-202400388"/>
    <x v="210"/>
    <n v="6985"/>
    <s v="25/01/1974"/>
    <x v="1"/>
    <x v="4"/>
    <n v="13721.13"/>
    <n v="7435.86"/>
    <s v="Miami"/>
    <x v="0"/>
    <s v="L"/>
    <s v="Black"/>
    <n v="2"/>
    <x v="1"/>
    <s v="Retail"/>
    <s v="Bank Transfer"/>
  </r>
  <r>
    <s v="ORD-202400389"/>
    <x v="343"/>
    <n v="6886"/>
    <s v="24/11/2000"/>
    <x v="1"/>
    <x v="0"/>
    <n v="5913.13"/>
    <n v="3409.26"/>
    <s v="Miami"/>
    <x v="0"/>
    <s v="M"/>
    <s v="Blue"/>
    <n v="1"/>
    <x v="1"/>
    <s v="Wholesale"/>
    <s v="PayPal"/>
  </r>
  <r>
    <s v="ORD-202400390"/>
    <x v="344"/>
    <n v="9748"/>
    <s v="31/05/1992"/>
    <x v="1"/>
    <x v="4"/>
    <n v="60393.279999999999"/>
    <n v="27375.29"/>
    <s v="San Francisco"/>
    <x v="2"/>
    <s v="L"/>
    <s v="Red"/>
    <n v="3"/>
    <x v="0"/>
    <s v="Retail"/>
    <s v="Cash"/>
  </r>
  <r>
    <s v="ORD-202400391"/>
    <x v="302"/>
    <n v="3440"/>
    <s v="26/01/1994"/>
    <x v="0"/>
    <x v="0"/>
    <n v="23335.56"/>
    <n v="10673.11"/>
    <s v="Seattle"/>
    <x v="2"/>
    <s v="M"/>
    <s v="White"/>
    <n v="1"/>
    <x v="0"/>
    <s v="Wholesale"/>
    <s v="Cash"/>
  </r>
  <r>
    <s v="ORD-202400392"/>
    <x v="345"/>
    <n v="2594"/>
    <s v="15/10/1983"/>
    <x v="1"/>
    <x v="4"/>
    <n v="31227.67"/>
    <n v="19269.669999999998"/>
    <s v="Seattle"/>
    <x v="2"/>
    <s v="S"/>
    <s v="Red"/>
    <n v="1"/>
    <x v="0"/>
    <s v="Wholesale"/>
    <s v="Cash"/>
  </r>
  <r>
    <s v="ORD-202400393"/>
    <x v="225"/>
    <n v="6312"/>
    <s v="13/01/1988"/>
    <x v="0"/>
    <x v="1"/>
    <n v="124855.93"/>
    <n v="70567.75"/>
    <s v="Los Angeles"/>
    <x v="2"/>
    <s v="M"/>
    <s v="Green"/>
    <n v="2"/>
    <x v="0"/>
    <s v="Retail"/>
    <s v="Bank Transfer"/>
  </r>
  <r>
    <s v="ORD-202400394"/>
    <x v="346"/>
    <n v="3703"/>
    <s v="05/08/1986"/>
    <x v="1"/>
    <x v="4"/>
    <n v="20417.82"/>
    <n v="11564.6"/>
    <s v="San Francisco"/>
    <x v="2"/>
    <s v="M"/>
    <s v="Red"/>
    <n v="5"/>
    <x v="1"/>
    <s v="Retail"/>
    <s v="Bank Transfer"/>
  </r>
  <r>
    <s v="ORD-202400395"/>
    <x v="347"/>
    <n v="5648"/>
    <s v="19/08/1996"/>
    <x v="1"/>
    <x v="4"/>
    <n v="30293.67"/>
    <n v="18432.13"/>
    <s v="Los Angeles"/>
    <x v="2"/>
    <s v="XL"/>
    <s v="Black"/>
    <n v="2"/>
    <x v="1"/>
    <s v="Wholesale"/>
    <s v="PayPal"/>
  </r>
  <r>
    <s v="ORD-202400396"/>
    <x v="348"/>
    <n v="3949"/>
    <s v="30/09/1996"/>
    <x v="1"/>
    <x v="3"/>
    <n v="11673.22"/>
    <n v="5458.45"/>
    <s v="New York"/>
    <x v="0"/>
    <s v="L"/>
    <s v="Green"/>
    <n v="4"/>
    <x v="1"/>
    <s v="Retail"/>
    <s v="Cash"/>
  </r>
  <r>
    <s v="ORD-202400397"/>
    <x v="349"/>
    <n v="4592"/>
    <s v="07/10/1992"/>
    <x v="1"/>
    <x v="1"/>
    <n v="63969.55"/>
    <n v="37221.67"/>
    <s v="Chicago"/>
    <x v="1"/>
    <s v="L"/>
    <s v="Red"/>
    <n v="2"/>
    <x v="1"/>
    <s v="Retail"/>
    <s v="Bank Transfer"/>
  </r>
  <r>
    <s v="ORD-202400398"/>
    <x v="350"/>
    <n v="5670"/>
    <s v="03/05/1986"/>
    <x v="0"/>
    <x v="0"/>
    <n v="7352.05"/>
    <n v="3799.97"/>
    <s v="New York"/>
    <x v="0"/>
    <s v="XL"/>
    <s v="Red"/>
    <n v="1"/>
    <x v="0"/>
    <s v="Wholesale"/>
    <s v="Cash"/>
  </r>
  <r>
    <s v="ORD-202400399"/>
    <x v="351"/>
    <n v="6340"/>
    <s v="14/12/1989"/>
    <x v="1"/>
    <x v="1"/>
    <n v="27039.03"/>
    <n v="15827.85"/>
    <s v="Los Angeles"/>
    <x v="2"/>
    <s v="L"/>
    <s v="Blue"/>
    <n v="1"/>
    <x v="1"/>
    <s v="Retail"/>
    <s v="PayPal"/>
  </r>
  <r>
    <s v="ORD-202400400"/>
    <x v="352"/>
    <n v="8936"/>
    <s v="31/03/1996"/>
    <x v="0"/>
    <x v="2"/>
    <n v="37113.85"/>
    <n v="17777.099999999999"/>
    <s v="Los Angeles"/>
    <x v="2"/>
    <s v="XL"/>
    <s v="Blue"/>
    <n v="4"/>
    <x v="1"/>
    <s v="Retail"/>
    <s v="Cash"/>
  </r>
  <r>
    <s v="ORD-202400401"/>
    <x v="353"/>
    <n v="1977"/>
    <s v="06/07/1995"/>
    <x v="1"/>
    <x v="4"/>
    <n v="11092.97"/>
    <n v="6881.31"/>
    <s v="Miami"/>
    <x v="0"/>
    <s v="XL"/>
    <s v="White"/>
    <n v="2"/>
    <x v="0"/>
    <s v="Retail"/>
    <s v="Bank Transfer"/>
  </r>
  <r>
    <s v="ORD-202400402"/>
    <x v="354"/>
    <n v="4763"/>
    <s v="18/10/1994"/>
    <x v="0"/>
    <x v="3"/>
    <n v="9557.75"/>
    <n v="5298.37"/>
    <s v="Boston"/>
    <x v="0"/>
    <s v="M"/>
    <s v="Yellow"/>
    <n v="4"/>
    <x v="2"/>
    <s v="Retail"/>
    <s v="PayPal"/>
  </r>
  <r>
    <s v="ORD-202400403"/>
    <x v="355"/>
    <n v="3440"/>
    <s v="18/07/1996"/>
    <x v="0"/>
    <x v="2"/>
    <n v="24943.77"/>
    <n v="11445.32"/>
    <s v="Los Angeles"/>
    <x v="2"/>
    <s v="XL"/>
    <s v="Black"/>
    <n v="5"/>
    <x v="1"/>
    <s v="Retail"/>
    <s v="Bank Transfer"/>
  </r>
  <r>
    <s v="ORD-202400404"/>
    <x v="356"/>
    <n v="1203"/>
    <s v="23/09/1973"/>
    <x v="1"/>
    <x v="3"/>
    <n v="12397.72"/>
    <n v="5908.04"/>
    <s v="Detroit"/>
    <x v="1"/>
    <s v="L"/>
    <s v="Blue"/>
    <n v="1"/>
    <x v="1"/>
    <s v="Wholesale"/>
    <s v="Cash"/>
  </r>
  <r>
    <s v="ORD-202400405"/>
    <x v="357"/>
    <n v="3271"/>
    <s v="21/10/1990"/>
    <x v="1"/>
    <x v="0"/>
    <n v="4636.28"/>
    <n v="2894.48"/>
    <s v="Boston"/>
    <x v="0"/>
    <s v="XL"/>
    <s v="Black"/>
    <n v="1"/>
    <x v="2"/>
    <s v="Retail"/>
    <s v="PayPal"/>
  </r>
  <r>
    <s v="ORD-202400406"/>
    <x v="358"/>
    <n v="9887"/>
    <s v="23/06/1997"/>
    <x v="0"/>
    <x v="2"/>
    <n v="49490.75"/>
    <n v="23072.18"/>
    <s v="Los Angeles"/>
    <x v="2"/>
    <s v="L"/>
    <s v="Black"/>
    <n v="1"/>
    <x v="0"/>
    <s v="Wholesale"/>
    <s v="Bank Transfer"/>
  </r>
  <r>
    <s v="ORD-202400407"/>
    <x v="359"/>
    <n v="7003"/>
    <s v="26/05/1986"/>
    <x v="0"/>
    <x v="2"/>
    <n v="24486.11"/>
    <n v="14470.67"/>
    <s v="Chicago"/>
    <x v="1"/>
    <s v="M"/>
    <s v="Blue"/>
    <n v="3"/>
    <x v="1"/>
    <s v="Retail"/>
    <s v="Bank Transfer"/>
  </r>
  <r>
    <s v="ORD-202400408"/>
    <x v="360"/>
    <n v="6778"/>
    <s v="17/05/1984"/>
    <x v="1"/>
    <x v="3"/>
    <n v="10993.22"/>
    <n v="5876.82"/>
    <s v="Boston"/>
    <x v="0"/>
    <s v="S"/>
    <s v="Red"/>
    <n v="3"/>
    <x v="1"/>
    <s v="Retail"/>
    <s v="PayPal"/>
  </r>
  <r>
    <s v="ORD-202400409"/>
    <x v="361"/>
    <n v="8405"/>
    <s v="10/02/1983"/>
    <x v="1"/>
    <x v="0"/>
    <n v="13022.55"/>
    <n v="8322.36"/>
    <s v="Minneapolis"/>
    <x v="1"/>
    <s v="S"/>
    <s v="Blue"/>
    <n v="4"/>
    <x v="1"/>
    <s v="Retail"/>
    <s v="Cash"/>
  </r>
  <r>
    <s v="ORD-202400410"/>
    <x v="346"/>
    <n v="9131"/>
    <s v="21/08/1976"/>
    <x v="0"/>
    <x v="4"/>
    <n v="48449.7"/>
    <n v="26847.8"/>
    <s v="Los Angeles"/>
    <x v="2"/>
    <s v="S"/>
    <s v="Green"/>
    <n v="4"/>
    <x v="2"/>
    <s v="Retail"/>
    <s v="Cash"/>
  </r>
  <r>
    <s v="ORD-202400411"/>
    <x v="328"/>
    <n v="2031"/>
    <s v="25/06/1978"/>
    <x v="0"/>
    <x v="1"/>
    <n v="86987.08"/>
    <n v="43186.09"/>
    <s v="Miami"/>
    <x v="0"/>
    <s v="L"/>
    <s v="White"/>
    <n v="5"/>
    <x v="1"/>
    <s v="Wholesale"/>
    <s v="Bank Transfer"/>
  </r>
  <r>
    <s v="ORD-202400412"/>
    <x v="362"/>
    <n v="5982"/>
    <s v="18/07/1990"/>
    <x v="0"/>
    <x v="0"/>
    <n v="20656.36"/>
    <n v="10561.58"/>
    <s v="Boston"/>
    <x v="0"/>
    <s v="L"/>
    <s v="Blue"/>
    <n v="4"/>
    <x v="1"/>
    <s v="Retail"/>
    <s v="Cash"/>
  </r>
  <r>
    <s v="ORD-202400413"/>
    <x v="363"/>
    <n v="5673"/>
    <s v="05/01/1994"/>
    <x v="0"/>
    <x v="1"/>
    <n v="84704.93"/>
    <n v="52336.32"/>
    <s v="San Francisco"/>
    <x v="2"/>
    <s v="M"/>
    <s v="Blue"/>
    <n v="2"/>
    <x v="1"/>
    <s v="Wholesale"/>
    <s v="PayPal"/>
  </r>
  <r>
    <s v="ORD-202400414"/>
    <x v="364"/>
    <n v="6192"/>
    <s v="23/07/1971"/>
    <x v="1"/>
    <x v="2"/>
    <n v="12119.8"/>
    <n v="6540.88"/>
    <s v="San Francisco"/>
    <x v="2"/>
    <s v="M"/>
    <s v="Yellow"/>
    <n v="3"/>
    <x v="1"/>
    <s v="Retail"/>
    <s v="Bank Transfer"/>
  </r>
  <r>
    <s v="ORD-202400415"/>
    <x v="140"/>
    <n v="6427"/>
    <s v="05/10/1992"/>
    <x v="1"/>
    <x v="3"/>
    <n v="7160.3"/>
    <n v="3637.18"/>
    <s v="Miami"/>
    <x v="0"/>
    <s v="M"/>
    <s v="Yellow"/>
    <n v="4"/>
    <x v="1"/>
    <s v="Retail"/>
    <s v="Bank Transfer"/>
  </r>
  <r>
    <s v="ORD-202400416"/>
    <x v="365"/>
    <n v="4610"/>
    <s v="07/01/1988"/>
    <x v="1"/>
    <x v="0"/>
    <n v="5534.91"/>
    <n v="2851.99"/>
    <s v="Chicago"/>
    <x v="1"/>
    <s v="M"/>
    <s v="Yellow"/>
    <n v="5"/>
    <x v="1"/>
    <s v="Wholesale"/>
    <s v="Bank Transfer"/>
  </r>
  <r>
    <s v="ORD-202400417"/>
    <x v="366"/>
    <n v="9385"/>
    <s v="02/12/1973"/>
    <x v="1"/>
    <x v="1"/>
    <n v="31433.82"/>
    <n v="16142.89"/>
    <s v="Los Angeles"/>
    <x v="2"/>
    <s v="S"/>
    <s v="Black"/>
    <n v="3"/>
    <x v="1"/>
    <s v="Wholesale"/>
    <s v="Bank Transfer"/>
  </r>
  <r>
    <s v="ORD-202400418"/>
    <x v="214"/>
    <n v="2435"/>
    <s v="27/12/1989"/>
    <x v="0"/>
    <x v="4"/>
    <n v="41916.69"/>
    <n v="22586.560000000001"/>
    <s v="San Francisco"/>
    <x v="2"/>
    <s v="XL"/>
    <s v="White"/>
    <n v="3"/>
    <x v="1"/>
    <s v="Wholesale"/>
    <s v="Bank Transfer"/>
  </r>
  <r>
    <s v="ORD-202400419"/>
    <x v="367"/>
    <n v="4404"/>
    <s v="11/06/1976"/>
    <x v="1"/>
    <x v="4"/>
    <n v="29394.79"/>
    <n v="18327.8"/>
    <s v="Miami"/>
    <x v="0"/>
    <s v="L"/>
    <s v="Red"/>
    <n v="5"/>
    <x v="0"/>
    <s v="Retail"/>
    <s v="Bank Transfer"/>
  </r>
  <r>
    <s v="ORD-202400420"/>
    <x v="368"/>
    <n v="3243"/>
    <s v="23/06/1995"/>
    <x v="0"/>
    <x v="2"/>
    <n v="15108.94"/>
    <n v="7952.65"/>
    <s v="Miami"/>
    <x v="0"/>
    <s v="XL"/>
    <s v="Red"/>
    <n v="3"/>
    <x v="2"/>
    <s v="Retail"/>
    <s v="PayPal"/>
  </r>
  <r>
    <s v="ORD-202400421"/>
    <x v="369"/>
    <n v="8742"/>
    <s v="19/06/1983"/>
    <x v="0"/>
    <x v="4"/>
    <n v="24143.31"/>
    <n v="15174.97"/>
    <s v="New York"/>
    <x v="0"/>
    <s v="XL"/>
    <s v="Blue"/>
    <n v="4"/>
    <x v="2"/>
    <s v="Wholesale"/>
    <s v="Cash"/>
  </r>
  <r>
    <s v="ORD-202400422"/>
    <x v="370"/>
    <n v="8872"/>
    <s v="25/03/1986"/>
    <x v="1"/>
    <x v="1"/>
    <n v="113083.88"/>
    <n v="65090.99"/>
    <s v="San Francisco"/>
    <x v="2"/>
    <s v="XL"/>
    <s v="Black"/>
    <n v="1"/>
    <x v="1"/>
    <s v="Wholesale"/>
    <s v="Cash"/>
  </r>
  <r>
    <s v="ORD-202400423"/>
    <x v="35"/>
    <n v="6855"/>
    <s v="29/01/1976"/>
    <x v="0"/>
    <x v="1"/>
    <n v="10111.290000000001"/>
    <n v="5280.45"/>
    <s v="Chicago"/>
    <x v="1"/>
    <s v="L"/>
    <s v="Red"/>
    <n v="3"/>
    <x v="1"/>
    <s v="Wholesale"/>
    <s v="Cash"/>
  </r>
  <r>
    <s v="ORD-202400424"/>
    <x v="371"/>
    <n v="6285"/>
    <s v="23/05/1994"/>
    <x v="1"/>
    <x v="4"/>
    <n v="28944.31"/>
    <n v="16990.12"/>
    <s v="Boston"/>
    <x v="0"/>
    <s v="L"/>
    <s v="Green"/>
    <n v="3"/>
    <x v="1"/>
    <s v="Retail"/>
    <s v="Cash"/>
  </r>
  <r>
    <s v="ORD-202400425"/>
    <x v="372"/>
    <n v="3671"/>
    <s v="07/04/1985"/>
    <x v="0"/>
    <x v="2"/>
    <n v="21284.87"/>
    <n v="11721.08"/>
    <s v="Seattle"/>
    <x v="2"/>
    <s v="M"/>
    <s v="Yellow"/>
    <n v="5"/>
    <x v="0"/>
    <s v="Wholesale"/>
    <s v="PayPal"/>
  </r>
  <r>
    <s v="ORD-202400426"/>
    <x v="373"/>
    <n v="2909"/>
    <s v="05/06/1973"/>
    <x v="0"/>
    <x v="0"/>
    <n v="14356.03"/>
    <n v="7837.01"/>
    <s v="Boston"/>
    <x v="0"/>
    <s v="L"/>
    <s v="Black"/>
    <n v="3"/>
    <x v="1"/>
    <s v="Retail"/>
    <s v="PayPal"/>
  </r>
  <r>
    <s v="ORD-202400427"/>
    <x v="374"/>
    <n v="3108"/>
    <s v="23/12/1979"/>
    <x v="0"/>
    <x v="4"/>
    <n v="33457.74"/>
    <n v="17113.150000000001"/>
    <s v="Miami"/>
    <x v="0"/>
    <s v="M"/>
    <s v="Blue"/>
    <n v="1"/>
    <x v="1"/>
    <s v="Wholesale"/>
    <s v="Cash"/>
  </r>
  <r>
    <s v="ORD-202400428"/>
    <x v="375"/>
    <n v="9412"/>
    <s v="22/06/1971"/>
    <x v="0"/>
    <x v="0"/>
    <n v="9271.52"/>
    <n v="5856.87"/>
    <s v="San Francisco"/>
    <x v="2"/>
    <s v="S"/>
    <s v="Red"/>
    <n v="3"/>
    <x v="0"/>
    <s v="Wholesale"/>
    <s v="Cash"/>
  </r>
  <r>
    <s v="ORD-202400429"/>
    <x v="376"/>
    <n v="1479"/>
    <s v="08/10/1985"/>
    <x v="0"/>
    <x v="1"/>
    <n v="14423.86"/>
    <n v="8643.35"/>
    <s v="Chicago"/>
    <x v="1"/>
    <s v="L"/>
    <s v="Yellow"/>
    <n v="3"/>
    <x v="1"/>
    <s v="Wholesale"/>
    <s v="PayPal"/>
  </r>
  <r>
    <s v="ORD-202400430"/>
    <x v="377"/>
    <n v="9664"/>
    <s v="18/08/1970"/>
    <x v="0"/>
    <x v="1"/>
    <n v="48190.69"/>
    <n v="30979.52"/>
    <s v="Boston"/>
    <x v="0"/>
    <s v="M"/>
    <s v="Yellow"/>
    <n v="1"/>
    <x v="2"/>
    <s v="Retail"/>
    <s v="Cash"/>
  </r>
  <r>
    <s v="ORD-202400431"/>
    <x v="378"/>
    <n v="2758"/>
    <s v="21/09/1989"/>
    <x v="0"/>
    <x v="1"/>
    <n v="62907.45"/>
    <n v="40654.58"/>
    <s v="Detroit"/>
    <x v="1"/>
    <s v="XL"/>
    <s v="Blue"/>
    <n v="5"/>
    <x v="1"/>
    <s v="Retail"/>
    <s v="Bank Transfer"/>
  </r>
  <r>
    <s v="ORD-202400432"/>
    <x v="379"/>
    <n v="1665"/>
    <s v="07/12/1982"/>
    <x v="0"/>
    <x v="1"/>
    <n v="49614.35"/>
    <n v="23474.76"/>
    <s v="Los Angeles"/>
    <x v="2"/>
    <s v="L"/>
    <s v="White"/>
    <n v="5"/>
    <x v="0"/>
    <s v="Wholesale"/>
    <s v="Bank Transfer"/>
  </r>
  <r>
    <s v="ORD-202400433"/>
    <x v="380"/>
    <n v="8793"/>
    <s v="14/02/1973"/>
    <x v="1"/>
    <x v="2"/>
    <n v="19375.22"/>
    <n v="12588.95"/>
    <s v="San Francisco"/>
    <x v="2"/>
    <s v="XL"/>
    <s v="Black"/>
    <n v="1"/>
    <x v="1"/>
    <s v="Retail"/>
    <s v="PayPal"/>
  </r>
  <r>
    <s v="ORD-202400434"/>
    <x v="381"/>
    <n v="2060"/>
    <s v="27/07/1977"/>
    <x v="1"/>
    <x v="2"/>
    <n v="54070.95"/>
    <n v="27993.95"/>
    <s v="Los Angeles"/>
    <x v="2"/>
    <s v="XL"/>
    <s v="Red"/>
    <n v="2"/>
    <x v="2"/>
    <s v="Wholesale"/>
    <s v="Bank Transfer"/>
  </r>
  <r>
    <s v="ORD-202400435"/>
    <x v="382"/>
    <n v="6834"/>
    <s v="15/12/1987"/>
    <x v="1"/>
    <x v="1"/>
    <n v="75834.28"/>
    <n v="48536.04"/>
    <s v="Boston"/>
    <x v="0"/>
    <s v="XL"/>
    <s v="Yellow"/>
    <n v="3"/>
    <x v="1"/>
    <s v="Retail"/>
    <s v="Cash"/>
  </r>
  <r>
    <s v="ORD-202400436"/>
    <x v="383"/>
    <n v="1865"/>
    <s v="20/06/1974"/>
    <x v="0"/>
    <x v="2"/>
    <n v="35157.68"/>
    <n v="16009.04"/>
    <s v="San Francisco"/>
    <x v="2"/>
    <s v="M"/>
    <s v="White"/>
    <n v="5"/>
    <x v="0"/>
    <s v="Retail"/>
    <s v="PayPal"/>
  </r>
  <r>
    <s v="ORD-202400437"/>
    <x v="384"/>
    <n v="4308"/>
    <s v="27/11/1990"/>
    <x v="1"/>
    <x v="0"/>
    <n v="15065.4"/>
    <n v="8256.59"/>
    <s v="New York"/>
    <x v="0"/>
    <s v="L"/>
    <s v="Yellow"/>
    <n v="3"/>
    <x v="2"/>
    <s v="Retail"/>
    <s v="Cash"/>
  </r>
  <r>
    <s v="ORD-202400438"/>
    <x v="385"/>
    <n v="8374"/>
    <s v="18/03/1987"/>
    <x v="1"/>
    <x v="3"/>
    <n v="12338.37"/>
    <n v="6644.35"/>
    <s v="Chicago"/>
    <x v="1"/>
    <s v="S"/>
    <s v="Red"/>
    <n v="2"/>
    <x v="0"/>
    <s v="Wholesale"/>
    <s v="Bank Transfer"/>
  </r>
  <r>
    <s v="ORD-202400439"/>
    <x v="386"/>
    <n v="2792"/>
    <s v="13/11/1991"/>
    <x v="1"/>
    <x v="1"/>
    <n v="38368.410000000003"/>
    <n v="22525.13"/>
    <s v="Chicago"/>
    <x v="1"/>
    <s v="XL"/>
    <s v="White"/>
    <n v="5"/>
    <x v="2"/>
    <s v="Retail"/>
    <s v="Bank Transfer"/>
  </r>
  <r>
    <s v="ORD-202400440"/>
    <x v="387"/>
    <n v="6250"/>
    <s v="05/10/1982"/>
    <x v="0"/>
    <x v="3"/>
    <n v="3935.54"/>
    <n v="1806.51"/>
    <s v="Seattle"/>
    <x v="2"/>
    <s v="L"/>
    <s v="Green"/>
    <n v="5"/>
    <x v="1"/>
    <s v="Wholesale"/>
    <s v="Bank Transfer"/>
  </r>
  <r>
    <s v="ORD-202400441"/>
    <x v="296"/>
    <n v="5001"/>
    <s v="13/07/1972"/>
    <x v="0"/>
    <x v="2"/>
    <n v="17691.03"/>
    <n v="9065.24"/>
    <s v="San Francisco"/>
    <x v="2"/>
    <s v="S"/>
    <s v="Black"/>
    <n v="1"/>
    <x v="2"/>
    <s v="Retail"/>
    <s v="Cash"/>
  </r>
  <r>
    <s v="ORD-202400442"/>
    <x v="388"/>
    <n v="9433"/>
    <s v="25/06/1995"/>
    <x v="1"/>
    <x v="4"/>
    <n v="24653.56"/>
    <n v="14525.67"/>
    <s v="San Francisco"/>
    <x v="2"/>
    <s v="S"/>
    <s v="Green"/>
    <n v="4"/>
    <x v="0"/>
    <s v="Retail"/>
    <s v="Cash"/>
  </r>
  <r>
    <s v="ORD-202400443"/>
    <x v="389"/>
    <n v="6563"/>
    <s v="21/07/1992"/>
    <x v="0"/>
    <x v="0"/>
    <n v="7914.57"/>
    <n v="4136.68"/>
    <s v="Chicago"/>
    <x v="1"/>
    <s v="XL"/>
    <s v="Blue"/>
    <n v="4"/>
    <x v="0"/>
    <s v="Wholesale"/>
    <s v="Cash"/>
  </r>
  <r>
    <s v="ORD-202400444"/>
    <x v="390"/>
    <n v="7586"/>
    <s v="23/09/1995"/>
    <x v="0"/>
    <x v="4"/>
    <n v="23331.88"/>
    <n v="14969.46"/>
    <s v="Detroit"/>
    <x v="1"/>
    <s v="S"/>
    <s v="Yellow"/>
    <n v="3"/>
    <x v="1"/>
    <s v="Retail"/>
    <s v="PayPal"/>
  </r>
  <r>
    <s v="ORD-202400445"/>
    <x v="325"/>
    <n v="5913"/>
    <s v="21/08/1992"/>
    <x v="1"/>
    <x v="2"/>
    <n v="21670.55"/>
    <n v="11109.85"/>
    <s v="New York"/>
    <x v="0"/>
    <s v="XL"/>
    <s v="White"/>
    <n v="3"/>
    <x v="0"/>
    <s v="Retail"/>
    <s v="PayPal"/>
  </r>
  <r>
    <s v="ORD-202400446"/>
    <x v="391"/>
    <n v="9178"/>
    <s v="17/11/1995"/>
    <x v="0"/>
    <x v="0"/>
    <n v="18052.73"/>
    <n v="11098.49"/>
    <s v="Los Angeles"/>
    <x v="2"/>
    <s v="XL"/>
    <s v="Green"/>
    <n v="5"/>
    <x v="2"/>
    <s v="Wholesale"/>
    <s v="Bank Transfer"/>
  </r>
  <r>
    <s v="ORD-202400447"/>
    <x v="89"/>
    <n v="3420"/>
    <s v="30/09/1990"/>
    <x v="0"/>
    <x v="0"/>
    <n v="4900.6000000000004"/>
    <n v="2876.95"/>
    <s v="Detroit"/>
    <x v="1"/>
    <s v="L"/>
    <s v="White"/>
    <n v="4"/>
    <x v="1"/>
    <s v="Wholesale"/>
    <s v="Cash"/>
  </r>
  <r>
    <s v="ORD-202400448"/>
    <x v="392"/>
    <n v="4868"/>
    <s v="03/07/1981"/>
    <x v="1"/>
    <x v="2"/>
    <n v="14869.95"/>
    <n v="7137.46"/>
    <s v="Miami"/>
    <x v="0"/>
    <s v="S"/>
    <s v="Blue"/>
    <n v="3"/>
    <x v="0"/>
    <s v="Retail"/>
    <s v="Bank Transfer"/>
  </r>
  <r>
    <s v="ORD-202400449"/>
    <x v="34"/>
    <n v="5551"/>
    <s v="04/08/1981"/>
    <x v="0"/>
    <x v="4"/>
    <n v="38206.65"/>
    <n v="17515.7"/>
    <s v="Los Angeles"/>
    <x v="2"/>
    <s v="XL"/>
    <s v="Red"/>
    <n v="1"/>
    <x v="2"/>
    <s v="Retail"/>
    <s v="PayPal"/>
  </r>
  <r>
    <s v="ORD-202400450"/>
    <x v="393"/>
    <n v="2479"/>
    <s v="17/02/2000"/>
    <x v="1"/>
    <x v="3"/>
    <n v="17147.43"/>
    <n v="10200.1"/>
    <s v="Los Angeles"/>
    <x v="2"/>
    <s v="M"/>
    <s v="Blue"/>
    <n v="1"/>
    <x v="0"/>
    <s v="Retail"/>
    <s v="Cash"/>
  </r>
  <r>
    <s v="ORD-202400451"/>
    <x v="394"/>
    <n v="2478"/>
    <s v="08/04/1992"/>
    <x v="0"/>
    <x v="3"/>
    <n v="12497.21"/>
    <n v="7556.29"/>
    <s v="Boston"/>
    <x v="0"/>
    <s v="L"/>
    <s v="Green"/>
    <n v="5"/>
    <x v="0"/>
    <s v="Wholesale"/>
    <s v="PayPal"/>
  </r>
  <r>
    <s v="ORD-202400452"/>
    <x v="395"/>
    <n v="8200"/>
    <s v="26/04/1982"/>
    <x v="1"/>
    <x v="4"/>
    <n v="17757.509999999998"/>
    <n v="10084.42"/>
    <s v="San Francisco"/>
    <x v="2"/>
    <s v="XL"/>
    <s v="Yellow"/>
    <n v="3"/>
    <x v="0"/>
    <s v="Retail"/>
    <s v="PayPal"/>
  </r>
  <r>
    <s v="ORD-202400453"/>
    <x v="304"/>
    <n v="8786"/>
    <s v="14/04/1986"/>
    <x v="1"/>
    <x v="2"/>
    <n v="40926.07"/>
    <n v="18589.23"/>
    <s v="Seattle"/>
    <x v="2"/>
    <s v="S"/>
    <s v="Black"/>
    <n v="1"/>
    <x v="0"/>
    <s v="Wholesale"/>
    <s v="Cash"/>
  </r>
  <r>
    <s v="ORD-202400454"/>
    <x v="396"/>
    <n v="2999"/>
    <s v="27/09/2000"/>
    <x v="0"/>
    <x v="2"/>
    <n v="52953.53"/>
    <n v="27943.27"/>
    <s v="San Francisco"/>
    <x v="2"/>
    <s v="XL"/>
    <s v="Green"/>
    <n v="3"/>
    <x v="1"/>
    <s v="Wholesale"/>
    <s v="Cash"/>
  </r>
  <r>
    <s v="ORD-202400455"/>
    <x v="5"/>
    <n v="1555"/>
    <s v="23/03/1988"/>
    <x v="1"/>
    <x v="3"/>
    <n v="18396.169999999998"/>
    <n v="11307.01"/>
    <s v="Los Angeles"/>
    <x v="2"/>
    <s v="XL"/>
    <s v="White"/>
    <n v="4"/>
    <x v="2"/>
    <s v="Retail"/>
    <s v="Bank Transfer"/>
  </r>
  <r>
    <s v="ORD-202400456"/>
    <x v="397"/>
    <n v="6764"/>
    <s v="23/12/1972"/>
    <x v="1"/>
    <x v="3"/>
    <n v="8647.81"/>
    <n v="5298.39"/>
    <s v="Chicago"/>
    <x v="1"/>
    <s v="L"/>
    <s v="White"/>
    <n v="1"/>
    <x v="0"/>
    <s v="Wholesale"/>
    <s v="Cash"/>
  </r>
  <r>
    <s v="ORD-202400457"/>
    <x v="398"/>
    <n v="6140"/>
    <s v="16/09/1983"/>
    <x v="0"/>
    <x v="4"/>
    <n v="12100.64"/>
    <n v="6049.36"/>
    <s v="Boston"/>
    <x v="0"/>
    <s v="M"/>
    <s v="Yellow"/>
    <n v="4"/>
    <x v="0"/>
    <s v="Retail"/>
    <s v="Bank Transfer"/>
  </r>
  <r>
    <s v="ORD-202400458"/>
    <x v="399"/>
    <n v="4254"/>
    <s v="22/08/1982"/>
    <x v="0"/>
    <x v="2"/>
    <n v="17835.099999999999"/>
    <n v="8674.6"/>
    <s v="Chicago"/>
    <x v="1"/>
    <s v="XL"/>
    <s v="Yellow"/>
    <n v="2"/>
    <x v="1"/>
    <s v="Retail"/>
    <s v="PayPal"/>
  </r>
  <r>
    <s v="ORD-202400459"/>
    <x v="400"/>
    <n v="5289"/>
    <s v="23/11/1978"/>
    <x v="0"/>
    <x v="2"/>
    <n v="6482.13"/>
    <n v="3718.16"/>
    <s v="Boston"/>
    <x v="0"/>
    <s v="L"/>
    <s v="Blue"/>
    <n v="1"/>
    <x v="2"/>
    <s v="Retail"/>
    <s v="PayPal"/>
  </r>
  <r>
    <s v="ORD-202400460"/>
    <x v="70"/>
    <n v="9096"/>
    <s v="20/03/2000"/>
    <x v="0"/>
    <x v="1"/>
    <n v="42580.99"/>
    <n v="20891.47"/>
    <s v="Seattle"/>
    <x v="2"/>
    <s v="L"/>
    <s v="Green"/>
    <n v="4"/>
    <x v="1"/>
    <s v="Retail"/>
    <s v="Cash"/>
  </r>
  <r>
    <s v="ORD-202400461"/>
    <x v="401"/>
    <n v="3391"/>
    <s v="29/04/1988"/>
    <x v="0"/>
    <x v="0"/>
    <n v="6551.63"/>
    <n v="3291.28"/>
    <s v="Miami"/>
    <x v="0"/>
    <s v="XL"/>
    <s v="Blue"/>
    <n v="3"/>
    <x v="0"/>
    <s v="Wholesale"/>
    <s v="Cash"/>
  </r>
  <r>
    <s v="ORD-202400462"/>
    <x v="66"/>
    <n v="4476"/>
    <s v="23/10/2000"/>
    <x v="1"/>
    <x v="3"/>
    <n v="17033.5"/>
    <n v="10172.76"/>
    <s v="Los Angeles"/>
    <x v="2"/>
    <s v="L"/>
    <s v="Red"/>
    <n v="1"/>
    <x v="0"/>
    <s v="Retail"/>
    <s v="Cash"/>
  </r>
  <r>
    <s v="ORD-202400463"/>
    <x v="370"/>
    <n v="1087"/>
    <s v="16/01/1972"/>
    <x v="1"/>
    <x v="3"/>
    <n v="11008.47"/>
    <n v="5792.52"/>
    <s v="Miami"/>
    <x v="0"/>
    <s v="XL"/>
    <s v="Black"/>
    <n v="3"/>
    <x v="1"/>
    <s v="Wholesale"/>
    <s v="Cash"/>
  </r>
  <r>
    <s v="ORD-202400464"/>
    <x v="402"/>
    <n v="3161"/>
    <s v="31/12/1990"/>
    <x v="0"/>
    <x v="4"/>
    <n v="22701.85"/>
    <n v="12624.15"/>
    <s v="Miami"/>
    <x v="0"/>
    <s v="M"/>
    <s v="Green"/>
    <n v="1"/>
    <x v="1"/>
    <s v="Wholesale"/>
    <s v="Bank Transfer"/>
  </r>
  <r>
    <s v="ORD-202400465"/>
    <x v="276"/>
    <n v="5321"/>
    <s v="22/10/1981"/>
    <x v="1"/>
    <x v="0"/>
    <n v="9205.07"/>
    <n v="4446.0200000000004"/>
    <s v="Minneapolis"/>
    <x v="1"/>
    <s v="XL"/>
    <s v="Blue"/>
    <n v="5"/>
    <x v="2"/>
    <s v="Wholesale"/>
    <s v="Bank Transfer"/>
  </r>
  <r>
    <s v="ORD-202400466"/>
    <x v="403"/>
    <n v="3679"/>
    <s v="03/09/1981"/>
    <x v="1"/>
    <x v="4"/>
    <n v="24630.86"/>
    <n v="15986.42"/>
    <s v="Los Angeles"/>
    <x v="2"/>
    <s v="XL"/>
    <s v="Red"/>
    <n v="4"/>
    <x v="1"/>
    <s v="Wholesale"/>
    <s v="Bank Transfer"/>
  </r>
  <r>
    <s v="ORD-202400467"/>
    <x v="404"/>
    <n v="2533"/>
    <s v="06/09/1985"/>
    <x v="0"/>
    <x v="3"/>
    <n v="16690.2"/>
    <n v="8113.62"/>
    <s v="New York"/>
    <x v="0"/>
    <s v="M"/>
    <s v="Black"/>
    <n v="5"/>
    <x v="2"/>
    <s v="Retail"/>
    <s v="PayPal"/>
  </r>
  <r>
    <s v="ORD-202400468"/>
    <x v="405"/>
    <n v="7822"/>
    <s v="06/02/1978"/>
    <x v="0"/>
    <x v="3"/>
    <n v="4182.7299999999996"/>
    <n v="2298.92"/>
    <s v="Boston"/>
    <x v="0"/>
    <s v="S"/>
    <s v="Green"/>
    <n v="1"/>
    <x v="1"/>
    <s v="Wholesale"/>
    <s v="Cash"/>
  </r>
  <r>
    <s v="ORD-202400469"/>
    <x v="127"/>
    <n v="1473"/>
    <s v="24/11/1976"/>
    <x v="0"/>
    <x v="3"/>
    <n v="8417.9699999999993"/>
    <n v="4979.58"/>
    <s v="Seattle"/>
    <x v="2"/>
    <s v="XL"/>
    <s v="White"/>
    <n v="3"/>
    <x v="0"/>
    <s v="Retail"/>
    <s v="Cash"/>
  </r>
  <r>
    <s v="ORD-202400470"/>
    <x v="406"/>
    <n v="4463"/>
    <s v="20/10/1975"/>
    <x v="0"/>
    <x v="2"/>
    <n v="41814.269999999997"/>
    <n v="21182.720000000001"/>
    <s v="Miami"/>
    <x v="0"/>
    <s v="S"/>
    <s v="Black"/>
    <n v="1"/>
    <x v="0"/>
    <s v="Wholesale"/>
    <s v="Cash"/>
  </r>
  <r>
    <s v="ORD-202400471"/>
    <x v="407"/>
    <n v="1336"/>
    <s v="01/01/1974"/>
    <x v="0"/>
    <x v="2"/>
    <n v="18565.560000000001"/>
    <n v="11248.85"/>
    <s v="Los Angeles"/>
    <x v="2"/>
    <s v="L"/>
    <s v="Black"/>
    <n v="2"/>
    <x v="1"/>
    <s v="Retail"/>
    <s v="Bank Transfer"/>
  </r>
  <r>
    <s v="ORD-202400472"/>
    <x v="408"/>
    <n v="2574"/>
    <s v="08/11/1999"/>
    <x v="1"/>
    <x v="3"/>
    <n v="10244.39"/>
    <n v="5613.15"/>
    <s v="Miami"/>
    <x v="0"/>
    <s v="XL"/>
    <s v="White"/>
    <n v="3"/>
    <x v="0"/>
    <s v="Retail"/>
    <s v="Bank Transfer"/>
  </r>
  <r>
    <s v="ORD-202400473"/>
    <x v="54"/>
    <n v="9410"/>
    <s v="25/10/1971"/>
    <x v="1"/>
    <x v="4"/>
    <n v="37959.54"/>
    <n v="22217.26"/>
    <s v="Detroit"/>
    <x v="1"/>
    <s v="M"/>
    <s v="White"/>
    <n v="5"/>
    <x v="0"/>
    <s v="Retail"/>
    <s v="Bank Transfer"/>
  </r>
  <r>
    <s v="ORD-202400474"/>
    <x v="56"/>
    <n v="5921"/>
    <s v="25/09/1975"/>
    <x v="0"/>
    <x v="3"/>
    <n v="10394.450000000001"/>
    <n v="5291.78"/>
    <s v="New York"/>
    <x v="0"/>
    <s v="S"/>
    <s v="Yellow"/>
    <n v="1"/>
    <x v="2"/>
    <s v="Retail"/>
    <s v="PayPal"/>
  </r>
  <r>
    <s v="ORD-202400475"/>
    <x v="409"/>
    <n v="5175"/>
    <s v="11/12/1985"/>
    <x v="0"/>
    <x v="1"/>
    <n v="102166.82"/>
    <n v="46307.49"/>
    <s v="Los Angeles"/>
    <x v="2"/>
    <s v="XL"/>
    <s v="Blue"/>
    <n v="2"/>
    <x v="2"/>
    <s v="Retail"/>
    <s v="Bank Transfer"/>
  </r>
  <r>
    <s v="ORD-202400476"/>
    <x v="410"/>
    <n v="5342"/>
    <s v="08/03/1990"/>
    <x v="1"/>
    <x v="2"/>
    <n v="36470.39"/>
    <n v="22767.33"/>
    <s v="Minneapolis"/>
    <x v="1"/>
    <s v="M"/>
    <s v="Blue"/>
    <n v="2"/>
    <x v="1"/>
    <s v="Wholesale"/>
    <s v="Bank Transfer"/>
  </r>
  <r>
    <s v="ORD-202400477"/>
    <x v="411"/>
    <n v="1217"/>
    <s v="27/03/1975"/>
    <x v="0"/>
    <x v="1"/>
    <n v="33678.83"/>
    <n v="18255.02"/>
    <s v="Chicago"/>
    <x v="1"/>
    <s v="XL"/>
    <s v="Black"/>
    <n v="5"/>
    <x v="0"/>
    <s v="Retail"/>
    <s v="PayPal"/>
  </r>
  <r>
    <s v="ORD-202400478"/>
    <x v="112"/>
    <n v="3049"/>
    <s v="06/12/1973"/>
    <x v="0"/>
    <x v="3"/>
    <n v="3689.36"/>
    <n v="1742.79"/>
    <s v="Seattle"/>
    <x v="2"/>
    <s v="S"/>
    <s v="Black"/>
    <n v="2"/>
    <x v="2"/>
    <s v="Retail"/>
    <s v="PayPal"/>
  </r>
  <r>
    <s v="ORD-202400479"/>
    <x v="412"/>
    <n v="2410"/>
    <s v="25/07/1978"/>
    <x v="1"/>
    <x v="1"/>
    <n v="94101.71"/>
    <n v="45134.3"/>
    <s v="Los Angeles"/>
    <x v="2"/>
    <s v="XL"/>
    <s v="Red"/>
    <n v="1"/>
    <x v="1"/>
    <s v="Retail"/>
    <s v="PayPal"/>
  </r>
  <r>
    <s v="ORD-202400480"/>
    <x v="413"/>
    <n v="4298"/>
    <s v="19/11/1980"/>
    <x v="1"/>
    <x v="1"/>
    <n v="80352.639999999999"/>
    <n v="49558.91"/>
    <s v="San Francisco"/>
    <x v="2"/>
    <s v="S"/>
    <s v="Green"/>
    <n v="1"/>
    <x v="1"/>
    <s v="Wholesale"/>
    <s v="Bank Transfer"/>
  </r>
  <r>
    <s v="ORD-202400481"/>
    <x v="414"/>
    <n v="1606"/>
    <s v="17/01/1983"/>
    <x v="1"/>
    <x v="0"/>
    <n v="8017.25"/>
    <n v="4430.8999999999996"/>
    <s v="Minneapolis"/>
    <x v="1"/>
    <s v="XL"/>
    <s v="Blue"/>
    <n v="1"/>
    <x v="0"/>
    <s v="Retail"/>
    <s v="Bank Transfer"/>
  </r>
  <r>
    <s v="ORD-202400482"/>
    <x v="415"/>
    <n v="9106"/>
    <s v="31/03/1975"/>
    <x v="1"/>
    <x v="3"/>
    <n v="8104.07"/>
    <n v="4353.88"/>
    <s v="Miami"/>
    <x v="0"/>
    <s v="M"/>
    <s v="Green"/>
    <n v="2"/>
    <x v="0"/>
    <s v="Retail"/>
    <s v="PayPal"/>
  </r>
  <r>
    <s v="ORD-202400483"/>
    <x v="416"/>
    <n v="3148"/>
    <s v="06/01/1991"/>
    <x v="1"/>
    <x v="2"/>
    <n v="42585.19"/>
    <n v="22488.14"/>
    <s v="Seattle"/>
    <x v="2"/>
    <s v="XL"/>
    <s v="Black"/>
    <n v="3"/>
    <x v="0"/>
    <s v="Wholesale"/>
    <s v="Cash"/>
  </r>
  <r>
    <s v="ORD-202400484"/>
    <x v="417"/>
    <n v="3839"/>
    <s v="17/10/1975"/>
    <x v="0"/>
    <x v="0"/>
    <n v="4324.92"/>
    <n v="2371.9499999999998"/>
    <s v="Miami"/>
    <x v="0"/>
    <s v="XL"/>
    <s v="White"/>
    <n v="3"/>
    <x v="1"/>
    <s v="Retail"/>
    <s v="Cash"/>
  </r>
  <r>
    <s v="ORD-202400485"/>
    <x v="418"/>
    <n v="2043"/>
    <s v="08/06/1971"/>
    <x v="1"/>
    <x v="2"/>
    <n v="21634.68"/>
    <n v="12407.76"/>
    <s v="San Francisco"/>
    <x v="2"/>
    <s v="S"/>
    <s v="Yellow"/>
    <n v="2"/>
    <x v="0"/>
    <s v="Wholesale"/>
    <s v="Bank Transfer"/>
  </r>
  <r>
    <s v="ORD-202400486"/>
    <x v="419"/>
    <n v="2706"/>
    <s v="13/02/1993"/>
    <x v="0"/>
    <x v="2"/>
    <n v="31942.03"/>
    <n v="17170.93"/>
    <s v="Boston"/>
    <x v="0"/>
    <s v="XL"/>
    <s v="Red"/>
    <n v="1"/>
    <x v="0"/>
    <s v="Wholesale"/>
    <s v="Cash"/>
  </r>
  <r>
    <s v="ORD-202400487"/>
    <x v="420"/>
    <n v="6925"/>
    <s v="20/03/1979"/>
    <x v="0"/>
    <x v="1"/>
    <n v="41545.550000000003"/>
    <n v="24579.7"/>
    <s v="Chicago"/>
    <x v="1"/>
    <s v="XL"/>
    <s v="Black"/>
    <n v="1"/>
    <x v="1"/>
    <s v="Retail"/>
    <s v="Cash"/>
  </r>
  <r>
    <s v="ORD-202400488"/>
    <x v="421"/>
    <n v="8760"/>
    <s v="02/01/1981"/>
    <x v="1"/>
    <x v="1"/>
    <n v="39520.03"/>
    <n v="19137.669999999998"/>
    <s v="Los Angeles"/>
    <x v="2"/>
    <s v="L"/>
    <s v="Green"/>
    <n v="4"/>
    <x v="1"/>
    <s v="Wholesale"/>
    <s v="Cash"/>
  </r>
  <r>
    <s v="ORD-202400489"/>
    <x v="422"/>
    <n v="7706"/>
    <s v="18/07/1988"/>
    <x v="1"/>
    <x v="1"/>
    <n v="69261.710000000006"/>
    <n v="38317.730000000003"/>
    <s v="Boston"/>
    <x v="0"/>
    <s v="L"/>
    <s v="Red"/>
    <n v="4"/>
    <x v="1"/>
    <s v="Retail"/>
    <s v="PayPal"/>
  </r>
  <r>
    <s v="ORD-202400490"/>
    <x v="423"/>
    <n v="2007"/>
    <s v="21/06/1989"/>
    <x v="1"/>
    <x v="2"/>
    <n v="24040.01"/>
    <n v="13992.13"/>
    <s v="Chicago"/>
    <x v="1"/>
    <s v="M"/>
    <s v="Yellow"/>
    <n v="1"/>
    <x v="2"/>
    <s v="Wholesale"/>
    <s v="PayPal"/>
  </r>
  <r>
    <s v="ORD-202400491"/>
    <x v="424"/>
    <n v="5986"/>
    <s v="01/11/1994"/>
    <x v="1"/>
    <x v="2"/>
    <n v="34691.83"/>
    <n v="15666.15"/>
    <s v="Minneapolis"/>
    <x v="1"/>
    <s v="L"/>
    <s v="Yellow"/>
    <n v="5"/>
    <x v="2"/>
    <s v="Wholesale"/>
    <s v="Bank Transfer"/>
  </r>
  <r>
    <s v="ORD-202400492"/>
    <x v="425"/>
    <n v="7627"/>
    <s v="27/06/1985"/>
    <x v="0"/>
    <x v="0"/>
    <n v="18715.25"/>
    <n v="8737.33"/>
    <s v="Boston"/>
    <x v="0"/>
    <s v="L"/>
    <s v="White"/>
    <n v="2"/>
    <x v="0"/>
    <s v="Retail"/>
    <s v="Cash"/>
  </r>
  <r>
    <s v="ORD-202400493"/>
    <x v="426"/>
    <n v="1383"/>
    <s v="06/03/1977"/>
    <x v="0"/>
    <x v="2"/>
    <n v="43656.65"/>
    <n v="24359.82"/>
    <s v="Seattle"/>
    <x v="2"/>
    <s v="L"/>
    <s v="Blue"/>
    <n v="3"/>
    <x v="0"/>
    <s v="Wholesale"/>
    <s v="Cash"/>
  </r>
  <r>
    <s v="ORD-202400494"/>
    <x v="166"/>
    <n v="3043"/>
    <s v="22/02/1972"/>
    <x v="1"/>
    <x v="2"/>
    <n v="19357.62"/>
    <n v="11563.7"/>
    <s v="Miami"/>
    <x v="0"/>
    <s v="XL"/>
    <s v="Green"/>
    <n v="2"/>
    <x v="2"/>
    <s v="Wholesale"/>
    <s v="PayPal"/>
  </r>
  <r>
    <s v="ORD-202400495"/>
    <x v="135"/>
    <n v="5902"/>
    <s v="18/09/1985"/>
    <x v="1"/>
    <x v="0"/>
    <n v="16462.97"/>
    <n v="10092.06"/>
    <s v="Boston"/>
    <x v="0"/>
    <s v="M"/>
    <s v="Black"/>
    <n v="4"/>
    <x v="0"/>
    <s v="Retail"/>
    <s v="Bank Transfer"/>
  </r>
  <r>
    <s v="ORD-202400496"/>
    <x v="427"/>
    <n v="7974"/>
    <s v="29/07/1976"/>
    <x v="1"/>
    <x v="3"/>
    <n v="3524.34"/>
    <n v="1629.79"/>
    <s v="New York"/>
    <x v="0"/>
    <s v="M"/>
    <s v="White"/>
    <n v="2"/>
    <x v="1"/>
    <s v="Retail"/>
    <s v="PayPal"/>
  </r>
  <r>
    <s v="ORD-202400497"/>
    <x v="428"/>
    <n v="9172"/>
    <s v="18/03/1996"/>
    <x v="1"/>
    <x v="1"/>
    <n v="101694.43"/>
    <n v="59776.35"/>
    <s v="Seattle"/>
    <x v="2"/>
    <s v="XL"/>
    <s v="Black"/>
    <n v="4"/>
    <x v="2"/>
    <s v="Retail"/>
    <s v="Cash"/>
  </r>
  <r>
    <s v="ORD-202400498"/>
    <x v="19"/>
    <n v="4483"/>
    <s v="19/04/1975"/>
    <x v="1"/>
    <x v="4"/>
    <n v="31892.69"/>
    <n v="19113.27"/>
    <s v="Miami"/>
    <x v="0"/>
    <s v="L"/>
    <s v="Red"/>
    <n v="5"/>
    <x v="2"/>
    <s v="Retail"/>
    <s v="Bank Transfer"/>
  </r>
  <r>
    <s v="ORD-202400499"/>
    <x v="429"/>
    <n v="5968"/>
    <s v="19/10/1986"/>
    <x v="1"/>
    <x v="1"/>
    <n v="40351.68"/>
    <n v="24543.54"/>
    <s v="New York"/>
    <x v="0"/>
    <s v="M"/>
    <s v="Yellow"/>
    <n v="4"/>
    <x v="1"/>
    <s v="Wholesale"/>
    <s v="Bank Transfer"/>
  </r>
  <r>
    <s v="ORD-202400500"/>
    <x v="430"/>
    <n v="1732"/>
    <s v="11/01/1973"/>
    <x v="1"/>
    <x v="1"/>
    <n v="48068.4"/>
    <n v="24608.15"/>
    <s v="Seattle"/>
    <x v="2"/>
    <s v="XL"/>
    <s v="Green"/>
    <n v="4"/>
    <x v="0"/>
    <s v="Wholesale"/>
    <s v="PayPal"/>
  </r>
  <r>
    <s v="ORD-202400501"/>
    <x v="431"/>
    <n v="8357"/>
    <s v="06/12/1999"/>
    <x v="0"/>
    <x v="1"/>
    <n v="103835.65"/>
    <n v="53479.85"/>
    <s v="Los Angeles"/>
    <x v="2"/>
    <s v="XL"/>
    <s v="White"/>
    <n v="2"/>
    <x v="2"/>
    <s v="Retail"/>
    <s v="Cash"/>
  </r>
  <r>
    <s v="ORD-202400502"/>
    <x v="432"/>
    <n v="6060"/>
    <s v="11/02/1971"/>
    <x v="0"/>
    <x v="0"/>
    <n v="11071.7"/>
    <n v="5170.82"/>
    <s v="Minneapolis"/>
    <x v="1"/>
    <s v="S"/>
    <s v="Yellow"/>
    <n v="5"/>
    <x v="1"/>
    <s v="Retail"/>
    <s v="Cash"/>
  </r>
  <r>
    <s v="ORD-202400503"/>
    <x v="251"/>
    <n v="8278"/>
    <s v="01/01/1981"/>
    <x v="0"/>
    <x v="4"/>
    <n v="34070.47"/>
    <n v="19466.88"/>
    <s v="Seattle"/>
    <x v="2"/>
    <s v="XL"/>
    <s v="Yellow"/>
    <n v="1"/>
    <x v="0"/>
    <s v="Wholesale"/>
    <s v="Bank Transfer"/>
  </r>
  <r>
    <s v="ORD-202400504"/>
    <x v="433"/>
    <n v="2491"/>
    <s v="15/07/1981"/>
    <x v="0"/>
    <x v="4"/>
    <n v="61067.88"/>
    <n v="34097.61"/>
    <s v="San Francisco"/>
    <x v="2"/>
    <s v="L"/>
    <s v="Blue"/>
    <n v="2"/>
    <x v="1"/>
    <s v="Retail"/>
    <s v="Bank Transfer"/>
  </r>
  <r>
    <s v="ORD-202400505"/>
    <x v="434"/>
    <n v="1445"/>
    <s v="21/02/1978"/>
    <x v="0"/>
    <x v="4"/>
    <n v="16410.7"/>
    <n v="7708.91"/>
    <s v="Detroit"/>
    <x v="1"/>
    <s v="M"/>
    <s v="White"/>
    <n v="3"/>
    <x v="1"/>
    <s v="Wholesale"/>
    <s v="Cash"/>
  </r>
  <r>
    <s v="ORD-202400506"/>
    <x v="384"/>
    <n v="9264"/>
    <s v="25/10/1992"/>
    <x v="1"/>
    <x v="0"/>
    <n v="23826.63"/>
    <n v="12005.23"/>
    <s v="Los Angeles"/>
    <x v="2"/>
    <s v="L"/>
    <s v="White"/>
    <n v="5"/>
    <x v="1"/>
    <s v="Retail"/>
    <s v="Bank Transfer"/>
  </r>
  <r>
    <s v="ORD-202400507"/>
    <x v="435"/>
    <n v="5035"/>
    <s v="22/07/1974"/>
    <x v="0"/>
    <x v="2"/>
    <n v="21315.279999999999"/>
    <n v="11325.86"/>
    <s v="New York"/>
    <x v="0"/>
    <s v="S"/>
    <s v="Black"/>
    <n v="5"/>
    <x v="1"/>
    <s v="Wholesale"/>
    <s v="Bank Transfer"/>
  </r>
  <r>
    <s v="ORD-202400508"/>
    <x v="388"/>
    <n v="8401"/>
    <s v="26/11/1994"/>
    <x v="0"/>
    <x v="0"/>
    <n v="4041.69"/>
    <n v="2194.36"/>
    <s v="New York"/>
    <x v="0"/>
    <s v="L"/>
    <s v="Black"/>
    <n v="2"/>
    <x v="1"/>
    <s v="Wholesale"/>
    <s v="Bank Transfer"/>
  </r>
  <r>
    <s v="ORD-202400509"/>
    <x v="296"/>
    <n v="4485"/>
    <s v="12/05/1998"/>
    <x v="1"/>
    <x v="3"/>
    <n v="3682.27"/>
    <n v="2201.4"/>
    <s v="San Francisco"/>
    <x v="2"/>
    <s v="S"/>
    <s v="Green"/>
    <n v="1"/>
    <x v="1"/>
    <s v="Retail"/>
    <s v="Cash"/>
  </r>
  <r>
    <s v="ORD-202400510"/>
    <x v="436"/>
    <n v="6613"/>
    <s v="12/04/1984"/>
    <x v="1"/>
    <x v="3"/>
    <n v="12533.68"/>
    <n v="7414.31"/>
    <s v="Miami"/>
    <x v="0"/>
    <s v="L"/>
    <s v="Blue"/>
    <n v="3"/>
    <x v="1"/>
    <s v="Retail"/>
    <s v="PayPal"/>
  </r>
  <r>
    <s v="ORD-202400511"/>
    <x v="437"/>
    <n v="1070"/>
    <s v="18/05/1991"/>
    <x v="0"/>
    <x v="4"/>
    <n v="49335.21"/>
    <n v="26277.54"/>
    <s v="Seattle"/>
    <x v="2"/>
    <s v="XL"/>
    <s v="White"/>
    <n v="5"/>
    <x v="1"/>
    <s v="Wholesale"/>
    <s v="PayPal"/>
  </r>
  <r>
    <s v="ORD-202400512"/>
    <x v="362"/>
    <n v="3022"/>
    <s v="27/02/2000"/>
    <x v="1"/>
    <x v="3"/>
    <n v="21975.73"/>
    <n v="11543.31"/>
    <s v="Los Angeles"/>
    <x v="2"/>
    <s v="L"/>
    <s v="White"/>
    <n v="2"/>
    <x v="2"/>
    <s v="Wholesale"/>
    <s v="Cash"/>
  </r>
  <r>
    <s v="ORD-202400513"/>
    <x v="355"/>
    <n v="5606"/>
    <s v="21/11/1970"/>
    <x v="1"/>
    <x v="3"/>
    <n v="5872.68"/>
    <n v="3601.46"/>
    <s v="San Francisco"/>
    <x v="2"/>
    <s v="L"/>
    <s v="Black"/>
    <n v="2"/>
    <x v="1"/>
    <s v="Retail"/>
    <s v="Bank Transfer"/>
  </r>
  <r>
    <s v="ORD-202400514"/>
    <x v="438"/>
    <n v="4212"/>
    <s v="27/04/1970"/>
    <x v="1"/>
    <x v="3"/>
    <n v="5830.25"/>
    <n v="2947.01"/>
    <s v="San Francisco"/>
    <x v="2"/>
    <s v="XL"/>
    <s v="Blue"/>
    <n v="5"/>
    <x v="1"/>
    <s v="Wholesale"/>
    <s v="PayPal"/>
  </r>
  <r>
    <s v="ORD-202400515"/>
    <x v="439"/>
    <n v="5253"/>
    <s v="19/09/1975"/>
    <x v="0"/>
    <x v="4"/>
    <n v="46686.68"/>
    <n v="27814.98"/>
    <s v="Boston"/>
    <x v="0"/>
    <s v="L"/>
    <s v="Blue"/>
    <n v="1"/>
    <x v="2"/>
    <s v="Wholesale"/>
    <s v="PayPal"/>
  </r>
  <r>
    <s v="ORD-202400516"/>
    <x v="440"/>
    <n v="1849"/>
    <s v="02/10/1998"/>
    <x v="1"/>
    <x v="1"/>
    <n v="50112.42"/>
    <n v="32524.03"/>
    <s v="Boston"/>
    <x v="0"/>
    <s v="L"/>
    <s v="Red"/>
    <n v="5"/>
    <x v="0"/>
    <s v="Retail"/>
    <s v="Cash"/>
  </r>
  <r>
    <s v="ORD-202400517"/>
    <x v="441"/>
    <n v="6181"/>
    <s v="19/02/1990"/>
    <x v="0"/>
    <x v="4"/>
    <n v="21092.61"/>
    <n v="10903.64"/>
    <s v="Chicago"/>
    <x v="1"/>
    <s v="S"/>
    <s v="Black"/>
    <n v="2"/>
    <x v="2"/>
    <s v="Retail"/>
    <s v="Cash"/>
  </r>
  <r>
    <s v="ORD-202400518"/>
    <x v="442"/>
    <n v="2584"/>
    <s v="18/01/1998"/>
    <x v="0"/>
    <x v="4"/>
    <n v="19319.07"/>
    <n v="11815.77"/>
    <s v="Chicago"/>
    <x v="1"/>
    <s v="L"/>
    <s v="Green"/>
    <n v="2"/>
    <x v="1"/>
    <s v="Retail"/>
    <s v="Bank Transfer"/>
  </r>
  <r>
    <s v="ORD-202400519"/>
    <x v="107"/>
    <n v="8184"/>
    <s v="29/11/1996"/>
    <x v="0"/>
    <x v="1"/>
    <n v="36752.17"/>
    <n v="20793.900000000001"/>
    <s v="Minneapolis"/>
    <x v="1"/>
    <s v="S"/>
    <s v="Red"/>
    <n v="1"/>
    <x v="1"/>
    <s v="Wholesale"/>
    <s v="PayPal"/>
  </r>
  <r>
    <s v="ORD-202400520"/>
    <x v="443"/>
    <n v="8075"/>
    <s v="11/07/1983"/>
    <x v="0"/>
    <x v="4"/>
    <n v="17651.43"/>
    <n v="8140.1"/>
    <s v="Los Angeles"/>
    <x v="2"/>
    <s v="S"/>
    <s v="Green"/>
    <n v="4"/>
    <x v="1"/>
    <s v="Wholesale"/>
    <s v="Bank Transfer"/>
  </r>
  <r>
    <s v="ORD-202400521"/>
    <x v="129"/>
    <n v="8605"/>
    <s v="23/03/1987"/>
    <x v="1"/>
    <x v="0"/>
    <n v="22437.56"/>
    <n v="12875.71"/>
    <s v="Seattle"/>
    <x v="2"/>
    <s v="L"/>
    <s v="Black"/>
    <n v="1"/>
    <x v="0"/>
    <s v="Retail"/>
    <s v="Cash"/>
  </r>
  <r>
    <s v="ORD-202400522"/>
    <x v="444"/>
    <n v="3064"/>
    <s v="18/09/1995"/>
    <x v="1"/>
    <x v="1"/>
    <n v="34149.199999999997"/>
    <n v="18655.02"/>
    <s v="Los Angeles"/>
    <x v="2"/>
    <s v="XL"/>
    <s v="Blue"/>
    <n v="2"/>
    <x v="1"/>
    <s v="Retail"/>
    <s v="Cash"/>
  </r>
  <r>
    <s v="ORD-202400523"/>
    <x v="408"/>
    <n v="9866"/>
    <s v="17/12/1983"/>
    <x v="0"/>
    <x v="1"/>
    <n v="31409.99"/>
    <n v="16073.59"/>
    <s v="San Francisco"/>
    <x v="2"/>
    <s v="L"/>
    <s v="Green"/>
    <n v="3"/>
    <x v="2"/>
    <s v="Retail"/>
    <s v="PayPal"/>
  </r>
  <r>
    <s v="ORD-202400524"/>
    <x v="445"/>
    <n v="7915"/>
    <s v="13/06/1972"/>
    <x v="1"/>
    <x v="2"/>
    <n v="16810.54"/>
    <n v="8238.41"/>
    <s v="New York"/>
    <x v="0"/>
    <s v="M"/>
    <s v="Red"/>
    <n v="3"/>
    <x v="1"/>
    <s v="Retail"/>
    <s v="PayPal"/>
  </r>
  <r>
    <s v="ORD-202400525"/>
    <x v="446"/>
    <n v="5909"/>
    <s v="21/01/1985"/>
    <x v="1"/>
    <x v="0"/>
    <n v="7748.42"/>
    <n v="3649.27"/>
    <s v="Detroit"/>
    <x v="1"/>
    <s v="S"/>
    <s v="White"/>
    <n v="2"/>
    <x v="2"/>
    <s v="Wholesale"/>
    <s v="PayPal"/>
  </r>
  <r>
    <s v="ORD-202400526"/>
    <x v="447"/>
    <n v="4363"/>
    <s v="11/11/1986"/>
    <x v="1"/>
    <x v="4"/>
    <n v="20447.52"/>
    <n v="13249.49"/>
    <s v="Seattle"/>
    <x v="2"/>
    <s v="L"/>
    <s v="Red"/>
    <n v="1"/>
    <x v="1"/>
    <s v="Retail"/>
    <s v="Cash"/>
  </r>
  <r>
    <s v="ORD-202400527"/>
    <x v="448"/>
    <n v="1486"/>
    <s v="21/12/1971"/>
    <x v="0"/>
    <x v="0"/>
    <n v="9552.69"/>
    <n v="4631.42"/>
    <s v="Los Angeles"/>
    <x v="2"/>
    <s v="L"/>
    <s v="Black"/>
    <n v="2"/>
    <x v="1"/>
    <s v="Retail"/>
    <s v="Cash"/>
  </r>
  <r>
    <s v="ORD-202400528"/>
    <x v="449"/>
    <n v="3248"/>
    <s v="22/05/2000"/>
    <x v="1"/>
    <x v="3"/>
    <n v="16028.8"/>
    <n v="10050.09"/>
    <s v="Los Angeles"/>
    <x v="2"/>
    <s v="L"/>
    <s v="Blue"/>
    <n v="3"/>
    <x v="0"/>
    <s v="Retail"/>
    <s v="Bank Transfer"/>
  </r>
  <r>
    <s v="ORD-202400529"/>
    <x v="326"/>
    <n v="2941"/>
    <s v="07/12/1972"/>
    <x v="0"/>
    <x v="3"/>
    <n v="16917.55"/>
    <n v="8055.44"/>
    <s v="Boston"/>
    <x v="0"/>
    <s v="M"/>
    <s v="Blue"/>
    <n v="5"/>
    <x v="1"/>
    <s v="Retail"/>
    <s v="PayPal"/>
  </r>
  <r>
    <s v="ORD-202400530"/>
    <x v="450"/>
    <n v="4098"/>
    <s v="06/05/1996"/>
    <x v="1"/>
    <x v="2"/>
    <n v="29750.76"/>
    <n v="15337.59"/>
    <s v="Seattle"/>
    <x v="2"/>
    <s v="S"/>
    <s v="Black"/>
    <n v="3"/>
    <x v="2"/>
    <s v="Wholesale"/>
    <s v="PayPal"/>
  </r>
  <r>
    <s v="ORD-202400531"/>
    <x v="451"/>
    <n v="2062"/>
    <s v="01/08/1997"/>
    <x v="0"/>
    <x v="0"/>
    <n v="10195.219999999999"/>
    <n v="6119.8"/>
    <s v="Chicago"/>
    <x v="1"/>
    <s v="L"/>
    <s v="White"/>
    <n v="5"/>
    <x v="0"/>
    <s v="Retail"/>
    <s v="Bank Transfer"/>
  </r>
  <r>
    <s v="ORD-202400532"/>
    <x v="452"/>
    <n v="7569"/>
    <s v="27/01/1996"/>
    <x v="0"/>
    <x v="0"/>
    <n v="7480.05"/>
    <n v="4704.78"/>
    <s v="Miami"/>
    <x v="0"/>
    <s v="XL"/>
    <s v="Blue"/>
    <n v="4"/>
    <x v="1"/>
    <s v="Retail"/>
    <s v="Bank Transfer"/>
  </r>
  <r>
    <s v="ORD-202400533"/>
    <x v="453"/>
    <n v="8282"/>
    <s v="28/03/1983"/>
    <x v="1"/>
    <x v="2"/>
    <n v="10946.9"/>
    <n v="5016.18"/>
    <s v="Miami"/>
    <x v="0"/>
    <s v="L"/>
    <s v="White"/>
    <n v="4"/>
    <x v="0"/>
    <s v="Retail"/>
    <s v="Bank Transfer"/>
  </r>
  <r>
    <s v="ORD-202400534"/>
    <x v="428"/>
    <n v="2243"/>
    <s v="13/12/1998"/>
    <x v="1"/>
    <x v="4"/>
    <n v="49625.53"/>
    <n v="25254.61"/>
    <s v="San Francisco"/>
    <x v="2"/>
    <s v="S"/>
    <s v="Green"/>
    <n v="2"/>
    <x v="1"/>
    <s v="Retail"/>
    <s v="Cash"/>
  </r>
  <r>
    <s v="ORD-202400535"/>
    <x v="98"/>
    <n v="5496"/>
    <s v="30/08/2000"/>
    <x v="0"/>
    <x v="4"/>
    <n v="34108.78"/>
    <n v="22157.03"/>
    <s v="Miami"/>
    <x v="0"/>
    <s v="L"/>
    <s v="Red"/>
    <n v="3"/>
    <x v="1"/>
    <s v="Retail"/>
    <s v="Bank Transfer"/>
  </r>
  <r>
    <s v="ORD-202400536"/>
    <x v="454"/>
    <n v="3445"/>
    <s v="30/12/1992"/>
    <x v="1"/>
    <x v="0"/>
    <n v="3824.94"/>
    <n v="2274.5700000000002"/>
    <s v="Detroit"/>
    <x v="1"/>
    <s v="M"/>
    <s v="White"/>
    <n v="2"/>
    <x v="0"/>
    <s v="Wholesale"/>
    <s v="Bank Transfer"/>
  </r>
  <r>
    <s v="ORD-202400537"/>
    <x v="455"/>
    <n v="7843"/>
    <s v="27/03/1989"/>
    <x v="0"/>
    <x v="2"/>
    <n v="16107.35"/>
    <n v="9996.0400000000009"/>
    <s v="Miami"/>
    <x v="0"/>
    <s v="S"/>
    <s v="Green"/>
    <n v="2"/>
    <x v="0"/>
    <s v="Retail"/>
    <s v="PayPal"/>
  </r>
  <r>
    <s v="ORD-202400538"/>
    <x v="212"/>
    <n v="7608"/>
    <s v="04/02/1989"/>
    <x v="1"/>
    <x v="3"/>
    <n v="7891.19"/>
    <n v="3587.71"/>
    <s v="Seattle"/>
    <x v="2"/>
    <s v="S"/>
    <s v="Blue"/>
    <n v="2"/>
    <x v="2"/>
    <s v="Wholesale"/>
    <s v="PayPal"/>
  </r>
  <r>
    <s v="ORD-202400539"/>
    <x v="456"/>
    <n v="4345"/>
    <s v="08/02/1987"/>
    <x v="1"/>
    <x v="3"/>
    <n v="3790.82"/>
    <n v="1998.85"/>
    <s v="Boston"/>
    <x v="0"/>
    <s v="XL"/>
    <s v="Red"/>
    <n v="3"/>
    <x v="0"/>
    <s v="Retail"/>
    <s v="Bank Transfer"/>
  </r>
  <r>
    <s v="ORD-202400540"/>
    <x v="457"/>
    <n v="9005"/>
    <s v="24/01/1997"/>
    <x v="0"/>
    <x v="0"/>
    <n v="6331.18"/>
    <n v="2937.02"/>
    <s v="Los Angeles"/>
    <x v="2"/>
    <s v="XL"/>
    <s v="Green"/>
    <n v="2"/>
    <x v="1"/>
    <s v="Wholesale"/>
    <s v="Cash"/>
  </r>
  <r>
    <s v="ORD-202400541"/>
    <x v="458"/>
    <n v="3572"/>
    <s v="18/07/1987"/>
    <x v="0"/>
    <x v="1"/>
    <n v="18212.990000000002"/>
    <n v="9719.9599999999991"/>
    <s v="Miami"/>
    <x v="0"/>
    <s v="S"/>
    <s v="White"/>
    <n v="2"/>
    <x v="1"/>
    <s v="Retail"/>
    <s v="Bank Transfer"/>
  </r>
  <r>
    <s v="ORD-202400542"/>
    <x v="459"/>
    <n v="4325"/>
    <s v="09/05/1996"/>
    <x v="1"/>
    <x v="1"/>
    <n v="27692.45"/>
    <n v="12502.83"/>
    <s v="Detroit"/>
    <x v="1"/>
    <s v="M"/>
    <s v="White"/>
    <n v="1"/>
    <x v="2"/>
    <s v="Wholesale"/>
    <s v="Cash"/>
  </r>
  <r>
    <s v="ORD-202400543"/>
    <x v="161"/>
    <n v="2492"/>
    <s v="03/10/1971"/>
    <x v="1"/>
    <x v="3"/>
    <n v="12165.55"/>
    <n v="7710.27"/>
    <s v="Boston"/>
    <x v="0"/>
    <s v="L"/>
    <s v="Black"/>
    <n v="3"/>
    <x v="1"/>
    <s v="Wholesale"/>
    <s v="Cash"/>
  </r>
  <r>
    <s v="ORD-202400544"/>
    <x v="460"/>
    <n v="4005"/>
    <s v="04/04/1987"/>
    <x v="0"/>
    <x v="3"/>
    <n v="11129.09"/>
    <n v="7113.02"/>
    <s v="Los Angeles"/>
    <x v="2"/>
    <s v="M"/>
    <s v="Blue"/>
    <n v="3"/>
    <x v="2"/>
    <s v="Retail"/>
    <s v="PayPal"/>
  </r>
  <r>
    <s v="ORD-202400545"/>
    <x v="461"/>
    <n v="2986"/>
    <s v="13/06/1988"/>
    <x v="1"/>
    <x v="0"/>
    <n v="4321.63"/>
    <n v="2035.68"/>
    <s v="Detroit"/>
    <x v="1"/>
    <s v="L"/>
    <s v="White"/>
    <n v="4"/>
    <x v="1"/>
    <s v="Retail"/>
    <s v="Cash"/>
  </r>
  <r>
    <s v="ORD-202400546"/>
    <x v="462"/>
    <n v="6630"/>
    <s v="05/02/1987"/>
    <x v="1"/>
    <x v="0"/>
    <n v="18295.02"/>
    <n v="9684.19"/>
    <s v="New York"/>
    <x v="0"/>
    <s v="S"/>
    <s v="Green"/>
    <n v="1"/>
    <x v="0"/>
    <s v="Retail"/>
    <s v="PayPal"/>
  </r>
  <r>
    <s v="ORD-202400547"/>
    <x v="463"/>
    <n v="8171"/>
    <s v="13/11/1980"/>
    <x v="0"/>
    <x v="1"/>
    <n v="34775.629999999997"/>
    <n v="17590.5"/>
    <s v="Miami"/>
    <x v="0"/>
    <s v="M"/>
    <s v="Blue"/>
    <n v="1"/>
    <x v="0"/>
    <s v="Retail"/>
    <s v="Cash"/>
  </r>
  <r>
    <s v="ORD-202400548"/>
    <x v="226"/>
    <n v="5476"/>
    <s v="21/05/2000"/>
    <x v="0"/>
    <x v="4"/>
    <n v="27950"/>
    <n v="13572.19"/>
    <s v="Miami"/>
    <x v="0"/>
    <s v="S"/>
    <s v="Black"/>
    <n v="5"/>
    <x v="1"/>
    <s v="Wholesale"/>
    <s v="PayPal"/>
  </r>
  <r>
    <s v="ORD-202400549"/>
    <x v="381"/>
    <n v="6051"/>
    <s v="10/07/1987"/>
    <x v="1"/>
    <x v="0"/>
    <n v="3674.27"/>
    <n v="1656.85"/>
    <s v="Detroit"/>
    <x v="1"/>
    <s v="XL"/>
    <s v="Blue"/>
    <n v="2"/>
    <x v="1"/>
    <s v="Retail"/>
    <s v="Cash"/>
  </r>
  <r>
    <s v="ORD-202400550"/>
    <x v="464"/>
    <n v="2035"/>
    <s v="02/07/2000"/>
    <x v="0"/>
    <x v="3"/>
    <n v="17381.18"/>
    <n v="8157.35"/>
    <s v="Los Angeles"/>
    <x v="2"/>
    <s v="M"/>
    <s v="Black"/>
    <n v="2"/>
    <x v="1"/>
    <s v="Retail"/>
    <s v="Bank Transfer"/>
  </r>
  <r>
    <s v="ORD-202400551"/>
    <x v="465"/>
    <n v="8010"/>
    <s v="21/09/1987"/>
    <x v="0"/>
    <x v="4"/>
    <n v="16931.080000000002"/>
    <n v="7977.54"/>
    <s v="Seattle"/>
    <x v="2"/>
    <s v="L"/>
    <s v="Blue"/>
    <n v="1"/>
    <x v="1"/>
    <s v="Retail"/>
    <s v="Bank Transfer"/>
  </r>
  <r>
    <s v="ORD-202400552"/>
    <x v="466"/>
    <n v="7045"/>
    <s v="27/12/1997"/>
    <x v="0"/>
    <x v="4"/>
    <n v="15736.89"/>
    <n v="7769.49"/>
    <s v="Los Angeles"/>
    <x v="2"/>
    <s v="L"/>
    <s v="Yellow"/>
    <n v="4"/>
    <x v="2"/>
    <s v="Retail"/>
    <s v="PayPal"/>
  </r>
  <r>
    <s v="ORD-202400553"/>
    <x v="254"/>
    <n v="7366"/>
    <s v="20/07/1984"/>
    <x v="0"/>
    <x v="4"/>
    <n v="25357.15"/>
    <n v="14632.87"/>
    <s v="Boston"/>
    <x v="0"/>
    <s v="L"/>
    <s v="Black"/>
    <n v="4"/>
    <x v="1"/>
    <s v="Retail"/>
    <s v="PayPal"/>
  </r>
  <r>
    <s v="ORD-202400554"/>
    <x v="467"/>
    <n v="4811"/>
    <s v="06/08/1970"/>
    <x v="0"/>
    <x v="0"/>
    <n v="12685.8"/>
    <n v="7983.88"/>
    <s v="Seattle"/>
    <x v="2"/>
    <s v="L"/>
    <s v="Blue"/>
    <n v="4"/>
    <x v="0"/>
    <s v="Wholesale"/>
    <s v="Cash"/>
  </r>
  <r>
    <s v="ORD-202400555"/>
    <x v="468"/>
    <n v="1621"/>
    <s v="20/10/1998"/>
    <x v="0"/>
    <x v="2"/>
    <n v="38221.949999999997"/>
    <n v="21771.8"/>
    <s v="San Francisco"/>
    <x v="2"/>
    <s v="XL"/>
    <s v="Black"/>
    <n v="3"/>
    <x v="1"/>
    <s v="Retail"/>
    <s v="Cash"/>
  </r>
  <r>
    <s v="ORD-202400556"/>
    <x v="469"/>
    <n v="6427"/>
    <s v="10/04/1980"/>
    <x v="1"/>
    <x v="0"/>
    <n v="7012.61"/>
    <n v="3912.07"/>
    <s v="Miami"/>
    <x v="0"/>
    <s v="M"/>
    <s v="Black"/>
    <n v="2"/>
    <x v="0"/>
    <s v="Retail"/>
    <s v="Bank Transfer"/>
  </r>
  <r>
    <s v="ORD-202400557"/>
    <x v="470"/>
    <n v="1853"/>
    <s v="20/08/1978"/>
    <x v="0"/>
    <x v="4"/>
    <n v="64074.239999999998"/>
    <n v="30442.45"/>
    <s v="Seattle"/>
    <x v="2"/>
    <s v="M"/>
    <s v="Yellow"/>
    <n v="5"/>
    <x v="2"/>
    <s v="Wholesale"/>
    <s v="Cash"/>
  </r>
  <r>
    <s v="ORD-202400558"/>
    <x v="208"/>
    <n v="7947"/>
    <s v="26/12/1980"/>
    <x v="0"/>
    <x v="0"/>
    <n v="12284.84"/>
    <n v="6272.89"/>
    <s v="Miami"/>
    <x v="0"/>
    <s v="XL"/>
    <s v="Black"/>
    <n v="2"/>
    <x v="1"/>
    <s v="Wholesale"/>
    <s v="Cash"/>
  </r>
  <r>
    <s v="ORD-202400559"/>
    <x v="471"/>
    <n v="9278"/>
    <s v="17/12/1988"/>
    <x v="1"/>
    <x v="2"/>
    <n v="20457.830000000002"/>
    <n v="12559.49"/>
    <s v="Minneapolis"/>
    <x v="1"/>
    <s v="XL"/>
    <s v="Red"/>
    <n v="4"/>
    <x v="1"/>
    <s v="Retail"/>
    <s v="Bank Transfer"/>
  </r>
  <r>
    <s v="ORD-202400560"/>
    <x v="472"/>
    <n v="6011"/>
    <s v="19/10/1990"/>
    <x v="1"/>
    <x v="1"/>
    <n v="27774.16"/>
    <n v="15620.98"/>
    <s v="New York"/>
    <x v="0"/>
    <s v="XL"/>
    <s v="Red"/>
    <n v="3"/>
    <x v="1"/>
    <s v="Retail"/>
    <s v="Cash"/>
  </r>
  <r>
    <s v="ORD-202400561"/>
    <x v="473"/>
    <n v="7628"/>
    <s v="17/01/1992"/>
    <x v="1"/>
    <x v="4"/>
    <n v="36906.839999999997"/>
    <n v="23771.64"/>
    <s v="Chicago"/>
    <x v="1"/>
    <s v="L"/>
    <s v="White"/>
    <n v="4"/>
    <x v="1"/>
    <s v="Wholesale"/>
    <s v="Cash"/>
  </r>
  <r>
    <s v="ORD-202400562"/>
    <x v="474"/>
    <n v="4182"/>
    <s v="14/04/1977"/>
    <x v="1"/>
    <x v="3"/>
    <n v="14752.99"/>
    <n v="8914.5499999999993"/>
    <s v="Los Angeles"/>
    <x v="2"/>
    <s v="L"/>
    <s v="Yellow"/>
    <n v="4"/>
    <x v="0"/>
    <s v="Retail"/>
    <s v="Cash"/>
  </r>
  <r>
    <s v="ORD-202400563"/>
    <x v="475"/>
    <n v="1462"/>
    <s v="19/03/1986"/>
    <x v="0"/>
    <x v="0"/>
    <n v="6195.9"/>
    <n v="3352.57"/>
    <s v="Miami"/>
    <x v="0"/>
    <s v="M"/>
    <s v="Green"/>
    <n v="2"/>
    <x v="0"/>
    <s v="Wholesale"/>
    <s v="Cash"/>
  </r>
  <r>
    <s v="ORD-202400564"/>
    <x v="66"/>
    <n v="2316"/>
    <s v="17/04/1996"/>
    <x v="0"/>
    <x v="0"/>
    <n v="24303.13"/>
    <n v="11742.42"/>
    <s v="Los Angeles"/>
    <x v="2"/>
    <s v="XL"/>
    <s v="Green"/>
    <n v="3"/>
    <x v="0"/>
    <s v="Retail"/>
    <s v="Bank Transfer"/>
  </r>
  <r>
    <s v="ORD-202400565"/>
    <x v="476"/>
    <n v="6642"/>
    <s v="26/11/1974"/>
    <x v="0"/>
    <x v="2"/>
    <n v="19847.13"/>
    <n v="9762.9"/>
    <s v="Boston"/>
    <x v="0"/>
    <s v="XL"/>
    <s v="Black"/>
    <n v="3"/>
    <x v="1"/>
    <s v="Retail"/>
    <s v="Bank Transfer"/>
  </r>
  <r>
    <s v="ORD-202400566"/>
    <x v="235"/>
    <n v="5724"/>
    <s v="12/05/1999"/>
    <x v="1"/>
    <x v="0"/>
    <n v="7169.04"/>
    <n v="3763.25"/>
    <s v="Los Angeles"/>
    <x v="2"/>
    <s v="M"/>
    <s v="Blue"/>
    <n v="4"/>
    <x v="1"/>
    <s v="Wholesale"/>
    <s v="Bank Transfer"/>
  </r>
  <r>
    <s v="ORD-202400567"/>
    <x v="477"/>
    <n v="5249"/>
    <s v="10/08/1978"/>
    <x v="1"/>
    <x v="4"/>
    <n v="18230.27"/>
    <n v="11532.36"/>
    <s v="New York"/>
    <x v="0"/>
    <s v="S"/>
    <s v="Black"/>
    <n v="2"/>
    <x v="1"/>
    <s v="Retail"/>
    <s v="Cash"/>
  </r>
  <r>
    <s v="ORD-202400568"/>
    <x v="478"/>
    <n v="2651"/>
    <s v="07/03/2000"/>
    <x v="0"/>
    <x v="4"/>
    <n v="10464.27"/>
    <n v="6282.33"/>
    <s v="San Francisco"/>
    <x v="2"/>
    <s v="S"/>
    <s v="Black"/>
    <n v="5"/>
    <x v="0"/>
    <s v="Retail"/>
    <s v="Cash"/>
  </r>
  <r>
    <s v="ORD-202400569"/>
    <x v="479"/>
    <n v="8753"/>
    <s v="19/10/1991"/>
    <x v="1"/>
    <x v="2"/>
    <n v="30985.9"/>
    <n v="16029.32"/>
    <s v="New York"/>
    <x v="0"/>
    <s v="L"/>
    <s v="Green"/>
    <n v="2"/>
    <x v="2"/>
    <s v="Wholesale"/>
    <s v="Bank Transfer"/>
  </r>
  <r>
    <s v="ORD-202400570"/>
    <x v="480"/>
    <n v="7583"/>
    <s v="01/07/1990"/>
    <x v="0"/>
    <x v="3"/>
    <n v="3526.26"/>
    <n v="1673.49"/>
    <s v="Miami"/>
    <x v="0"/>
    <s v="L"/>
    <s v="Black"/>
    <n v="2"/>
    <x v="1"/>
    <s v="Wholesale"/>
    <s v="PayPal"/>
  </r>
  <r>
    <s v="ORD-202400571"/>
    <x v="481"/>
    <n v="1272"/>
    <s v="14/06/1984"/>
    <x v="1"/>
    <x v="2"/>
    <n v="22837.38"/>
    <n v="14705.43"/>
    <s v="Detroit"/>
    <x v="1"/>
    <s v="L"/>
    <s v="Black"/>
    <n v="4"/>
    <x v="1"/>
    <s v="Retail"/>
    <s v="PayPal"/>
  </r>
  <r>
    <s v="ORD-202400572"/>
    <x v="265"/>
    <n v="2645"/>
    <s v="14/07/1999"/>
    <x v="1"/>
    <x v="2"/>
    <n v="20871.849999999999"/>
    <n v="10206.66"/>
    <s v="New York"/>
    <x v="0"/>
    <s v="M"/>
    <s v="Yellow"/>
    <n v="5"/>
    <x v="0"/>
    <s v="Wholesale"/>
    <s v="Cash"/>
  </r>
  <r>
    <s v="ORD-202400573"/>
    <x v="482"/>
    <n v="3753"/>
    <s v="10/12/1990"/>
    <x v="1"/>
    <x v="2"/>
    <n v="53153.03"/>
    <n v="29044.61"/>
    <s v="Los Angeles"/>
    <x v="2"/>
    <s v="M"/>
    <s v="Blue"/>
    <n v="2"/>
    <x v="1"/>
    <s v="Wholesale"/>
    <s v="PayPal"/>
  </r>
  <r>
    <s v="ORD-202400574"/>
    <x v="483"/>
    <n v="5593"/>
    <s v="16/03/1987"/>
    <x v="0"/>
    <x v="3"/>
    <n v="10340.719999999999"/>
    <n v="6030.57"/>
    <s v="San Francisco"/>
    <x v="2"/>
    <s v="S"/>
    <s v="Black"/>
    <n v="2"/>
    <x v="2"/>
    <s v="Wholesale"/>
    <s v="Bank Transfer"/>
  </r>
  <r>
    <s v="ORD-202400575"/>
    <x v="484"/>
    <n v="2059"/>
    <s v="11/12/1996"/>
    <x v="1"/>
    <x v="2"/>
    <n v="19830.169999999998"/>
    <n v="11768.98"/>
    <s v="Seattle"/>
    <x v="2"/>
    <s v="XL"/>
    <s v="Black"/>
    <n v="5"/>
    <x v="2"/>
    <s v="Retail"/>
    <s v="Cash"/>
  </r>
  <r>
    <s v="ORD-202400576"/>
    <x v="485"/>
    <n v="4082"/>
    <s v="25/07/1996"/>
    <x v="0"/>
    <x v="2"/>
    <n v="26421.759999999998"/>
    <n v="12563.11"/>
    <s v="Los Angeles"/>
    <x v="2"/>
    <s v="L"/>
    <s v="White"/>
    <n v="5"/>
    <x v="0"/>
    <s v="Retail"/>
    <s v="PayPal"/>
  </r>
  <r>
    <s v="ORD-202400577"/>
    <x v="393"/>
    <n v="3069"/>
    <s v="21/06/2000"/>
    <x v="0"/>
    <x v="3"/>
    <n v="3832.32"/>
    <n v="1731.59"/>
    <s v="Miami"/>
    <x v="0"/>
    <s v="XL"/>
    <s v="Green"/>
    <n v="2"/>
    <x v="2"/>
    <s v="Retail"/>
    <s v="Cash"/>
  </r>
  <r>
    <s v="ORD-202400578"/>
    <x v="486"/>
    <n v="6245"/>
    <s v="17/07/1971"/>
    <x v="1"/>
    <x v="4"/>
    <n v="26587.99"/>
    <n v="15626.29"/>
    <s v="Miami"/>
    <x v="0"/>
    <s v="L"/>
    <s v="Black"/>
    <n v="5"/>
    <x v="0"/>
    <s v="Wholesale"/>
    <s v="Bank Transfer"/>
  </r>
  <r>
    <s v="ORD-202400579"/>
    <x v="487"/>
    <n v="4687"/>
    <s v="13/06/1979"/>
    <x v="0"/>
    <x v="4"/>
    <n v="63235.26"/>
    <n v="38270.47"/>
    <s v="San Francisco"/>
    <x v="2"/>
    <s v="XL"/>
    <s v="Black"/>
    <n v="4"/>
    <x v="1"/>
    <s v="Wholesale"/>
    <s v="Cash"/>
  </r>
  <r>
    <s v="ORD-202400580"/>
    <x v="415"/>
    <n v="7412"/>
    <s v="16/08/1985"/>
    <x v="1"/>
    <x v="2"/>
    <n v="7027.62"/>
    <n v="4183.8999999999996"/>
    <s v="Detroit"/>
    <x v="1"/>
    <s v="L"/>
    <s v="Black"/>
    <n v="2"/>
    <x v="0"/>
    <s v="Retail"/>
    <s v="Cash"/>
  </r>
  <r>
    <s v="ORD-202400581"/>
    <x v="488"/>
    <n v="8496"/>
    <s v="22/08/1983"/>
    <x v="0"/>
    <x v="3"/>
    <n v="8743.02"/>
    <n v="4707.04"/>
    <s v="Seattle"/>
    <x v="2"/>
    <s v="XL"/>
    <s v="Green"/>
    <n v="2"/>
    <x v="1"/>
    <s v="Wholesale"/>
    <s v="Cash"/>
  </r>
  <r>
    <s v="ORD-202400582"/>
    <x v="489"/>
    <n v="3418"/>
    <s v="05/06/2000"/>
    <x v="1"/>
    <x v="2"/>
    <n v="47953.919999999998"/>
    <n v="25675.59"/>
    <s v="New York"/>
    <x v="0"/>
    <s v="M"/>
    <s v="Red"/>
    <n v="1"/>
    <x v="1"/>
    <s v="Retail"/>
    <s v="Cash"/>
  </r>
  <r>
    <s v="ORD-202400583"/>
    <x v="56"/>
    <n v="7619"/>
    <s v="15/02/1998"/>
    <x v="0"/>
    <x v="0"/>
    <n v="5510.2"/>
    <n v="2745.02"/>
    <s v="Seattle"/>
    <x v="2"/>
    <s v="XL"/>
    <s v="Green"/>
    <n v="5"/>
    <x v="2"/>
    <s v="Wholesale"/>
    <s v="Bank Transfer"/>
  </r>
  <r>
    <s v="ORD-202400584"/>
    <x v="466"/>
    <n v="5509"/>
    <s v="21/02/1987"/>
    <x v="1"/>
    <x v="0"/>
    <n v="11032.73"/>
    <n v="5229.51"/>
    <s v="Boston"/>
    <x v="0"/>
    <s v="S"/>
    <s v="Red"/>
    <n v="4"/>
    <x v="0"/>
    <s v="Wholesale"/>
    <s v="Cash"/>
  </r>
  <r>
    <s v="ORD-202400585"/>
    <x v="263"/>
    <n v="3967"/>
    <s v="30/03/1974"/>
    <x v="1"/>
    <x v="3"/>
    <n v="11802.3"/>
    <n v="6832.58"/>
    <s v="Seattle"/>
    <x v="2"/>
    <s v="XL"/>
    <s v="Green"/>
    <n v="5"/>
    <x v="1"/>
    <s v="Retail"/>
    <s v="PayPal"/>
  </r>
  <r>
    <s v="ORD-202400586"/>
    <x v="449"/>
    <n v="9788"/>
    <s v="31/08/1987"/>
    <x v="1"/>
    <x v="4"/>
    <n v="9717.6299999999992"/>
    <n v="5999.94"/>
    <s v="Detroit"/>
    <x v="1"/>
    <s v="S"/>
    <s v="Blue"/>
    <n v="1"/>
    <x v="1"/>
    <s v="Retail"/>
    <s v="Cash"/>
  </r>
  <r>
    <s v="ORD-202400587"/>
    <x v="490"/>
    <n v="4378"/>
    <s v="19/10/1995"/>
    <x v="0"/>
    <x v="3"/>
    <n v="3669.72"/>
    <n v="1839.82"/>
    <s v="San Francisco"/>
    <x v="2"/>
    <s v="S"/>
    <s v="Red"/>
    <n v="1"/>
    <x v="0"/>
    <s v="Retail"/>
    <s v="PayPal"/>
  </r>
  <r>
    <s v="ORD-202400588"/>
    <x v="491"/>
    <n v="9750"/>
    <s v="01/03/1983"/>
    <x v="1"/>
    <x v="4"/>
    <n v="15809.56"/>
    <n v="8665.0400000000009"/>
    <s v="Seattle"/>
    <x v="2"/>
    <s v="L"/>
    <s v="Yellow"/>
    <n v="3"/>
    <x v="0"/>
    <s v="Retail"/>
    <s v="PayPal"/>
  </r>
  <r>
    <s v="ORD-202400589"/>
    <x v="492"/>
    <n v="3198"/>
    <s v="28/08/1979"/>
    <x v="0"/>
    <x v="2"/>
    <n v="27059.42"/>
    <n v="13677.97"/>
    <s v="Los Angeles"/>
    <x v="2"/>
    <s v="XL"/>
    <s v="Red"/>
    <n v="5"/>
    <x v="1"/>
    <s v="Retail"/>
    <s v="Cash"/>
  </r>
  <r>
    <s v="ORD-202400590"/>
    <x v="263"/>
    <n v="9780"/>
    <s v="04/06/1976"/>
    <x v="0"/>
    <x v="3"/>
    <n v="4667.13"/>
    <n v="2784.11"/>
    <s v="Los Angeles"/>
    <x v="2"/>
    <s v="M"/>
    <s v="Black"/>
    <n v="3"/>
    <x v="0"/>
    <s v="Wholesale"/>
    <s v="PayPal"/>
  </r>
  <r>
    <s v="ORD-202400591"/>
    <x v="292"/>
    <n v="1424"/>
    <s v="31/12/1986"/>
    <x v="0"/>
    <x v="3"/>
    <n v="3469.06"/>
    <n v="1647.54"/>
    <s v="Miami"/>
    <x v="0"/>
    <s v="S"/>
    <s v="Black"/>
    <n v="5"/>
    <x v="1"/>
    <s v="Retail"/>
    <s v="Cash"/>
  </r>
  <r>
    <s v="ORD-202400592"/>
    <x v="306"/>
    <n v="1161"/>
    <s v="11/04/1982"/>
    <x v="0"/>
    <x v="0"/>
    <n v="9148.14"/>
    <n v="5889.16"/>
    <s v="San Francisco"/>
    <x v="2"/>
    <s v="XL"/>
    <s v="Red"/>
    <n v="1"/>
    <x v="1"/>
    <s v="Wholesale"/>
    <s v="Bank Transfer"/>
  </r>
  <r>
    <s v="ORD-202400593"/>
    <x v="493"/>
    <n v="5440"/>
    <s v="26/08/1982"/>
    <x v="0"/>
    <x v="4"/>
    <n v="41173.1"/>
    <n v="19933.939999999999"/>
    <s v="Miami"/>
    <x v="0"/>
    <s v="XL"/>
    <s v="Blue"/>
    <n v="3"/>
    <x v="2"/>
    <s v="Wholesale"/>
    <s v="PayPal"/>
  </r>
  <r>
    <s v="ORD-202400594"/>
    <x v="494"/>
    <n v="9414"/>
    <s v="20/10/2000"/>
    <x v="0"/>
    <x v="1"/>
    <n v="51001.78"/>
    <n v="24406.09"/>
    <s v="Miami"/>
    <x v="0"/>
    <s v="L"/>
    <s v="Red"/>
    <n v="3"/>
    <x v="0"/>
    <s v="Retail"/>
    <s v="PayPal"/>
  </r>
  <r>
    <s v="ORD-202400595"/>
    <x v="495"/>
    <n v="5699"/>
    <s v="12/07/1992"/>
    <x v="1"/>
    <x v="4"/>
    <n v="64870.21"/>
    <n v="35945.81"/>
    <s v="San Francisco"/>
    <x v="2"/>
    <s v="M"/>
    <s v="Green"/>
    <n v="1"/>
    <x v="2"/>
    <s v="Retail"/>
    <s v="Bank Transfer"/>
  </r>
  <r>
    <s v="ORD-202400596"/>
    <x v="496"/>
    <n v="1940"/>
    <s v="29/05/1977"/>
    <x v="0"/>
    <x v="4"/>
    <n v="33287.019999999997"/>
    <n v="18668.419999999998"/>
    <s v="Detroit"/>
    <x v="1"/>
    <s v="XL"/>
    <s v="Red"/>
    <n v="4"/>
    <x v="0"/>
    <s v="Wholesale"/>
    <s v="Cash"/>
  </r>
  <r>
    <s v="ORD-202400597"/>
    <x v="361"/>
    <n v="7643"/>
    <s v="05/08/1975"/>
    <x v="0"/>
    <x v="0"/>
    <n v="14301.58"/>
    <n v="9041.1299999999992"/>
    <s v="Boston"/>
    <x v="0"/>
    <s v="S"/>
    <s v="Black"/>
    <n v="4"/>
    <x v="0"/>
    <s v="Wholesale"/>
    <s v="Cash"/>
  </r>
  <r>
    <s v="ORD-202400598"/>
    <x v="19"/>
    <n v="1693"/>
    <s v="07/09/2000"/>
    <x v="1"/>
    <x v="3"/>
    <n v="13648.21"/>
    <n v="7982.9"/>
    <s v="Detroit"/>
    <x v="1"/>
    <s v="M"/>
    <s v="Blue"/>
    <n v="1"/>
    <x v="1"/>
    <s v="Retail"/>
    <s v="Bank Transfer"/>
  </r>
  <r>
    <s v="ORD-202400599"/>
    <x v="497"/>
    <n v="5092"/>
    <s v="28/02/1985"/>
    <x v="0"/>
    <x v="1"/>
    <n v="21148.89"/>
    <n v="11560.51"/>
    <s v="Minneapolis"/>
    <x v="1"/>
    <s v="L"/>
    <s v="Blue"/>
    <n v="1"/>
    <x v="0"/>
    <s v="Retail"/>
    <s v="Cash"/>
  </r>
  <r>
    <s v="ORD-202400600"/>
    <x v="137"/>
    <n v="8999"/>
    <s v="17/09/1997"/>
    <x v="0"/>
    <x v="1"/>
    <n v="35596.230000000003"/>
    <n v="20400.41"/>
    <s v="Detroit"/>
    <x v="1"/>
    <s v="L"/>
    <s v="Green"/>
    <n v="3"/>
    <x v="1"/>
    <s v="Retail"/>
    <s v="PayPal"/>
  </r>
  <r>
    <s v="ORD-202400601"/>
    <x v="208"/>
    <n v="9668"/>
    <s v="20/10/1973"/>
    <x v="0"/>
    <x v="4"/>
    <n v="27835.93"/>
    <n v="17609.62"/>
    <s v="San Francisco"/>
    <x v="2"/>
    <s v="S"/>
    <s v="Blue"/>
    <n v="3"/>
    <x v="1"/>
    <s v="Retail"/>
    <s v="Bank Transfer"/>
  </r>
  <r>
    <s v="ORD-202400602"/>
    <x v="498"/>
    <n v="8198"/>
    <s v="10/06/1999"/>
    <x v="0"/>
    <x v="1"/>
    <n v="26653"/>
    <n v="15976.29"/>
    <s v="Los Angeles"/>
    <x v="2"/>
    <s v="S"/>
    <s v="Green"/>
    <n v="2"/>
    <x v="1"/>
    <s v="Retail"/>
    <s v="Cash"/>
  </r>
  <r>
    <s v="ORD-202400603"/>
    <x v="499"/>
    <n v="8852"/>
    <s v="05/12/1978"/>
    <x v="1"/>
    <x v="2"/>
    <n v="9828.1299999999992"/>
    <n v="5383.98"/>
    <s v="Seattle"/>
    <x v="2"/>
    <s v="XL"/>
    <s v="Black"/>
    <n v="2"/>
    <x v="1"/>
    <s v="Wholesale"/>
    <s v="Bank Transfer"/>
  </r>
  <r>
    <s v="ORD-202400604"/>
    <x v="500"/>
    <n v="1346"/>
    <s v="03/11/1974"/>
    <x v="0"/>
    <x v="3"/>
    <n v="4444.2700000000004"/>
    <n v="2444.35"/>
    <s v="Boston"/>
    <x v="0"/>
    <s v="M"/>
    <s v="Red"/>
    <n v="3"/>
    <x v="1"/>
    <s v="Retail"/>
    <s v="Cash"/>
  </r>
  <r>
    <s v="ORD-202400605"/>
    <x v="501"/>
    <n v="3498"/>
    <s v="11/02/1981"/>
    <x v="0"/>
    <x v="2"/>
    <n v="13709.16"/>
    <n v="8271.36"/>
    <s v="San Francisco"/>
    <x v="2"/>
    <s v="L"/>
    <s v="Black"/>
    <n v="2"/>
    <x v="0"/>
    <s v="Retail"/>
    <s v="Bank Transfer"/>
  </r>
  <r>
    <s v="ORD-202400606"/>
    <x v="502"/>
    <n v="3436"/>
    <s v="19/06/1978"/>
    <x v="0"/>
    <x v="0"/>
    <n v="6033.69"/>
    <n v="3199.4"/>
    <s v="New York"/>
    <x v="0"/>
    <s v="L"/>
    <s v="Blue"/>
    <n v="2"/>
    <x v="1"/>
    <s v="Wholesale"/>
    <s v="Cash"/>
  </r>
  <r>
    <s v="ORD-202400607"/>
    <x v="503"/>
    <n v="4633"/>
    <s v="19/05/1980"/>
    <x v="1"/>
    <x v="2"/>
    <n v="15795.38"/>
    <n v="7301.73"/>
    <s v="Minneapolis"/>
    <x v="1"/>
    <s v="XL"/>
    <s v="Black"/>
    <n v="1"/>
    <x v="1"/>
    <s v="Retail"/>
    <s v="Bank Transfer"/>
  </r>
  <r>
    <s v="ORD-202400608"/>
    <x v="504"/>
    <n v="1669"/>
    <s v="25/02/1978"/>
    <x v="0"/>
    <x v="2"/>
    <n v="6540.23"/>
    <n v="3917.28"/>
    <s v="Detroit"/>
    <x v="1"/>
    <s v="M"/>
    <s v="Green"/>
    <n v="4"/>
    <x v="1"/>
    <s v="Wholesale"/>
    <s v="Bank Transfer"/>
  </r>
  <r>
    <s v="ORD-202400609"/>
    <x v="505"/>
    <n v="1223"/>
    <s v="04/01/2000"/>
    <x v="0"/>
    <x v="2"/>
    <n v="21515.98"/>
    <n v="12872.12"/>
    <s v="San Francisco"/>
    <x v="2"/>
    <s v="L"/>
    <s v="Black"/>
    <n v="5"/>
    <x v="0"/>
    <s v="Retail"/>
    <s v="PayPal"/>
  </r>
  <r>
    <s v="ORD-202400610"/>
    <x v="506"/>
    <n v="2971"/>
    <s v="29/03/1998"/>
    <x v="0"/>
    <x v="2"/>
    <n v="39534.79"/>
    <n v="25003.200000000001"/>
    <s v="Seattle"/>
    <x v="2"/>
    <s v="M"/>
    <s v="Blue"/>
    <n v="4"/>
    <x v="2"/>
    <s v="Retail"/>
    <s v="PayPal"/>
  </r>
  <r>
    <s v="ORD-202400611"/>
    <x v="507"/>
    <n v="3517"/>
    <s v="07/12/1993"/>
    <x v="0"/>
    <x v="0"/>
    <n v="6691.95"/>
    <n v="3571.11"/>
    <s v="Miami"/>
    <x v="0"/>
    <s v="L"/>
    <s v="Yellow"/>
    <n v="3"/>
    <x v="2"/>
    <s v="Retail"/>
    <s v="PayPal"/>
  </r>
  <r>
    <s v="ORD-202400612"/>
    <x v="508"/>
    <n v="3735"/>
    <s v="25/12/1970"/>
    <x v="1"/>
    <x v="4"/>
    <n v="40533.760000000002"/>
    <n v="19285.43"/>
    <s v="San Francisco"/>
    <x v="2"/>
    <s v="S"/>
    <s v="Yellow"/>
    <n v="1"/>
    <x v="0"/>
    <s v="Wholesale"/>
    <s v="PayPal"/>
  </r>
  <r>
    <s v="ORD-202400613"/>
    <x v="38"/>
    <n v="8172"/>
    <s v="04/06/1977"/>
    <x v="1"/>
    <x v="0"/>
    <n v="10927.72"/>
    <n v="5770.38"/>
    <s v="Minneapolis"/>
    <x v="1"/>
    <s v="L"/>
    <s v="Blue"/>
    <n v="2"/>
    <x v="1"/>
    <s v="Retail"/>
    <s v="PayPal"/>
  </r>
  <r>
    <s v="ORD-202400614"/>
    <x v="320"/>
    <n v="5971"/>
    <s v="11/08/1981"/>
    <x v="0"/>
    <x v="1"/>
    <n v="42043.19"/>
    <n v="21177.279999999999"/>
    <s v="Boston"/>
    <x v="0"/>
    <s v="S"/>
    <s v="Blue"/>
    <n v="2"/>
    <x v="1"/>
    <s v="Retail"/>
    <s v="Cash"/>
  </r>
  <r>
    <s v="ORD-202400615"/>
    <x v="509"/>
    <n v="5079"/>
    <s v="26/10/1998"/>
    <x v="0"/>
    <x v="3"/>
    <n v="9182.44"/>
    <n v="4134.67"/>
    <s v="Miami"/>
    <x v="0"/>
    <s v="L"/>
    <s v="Black"/>
    <n v="5"/>
    <x v="2"/>
    <s v="Retail"/>
    <s v="PayPal"/>
  </r>
  <r>
    <s v="ORD-202400616"/>
    <x v="510"/>
    <n v="6318"/>
    <s v="25/03/1983"/>
    <x v="0"/>
    <x v="0"/>
    <n v="9432.26"/>
    <n v="4264.1499999999996"/>
    <s v="Minneapolis"/>
    <x v="1"/>
    <s v="L"/>
    <s v="Blue"/>
    <n v="3"/>
    <x v="1"/>
    <s v="Wholesale"/>
    <s v="PayPal"/>
  </r>
  <r>
    <s v="ORD-202400617"/>
    <x v="74"/>
    <n v="5216"/>
    <s v="01/05/1999"/>
    <x v="0"/>
    <x v="4"/>
    <n v="47779.18"/>
    <n v="23609.02"/>
    <s v="Boston"/>
    <x v="0"/>
    <s v="L"/>
    <s v="Blue"/>
    <n v="5"/>
    <x v="0"/>
    <s v="Wholesale"/>
    <s v="Bank Transfer"/>
  </r>
  <r>
    <s v="ORD-202400618"/>
    <x v="511"/>
    <n v="2535"/>
    <s v="28/06/1991"/>
    <x v="1"/>
    <x v="0"/>
    <n v="7358.34"/>
    <n v="3583.55"/>
    <s v="Los Angeles"/>
    <x v="2"/>
    <s v="M"/>
    <s v="Blue"/>
    <n v="5"/>
    <x v="0"/>
    <s v="Wholesale"/>
    <s v="PayPal"/>
  </r>
  <r>
    <s v="ORD-202400619"/>
    <x v="340"/>
    <n v="4077"/>
    <s v="31/10/2000"/>
    <x v="0"/>
    <x v="4"/>
    <n v="13576.53"/>
    <n v="7267.23"/>
    <s v="San Francisco"/>
    <x v="2"/>
    <s v="XL"/>
    <s v="Black"/>
    <n v="4"/>
    <x v="1"/>
    <s v="Retail"/>
    <s v="PayPal"/>
  </r>
  <r>
    <s v="ORD-202400620"/>
    <x v="512"/>
    <n v="1222"/>
    <s v="08/12/1974"/>
    <x v="0"/>
    <x v="1"/>
    <n v="21649.07"/>
    <n v="13076.55"/>
    <s v="New York"/>
    <x v="0"/>
    <s v="L"/>
    <s v="Blue"/>
    <n v="5"/>
    <x v="1"/>
    <s v="Wholesale"/>
    <s v="Cash"/>
  </r>
  <r>
    <s v="ORD-202400621"/>
    <x v="513"/>
    <n v="8279"/>
    <s v="21/07/1991"/>
    <x v="0"/>
    <x v="3"/>
    <n v="4756.7299999999996"/>
    <n v="2596.14"/>
    <s v="Miami"/>
    <x v="0"/>
    <s v="M"/>
    <s v="Red"/>
    <n v="5"/>
    <x v="0"/>
    <s v="Wholesale"/>
    <s v="Cash"/>
  </r>
  <r>
    <s v="ORD-202400622"/>
    <x v="514"/>
    <n v="3323"/>
    <s v="18/08/1988"/>
    <x v="0"/>
    <x v="4"/>
    <n v="50100.21"/>
    <n v="22785.58"/>
    <s v="Los Angeles"/>
    <x v="2"/>
    <s v="XL"/>
    <s v="White"/>
    <n v="2"/>
    <x v="1"/>
    <s v="Retail"/>
    <s v="PayPal"/>
  </r>
  <r>
    <s v="ORD-202400623"/>
    <x v="515"/>
    <n v="4678"/>
    <s v="10/12/1974"/>
    <x v="0"/>
    <x v="3"/>
    <n v="14744.95"/>
    <n v="7466.29"/>
    <s v="Seattle"/>
    <x v="2"/>
    <s v="S"/>
    <s v="Yellow"/>
    <n v="3"/>
    <x v="1"/>
    <s v="Wholesale"/>
    <s v="Cash"/>
  </r>
  <r>
    <s v="ORD-202400624"/>
    <x v="516"/>
    <n v="3971"/>
    <s v="24/11/1996"/>
    <x v="1"/>
    <x v="4"/>
    <n v="10168.61"/>
    <n v="5932.92"/>
    <s v="Detroit"/>
    <x v="1"/>
    <s v="L"/>
    <s v="Yellow"/>
    <n v="3"/>
    <x v="1"/>
    <s v="Retail"/>
    <s v="Bank Transfer"/>
  </r>
  <r>
    <s v="ORD-202400625"/>
    <x v="517"/>
    <n v="3435"/>
    <s v="05/02/1970"/>
    <x v="0"/>
    <x v="3"/>
    <n v="8129"/>
    <n v="4293.09"/>
    <s v="Miami"/>
    <x v="0"/>
    <s v="XL"/>
    <s v="Red"/>
    <n v="1"/>
    <x v="0"/>
    <s v="Wholesale"/>
    <s v="Bank Transfer"/>
  </r>
  <r>
    <s v="ORD-202400626"/>
    <x v="518"/>
    <n v="6231"/>
    <s v="26/10/1985"/>
    <x v="1"/>
    <x v="3"/>
    <n v="7953.86"/>
    <n v="4682.3100000000004"/>
    <s v="San Francisco"/>
    <x v="2"/>
    <s v="XL"/>
    <s v="Yellow"/>
    <n v="3"/>
    <x v="1"/>
    <s v="Wholesale"/>
    <s v="Cash"/>
  </r>
  <r>
    <s v="ORD-202400627"/>
    <x v="361"/>
    <n v="4770"/>
    <s v="20/01/1994"/>
    <x v="1"/>
    <x v="1"/>
    <n v="24983.65"/>
    <n v="14814.91"/>
    <s v="Seattle"/>
    <x v="2"/>
    <s v="M"/>
    <s v="Black"/>
    <n v="1"/>
    <x v="1"/>
    <s v="Retail"/>
    <s v="Cash"/>
  </r>
  <r>
    <s v="ORD-202400628"/>
    <x v="519"/>
    <n v="6912"/>
    <s v="02/09/1985"/>
    <x v="0"/>
    <x v="3"/>
    <n v="9275.57"/>
    <n v="4441.3999999999996"/>
    <s v="San Francisco"/>
    <x v="2"/>
    <s v="XL"/>
    <s v="Blue"/>
    <n v="2"/>
    <x v="2"/>
    <s v="Retail"/>
    <s v="Cash"/>
  </r>
  <r>
    <s v="ORD-202400629"/>
    <x v="520"/>
    <n v="7089"/>
    <s v="19/01/1989"/>
    <x v="0"/>
    <x v="0"/>
    <n v="16404.39"/>
    <n v="9556.3700000000008"/>
    <s v="Seattle"/>
    <x v="2"/>
    <s v="S"/>
    <s v="White"/>
    <n v="5"/>
    <x v="2"/>
    <s v="Retail"/>
    <s v="Bank Transfer"/>
  </r>
  <r>
    <s v="ORD-202400630"/>
    <x v="521"/>
    <n v="3988"/>
    <s v="18/09/1976"/>
    <x v="1"/>
    <x v="4"/>
    <n v="49006.07"/>
    <n v="29385.09"/>
    <s v="Los Angeles"/>
    <x v="2"/>
    <s v="L"/>
    <s v="White"/>
    <n v="4"/>
    <x v="0"/>
    <s v="Retail"/>
    <s v="PayPal"/>
  </r>
  <r>
    <s v="ORD-202400631"/>
    <x v="522"/>
    <n v="3843"/>
    <s v="11/06/1971"/>
    <x v="0"/>
    <x v="4"/>
    <n v="6301.58"/>
    <n v="3885.15"/>
    <s v="Miami"/>
    <x v="0"/>
    <s v="XL"/>
    <s v="Yellow"/>
    <n v="3"/>
    <x v="2"/>
    <s v="Retail"/>
    <s v="PayPal"/>
  </r>
  <r>
    <s v="ORD-202400632"/>
    <x v="523"/>
    <n v="4471"/>
    <s v="13/08/1975"/>
    <x v="1"/>
    <x v="2"/>
    <n v="24685.599999999999"/>
    <n v="12189.29"/>
    <s v="Los Angeles"/>
    <x v="2"/>
    <s v="M"/>
    <s v="Black"/>
    <n v="5"/>
    <x v="0"/>
    <s v="Retail"/>
    <s v="PayPal"/>
  </r>
  <r>
    <s v="ORD-202400633"/>
    <x v="524"/>
    <n v="1895"/>
    <s v="24/05/1977"/>
    <x v="1"/>
    <x v="0"/>
    <n v="12876.38"/>
    <n v="6295.86"/>
    <s v="Miami"/>
    <x v="0"/>
    <s v="S"/>
    <s v="Red"/>
    <n v="1"/>
    <x v="1"/>
    <s v="Wholesale"/>
    <s v="Bank Transfer"/>
  </r>
  <r>
    <s v="ORD-202400634"/>
    <x v="525"/>
    <n v="1179"/>
    <s v="14/10/1996"/>
    <x v="1"/>
    <x v="4"/>
    <n v="15245.45"/>
    <n v="7475.53"/>
    <s v="San Francisco"/>
    <x v="2"/>
    <s v="S"/>
    <s v="Blue"/>
    <n v="3"/>
    <x v="1"/>
    <s v="Retail"/>
    <s v="Cash"/>
  </r>
  <r>
    <s v="ORD-202400635"/>
    <x v="526"/>
    <n v="6843"/>
    <s v="19/05/1970"/>
    <x v="1"/>
    <x v="4"/>
    <n v="43473.34"/>
    <n v="23912.22"/>
    <s v="Miami"/>
    <x v="0"/>
    <s v="L"/>
    <s v="White"/>
    <n v="3"/>
    <x v="2"/>
    <s v="Wholesale"/>
    <s v="Cash"/>
  </r>
  <r>
    <s v="ORD-202400636"/>
    <x v="56"/>
    <n v="7260"/>
    <s v="24/01/1971"/>
    <x v="1"/>
    <x v="1"/>
    <n v="75629.73"/>
    <n v="46921.09"/>
    <s v="Seattle"/>
    <x v="2"/>
    <s v="L"/>
    <s v="Blue"/>
    <n v="2"/>
    <x v="0"/>
    <s v="Retail"/>
    <s v="PayPal"/>
  </r>
  <r>
    <s v="ORD-202400637"/>
    <x v="527"/>
    <n v="3307"/>
    <s v="07/05/1999"/>
    <x v="0"/>
    <x v="2"/>
    <n v="40578.400000000001"/>
    <n v="22331.27"/>
    <s v="Seattle"/>
    <x v="2"/>
    <s v="L"/>
    <s v="White"/>
    <n v="2"/>
    <x v="1"/>
    <s v="Retail"/>
    <s v="Bank Transfer"/>
  </r>
  <r>
    <s v="ORD-202400638"/>
    <x v="528"/>
    <n v="2228"/>
    <s v="19/05/1997"/>
    <x v="0"/>
    <x v="0"/>
    <n v="14064.07"/>
    <n v="9125.91"/>
    <s v="Seattle"/>
    <x v="2"/>
    <s v="S"/>
    <s v="Red"/>
    <n v="2"/>
    <x v="0"/>
    <s v="Retail"/>
    <s v="Cash"/>
  </r>
  <r>
    <s v="ORD-202400639"/>
    <x v="529"/>
    <n v="5589"/>
    <s v="21/01/1973"/>
    <x v="1"/>
    <x v="2"/>
    <n v="23326.45"/>
    <n v="10828.76"/>
    <s v="Miami"/>
    <x v="0"/>
    <s v="XL"/>
    <s v="Green"/>
    <n v="4"/>
    <x v="2"/>
    <s v="Wholesale"/>
    <s v="Bank Transfer"/>
  </r>
  <r>
    <s v="ORD-202400640"/>
    <x v="530"/>
    <n v="6955"/>
    <s v="11/10/1971"/>
    <x v="1"/>
    <x v="3"/>
    <n v="9389.68"/>
    <n v="5834.75"/>
    <s v="New York"/>
    <x v="0"/>
    <s v="M"/>
    <s v="White"/>
    <n v="3"/>
    <x v="0"/>
    <s v="Wholesale"/>
    <s v="Bank Transfer"/>
  </r>
  <r>
    <s v="ORD-202400641"/>
    <x v="531"/>
    <n v="1934"/>
    <s v="01/12/1971"/>
    <x v="0"/>
    <x v="2"/>
    <n v="41526.400000000001"/>
    <n v="23344.48"/>
    <s v="Seattle"/>
    <x v="2"/>
    <s v="M"/>
    <s v="Red"/>
    <n v="3"/>
    <x v="1"/>
    <s v="Retail"/>
    <s v="Cash"/>
  </r>
  <r>
    <s v="ORD-202400642"/>
    <x v="532"/>
    <n v="9767"/>
    <s v="27/10/1998"/>
    <x v="1"/>
    <x v="0"/>
    <n v="6098.67"/>
    <n v="2964.29"/>
    <s v="San Francisco"/>
    <x v="2"/>
    <s v="S"/>
    <s v="White"/>
    <n v="4"/>
    <x v="1"/>
    <s v="Retail"/>
    <s v="Bank Transfer"/>
  </r>
  <r>
    <s v="ORD-202400643"/>
    <x v="265"/>
    <n v="5560"/>
    <s v="17/02/1975"/>
    <x v="1"/>
    <x v="1"/>
    <n v="22191.919999999998"/>
    <n v="10677.6"/>
    <s v="Seattle"/>
    <x v="2"/>
    <s v="XL"/>
    <s v="Blue"/>
    <n v="2"/>
    <x v="1"/>
    <s v="Retail"/>
    <s v="PayPal"/>
  </r>
  <r>
    <s v="ORD-202400644"/>
    <x v="533"/>
    <n v="4496"/>
    <s v="28/03/1991"/>
    <x v="0"/>
    <x v="3"/>
    <n v="5143.66"/>
    <n v="2338.25"/>
    <s v="New York"/>
    <x v="0"/>
    <s v="XL"/>
    <s v="Green"/>
    <n v="3"/>
    <x v="0"/>
    <s v="Retail"/>
    <s v="Cash"/>
  </r>
  <r>
    <s v="ORD-202400645"/>
    <x v="534"/>
    <n v="4507"/>
    <s v="16/07/1993"/>
    <x v="1"/>
    <x v="2"/>
    <n v="19611.88"/>
    <n v="9036.14"/>
    <s v="Los Angeles"/>
    <x v="2"/>
    <s v="XL"/>
    <s v="Green"/>
    <n v="3"/>
    <x v="1"/>
    <s v="Retail"/>
    <s v="Bank Transfer"/>
  </r>
  <r>
    <s v="ORD-202400646"/>
    <x v="201"/>
    <n v="6811"/>
    <s v="05/08/1989"/>
    <x v="1"/>
    <x v="0"/>
    <n v="13118.67"/>
    <n v="7375.08"/>
    <s v="Boston"/>
    <x v="0"/>
    <s v="M"/>
    <s v="Red"/>
    <n v="5"/>
    <x v="0"/>
    <s v="Retail"/>
    <s v="PayPal"/>
  </r>
  <r>
    <s v="ORD-202400647"/>
    <x v="535"/>
    <n v="9182"/>
    <s v="13/08/1976"/>
    <x v="1"/>
    <x v="0"/>
    <n v="3860.47"/>
    <n v="2486.12"/>
    <s v="Boston"/>
    <x v="0"/>
    <s v="XL"/>
    <s v="Green"/>
    <n v="5"/>
    <x v="0"/>
    <s v="Wholesale"/>
    <s v="Cash"/>
  </r>
  <r>
    <s v="ORD-202400648"/>
    <x v="536"/>
    <n v="7884"/>
    <s v="02/06/1978"/>
    <x v="0"/>
    <x v="3"/>
    <n v="7508.84"/>
    <n v="3703.57"/>
    <s v="Boston"/>
    <x v="0"/>
    <s v="M"/>
    <s v="Blue"/>
    <n v="5"/>
    <x v="2"/>
    <s v="Retail"/>
    <s v="Bank Transfer"/>
  </r>
  <r>
    <s v="ORD-202400649"/>
    <x v="424"/>
    <n v="8471"/>
    <s v="22/05/1992"/>
    <x v="1"/>
    <x v="1"/>
    <n v="62937.36"/>
    <n v="32755.26"/>
    <s v="San Francisco"/>
    <x v="2"/>
    <s v="XL"/>
    <s v="Yellow"/>
    <n v="3"/>
    <x v="1"/>
    <s v="Retail"/>
    <s v="Bank Transfer"/>
  </r>
  <r>
    <s v="ORD-202400650"/>
    <x v="433"/>
    <n v="8167"/>
    <s v="14/10/1982"/>
    <x v="1"/>
    <x v="1"/>
    <n v="87288.81"/>
    <n v="55653.63"/>
    <s v="Seattle"/>
    <x v="2"/>
    <s v="S"/>
    <s v="Red"/>
    <n v="1"/>
    <x v="1"/>
    <s v="Retail"/>
    <s v="Bank Transfer"/>
  </r>
  <r>
    <s v="ORD-202400651"/>
    <x v="123"/>
    <n v="8276"/>
    <s v="02/06/1998"/>
    <x v="0"/>
    <x v="0"/>
    <n v="19772.7"/>
    <n v="12265.82"/>
    <s v="Seattle"/>
    <x v="2"/>
    <s v="M"/>
    <s v="Blue"/>
    <n v="4"/>
    <x v="0"/>
    <s v="Retail"/>
    <s v="Bank Transfer"/>
  </r>
  <r>
    <s v="ORD-202400652"/>
    <x v="75"/>
    <n v="7484"/>
    <s v="05/12/1998"/>
    <x v="0"/>
    <x v="3"/>
    <n v="13354.88"/>
    <n v="8098.92"/>
    <s v="Minneapolis"/>
    <x v="1"/>
    <s v="L"/>
    <s v="Green"/>
    <n v="3"/>
    <x v="1"/>
    <s v="Wholesale"/>
    <s v="Bank Transfer"/>
  </r>
  <r>
    <s v="ORD-202400653"/>
    <x v="537"/>
    <n v="3512"/>
    <s v="07/03/1971"/>
    <x v="1"/>
    <x v="3"/>
    <n v="13009.62"/>
    <n v="7204.63"/>
    <s v="New York"/>
    <x v="0"/>
    <s v="L"/>
    <s v="Green"/>
    <n v="2"/>
    <x v="2"/>
    <s v="Wholesale"/>
    <s v="Cash"/>
  </r>
  <r>
    <s v="ORD-202400654"/>
    <x v="538"/>
    <n v="8030"/>
    <s v="03/12/1995"/>
    <x v="0"/>
    <x v="4"/>
    <n v="49171.12"/>
    <n v="25966.400000000001"/>
    <s v="Miami"/>
    <x v="0"/>
    <s v="M"/>
    <s v="White"/>
    <n v="3"/>
    <x v="0"/>
    <s v="Retail"/>
    <s v="Cash"/>
  </r>
  <r>
    <s v="ORD-202400655"/>
    <x v="456"/>
    <n v="5263"/>
    <s v="20/02/1998"/>
    <x v="0"/>
    <x v="1"/>
    <n v="93443.39"/>
    <n v="45857.58"/>
    <s v="New York"/>
    <x v="0"/>
    <s v="S"/>
    <s v="Red"/>
    <n v="4"/>
    <x v="1"/>
    <s v="Wholesale"/>
    <s v="Cash"/>
  </r>
  <r>
    <s v="ORD-202400656"/>
    <x v="149"/>
    <n v="1414"/>
    <s v="26/02/1987"/>
    <x v="0"/>
    <x v="1"/>
    <n v="125683.85"/>
    <n v="72506.09"/>
    <s v="Seattle"/>
    <x v="2"/>
    <s v="L"/>
    <s v="Blue"/>
    <n v="2"/>
    <x v="0"/>
    <s v="Retail"/>
    <s v="Cash"/>
  </r>
  <r>
    <s v="ORD-202400657"/>
    <x v="539"/>
    <n v="1847"/>
    <s v="07/09/1981"/>
    <x v="1"/>
    <x v="0"/>
    <n v="5878.71"/>
    <n v="2814.46"/>
    <s v="New York"/>
    <x v="0"/>
    <s v="S"/>
    <s v="Black"/>
    <n v="5"/>
    <x v="2"/>
    <s v="Retail"/>
    <s v="PayPal"/>
  </r>
  <r>
    <s v="ORD-202400658"/>
    <x v="496"/>
    <n v="9097"/>
    <s v="21/06/1973"/>
    <x v="1"/>
    <x v="2"/>
    <n v="55679.6"/>
    <n v="27371.78"/>
    <s v="Los Angeles"/>
    <x v="2"/>
    <s v="S"/>
    <s v="White"/>
    <n v="1"/>
    <x v="1"/>
    <s v="Retail"/>
    <s v="PayPal"/>
  </r>
  <r>
    <s v="ORD-202400659"/>
    <x v="540"/>
    <n v="3639"/>
    <s v="24/03/1990"/>
    <x v="0"/>
    <x v="2"/>
    <n v="25288.37"/>
    <n v="15950.07"/>
    <s v="Seattle"/>
    <x v="2"/>
    <s v="S"/>
    <s v="Red"/>
    <n v="3"/>
    <x v="2"/>
    <s v="Retail"/>
    <s v="PayPal"/>
  </r>
  <r>
    <s v="ORD-202400660"/>
    <x v="541"/>
    <n v="1484"/>
    <s v="26/08/1978"/>
    <x v="0"/>
    <x v="4"/>
    <n v="33957.269999999997"/>
    <n v="20448.8"/>
    <s v="New York"/>
    <x v="0"/>
    <s v="M"/>
    <s v="Green"/>
    <n v="1"/>
    <x v="2"/>
    <s v="Retail"/>
    <s v="Cash"/>
  </r>
  <r>
    <s v="ORD-202400661"/>
    <x v="542"/>
    <n v="4264"/>
    <s v="09/08/1991"/>
    <x v="0"/>
    <x v="0"/>
    <n v="8725.1"/>
    <n v="4888.67"/>
    <s v="Seattle"/>
    <x v="2"/>
    <s v="L"/>
    <s v="White"/>
    <n v="4"/>
    <x v="1"/>
    <s v="Wholesale"/>
    <s v="Cash"/>
  </r>
  <r>
    <s v="ORD-202400662"/>
    <x v="332"/>
    <n v="2685"/>
    <s v="16/08/1987"/>
    <x v="1"/>
    <x v="0"/>
    <n v="8852.9599999999991"/>
    <n v="4348.28"/>
    <s v="Los Angeles"/>
    <x v="2"/>
    <s v="XL"/>
    <s v="White"/>
    <n v="4"/>
    <x v="1"/>
    <s v="Wholesale"/>
    <s v="Bank Transfer"/>
  </r>
  <r>
    <s v="ORD-202400663"/>
    <x v="543"/>
    <n v="2052"/>
    <s v="10/10/1986"/>
    <x v="1"/>
    <x v="2"/>
    <n v="10641.34"/>
    <n v="4860.45"/>
    <s v="Boston"/>
    <x v="0"/>
    <s v="L"/>
    <s v="Yellow"/>
    <n v="4"/>
    <x v="1"/>
    <s v="Wholesale"/>
    <s v="PayPal"/>
  </r>
  <r>
    <s v="ORD-202400664"/>
    <x v="544"/>
    <n v="8035"/>
    <s v="22/06/1984"/>
    <x v="0"/>
    <x v="2"/>
    <n v="10578.13"/>
    <n v="4913.84"/>
    <s v="Detroit"/>
    <x v="1"/>
    <s v="L"/>
    <s v="Green"/>
    <n v="2"/>
    <x v="0"/>
    <s v="Retail"/>
    <s v="Bank Transfer"/>
  </r>
  <r>
    <s v="ORD-202400665"/>
    <x v="545"/>
    <n v="2085"/>
    <s v="08/06/1980"/>
    <x v="1"/>
    <x v="2"/>
    <n v="18813.16"/>
    <n v="9264.26"/>
    <s v="Boston"/>
    <x v="0"/>
    <s v="M"/>
    <s v="Red"/>
    <n v="5"/>
    <x v="1"/>
    <s v="Wholesale"/>
    <s v="PayPal"/>
  </r>
  <r>
    <s v="ORD-202400666"/>
    <x v="546"/>
    <n v="4246"/>
    <s v="11/05/1984"/>
    <x v="0"/>
    <x v="1"/>
    <n v="23437.74"/>
    <n v="12862.32"/>
    <s v="Seattle"/>
    <x v="2"/>
    <s v="S"/>
    <s v="Green"/>
    <n v="4"/>
    <x v="1"/>
    <s v="Retail"/>
    <s v="PayPal"/>
  </r>
  <r>
    <s v="ORD-202400667"/>
    <x v="547"/>
    <n v="1076"/>
    <s v="15/11/1998"/>
    <x v="1"/>
    <x v="2"/>
    <n v="14745.66"/>
    <n v="9117.66"/>
    <s v="San Francisco"/>
    <x v="2"/>
    <s v="XL"/>
    <s v="Red"/>
    <n v="5"/>
    <x v="2"/>
    <s v="Retail"/>
    <s v="PayPal"/>
  </r>
  <r>
    <s v="ORD-202400668"/>
    <x v="319"/>
    <n v="6196"/>
    <s v="28/04/1982"/>
    <x v="1"/>
    <x v="4"/>
    <n v="34219.11"/>
    <n v="19206.849999999999"/>
    <s v="San Francisco"/>
    <x v="2"/>
    <s v="L"/>
    <s v="White"/>
    <n v="5"/>
    <x v="1"/>
    <s v="Retail"/>
    <s v="Bank Transfer"/>
  </r>
  <r>
    <s v="ORD-202400669"/>
    <x v="548"/>
    <n v="2683"/>
    <s v="20/09/1997"/>
    <x v="0"/>
    <x v="3"/>
    <n v="4505.1499999999996"/>
    <n v="2771.08"/>
    <s v="Boston"/>
    <x v="0"/>
    <s v="M"/>
    <s v="Red"/>
    <n v="3"/>
    <x v="2"/>
    <s v="Wholesale"/>
    <s v="Cash"/>
  </r>
  <r>
    <s v="ORD-202400670"/>
    <x v="549"/>
    <n v="1860"/>
    <s v="22/03/1970"/>
    <x v="1"/>
    <x v="0"/>
    <n v="24462.2"/>
    <n v="11218.74"/>
    <s v="Los Angeles"/>
    <x v="2"/>
    <s v="S"/>
    <s v="Green"/>
    <n v="1"/>
    <x v="1"/>
    <s v="Wholesale"/>
    <s v="Bank Transfer"/>
  </r>
  <r>
    <s v="ORD-202400671"/>
    <x v="550"/>
    <n v="6231"/>
    <s v="01/09/1975"/>
    <x v="0"/>
    <x v="3"/>
    <n v="16439.849999999999"/>
    <n v="10316.99"/>
    <s v="Los Angeles"/>
    <x v="2"/>
    <s v="XL"/>
    <s v="Black"/>
    <n v="4"/>
    <x v="0"/>
    <s v="Retail"/>
    <s v="Cash"/>
  </r>
  <r>
    <s v="ORD-202400672"/>
    <x v="551"/>
    <n v="2504"/>
    <s v="18/02/1980"/>
    <x v="1"/>
    <x v="1"/>
    <n v="67932.740000000005"/>
    <n v="40234.949999999997"/>
    <s v="Boston"/>
    <x v="0"/>
    <s v="L"/>
    <s v="Yellow"/>
    <n v="2"/>
    <x v="0"/>
    <s v="Wholesale"/>
    <s v="Cash"/>
  </r>
  <r>
    <s v="ORD-202400673"/>
    <x v="552"/>
    <n v="4541"/>
    <s v="29/01/2000"/>
    <x v="1"/>
    <x v="3"/>
    <n v="9548.5400000000009"/>
    <n v="4655.71"/>
    <s v="New York"/>
    <x v="0"/>
    <s v="S"/>
    <s v="Green"/>
    <n v="2"/>
    <x v="2"/>
    <s v="Wholesale"/>
    <s v="PayPal"/>
  </r>
  <r>
    <s v="ORD-202400674"/>
    <x v="238"/>
    <n v="3130"/>
    <s v="28/09/1974"/>
    <x v="0"/>
    <x v="0"/>
    <n v="14483.19"/>
    <n v="7634.31"/>
    <s v="Minneapolis"/>
    <x v="1"/>
    <s v="XL"/>
    <s v="Yellow"/>
    <n v="5"/>
    <x v="1"/>
    <s v="Retail"/>
    <s v="Cash"/>
  </r>
  <r>
    <s v="ORD-202400675"/>
    <x v="354"/>
    <n v="2672"/>
    <s v="01/02/1999"/>
    <x v="0"/>
    <x v="0"/>
    <n v="15275.75"/>
    <n v="7201.52"/>
    <s v="Los Angeles"/>
    <x v="2"/>
    <s v="S"/>
    <s v="Blue"/>
    <n v="1"/>
    <x v="2"/>
    <s v="Retail"/>
    <s v="Cash"/>
  </r>
  <r>
    <s v="ORD-202400676"/>
    <x v="553"/>
    <n v="6806"/>
    <s v="09/10/1973"/>
    <x v="1"/>
    <x v="1"/>
    <n v="27480.82"/>
    <n v="14547.95"/>
    <s v="Boston"/>
    <x v="0"/>
    <s v="XL"/>
    <s v="Yellow"/>
    <n v="3"/>
    <x v="1"/>
    <s v="Retail"/>
    <s v="Cash"/>
  </r>
  <r>
    <s v="ORD-202400677"/>
    <x v="232"/>
    <n v="7597"/>
    <s v="01/07/1978"/>
    <x v="0"/>
    <x v="0"/>
    <n v="14536.46"/>
    <n v="8081"/>
    <s v="San Francisco"/>
    <x v="2"/>
    <s v="XL"/>
    <s v="Yellow"/>
    <n v="4"/>
    <x v="1"/>
    <s v="Retail"/>
    <s v="Cash"/>
  </r>
  <r>
    <s v="ORD-202400678"/>
    <x v="554"/>
    <n v="4911"/>
    <s v="10/12/1981"/>
    <x v="0"/>
    <x v="4"/>
    <n v="25958.32"/>
    <n v="13111.34"/>
    <s v="Chicago"/>
    <x v="1"/>
    <s v="XL"/>
    <s v="White"/>
    <n v="4"/>
    <x v="1"/>
    <s v="Wholesale"/>
    <s v="PayPal"/>
  </r>
  <r>
    <s v="ORD-202400679"/>
    <x v="481"/>
    <n v="5718"/>
    <s v="02/12/1982"/>
    <x v="0"/>
    <x v="4"/>
    <n v="11716.71"/>
    <n v="6451.78"/>
    <s v="Los Angeles"/>
    <x v="2"/>
    <s v="XL"/>
    <s v="Black"/>
    <n v="3"/>
    <x v="2"/>
    <s v="Wholesale"/>
    <s v="Cash"/>
  </r>
  <r>
    <s v="ORD-202400680"/>
    <x v="223"/>
    <n v="1208"/>
    <s v="12/05/1976"/>
    <x v="1"/>
    <x v="4"/>
    <n v="28599.759999999998"/>
    <n v="12989.02"/>
    <s v="Los Angeles"/>
    <x v="2"/>
    <s v="L"/>
    <s v="Red"/>
    <n v="2"/>
    <x v="0"/>
    <s v="Wholesale"/>
    <s v="PayPal"/>
  </r>
  <r>
    <s v="ORD-202400681"/>
    <x v="120"/>
    <n v="2792"/>
    <s v="14/03/1991"/>
    <x v="0"/>
    <x v="1"/>
    <n v="99058.65"/>
    <n v="55814.93"/>
    <s v="San Francisco"/>
    <x v="2"/>
    <s v="L"/>
    <s v="Blue"/>
    <n v="5"/>
    <x v="0"/>
    <s v="Wholesale"/>
    <s v="Cash"/>
  </r>
  <r>
    <s v="ORD-202400682"/>
    <x v="555"/>
    <n v="5216"/>
    <s v="24/06/1994"/>
    <x v="1"/>
    <x v="2"/>
    <n v="21206.07"/>
    <n v="11488.39"/>
    <s v="Seattle"/>
    <x v="2"/>
    <s v="L"/>
    <s v="Green"/>
    <n v="3"/>
    <x v="2"/>
    <s v="Wholesale"/>
    <s v="PayPal"/>
  </r>
  <r>
    <s v="ORD-202400683"/>
    <x v="449"/>
    <n v="7722"/>
    <s v="20/08/1976"/>
    <x v="0"/>
    <x v="0"/>
    <n v="16326.03"/>
    <n v="7809.17"/>
    <s v="Miami"/>
    <x v="0"/>
    <s v="XL"/>
    <s v="Red"/>
    <n v="2"/>
    <x v="0"/>
    <s v="Wholesale"/>
    <s v="Bank Transfer"/>
  </r>
  <r>
    <s v="ORD-202400684"/>
    <x v="539"/>
    <n v="2768"/>
    <s v="27/08/1998"/>
    <x v="1"/>
    <x v="4"/>
    <n v="60681.49"/>
    <n v="35544.81"/>
    <s v="Seattle"/>
    <x v="2"/>
    <s v="XL"/>
    <s v="Yellow"/>
    <n v="2"/>
    <x v="1"/>
    <s v="Wholesale"/>
    <s v="Bank Transfer"/>
  </r>
  <r>
    <s v="ORD-202400685"/>
    <x v="556"/>
    <n v="9520"/>
    <s v="05/11/1971"/>
    <x v="1"/>
    <x v="3"/>
    <n v="15512.57"/>
    <n v="7362.15"/>
    <s v="San Francisco"/>
    <x v="2"/>
    <s v="XL"/>
    <s v="Yellow"/>
    <n v="3"/>
    <x v="1"/>
    <s v="Wholesale"/>
    <s v="Bank Transfer"/>
  </r>
  <r>
    <s v="ORD-202400686"/>
    <x v="316"/>
    <n v="3664"/>
    <s v="25/12/1997"/>
    <x v="1"/>
    <x v="1"/>
    <n v="30305.61"/>
    <n v="14029.17"/>
    <s v="Chicago"/>
    <x v="1"/>
    <s v="L"/>
    <s v="Red"/>
    <n v="4"/>
    <x v="1"/>
    <s v="Retail"/>
    <s v="PayPal"/>
  </r>
  <r>
    <s v="ORD-202400687"/>
    <x v="557"/>
    <n v="1817"/>
    <s v="11/01/1970"/>
    <x v="1"/>
    <x v="2"/>
    <n v="13853.66"/>
    <n v="8668.85"/>
    <s v="San Francisco"/>
    <x v="2"/>
    <s v="M"/>
    <s v="Red"/>
    <n v="3"/>
    <x v="1"/>
    <s v="Wholesale"/>
    <s v="Bank Transfer"/>
  </r>
  <r>
    <s v="ORD-202400688"/>
    <x v="558"/>
    <n v="7328"/>
    <s v="27/02/1981"/>
    <x v="1"/>
    <x v="2"/>
    <n v="15128.06"/>
    <n v="9543.27"/>
    <s v="New York"/>
    <x v="0"/>
    <s v="L"/>
    <s v="Green"/>
    <n v="5"/>
    <x v="1"/>
    <s v="Retail"/>
    <s v="PayPal"/>
  </r>
  <r>
    <s v="ORD-202400689"/>
    <x v="394"/>
    <n v="7820"/>
    <s v="02/02/1976"/>
    <x v="0"/>
    <x v="4"/>
    <n v="17943.099999999999"/>
    <n v="8381.57"/>
    <s v="Detroit"/>
    <x v="1"/>
    <s v="XL"/>
    <s v="Yellow"/>
    <n v="2"/>
    <x v="1"/>
    <s v="Wholesale"/>
    <s v="Bank Transfer"/>
  </r>
  <r>
    <s v="ORD-202400690"/>
    <x v="559"/>
    <n v="8673"/>
    <s v="15/01/1986"/>
    <x v="1"/>
    <x v="1"/>
    <n v="51863.82"/>
    <n v="27700.53"/>
    <s v="Seattle"/>
    <x v="2"/>
    <s v="XL"/>
    <s v="White"/>
    <n v="1"/>
    <x v="2"/>
    <s v="Retail"/>
    <s v="Bank Transfer"/>
  </r>
  <r>
    <s v="ORD-202400691"/>
    <x v="560"/>
    <n v="9391"/>
    <s v="13/01/1996"/>
    <x v="1"/>
    <x v="1"/>
    <n v="25549.279999999999"/>
    <n v="14273.21"/>
    <s v="Los Angeles"/>
    <x v="2"/>
    <s v="L"/>
    <s v="Red"/>
    <n v="4"/>
    <x v="1"/>
    <s v="Wholesale"/>
    <s v="Bank Transfer"/>
  </r>
  <r>
    <s v="ORD-202400692"/>
    <x v="561"/>
    <n v="2753"/>
    <s v="13/02/1982"/>
    <x v="1"/>
    <x v="1"/>
    <n v="31155.07"/>
    <n v="19141.3"/>
    <s v="Detroit"/>
    <x v="1"/>
    <s v="XL"/>
    <s v="Black"/>
    <n v="3"/>
    <x v="2"/>
    <s v="Retail"/>
    <s v="PayPal"/>
  </r>
  <r>
    <s v="ORD-202400693"/>
    <x v="562"/>
    <n v="9115"/>
    <s v="19/06/1976"/>
    <x v="0"/>
    <x v="0"/>
    <n v="8426.73"/>
    <n v="4930.78"/>
    <s v="Boston"/>
    <x v="0"/>
    <s v="M"/>
    <s v="Green"/>
    <n v="3"/>
    <x v="0"/>
    <s v="Wholesale"/>
    <s v="Bank Transfer"/>
  </r>
  <r>
    <s v="ORD-202400694"/>
    <x v="563"/>
    <n v="9516"/>
    <s v="07/06/1975"/>
    <x v="0"/>
    <x v="4"/>
    <n v="12859.97"/>
    <n v="6053.46"/>
    <s v="New York"/>
    <x v="0"/>
    <s v="S"/>
    <s v="Yellow"/>
    <n v="4"/>
    <x v="1"/>
    <s v="Wholesale"/>
    <s v="Bank Transfer"/>
  </r>
  <r>
    <s v="ORD-202400695"/>
    <x v="564"/>
    <n v="8194"/>
    <s v="04/09/1981"/>
    <x v="0"/>
    <x v="3"/>
    <n v="11856.63"/>
    <n v="6844.11"/>
    <s v="Los Angeles"/>
    <x v="2"/>
    <s v="M"/>
    <s v="Blue"/>
    <n v="2"/>
    <x v="1"/>
    <s v="Wholesale"/>
    <s v="PayPal"/>
  </r>
  <r>
    <s v="ORD-202400696"/>
    <x v="565"/>
    <n v="7018"/>
    <s v="11/02/1992"/>
    <x v="1"/>
    <x v="2"/>
    <n v="27474.76"/>
    <n v="16197.21"/>
    <s v="San Francisco"/>
    <x v="2"/>
    <s v="S"/>
    <s v="White"/>
    <n v="4"/>
    <x v="2"/>
    <s v="Retail"/>
    <s v="Bank Transfer"/>
  </r>
  <r>
    <s v="ORD-202400697"/>
    <x v="566"/>
    <n v="8282"/>
    <s v="09/12/1998"/>
    <x v="0"/>
    <x v="2"/>
    <n v="42512.71"/>
    <n v="22146.799999999999"/>
    <s v="Boston"/>
    <x v="0"/>
    <s v="M"/>
    <s v="White"/>
    <n v="4"/>
    <x v="1"/>
    <s v="Wholesale"/>
    <s v="Bank Transfer"/>
  </r>
  <r>
    <s v="ORD-202400698"/>
    <x v="320"/>
    <n v="9405"/>
    <s v="10/07/1987"/>
    <x v="0"/>
    <x v="4"/>
    <n v="18070.48"/>
    <n v="8678.9"/>
    <s v="Boston"/>
    <x v="0"/>
    <s v="L"/>
    <s v="White"/>
    <n v="2"/>
    <x v="1"/>
    <s v="Wholesale"/>
    <s v="Bank Transfer"/>
  </r>
  <r>
    <s v="ORD-202400699"/>
    <x v="567"/>
    <n v="3955"/>
    <s v="01/03/1991"/>
    <x v="1"/>
    <x v="3"/>
    <n v="3551.58"/>
    <n v="1828.41"/>
    <s v="Chicago"/>
    <x v="1"/>
    <s v="L"/>
    <s v="Yellow"/>
    <n v="5"/>
    <x v="2"/>
    <s v="Retail"/>
    <s v="Cash"/>
  </r>
  <r>
    <s v="ORD-202400700"/>
    <x v="189"/>
    <n v="8805"/>
    <s v="22/06/2000"/>
    <x v="1"/>
    <x v="2"/>
    <n v="27666.42"/>
    <n v="17879.86"/>
    <s v="Chicago"/>
    <x v="1"/>
    <s v="M"/>
    <s v="Red"/>
    <n v="2"/>
    <x v="0"/>
    <s v="Retail"/>
    <s v="Bank Transfer"/>
  </r>
  <r>
    <s v="ORD-202400701"/>
    <x v="107"/>
    <n v="7132"/>
    <s v="22/10/1989"/>
    <x v="0"/>
    <x v="1"/>
    <n v="50629.75"/>
    <n v="26035.43"/>
    <s v="Chicago"/>
    <x v="1"/>
    <s v="XL"/>
    <s v="White"/>
    <n v="2"/>
    <x v="2"/>
    <s v="Retail"/>
    <s v="Cash"/>
  </r>
  <r>
    <s v="ORD-202400702"/>
    <x v="261"/>
    <n v="8111"/>
    <s v="09/04/1977"/>
    <x v="0"/>
    <x v="1"/>
    <n v="21935.200000000001"/>
    <n v="9977.2000000000007"/>
    <s v="San Francisco"/>
    <x v="2"/>
    <s v="S"/>
    <s v="Blue"/>
    <n v="1"/>
    <x v="2"/>
    <s v="Wholesale"/>
    <s v="Bank Transfer"/>
  </r>
  <r>
    <s v="ORD-202400703"/>
    <x v="568"/>
    <n v="9653"/>
    <s v="10/08/2000"/>
    <x v="1"/>
    <x v="1"/>
    <n v="19410"/>
    <n v="9539.92"/>
    <s v="Boston"/>
    <x v="0"/>
    <s v="XL"/>
    <s v="Yellow"/>
    <n v="3"/>
    <x v="1"/>
    <s v="Wholesale"/>
    <s v="Cash"/>
  </r>
  <r>
    <s v="ORD-202400704"/>
    <x v="569"/>
    <n v="2280"/>
    <s v="13/07/1995"/>
    <x v="0"/>
    <x v="1"/>
    <n v="51835.71"/>
    <n v="26417.83"/>
    <s v="Minneapolis"/>
    <x v="1"/>
    <s v="S"/>
    <s v="White"/>
    <n v="2"/>
    <x v="1"/>
    <s v="Retail"/>
    <s v="Cash"/>
  </r>
  <r>
    <s v="ORD-202400705"/>
    <x v="570"/>
    <n v="2113"/>
    <s v="20/01/1986"/>
    <x v="0"/>
    <x v="3"/>
    <n v="17521.72"/>
    <n v="8146.82"/>
    <s v="San Francisco"/>
    <x v="2"/>
    <s v="M"/>
    <s v="Yellow"/>
    <n v="5"/>
    <x v="0"/>
    <s v="Retail"/>
    <s v="Cash"/>
  </r>
  <r>
    <s v="ORD-202400706"/>
    <x v="571"/>
    <n v="1491"/>
    <s v="21/04/1999"/>
    <x v="0"/>
    <x v="1"/>
    <n v="45846.63"/>
    <n v="23023.09"/>
    <s v="New York"/>
    <x v="0"/>
    <s v="L"/>
    <s v="Red"/>
    <n v="2"/>
    <x v="1"/>
    <s v="Wholesale"/>
    <s v="Bank Transfer"/>
  </r>
  <r>
    <s v="ORD-202400707"/>
    <x v="572"/>
    <n v="1579"/>
    <s v="09/04/1973"/>
    <x v="1"/>
    <x v="3"/>
    <n v="8304.2999999999993"/>
    <n v="5314.6"/>
    <s v="Detroit"/>
    <x v="1"/>
    <s v="S"/>
    <s v="Yellow"/>
    <n v="4"/>
    <x v="2"/>
    <s v="Retail"/>
    <s v="Cash"/>
  </r>
  <r>
    <s v="ORD-202400708"/>
    <x v="573"/>
    <n v="5971"/>
    <s v="04/06/1991"/>
    <x v="0"/>
    <x v="1"/>
    <n v="18720.189999999999"/>
    <n v="8631.34"/>
    <s v="San Francisco"/>
    <x v="2"/>
    <s v="M"/>
    <s v="Yellow"/>
    <n v="5"/>
    <x v="2"/>
    <s v="Wholesale"/>
    <s v="PayPal"/>
  </r>
  <r>
    <s v="ORD-202400709"/>
    <x v="33"/>
    <n v="8040"/>
    <s v="14/08/1975"/>
    <x v="1"/>
    <x v="4"/>
    <n v="42499.74"/>
    <n v="20107.330000000002"/>
    <s v="San Francisco"/>
    <x v="2"/>
    <s v="S"/>
    <s v="Yellow"/>
    <n v="3"/>
    <x v="1"/>
    <s v="Retail"/>
    <s v="Cash"/>
  </r>
  <r>
    <s v="ORD-202400710"/>
    <x v="7"/>
    <n v="1750"/>
    <s v="25/06/1995"/>
    <x v="0"/>
    <x v="1"/>
    <n v="77262.63"/>
    <n v="38630.120000000003"/>
    <s v="Los Angeles"/>
    <x v="2"/>
    <s v="S"/>
    <s v="Red"/>
    <n v="1"/>
    <x v="1"/>
    <s v="Retail"/>
    <s v="Cash"/>
  </r>
  <r>
    <s v="ORD-202400711"/>
    <x v="183"/>
    <n v="7517"/>
    <s v="27/10/1975"/>
    <x v="1"/>
    <x v="0"/>
    <n v="13295.65"/>
    <n v="7729"/>
    <s v="Seattle"/>
    <x v="2"/>
    <s v="S"/>
    <s v="Green"/>
    <n v="5"/>
    <x v="1"/>
    <s v="Wholesale"/>
    <s v="Bank Transfer"/>
  </r>
  <r>
    <s v="ORD-202400712"/>
    <x v="574"/>
    <n v="5795"/>
    <s v="26/09/1994"/>
    <x v="0"/>
    <x v="1"/>
    <n v="37844.720000000001"/>
    <n v="19055.080000000002"/>
    <s v="Chicago"/>
    <x v="1"/>
    <s v="S"/>
    <s v="Red"/>
    <n v="3"/>
    <x v="2"/>
    <s v="Wholesale"/>
    <s v="PayPal"/>
  </r>
  <r>
    <s v="ORD-202400713"/>
    <x v="182"/>
    <n v="5996"/>
    <s v="05/05/1980"/>
    <x v="0"/>
    <x v="4"/>
    <n v="10660.43"/>
    <n v="6342.77"/>
    <s v="New York"/>
    <x v="0"/>
    <s v="M"/>
    <s v="Red"/>
    <n v="2"/>
    <x v="0"/>
    <s v="Wholesale"/>
    <s v="Bank Transfer"/>
  </r>
  <r>
    <s v="ORD-202400714"/>
    <x v="575"/>
    <n v="7294"/>
    <s v="21/05/1996"/>
    <x v="1"/>
    <x v="1"/>
    <n v="40716.03"/>
    <n v="19010.259999999998"/>
    <s v="Chicago"/>
    <x v="1"/>
    <s v="L"/>
    <s v="Yellow"/>
    <n v="4"/>
    <x v="0"/>
    <s v="Wholesale"/>
    <s v="Bank Transfer"/>
  </r>
  <r>
    <s v="ORD-202400715"/>
    <x v="26"/>
    <n v="1856"/>
    <s v="20/11/1993"/>
    <x v="1"/>
    <x v="4"/>
    <n v="9341.49"/>
    <n v="5629.17"/>
    <s v="Los Angeles"/>
    <x v="2"/>
    <s v="S"/>
    <s v="Yellow"/>
    <n v="3"/>
    <x v="2"/>
    <s v="Wholesale"/>
    <s v="PayPal"/>
  </r>
  <r>
    <s v="ORD-202400716"/>
    <x v="326"/>
    <n v="1935"/>
    <s v="06/03/1989"/>
    <x v="0"/>
    <x v="2"/>
    <n v="37888.06"/>
    <n v="24267.1"/>
    <s v="Los Angeles"/>
    <x v="2"/>
    <s v="L"/>
    <s v="Yellow"/>
    <n v="4"/>
    <x v="1"/>
    <s v="Wholesale"/>
    <s v="PayPal"/>
  </r>
  <r>
    <s v="ORD-202400717"/>
    <x v="576"/>
    <n v="1248"/>
    <s v="01/12/1975"/>
    <x v="1"/>
    <x v="1"/>
    <n v="105554.99"/>
    <n v="67575.61"/>
    <s v="San Francisco"/>
    <x v="2"/>
    <s v="S"/>
    <s v="Blue"/>
    <n v="5"/>
    <x v="1"/>
    <s v="Retail"/>
    <s v="Cash"/>
  </r>
  <r>
    <s v="ORD-202400718"/>
    <x v="577"/>
    <n v="1202"/>
    <s v="10/04/1997"/>
    <x v="0"/>
    <x v="2"/>
    <n v="17127.54"/>
    <n v="9970.89"/>
    <s v="Miami"/>
    <x v="0"/>
    <s v="L"/>
    <s v="Blue"/>
    <n v="4"/>
    <x v="0"/>
    <s v="Retail"/>
    <s v="Bank Transfer"/>
  </r>
  <r>
    <s v="ORD-202400719"/>
    <x v="578"/>
    <n v="1959"/>
    <s v="30/04/1988"/>
    <x v="0"/>
    <x v="1"/>
    <n v="48270.8"/>
    <n v="27614.07"/>
    <s v="San Francisco"/>
    <x v="2"/>
    <s v="L"/>
    <s v="Red"/>
    <n v="4"/>
    <x v="1"/>
    <s v="Wholesale"/>
    <s v="Bank Transfer"/>
  </r>
  <r>
    <s v="ORD-202400720"/>
    <x v="297"/>
    <n v="1812"/>
    <s v="20/09/1997"/>
    <x v="0"/>
    <x v="4"/>
    <n v="16883.64"/>
    <n v="7727.65"/>
    <s v="San Francisco"/>
    <x v="2"/>
    <s v="XL"/>
    <s v="Yellow"/>
    <n v="3"/>
    <x v="1"/>
    <s v="Wholesale"/>
    <s v="Cash"/>
  </r>
  <r>
    <s v="ORD-202400721"/>
    <x v="579"/>
    <n v="1732"/>
    <s v="30/03/1994"/>
    <x v="0"/>
    <x v="3"/>
    <n v="3865.29"/>
    <n v="1799.28"/>
    <s v="Minneapolis"/>
    <x v="1"/>
    <s v="XL"/>
    <s v="Red"/>
    <n v="5"/>
    <x v="1"/>
    <s v="Retail"/>
    <s v="PayPal"/>
  </r>
  <r>
    <s v="ORD-202400722"/>
    <x v="580"/>
    <n v="1404"/>
    <s v="02/06/1976"/>
    <x v="1"/>
    <x v="2"/>
    <n v="37301.269999999997"/>
    <n v="19473.400000000001"/>
    <s v="Seattle"/>
    <x v="2"/>
    <s v="XL"/>
    <s v="Black"/>
    <n v="3"/>
    <x v="0"/>
    <s v="Wholesale"/>
    <s v="PayPal"/>
  </r>
  <r>
    <s v="ORD-202400723"/>
    <x v="581"/>
    <n v="2740"/>
    <s v="23/02/1971"/>
    <x v="0"/>
    <x v="4"/>
    <n v="56845.9"/>
    <n v="31387.99"/>
    <s v="San Francisco"/>
    <x v="2"/>
    <s v="L"/>
    <s v="Blue"/>
    <n v="4"/>
    <x v="2"/>
    <s v="Retail"/>
    <s v="PayPal"/>
  </r>
  <r>
    <s v="ORD-202400724"/>
    <x v="582"/>
    <n v="9249"/>
    <s v="13/05/1995"/>
    <x v="1"/>
    <x v="4"/>
    <n v="25147.61"/>
    <n v="11926.22"/>
    <s v="Seattle"/>
    <x v="2"/>
    <s v="S"/>
    <s v="Yellow"/>
    <n v="4"/>
    <x v="0"/>
    <s v="Retail"/>
    <s v="Bank Transfer"/>
  </r>
  <r>
    <s v="ORD-202400725"/>
    <x v="583"/>
    <n v="4782"/>
    <s v="28/03/1986"/>
    <x v="1"/>
    <x v="2"/>
    <n v="17736.72"/>
    <n v="11430.95"/>
    <s v="Seattle"/>
    <x v="2"/>
    <s v="M"/>
    <s v="White"/>
    <n v="4"/>
    <x v="1"/>
    <s v="Retail"/>
    <s v="PayPal"/>
  </r>
  <r>
    <s v="ORD-202400726"/>
    <x v="584"/>
    <n v="4764"/>
    <s v="15/10/1988"/>
    <x v="0"/>
    <x v="0"/>
    <n v="23353.599999999999"/>
    <n v="11653.18"/>
    <s v="San Francisco"/>
    <x v="2"/>
    <s v="XL"/>
    <s v="Black"/>
    <n v="5"/>
    <x v="0"/>
    <s v="Wholesale"/>
    <s v="Bank Transfer"/>
  </r>
  <r>
    <s v="ORD-202400727"/>
    <x v="511"/>
    <n v="9096"/>
    <s v="03/11/1995"/>
    <x v="0"/>
    <x v="4"/>
    <n v="49554.34"/>
    <n v="30985.39"/>
    <s v="Los Angeles"/>
    <x v="2"/>
    <s v="S"/>
    <s v="Blue"/>
    <n v="1"/>
    <x v="1"/>
    <s v="Wholesale"/>
    <s v="PayPal"/>
  </r>
  <r>
    <s v="ORD-202400728"/>
    <x v="585"/>
    <n v="3735"/>
    <s v="28/01/1971"/>
    <x v="0"/>
    <x v="4"/>
    <n v="12091.85"/>
    <n v="7537.77"/>
    <s v="Detroit"/>
    <x v="1"/>
    <s v="XL"/>
    <s v="White"/>
    <n v="3"/>
    <x v="1"/>
    <s v="Wholesale"/>
    <s v="Cash"/>
  </r>
  <r>
    <s v="ORD-202400729"/>
    <x v="586"/>
    <n v="2765"/>
    <s v="13/07/1996"/>
    <x v="0"/>
    <x v="2"/>
    <n v="11792.29"/>
    <n v="7478.02"/>
    <s v="New York"/>
    <x v="0"/>
    <s v="XL"/>
    <s v="White"/>
    <n v="4"/>
    <x v="0"/>
    <s v="Retail"/>
    <s v="Bank Transfer"/>
  </r>
  <r>
    <s v="ORD-202400730"/>
    <x v="587"/>
    <n v="3494"/>
    <s v="04/10/1973"/>
    <x v="0"/>
    <x v="4"/>
    <n v="37451.839999999997"/>
    <n v="19623.82"/>
    <s v="Boston"/>
    <x v="0"/>
    <s v="XL"/>
    <s v="White"/>
    <n v="3"/>
    <x v="1"/>
    <s v="Retail"/>
    <s v="PayPal"/>
  </r>
  <r>
    <s v="ORD-202400731"/>
    <x v="588"/>
    <n v="9481"/>
    <s v="22/04/1995"/>
    <x v="1"/>
    <x v="2"/>
    <n v="22650.61"/>
    <n v="11932.65"/>
    <s v="Los Angeles"/>
    <x v="2"/>
    <s v="M"/>
    <s v="Blue"/>
    <n v="1"/>
    <x v="2"/>
    <s v="Wholesale"/>
    <s v="PayPal"/>
  </r>
  <r>
    <s v="ORD-202400732"/>
    <x v="589"/>
    <n v="6690"/>
    <s v="18/06/1974"/>
    <x v="1"/>
    <x v="2"/>
    <n v="18696.830000000002"/>
    <n v="9489.92"/>
    <s v="Seattle"/>
    <x v="2"/>
    <s v="XL"/>
    <s v="White"/>
    <n v="2"/>
    <x v="2"/>
    <s v="Retail"/>
    <s v="Bank Transfer"/>
  </r>
  <r>
    <s v="ORD-202400733"/>
    <x v="590"/>
    <n v="4388"/>
    <s v="22/04/1974"/>
    <x v="0"/>
    <x v="3"/>
    <n v="2451.12"/>
    <n v="1545.45"/>
    <s v="Chicago"/>
    <x v="1"/>
    <s v="M"/>
    <s v="Red"/>
    <n v="4"/>
    <x v="2"/>
    <s v="Retail"/>
    <s v="Cash"/>
  </r>
  <r>
    <s v="ORD-202400734"/>
    <x v="591"/>
    <n v="5832"/>
    <s v="11/05/1990"/>
    <x v="0"/>
    <x v="1"/>
    <n v="77143.58"/>
    <n v="48896.43"/>
    <s v="Seattle"/>
    <x v="2"/>
    <s v="S"/>
    <s v="White"/>
    <n v="4"/>
    <x v="0"/>
    <s v="Retail"/>
    <s v="Cash"/>
  </r>
  <r>
    <s v="ORD-202400735"/>
    <x v="592"/>
    <n v="2218"/>
    <s v="24/12/1979"/>
    <x v="1"/>
    <x v="0"/>
    <n v="5411.76"/>
    <n v="2798.24"/>
    <s v="Detroit"/>
    <x v="1"/>
    <s v="XL"/>
    <s v="Black"/>
    <n v="5"/>
    <x v="0"/>
    <s v="Retail"/>
    <s v="PayPal"/>
  </r>
  <r>
    <s v="ORD-202400736"/>
    <x v="593"/>
    <n v="4119"/>
    <s v="30/03/1984"/>
    <x v="0"/>
    <x v="1"/>
    <n v="121935.49"/>
    <n v="70168.63"/>
    <s v="Los Angeles"/>
    <x v="2"/>
    <s v="M"/>
    <s v="Blue"/>
    <n v="5"/>
    <x v="1"/>
    <s v="Wholesale"/>
    <s v="PayPal"/>
  </r>
  <r>
    <s v="ORD-202400737"/>
    <x v="594"/>
    <n v="3159"/>
    <s v="05/09/1982"/>
    <x v="0"/>
    <x v="4"/>
    <n v="47229.89"/>
    <n v="22091.42"/>
    <s v="San Francisco"/>
    <x v="2"/>
    <s v="M"/>
    <s v="Red"/>
    <n v="4"/>
    <x v="1"/>
    <s v="Retail"/>
    <s v="Cash"/>
  </r>
  <r>
    <s v="ORD-202400738"/>
    <x v="524"/>
    <n v="4845"/>
    <s v="22/04/1998"/>
    <x v="1"/>
    <x v="2"/>
    <n v="22979.69"/>
    <n v="13360.12"/>
    <s v="New York"/>
    <x v="0"/>
    <s v="M"/>
    <s v="Green"/>
    <n v="2"/>
    <x v="2"/>
    <s v="Wholesale"/>
    <s v="Bank Transfer"/>
  </r>
  <r>
    <s v="ORD-202400739"/>
    <x v="595"/>
    <n v="4586"/>
    <s v="01/05/1974"/>
    <x v="0"/>
    <x v="1"/>
    <n v="94637.05"/>
    <n v="59561.120000000003"/>
    <s v="Miami"/>
    <x v="0"/>
    <s v="L"/>
    <s v="White"/>
    <n v="4"/>
    <x v="1"/>
    <s v="Wholesale"/>
    <s v="Cash"/>
  </r>
  <r>
    <s v="ORD-202400740"/>
    <x v="596"/>
    <n v="8925"/>
    <s v="30/09/1975"/>
    <x v="1"/>
    <x v="0"/>
    <n v="14658.42"/>
    <n v="8611.01"/>
    <s v="San Francisco"/>
    <x v="2"/>
    <s v="S"/>
    <s v="Green"/>
    <n v="3"/>
    <x v="0"/>
    <s v="Wholesale"/>
    <s v="Bank Transfer"/>
  </r>
  <r>
    <s v="ORD-202400741"/>
    <x v="597"/>
    <n v="7966"/>
    <s v="28/10/1989"/>
    <x v="1"/>
    <x v="2"/>
    <n v="18723.7"/>
    <n v="8630.25"/>
    <s v="San Francisco"/>
    <x v="2"/>
    <s v="XL"/>
    <s v="Black"/>
    <n v="2"/>
    <x v="1"/>
    <s v="Wholesale"/>
    <s v="Bank Transfer"/>
  </r>
  <r>
    <s v="ORD-202400742"/>
    <x v="598"/>
    <n v="2807"/>
    <s v="18/01/1998"/>
    <x v="1"/>
    <x v="1"/>
    <n v="21861.37"/>
    <n v="12197.63"/>
    <s v="Los Angeles"/>
    <x v="2"/>
    <s v="S"/>
    <s v="White"/>
    <n v="1"/>
    <x v="0"/>
    <s v="Retail"/>
    <s v="Bank Transfer"/>
  </r>
  <r>
    <s v="ORD-202400743"/>
    <x v="599"/>
    <n v="9773"/>
    <s v="30/03/1986"/>
    <x v="0"/>
    <x v="4"/>
    <n v="33339.78"/>
    <n v="20591.64"/>
    <s v="Boston"/>
    <x v="0"/>
    <s v="XL"/>
    <s v="Black"/>
    <n v="2"/>
    <x v="1"/>
    <s v="Retail"/>
    <s v="Bank Transfer"/>
  </r>
  <r>
    <s v="ORD-202400744"/>
    <x v="600"/>
    <n v="1328"/>
    <s v="15/08/1971"/>
    <x v="0"/>
    <x v="1"/>
    <n v="49581.64"/>
    <n v="30158.959999999999"/>
    <s v="Los Angeles"/>
    <x v="2"/>
    <s v="S"/>
    <s v="Blue"/>
    <n v="3"/>
    <x v="1"/>
    <s v="Retail"/>
    <s v="PayPal"/>
  </r>
  <r>
    <s v="ORD-202400745"/>
    <x v="539"/>
    <n v="7565"/>
    <s v="25/05/1999"/>
    <x v="0"/>
    <x v="0"/>
    <n v="23047.94"/>
    <n v="14412.44"/>
    <s v="San Francisco"/>
    <x v="2"/>
    <s v="S"/>
    <s v="Red"/>
    <n v="1"/>
    <x v="0"/>
    <s v="Wholesale"/>
    <s v="PayPal"/>
  </r>
  <r>
    <s v="ORD-202400746"/>
    <x v="601"/>
    <n v="7408"/>
    <s v="15/04/1974"/>
    <x v="0"/>
    <x v="0"/>
    <n v="21467.75"/>
    <n v="13349.95"/>
    <s v="Los Angeles"/>
    <x v="2"/>
    <s v="L"/>
    <s v="White"/>
    <n v="5"/>
    <x v="0"/>
    <s v="Retail"/>
    <s v="Bank Transfer"/>
  </r>
  <r>
    <s v="ORD-202400747"/>
    <x v="567"/>
    <n v="8037"/>
    <s v="24/01/1983"/>
    <x v="0"/>
    <x v="3"/>
    <n v="7283.86"/>
    <n v="3869.67"/>
    <s v="San Francisco"/>
    <x v="2"/>
    <s v="L"/>
    <s v="White"/>
    <n v="3"/>
    <x v="2"/>
    <s v="Retail"/>
    <s v="Cash"/>
  </r>
  <r>
    <s v="ORD-202400748"/>
    <x v="564"/>
    <n v="8409"/>
    <s v="10/11/1974"/>
    <x v="0"/>
    <x v="0"/>
    <n v="17818.88"/>
    <n v="8107.21"/>
    <s v="San Francisco"/>
    <x v="2"/>
    <s v="M"/>
    <s v="White"/>
    <n v="3"/>
    <x v="0"/>
    <s v="Retail"/>
    <s v="Bank Transfer"/>
  </r>
  <r>
    <s v="ORD-202400749"/>
    <x v="602"/>
    <n v="9025"/>
    <s v="26/04/1979"/>
    <x v="0"/>
    <x v="3"/>
    <n v="3193.75"/>
    <n v="1694.73"/>
    <s v="Seattle"/>
    <x v="2"/>
    <s v="XL"/>
    <s v="Yellow"/>
    <n v="5"/>
    <x v="0"/>
    <s v="Retail"/>
    <s v="Bank Transfer"/>
  </r>
  <r>
    <s v="ORD-202400750"/>
    <x v="603"/>
    <n v="7660"/>
    <s v="02/06/1984"/>
    <x v="0"/>
    <x v="0"/>
    <n v="11082.15"/>
    <n v="5450.7"/>
    <s v="San Francisco"/>
    <x v="2"/>
    <s v="XL"/>
    <s v="Yellow"/>
    <n v="4"/>
    <x v="1"/>
    <s v="Wholesale"/>
    <s v="Bank Transfer"/>
  </r>
  <r>
    <s v="ORD-202400751"/>
    <x v="604"/>
    <n v="7974"/>
    <s v="18/09/1974"/>
    <x v="0"/>
    <x v="1"/>
    <n v="49281.35"/>
    <n v="29636.69"/>
    <s v="Miami"/>
    <x v="0"/>
    <s v="M"/>
    <s v="Yellow"/>
    <n v="1"/>
    <x v="1"/>
    <s v="Retail"/>
    <s v="Cash"/>
  </r>
  <r>
    <s v="ORD-202400752"/>
    <x v="84"/>
    <n v="3291"/>
    <s v="09/11/1991"/>
    <x v="1"/>
    <x v="1"/>
    <n v="56796.13"/>
    <n v="28929.119999999999"/>
    <s v="San Francisco"/>
    <x v="2"/>
    <s v="XL"/>
    <s v="Green"/>
    <n v="3"/>
    <x v="0"/>
    <s v="Wholesale"/>
    <s v="Bank Transfer"/>
  </r>
  <r>
    <s v="ORD-202400753"/>
    <x v="174"/>
    <n v="7082"/>
    <s v="17/07/1997"/>
    <x v="1"/>
    <x v="4"/>
    <n v="29288.28"/>
    <n v="14413.45"/>
    <s v="New York"/>
    <x v="0"/>
    <s v="L"/>
    <s v="Black"/>
    <n v="2"/>
    <x v="1"/>
    <s v="Wholesale"/>
    <s v="Bank Transfer"/>
  </r>
  <r>
    <s v="ORD-202400754"/>
    <x v="605"/>
    <n v="4074"/>
    <s v="28/12/1983"/>
    <x v="0"/>
    <x v="4"/>
    <n v="46477.95"/>
    <n v="25913.61"/>
    <s v="San Francisco"/>
    <x v="2"/>
    <s v="L"/>
    <s v="Red"/>
    <n v="1"/>
    <x v="0"/>
    <s v="Retail"/>
    <s v="Cash"/>
  </r>
  <r>
    <s v="ORD-202400755"/>
    <x v="537"/>
    <n v="5498"/>
    <s v="23/08/1978"/>
    <x v="1"/>
    <x v="3"/>
    <n v="15311.32"/>
    <n v="9548.42"/>
    <s v="Seattle"/>
    <x v="2"/>
    <s v="L"/>
    <s v="Green"/>
    <n v="5"/>
    <x v="0"/>
    <s v="Wholesale"/>
    <s v="PayPal"/>
  </r>
  <r>
    <s v="ORD-202400756"/>
    <x v="381"/>
    <n v="5587"/>
    <s v="17/09/1979"/>
    <x v="0"/>
    <x v="4"/>
    <n v="20388"/>
    <n v="9591.83"/>
    <s v="Boston"/>
    <x v="0"/>
    <s v="XL"/>
    <s v="Green"/>
    <n v="5"/>
    <x v="0"/>
    <s v="Retail"/>
    <s v="Bank Transfer"/>
  </r>
  <r>
    <s v="ORD-202400757"/>
    <x v="12"/>
    <n v="3754"/>
    <s v="23/05/1979"/>
    <x v="0"/>
    <x v="3"/>
    <n v="10601.9"/>
    <n v="6868.1"/>
    <s v="Detroit"/>
    <x v="1"/>
    <s v="S"/>
    <s v="Yellow"/>
    <n v="2"/>
    <x v="1"/>
    <s v="Retail"/>
    <s v="Cash"/>
  </r>
  <r>
    <s v="ORD-202400758"/>
    <x v="606"/>
    <n v="8728"/>
    <s v="28/10/1999"/>
    <x v="1"/>
    <x v="4"/>
    <n v="28791.99"/>
    <n v="17332.82"/>
    <s v="Los Angeles"/>
    <x v="2"/>
    <s v="M"/>
    <s v="Yellow"/>
    <n v="4"/>
    <x v="1"/>
    <s v="Retail"/>
    <s v="Bank Transfer"/>
  </r>
  <r>
    <s v="ORD-202400759"/>
    <x v="563"/>
    <n v="3721"/>
    <s v="06/08/1979"/>
    <x v="1"/>
    <x v="2"/>
    <n v="27427.03"/>
    <n v="16949.22"/>
    <s v="Seattle"/>
    <x v="2"/>
    <s v="XL"/>
    <s v="White"/>
    <n v="3"/>
    <x v="0"/>
    <s v="Retail"/>
    <s v="Bank Transfer"/>
  </r>
  <r>
    <s v="ORD-202400760"/>
    <x v="607"/>
    <n v="6668"/>
    <s v="21/01/2000"/>
    <x v="1"/>
    <x v="4"/>
    <n v="15909.86"/>
    <n v="8940.69"/>
    <s v="New York"/>
    <x v="0"/>
    <s v="M"/>
    <s v="White"/>
    <n v="3"/>
    <x v="1"/>
    <s v="Wholesale"/>
    <s v="Cash"/>
  </r>
  <r>
    <s v="ORD-202400761"/>
    <x v="608"/>
    <n v="2541"/>
    <s v="25/09/1984"/>
    <x v="1"/>
    <x v="1"/>
    <n v="70968.53"/>
    <n v="39072.339999999997"/>
    <s v="San Francisco"/>
    <x v="2"/>
    <s v="S"/>
    <s v="Yellow"/>
    <n v="3"/>
    <x v="1"/>
    <s v="Retail"/>
    <s v="Bank Transfer"/>
  </r>
  <r>
    <s v="ORD-202400762"/>
    <x v="609"/>
    <n v="1498"/>
    <s v="01/09/1995"/>
    <x v="1"/>
    <x v="0"/>
    <n v="21551.83"/>
    <n v="12423.51"/>
    <s v="Seattle"/>
    <x v="2"/>
    <s v="XL"/>
    <s v="Blue"/>
    <n v="4"/>
    <x v="0"/>
    <s v="Wholesale"/>
    <s v="PayPal"/>
  </r>
  <r>
    <s v="ORD-202400763"/>
    <x v="293"/>
    <n v="3156"/>
    <s v="08/12/1977"/>
    <x v="0"/>
    <x v="2"/>
    <n v="17979.580000000002"/>
    <n v="11132.25"/>
    <s v="Chicago"/>
    <x v="1"/>
    <s v="S"/>
    <s v="White"/>
    <n v="1"/>
    <x v="1"/>
    <s v="Wholesale"/>
    <s v="Bank Transfer"/>
  </r>
  <r>
    <s v="ORD-202400764"/>
    <x v="610"/>
    <n v="6185"/>
    <s v="22/02/2000"/>
    <x v="0"/>
    <x v="0"/>
    <n v="15593.45"/>
    <n v="8847.25"/>
    <s v="Chicago"/>
    <x v="1"/>
    <s v="L"/>
    <s v="Yellow"/>
    <n v="1"/>
    <x v="2"/>
    <s v="Retail"/>
    <s v="PayPal"/>
  </r>
  <r>
    <s v="ORD-202400765"/>
    <x v="611"/>
    <n v="2375"/>
    <s v="17/12/1981"/>
    <x v="0"/>
    <x v="4"/>
    <n v="30507.200000000001"/>
    <n v="15409.34"/>
    <s v="New York"/>
    <x v="0"/>
    <s v="M"/>
    <s v="Black"/>
    <n v="5"/>
    <x v="1"/>
    <s v="Wholesale"/>
    <s v="Cash"/>
  </r>
  <r>
    <s v="ORD-202400766"/>
    <x v="612"/>
    <n v="8585"/>
    <s v="11/11/1973"/>
    <x v="0"/>
    <x v="2"/>
    <n v="13003.96"/>
    <n v="6087.31"/>
    <s v="Seattle"/>
    <x v="2"/>
    <s v="S"/>
    <s v="Blue"/>
    <n v="3"/>
    <x v="0"/>
    <s v="Wholesale"/>
    <s v="Cash"/>
  </r>
  <r>
    <s v="ORD-202400767"/>
    <x v="120"/>
    <n v="4130"/>
    <s v="22/10/1983"/>
    <x v="0"/>
    <x v="0"/>
    <n v="9202.3700000000008"/>
    <n v="4839.18"/>
    <s v="New York"/>
    <x v="0"/>
    <s v="L"/>
    <s v="Blue"/>
    <n v="3"/>
    <x v="1"/>
    <s v="Retail"/>
    <s v="Cash"/>
  </r>
  <r>
    <s v="ORD-202400768"/>
    <x v="613"/>
    <n v="8202"/>
    <s v="20/08/1981"/>
    <x v="1"/>
    <x v="3"/>
    <n v="2330.16"/>
    <n v="1214.08"/>
    <s v="Minneapolis"/>
    <x v="1"/>
    <s v="L"/>
    <s v="Green"/>
    <n v="5"/>
    <x v="1"/>
    <s v="Wholesale"/>
    <s v="Cash"/>
  </r>
  <r>
    <s v="ORD-202400769"/>
    <x v="614"/>
    <n v="6683"/>
    <s v="18/06/1989"/>
    <x v="1"/>
    <x v="2"/>
    <n v="19107.13"/>
    <n v="11271.88"/>
    <s v="Seattle"/>
    <x v="2"/>
    <s v="L"/>
    <s v="Red"/>
    <n v="5"/>
    <x v="0"/>
    <s v="Retail"/>
    <s v="Bank Transfer"/>
  </r>
  <r>
    <s v="ORD-202400770"/>
    <x v="334"/>
    <n v="8655"/>
    <s v="09/04/1976"/>
    <x v="1"/>
    <x v="1"/>
    <n v="54063.76"/>
    <n v="28414.94"/>
    <s v="Los Angeles"/>
    <x v="2"/>
    <s v="S"/>
    <s v="Green"/>
    <n v="1"/>
    <x v="0"/>
    <s v="Wholesale"/>
    <s v="Cash"/>
  </r>
  <r>
    <s v="ORD-202400771"/>
    <x v="205"/>
    <n v="6865"/>
    <s v="24/05/1978"/>
    <x v="1"/>
    <x v="2"/>
    <n v="17071.439999999999"/>
    <n v="9549.01"/>
    <s v="San Francisco"/>
    <x v="2"/>
    <s v="S"/>
    <s v="White"/>
    <n v="5"/>
    <x v="0"/>
    <s v="Retail"/>
    <s v="Bank Transfer"/>
  </r>
  <r>
    <s v="ORD-202400772"/>
    <x v="615"/>
    <n v="6535"/>
    <s v="15/12/1996"/>
    <x v="1"/>
    <x v="3"/>
    <n v="10981.95"/>
    <n v="5601.18"/>
    <s v="Miami"/>
    <x v="0"/>
    <s v="M"/>
    <s v="Yellow"/>
    <n v="1"/>
    <x v="1"/>
    <s v="Wholesale"/>
    <s v="PayPal"/>
  </r>
  <r>
    <s v="ORD-202400773"/>
    <x v="492"/>
    <n v="9586"/>
    <s v="09/10/1996"/>
    <x v="0"/>
    <x v="4"/>
    <n v="44069.38"/>
    <n v="24837.4"/>
    <s v="Los Angeles"/>
    <x v="2"/>
    <s v="M"/>
    <s v="Blue"/>
    <n v="3"/>
    <x v="0"/>
    <s v="Retail"/>
    <s v="Cash"/>
  </r>
  <r>
    <s v="ORD-202400774"/>
    <x v="432"/>
    <n v="1013"/>
    <s v="30/08/1990"/>
    <x v="0"/>
    <x v="3"/>
    <n v="6907.01"/>
    <n v="3345.85"/>
    <s v="Los Angeles"/>
    <x v="2"/>
    <s v="L"/>
    <s v="Red"/>
    <n v="2"/>
    <x v="1"/>
    <s v="Retail"/>
    <s v="Cash"/>
  </r>
  <r>
    <s v="ORD-202400775"/>
    <x v="193"/>
    <n v="8820"/>
    <s v="23/03/1970"/>
    <x v="0"/>
    <x v="0"/>
    <n v="10622.9"/>
    <n v="5780.56"/>
    <s v="New York"/>
    <x v="0"/>
    <s v="XL"/>
    <s v="Black"/>
    <n v="2"/>
    <x v="2"/>
    <s v="Wholesale"/>
    <s v="Bank Transfer"/>
  </r>
  <r>
    <s v="ORD-202400776"/>
    <x v="616"/>
    <n v="6359"/>
    <s v="09/12/1987"/>
    <x v="1"/>
    <x v="2"/>
    <n v="34053.11"/>
    <n v="20298.189999999999"/>
    <s v="New York"/>
    <x v="0"/>
    <s v="XL"/>
    <s v="Yellow"/>
    <n v="4"/>
    <x v="0"/>
    <s v="Retail"/>
    <s v="PayPal"/>
  </r>
  <r>
    <s v="ORD-202400777"/>
    <x v="142"/>
    <n v="7047"/>
    <s v="19/07/1980"/>
    <x v="1"/>
    <x v="4"/>
    <n v="25718.11"/>
    <n v="15807.58"/>
    <s v="Boston"/>
    <x v="0"/>
    <s v="XL"/>
    <s v="Red"/>
    <n v="2"/>
    <x v="1"/>
    <s v="Retail"/>
    <s v="Cash"/>
  </r>
  <r>
    <s v="ORD-202400778"/>
    <x v="617"/>
    <n v="5668"/>
    <s v="05/10/1976"/>
    <x v="1"/>
    <x v="2"/>
    <n v="27275.58"/>
    <n v="16754.16"/>
    <s v="Los Angeles"/>
    <x v="2"/>
    <s v="S"/>
    <s v="Green"/>
    <n v="4"/>
    <x v="1"/>
    <s v="Retail"/>
    <s v="PayPal"/>
  </r>
  <r>
    <s v="ORD-202400779"/>
    <x v="618"/>
    <n v="7626"/>
    <s v="03/06/1999"/>
    <x v="0"/>
    <x v="3"/>
    <n v="3383.29"/>
    <n v="1609.59"/>
    <s v="Minneapolis"/>
    <x v="1"/>
    <s v="XL"/>
    <s v="Black"/>
    <n v="4"/>
    <x v="1"/>
    <s v="Wholesale"/>
    <s v="PayPal"/>
  </r>
  <r>
    <s v="ORD-202400780"/>
    <x v="503"/>
    <n v="8377"/>
    <s v="15/03/1975"/>
    <x v="1"/>
    <x v="2"/>
    <n v="39327.74"/>
    <n v="23297.94"/>
    <s v="Los Angeles"/>
    <x v="2"/>
    <s v="L"/>
    <s v="Red"/>
    <n v="2"/>
    <x v="2"/>
    <s v="Retail"/>
    <s v="Bank Transfer"/>
  </r>
  <r>
    <s v="ORD-202400781"/>
    <x v="619"/>
    <n v="5224"/>
    <s v="22/06/1996"/>
    <x v="0"/>
    <x v="4"/>
    <n v="20288.37"/>
    <n v="11623.29"/>
    <s v="Chicago"/>
    <x v="1"/>
    <s v="XL"/>
    <s v="White"/>
    <n v="1"/>
    <x v="0"/>
    <s v="Retail"/>
    <s v="Bank Transfer"/>
  </r>
  <r>
    <s v="ORD-202400782"/>
    <x v="620"/>
    <n v="6528"/>
    <s v="04/02/1989"/>
    <x v="1"/>
    <x v="3"/>
    <n v="13898.24"/>
    <n v="6319.61"/>
    <s v="New York"/>
    <x v="0"/>
    <s v="L"/>
    <s v="Blue"/>
    <n v="3"/>
    <x v="1"/>
    <s v="Retail"/>
    <s v="Bank Transfer"/>
  </r>
  <r>
    <s v="ORD-202400783"/>
    <x v="621"/>
    <n v="7491"/>
    <s v="31/10/1993"/>
    <x v="0"/>
    <x v="1"/>
    <n v="29750.47"/>
    <n v="16570.919999999998"/>
    <s v="Los Angeles"/>
    <x v="2"/>
    <s v="M"/>
    <s v="Black"/>
    <n v="2"/>
    <x v="0"/>
    <s v="Retail"/>
    <s v="Bank Transfer"/>
  </r>
  <r>
    <s v="ORD-202400784"/>
    <x v="622"/>
    <n v="8510"/>
    <s v="12/07/1995"/>
    <x v="0"/>
    <x v="0"/>
    <n v="4701.97"/>
    <n v="2466.46"/>
    <s v="San Francisco"/>
    <x v="2"/>
    <s v="M"/>
    <s v="Yellow"/>
    <n v="1"/>
    <x v="1"/>
    <s v="Wholesale"/>
    <s v="Cash"/>
  </r>
  <r>
    <s v="ORD-202400785"/>
    <x v="623"/>
    <n v="5208"/>
    <s v="02/04/1978"/>
    <x v="0"/>
    <x v="0"/>
    <n v="18761.25"/>
    <n v="10068.92"/>
    <s v="Seattle"/>
    <x v="2"/>
    <s v="S"/>
    <s v="Blue"/>
    <n v="5"/>
    <x v="1"/>
    <s v="Retail"/>
    <s v="PayPal"/>
  </r>
  <r>
    <s v="ORD-202400786"/>
    <x v="624"/>
    <n v="4525"/>
    <s v="20/03/1991"/>
    <x v="1"/>
    <x v="0"/>
    <n v="5613.31"/>
    <n v="3299.35"/>
    <s v="New York"/>
    <x v="0"/>
    <s v="M"/>
    <s v="Green"/>
    <n v="5"/>
    <x v="0"/>
    <s v="Wholesale"/>
    <s v="Cash"/>
  </r>
  <r>
    <s v="ORD-202400787"/>
    <x v="625"/>
    <n v="3126"/>
    <s v="25/06/1999"/>
    <x v="1"/>
    <x v="4"/>
    <n v="15198.83"/>
    <n v="8660.5300000000007"/>
    <s v="Miami"/>
    <x v="0"/>
    <s v="L"/>
    <s v="Red"/>
    <n v="2"/>
    <x v="1"/>
    <s v="Wholesale"/>
    <s v="Cash"/>
  </r>
  <r>
    <s v="ORD-202400788"/>
    <x v="626"/>
    <n v="7893"/>
    <s v="16/05/1996"/>
    <x v="1"/>
    <x v="0"/>
    <n v="15664.57"/>
    <n v="8539.08"/>
    <s v="San Francisco"/>
    <x v="2"/>
    <s v="S"/>
    <s v="Green"/>
    <n v="3"/>
    <x v="1"/>
    <s v="Wholesale"/>
    <s v="Cash"/>
  </r>
  <r>
    <s v="ORD-202400789"/>
    <x v="627"/>
    <n v="7390"/>
    <s v="10/03/2000"/>
    <x v="1"/>
    <x v="1"/>
    <n v="47626.66"/>
    <n v="27725.37"/>
    <s v="Boston"/>
    <x v="0"/>
    <s v="S"/>
    <s v="Black"/>
    <n v="4"/>
    <x v="0"/>
    <s v="Retail"/>
    <s v="Cash"/>
  </r>
  <r>
    <s v="ORD-202400790"/>
    <x v="288"/>
    <n v="8657"/>
    <s v="03/04/1990"/>
    <x v="0"/>
    <x v="2"/>
    <n v="12144.72"/>
    <n v="6885.9"/>
    <s v="Boston"/>
    <x v="0"/>
    <s v="L"/>
    <s v="Yellow"/>
    <n v="4"/>
    <x v="1"/>
    <s v="Wholesale"/>
    <s v="Bank Transfer"/>
  </r>
  <r>
    <s v="ORD-202400791"/>
    <x v="628"/>
    <n v="7200"/>
    <s v="28/11/1975"/>
    <x v="0"/>
    <x v="3"/>
    <n v="3712.25"/>
    <n v="1832.59"/>
    <s v="Miami"/>
    <x v="0"/>
    <s v="S"/>
    <s v="Yellow"/>
    <n v="3"/>
    <x v="1"/>
    <s v="Retail"/>
    <s v="PayPal"/>
  </r>
  <r>
    <s v="ORD-202400792"/>
    <x v="534"/>
    <n v="5569"/>
    <s v="18/11/1996"/>
    <x v="1"/>
    <x v="2"/>
    <n v="30399.83"/>
    <n v="17511.98"/>
    <s v="Detroit"/>
    <x v="1"/>
    <s v="L"/>
    <s v="Yellow"/>
    <n v="5"/>
    <x v="0"/>
    <s v="Retail"/>
    <s v="Bank Transfer"/>
  </r>
  <r>
    <s v="ORD-202400793"/>
    <x v="199"/>
    <n v="7554"/>
    <s v="20/12/1977"/>
    <x v="1"/>
    <x v="2"/>
    <n v="8887.67"/>
    <n v="5474.57"/>
    <s v="Miami"/>
    <x v="0"/>
    <s v="XL"/>
    <s v="Black"/>
    <n v="2"/>
    <x v="0"/>
    <s v="Retail"/>
    <s v="PayPal"/>
  </r>
  <r>
    <s v="ORD-202400794"/>
    <x v="629"/>
    <n v="3270"/>
    <s v="22/01/1980"/>
    <x v="0"/>
    <x v="2"/>
    <n v="30803.61"/>
    <n v="18372.18"/>
    <s v="Miami"/>
    <x v="0"/>
    <s v="S"/>
    <s v="Green"/>
    <n v="5"/>
    <x v="1"/>
    <s v="Retail"/>
    <s v="Bank Transfer"/>
  </r>
  <r>
    <s v="ORD-202400795"/>
    <x v="630"/>
    <n v="9377"/>
    <s v="19/06/1987"/>
    <x v="0"/>
    <x v="4"/>
    <n v="45380.65"/>
    <n v="21885.99"/>
    <s v="Miami"/>
    <x v="0"/>
    <s v="L"/>
    <s v="Black"/>
    <n v="2"/>
    <x v="1"/>
    <s v="Wholesale"/>
    <s v="Cash"/>
  </r>
  <r>
    <s v="ORD-202400796"/>
    <x v="631"/>
    <n v="8523"/>
    <s v="08/09/1990"/>
    <x v="0"/>
    <x v="4"/>
    <n v="29966.25"/>
    <n v="16143.74"/>
    <s v="San Francisco"/>
    <x v="2"/>
    <s v="M"/>
    <s v="Blue"/>
    <n v="4"/>
    <x v="0"/>
    <s v="Retail"/>
    <s v="PayPal"/>
  </r>
  <r>
    <s v="ORD-202400797"/>
    <x v="470"/>
    <n v="1529"/>
    <s v="23/04/1970"/>
    <x v="1"/>
    <x v="2"/>
    <n v="33387.25"/>
    <n v="21671.89"/>
    <s v="Chicago"/>
    <x v="1"/>
    <s v="XL"/>
    <s v="Red"/>
    <n v="4"/>
    <x v="2"/>
    <s v="Wholesale"/>
    <s v="PayPal"/>
  </r>
  <r>
    <s v="ORD-202400798"/>
    <x v="632"/>
    <n v="8877"/>
    <s v="02/09/1989"/>
    <x v="0"/>
    <x v="0"/>
    <n v="10692.19"/>
    <n v="5663.43"/>
    <s v="Seattle"/>
    <x v="2"/>
    <s v="S"/>
    <s v="Green"/>
    <n v="4"/>
    <x v="0"/>
    <s v="Retail"/>
    <s v="PayPal"/>
  </r>
  <r>
    <s v="ORD-202400799"/>
    <x v="633"/>
    <n v="3768"/>
    <s v="06/01/1975"/>
    <x v="1"/>
    <x v="4"/>
    <n v="34915.56"/>
    <n v="18085.11"/>
    <s v="Los Angeles"/>
    <x v="2"/>
    <s v="M"/>
    <s v="White"/>
    <n v="2"/>
    <x v="1"/>
    <s v="Retail"/>
    <s v="PayPal"/>
  </r>
  <r>
    <s v="ORD-202400800"/>
    <x v="634"/>
    <n v="5838"/>
    <s v="12/05/1985"/>
    <x v="1"/>
    <x v="1"/>
    <n v="36861.03"/>
    <n v="19907.73"/>
    <s v="Seattle"/>
    <x v="2"/>
    <s v="L"/>
    <s v="Yellow"/>
    <n v="3"/>
    <x v="0"/>
    <s v="Wholesale"/>
    <s v="Cash"/>
  </r>
  <r>
    <s v="ORD-202400801"/>
    <x v="635"/>
    <n v="6024"/>
    <s v="24/01/1983"/>
    <x v="0"/>
    <x v="2"/>
    <n v="25732.12"/>
    <n v="13147.78"/>
    <s v="New York"/>
    <x v="0"/>
    <s v="XL"/>
    <s v="Black"/>
    <n v="3"/>
    <x v="1"/>
    <s v="Wholesale"/>
    <s v="Cash"/>
  </r>
  <r>
    <s v="ORD-202400802"/>
    <x v="636"/>
    <n v="4467"/>
    <s v="04/04/1971"/>
    <x v="1"/>
    <x v="3"/>
    <n v="5225.45"/>
    <n v="2364.06"/>
    <s v="San Francisco"/>
    <x v="2"/>
    <s v="L"/>
    <s v="Black"/>
    <n v="5"/>
    <x v="0"/>
    <s v="Wholesale"/>
    <s v="Bank Transfer"/>
  </r>
  <r>
    <s v="ORD-202400803"/>
    <x v="637"/>
    <n v="6149"/>
    <s v="23/06/1992"/>
    <x v="1"/>
    <x v="3"/>
    <n v="8308.44"/>
    <n v="5277.66"/>
    <s v="New York"/>
    <x v="0"/>
    <s v="M"/>
    <s v="Yellow"/>
    <n v="4"/>
    <x v="1"/>
    <s v="Wholesale"/>
    <s v="Cash"/>
  </r>
  <r>
    <s v="ORD-202400804"/>
    <x v="638"/>
    <n v="5559"/>
    <s v="25/09/1976"/>
    <x v="0"/>
    <x v="2"/>
    <n v="28449.89"/>
    <n v="14830.94"/>
    <s v="New York"/>
    <x v="0"/>
    <s v="XL"/>
    <s v="Yellow"/>
    <n v="1"/>
    <x v="2"/>
    <s v="Wholesale"/>
    <s v="PayPal"/>
  </r>
  <r>
    <s v="ORD-202400805"/>
    <x v="24"/>
    <n v="2619"/>
    <s v="05/02/1998"/>
    <x v="1"/>
    <x v="4"/>
    <n v="23092.93"/>
    <n v="11645.64"/>
    <s v="Detroit"/>
    <x v="1"/>
    <s v="S"/>
    <s v="Red"/>
    <n v="4"/>
    <x v="0"/>
    <s v="Retail"/>
    <s v="Bank Transfer"/>
  </r>
  <r>
    <s v="ORD-202400806"/>
    <x v="639"/>
    <n v="8472"/>
    <s v="30/03/1980"/>
    <x v="0"/>
    <x v="0"/>
    <n v="4695.88"/>
    <n v="2685.23"/>
    <s v="New York"/>
    <x v="0"/>
    <s v="L"/>
    <s v="Red"/>
    <n v="2"/>
    <x v="0"/>
    <s v="Wholesale"/>
    <s v="Cash"/>
  </r>
  <r>
    <s v="ORD-202400807"/>
    <x v="640"/>
    <n v="8606"/>
    <s v="30/05/1991"/>
    <x v="0"/>
    <x v="4"/>
    <n v="23686.560000000001"/>
    <n v="14360.75"/>
    <s v="New York"/>
    <x v="0"/>
    <s v="L"/>
    <s v="Black"/>
    <n v="1"/>
    <x v="1"/>
    <s v="Retail"/>
    <s v="Cash"/>
  </r>
  <r>
    <s v="ORD-202400808"/>
    <x v="641"/>
    <n v="1157"/>
    <s v="16/06/1983"/>
    <x v="1"/>
    <x v="1"/>
    <n v="63633.68"/>
    <n v="30054.49"/>
    <s v="New York"/>
    <x v="0"/>
    <s v="XL"/>
    <s v="Black"/>
    <n v="2"/>
    <x v="0"/>
    <s v="Wholesale"/>
    <s v="Bank Transfer"/>
  </r>
  <r>
    <s v="ORD-202400809"/>
    <x v="384"/>
    <n v="3892"/>
    <s v="24/04/1998"/>
    <x v="1"/>
    <x v="0"/>
    <n v="9363.08"/>
    <n v="5176.29"/>
    <s v="Minneapolis"/>
    <x v="1"/>
    <s v="L"/>
    <s v="Green"/>
    <n v="5"/>
    <x v="1"/>
    <s v="Retail"/>
    <s v="PayPal"/>
  </r>
  <r>
    <s v="ORD-202400810"/>
    <x v="642"/>
    <n v="1106"/>
    <s v="15/11/1991"/>
    <x v="1"/>
    <x v="1"/>
    <n v="96519.76"/>
    <n v="53270.18"/>
    <s v="Boston"/>
    <x v="0"/>
    <s v="XL"/>
    <s v="Blue"/>
    <n v="2"/>
    <x v="1"/>
    <s v="Retail"/>
    <s v="Bank Transfer"/>
  </r>
  <r>
    <s v="ORD-202400811"/>
    <x v="643"/>
    <n v="2781"/>
    <s v="07/09/1978"/>
    <x v="0"/>
    <x v="2"/>
    <n v="19369.88"/>
    <n v="10660.33"/>
    <s v="San Francisco"/>
    <x v="2"/>
    <s v="L"/>
    <s v="Yellow"/>
    <n v="4"/>
    <x v="1"/>
    <s v="Retail"/>
    <s v="PayPal"/>
  </r>
  <r>
    <s v="ORD-202400812"/>
    <x v="644"/>
    <n v="3587"/>
    <s v="15/09/1977"/>
    <x v="0"/>
    <x v="4"/>
    <n v="20451.21"/>
    <n v="11315.52"/>
    <s v="Seattle"/>
    <x v="2"/>
    <s v="XL"/>
    <s v="Black"/>
    <n v="5"/>
    <x v="0"/>
    <s v="Wholesale"/>
    <s v="Bank Transfer"/>
  </r>
  <r>
    <s v="ORD-202400813"/>
    <x v="286"/>
    <n v="3375"/>
    <s v="20/08/1986"/>
    <x v="1"/>
    <x v="1"/>
    <n v="54542.58"/>
    <n v="28405.05"/>
    <s v="San Francisco"/>
    <x v="2"/>
    <s v="L"/>
    <s v="White"/>
    <n v="3"/>
    <x v="1"/>
    <s v="Retail"/>
    <s v="Bank Transfer"/>
  </r>
  <r>
    <s v="ORD-202400814"/>
    <x v="645"/>
    <n v="8485"/>
    <s v="11/04/1976"/>
    <x v="1"/>
    <x v="4"/>
    <n v="10464.9"/>
    <n v="6183.37"/>
    <s v="San Francisco"/>
    <x v="2"/>
    <s v="M"/>
    <s v="Black"/>
    <n v="3"/>
    <x v="1"/>
    <s v="Retail"/>
    <s v="Bank Transfer"/>
  </r>
  <r>
    <s v="ORD-202400815"/>
    <x v="646"/>
    <n v="9240"/>
    <s v="24/08/1979"/>
    <x v="1"/>
    <x v="2"/>
    <n v="48660.61"/>
    <n v="22937"/>
    <s v="San Francisco"/>
    <x v="2"/>
    <s v="M"/>
    <s v="Blue"/>
    <n v="3"/>
    <x v="0"/>
    <s v="Wholesale"/>
    <s v="PayPal"/>
  </r>
  <r>
    <s v="ORD-202400816"/>
    <x v="647"/>
    <n v="5093"/>
    <s v="06/11/1991"/>
    <x v="1"/>
    <x v="0"/>
    <n v="17810.47"/>
    <n v="10102.51"/>
    <s v="New York"/>
    <x v="0"/>
    <s v="S"/>
    <s v="Red"/>
    <n v="1"/>
    <x v="0"/>
    <s v="Retail"/>
    <s v="Bank Transfer"/>
  </r>
  <r>
    <s v="ORD-202400817"/>
    <x v="107"/>
    <n v="7779"/>
    <s v="23/07/1984"/>
    <x v="0"/>
    <x v="4"/>
    <n v="41142.9"/>
    <n v="23367.59"/>
    <s v="San Francisco"/>
    <x v="2"/>
    <s v="M"/>
    <s v="Yellow"/>
    <n v="1"/>
    <x v="1"/>
    <s v="Retail"/>
    <s v="PayPal"/>
  </r>
  <r>
    <s v="ORD-202400818"/>
    <x v="10"/>
    <n v="3301"/>
    <s v="25/12/1970"/>
    <x v="0"/>
    <x v="1"/>
    <n v="94453.69"/>
    <n v="55713.53"/>
    <s v="Miami"/>
    <x v="0"/>
    <s v="L"/>
    <s v="Green"/>
    <n v="4"/>
    <x v="0"/>
    <s v="Retail"/>
    <s v="Bank Transfer"/>
  </r>
  <r>
    <s v="ORD-202400819"/>
    <x v="648"/>
    <n v="5183"/>
    <s v="14/08/1981"/>
    <x v="0"/>
    <x v="2"/>
    <n v="9884.57"/>
    <n v="5717.71"/>
    <s v="Miami"/>
    <x v="0"/>
    <s v="XL"/>
    <s v="White"/>
    <n v="4"/>
    <x v="0"/>
    <s v="Wholesale"/>
    <s v="Cash"/>
  </r>
  <r>
    <s v="ORD-202400820"/>
    <x v="119"/>
    <n v="6358"/>
    <s v="14/08/1992"/>
    <x v="1"/>
    <x v="2"/>
    <n v="14082.32"/>
    <n v="7277.05"/>
    <s v="Detroit"/>
    <x v="1"/>
    <s v="S"/>
    <s v="Black"/>
    <n v="1"/>
    <x v="0"/>
    <s v="Wholesale"/>
    <s v="Cash"/>
  </r>
  <r>
    <s v="ORD-202400821"/>
    <x v="649"/>
    <n v="4127"/>
    <s v="13/05/1997"/>
    <x v="0"/>
    <x v="3"/>
    <n v="9066.7099999999991"/>
    <n v="4861.47"/>
    <s v="Boston"/>
    <x v="0"/>
    <s v="L"/>
    <s v="White"/>
    <n v="4"/>
    <x v="2"/>
    <s v="Wholesale"/>
    <s v="Cash"/>
  </r>
  <r>
    <s v="ORD-202400822"/>
    <x v="129"/>
    <n v="8084"/>
    <s v="03/09/1993"/>
    <x v="0"/>
    <x v="4"/>
    <n v="26282.38"/>
    <n v="13371.5"/>
    <s v="New York"/>
    <x v="0"/>
    <s v="XL"/>
    <s v="Red"/>
    <n v="1"/>
    <x v="1"/>
    <s v="Retail"/>
    <s v="Bank Transfer"/>
  </r>
  <r>
    <s v="ORD-202400823"/>
    <x v="160"/>
    <n v="4282"/>
    <s v="27/04/1999"/>
    <x v="1"/>
    <x v="0"/>
    <n v="12339.02"/>
    <n v="7316.8"/>
    <s v="Detroit"/>
    <x v="1"/>
    <s v="M"/>
    <s v="Blue"/>
    <n v="2"/>
    <x v="1"/>
    <s v="Retail"/>
    <s v="Cash"/>
  </r>
  <r>
    <s v="ORD-202400824"/>
    <x v="650"/>
    <n v="6166"/>
    <s v="09/09/1984"/>
    <x v="0"/>
    <x v="0"/>
    <n v="14999.94"/>
    <n v="7355.07"/>
    <s v="New York"/>
    <x v="0"/>
    <s v="M"/>
    <s v="White"/>
    <n v="3"/>
    <x v="1"/>
    <s v="Wholesale"/>
    <s v="Bank Transfer"/>
  </r>
  <r>
    <s v="ORD-202400825"/>
    <x v="651"/>
    <n v="4417"/>
    <s v="30/11/1989"/>
    <x v="1"/>
    <x v="4"/>
    <n v="14731.39"/>
    <n v="7921.21"/>
    <s v="San Francisco"/>
    <x v="2"/>
    <s v="M"/>
    <s v="Blue"/>
    <n v="4"/>
    <x v="0"/>
    <s v="Retail"/>
    <s v="Cash"/>
  </r>
  <r>
    <s v="ORD-202400826"/>
    <x v="652"/>
    <n v="9013"/>
    <s v="26/05/1975"/>
    <x v="1"/>
    <x v="0"/>
    <n v="12214.84"/>
    <n v="6270.8"/>
    <s v="Boston"/>
    <x v="0"/>
    <s v="M"/>
    <s v="Blue"/>
    <n v="1"/>
    <x v="0"/>
    <s v="Retail"/>
    <s v="Bank Transfer"/>
  </r>
  <r>
    <s v="ORD-202400827"/>
    <x v="653"/>
    <n v="2639"/>
    <s v="16/12/1987"/>
    <x v="1"/>
    <x v="4"/>
    <n v="21334.52"/>
    <n v="10923.2"/>
    <s v="Miami"/>
    <x v="0"/>
    <s v="S"/>
    <s v="White"/>
    <n v="3"/>
    <x v="1"/>
    <s v="Wholesale"/>
    <s v="PayPal"/>
  </r>
  <r>
    <s v="ORD-202400828"/>
    <x v="654"/>
    <n v="6296"/>
    <s v="15/01/1999"/>
    <x v="0"/>
    <x v="3"/>
    <n v="3194.4"/>
    <n v="1596.56"/>
    <s v="Miami"/>
    <x v="0"/>
    <s v="S"/>
    <s v="Blue"/>
    <n v="5"/>
    <x v="1"/>
    <s v="Wholesale"/>
    <s v="Cash"/>
  </r>
  <r>
    <s v="ORD-202400829"/>
    <x v="655"/>
    <n v="7797"/>
    <s v="14/09/1997"/>
    <x v="0"/>
    <x v="3"/>
    <n v="10681.88"/>
    <n v="5179.9399999999996"/>
    <s v="Los Angeles"/>
    <x v="2"/>
    <s v="M"/>
    <s v="Black"/>
    <n v="2"/>
    <x v="1"/>
    <s v="Wholesale"/>
    <s v="Cash"/>
  </r>
  <r>
    <s v="ORD-202400830"/>
    <x v="656"/>
    <n v="6260"/>
    <s v="24/11/1997"/>
    <x v="0"/>
    <x v="2"/>
    <n v="45330.07"/>
    <n v="23404.66"/>
    <s v="Los Angeles"/>
    <x v="2"/>
    <s v="XL"/>
    <s v="Red"/>
    <n v="2"/>
    <x v="2"/>
    <s v="Retail"/>
    <s v="Bank Transfer"/>
  </r>
  <r>
    <s v="ORD-202400831"/>
    <x v="657"/>
    <n v="4648"/>
    <s v="22/08/1985"/>
    <x v="0"/>
    <x v="1"/>
    <n v="36253.730000000003"/>
    <n v="16795.09"/>
    <s v="Boston"/>
    <x v="0"/>
    <s v="XL"/>
    <s v="White"/>
    <n v="4"/>
    <x v="2"/>
    <s v="Retail"/>
    <s v="Cash"/>
  </r>
  <r>
    <s v="ORD-202400832"/>
    <x v="658"/>
    <n v="6290"/>
    <s v="02/10/1975"/>
    <x v="1"/>
    <x v="4"/>
    <n v="37437.24"/>
    <n v="21851.61"/>
    <s v="Detroit"/>
    <x v="1"/>
    <s v="S"/>
    <s v="White"/>
    <n v="4"/>
    <x v="0"/>
    <s v="Wholesale"/>
    <s v="Cash"/>
  </r>
  <r>
    <s v="ORD-202400833"/>
    <x v="360"/>
    <n v="2346"/>
    <s v="28/07/1999"/>
    <x v="0"/>
    <x v="4"/>
    <n v="51808.38"/>
    <n v="26238.87"/>
    <s v="Seattle"/>
    <x v="2"/>
    <s v="S"/>
    <s v="Blue"/>
    <n v="2"/>
    <x v="1"/>
    <s v="Wholesale"/>
    <s v="Bank Transfer"/>
  </r>
  <r>
    <s v="ORD-202400834"/>
    <x v="659"/>
    <n v="3157"/>
    <s v="19/12/1981"/>
    <x v="1"/>
    <x v="0"/>
    <n v="13274.64"/>
    <n v="7729.03"/>
    <s v="San Francisco"/>
    <x v="2"/>
    <s v="S"/>
    <s v="Black"/>
    <n v="4"/>
    <x v="0"/>
    <s v="Wholesale"/>
    <s v="Cash"/>
  </r>
  <r>
    <s v="ORD-202400835"/>
    <x v="529"/>
    <n v="6284"/>
    <s v="19/10/1987"/>
    <x v="0"/>
    <x v="4"/>
    <n v="43750.81"/>
    <n v="23921.59"/>
    <s v="Seattle"/>
    <x v="2"/>
    <s v="L"/>
    <s v="Blue"/>
    <n v="5"/>
    <x v="1"/>
    <s v="Wholesale"/>
    <s v="Bank Transfer"/>
  </r>
  <r>
    <s v="ORD-202400836"/>
    <x v="178"/>
    <n v="6527"/>
    <s v="29/01/1993"/>
    <x v="1"/>
    <x v="1"/>
    <n v="105947.57"/>
    <n v="51624.42"/>
    <s v="Boston"/>
    <x v="0"/>
    <s v="L"/>
    <s v="White"/>
    <n v="5"/>
    <x v="0"/>
    <s v="Retail"/>
    <s v="Bank Transfer"/>
  </r>
  <r>
    <s v="ORD-202400837"/>
    <x v="660"/>
    <n v="9901"/>
    <s v="21/02/1971"/>
    <x v="0"/>
    <x v="4"/>
    <n v="11499.59"/>
    <n v="7417.44"/>
    <s v="Miami"/>
    <x v="0"/>
    <s v="S"/>
    <s v="Red"/>
    <n v="5"/>
    <x v="0"/>
    <s v="Retail"/>
    <s v="Bank Transfer"/>
  </r>
  <r>
    <s v="ORD-202400838"/>
    <x v="20"/>
    <n v="7513"/>
    <s v="11/03/1978"/>
    <x v="0"/>
    <x v="1"/>
    <n v="33517.07"/>
    <n v="19644.849999999999"/>
    <s v="San Francisco"/>
    <x v="2"/>
    <s v="S"/>
    <s v="Blue"/>
    <n v="3"/>
    <x v="0"/>
    <s v="Wholesale"/>
    <s v="PayPal"/>
  </r>
  <r>
    <s v="ORD-202400839"/>
    <x v="14"/>
    <n v="9697"/>
    <s v="03/05/1980"/>
    <x v="0"/>
    <x v="4"/>
    <n v="18850.34"/>
    <n v="8860.18"/>
    <s v="Detroit"/>
    <x v="1"/>
    <s v="M"/>
    <s v="Black"/>
    <n v="5"/>
    <x v="1"/>
    <s v="Wholesale"/>
    <s v="PayPal"/>
  </r>
  <r>
    <s v="ORD-202400840"/>
    <x v="345"/>
    <n v="5857"/>
    <s v="25/12/1987"/>
    <x v="1"/>
    <x v="1"/>
    <n v="79325.23"/>
    <n v="51117.32"/>
    <s v="Seattle"/>
    <x v="2"/>
    <s v="XL"/>
    <s v="White"/>
    <n v="3"/>
    <x v="1"/>
    <s v="Wholesale"/>
    <s v="Cash"/>
  </r>
  <r>
    <s v="ORD-202400841"/>
    <x v="510"/>
    <n v="2094"/>
    <s v="23/08/1996"/>
    <x v="0"/>
    <x v="1"/>
    <n v="80552.850000000006"/>
    <n v="38509.15"/>
    <s v="Seattle"/>
    <x v="2"/>
    <s v="XL"/>
    <s v="Blue"/>
    <n v="2"/>
    <x v="1"/>
    <s v="Retail"/>
    <s v="Bank Transfer"/>
  </r>
  <r>
    <s v="ORD-202400842"/>
    <x v="661"/>
    <n v="3300"/>
    <s v="23/05/1982"/>
    <x v="1"/>
    <x v="2"/>
    <n v="13289.47"/>
    <n v="7946.19"/>
    <s v="Los Angeles"/>
    <x v="2"/>
    <s v="M"/>
    <s v="Blue"/>
    <n v="4"/>
    <x v="1"/>
    <s v="Retail"/>
    <s v="Bank Transfer"/>
  </r>
  <r>
    <s v="ORD-202400843"/>
    <x v="662"/>
    <n v="8718"/>
    <s v="04/11/1996"/>
    <x v="0"/>
    <x v="1"/>
    <n v="83090.86"/>
    <n v="42356.77"/>
    <s v="Los Angeles"/>
    <x v="2"/>
    <s v="S"/>
    <s v="Yellow"/>
    <n v="5"/>
    <x v="0"/>
    <s v="Retail"/>
    <s v="PayPal"/>
  </r>
  <r>
    <s v="ORD-202400844"/>
    <x v="663"/>
    <n v="8643"/>
    <s v="23/01/1975"/>
    <x v="1"/>
    <x v="3"/>
    <n v="8831.01"/>
    <n v="5521.58"/>
    <s v="San Francisco"/>
    <x v="2"/>
    <s v="XL"/>
    <s v="Green"/>
    <n v="2"/>
    <x v="0"/>
    <s v="Retail"/>
    <s v="PayPal"/>
  </r>
  <r>
    <s v="ORD-202400845"/>
    <x v="664"/>
    <n v="8085"/>
    <s v="08/03/1992"/>
    <x v="1"/>
    <x v="3"/>
    <n v="2726.93"/>
    <n v="1284.49"/>
    <s v="Boston"/>
    <x v="0"/>
    <s v="L"/>
    <s v="Black"/>
    <n v="3"/>
    <x v="2"/>
    <s v="Wholesale"/>
    <s v="Bank Transfer"/>
  </r>
  <r>
    <s v="ORD-202400846"/>
    <x v="665"/>
    <n v="4977"/>
    <s v="13/10/1991"/>
    <x v="1"/>
    <x v="3"/>
    <n v="4740.62"/>
    <n v="2544.54"/>
    <s v="San Francisco"/>
    <x v="2"/>
    <s v="L"/>
    <s v="Red"/>
    <n v="4"/>
    <x v="0"/>
    <s v="Wholesale"/>
    <s v="Bank Transfer"/>
  </r>
  <r>
    <s v="ORD-202400847"/>
    <x v="666"/>
    <n v="2615"/>
    <s v="30/10/1998"/>
    <x v="0"/>
    <x v="2"/>
    <n v="12508.11"/>
    <n v="7539.97"/>
    <s v="Boston"/>
    <x v="0"/>
    <s v="L"/>
    <s v="Yellow"/>
    <n v="5"/>
    <x v="1"/>
    <s v="Retail"/>
    <s v="PayPal"/>
  </r>
  <r>
    <s v="ORD-202400848"/>
    <x v="202"/>
    <n v="1610"/>
    <s v="13/06/1993"/>
    <x v="1"/>
    <x v="0"/>
    <n v="22936.240000000002"/>
    <n v="13202.64"/>
    <s v="Seattle"/>
    <x v="2"/>
    <s v="XL"/>
    <s v="Black"/>
    <n v="1"/>
    <x v="1"/>
    <s v="Retail"/>
    <s v="PayPal"/>
  </r>
  <r>
    <s v="ORD-202400849"/>
    <x v="34"/>
    <n v="5153"/>
    <s v="26/06/1990"/>
    <x v="1"/>
    <x v="2"/>
    <n v="25504.62"/>
    <n v="13232.05"/>
    <s v="Chicago"/>
    <x v="1"/>
    <s v="M"/>
    <s v="Green"/>
    <n v="4"/>
    <x v="0"/>
    <s v="Retail"/>
    <s v="PayPal"/>
  </r>
  <r>
    <s v="ORD-202400850"/>
    <x v="667"/>
    <n v="6273"/>
    <s v="20/07/1994"/>
    <x v="1"/>
    <x v="0"/>
    <n v="9194.74"/>
    <n v="5573.79"/>
    <s v="Minneapolis"/>
    <x v="1"/>
    <s v="M"/>
    <s v="White"/>
    <n v="1"/>
    <x v="1"/>
    <s v="Wholesale"/>
    <s v="PayPal"/>
  </r>
  <r>
    <s v="ORD-202400851"/>
    <x v="668"/>
    <n v="7652"/>
    <s v="07/09/1998"/>
    <x v="1"/>
    <x v="2"/>
    <n v="20639.54"/>
    <n v="11927.49"/>
    <s v="Chicago"/>
    <x v="1"/>
    <s v="XL"/>
    <s v="Blue"/>
    <n v="3"/>
    <x v="2"/>
    <s v="Retail"/>
    <s v="Bank Transfer"/>
  </r>
  <r>
    <s v="ORD-202400852"/>
    <x v="339"/>
    <n v="2826"/>
    <s v="18/09/1970"/>
    <x v="0"/>
    <x v="0"/>
    <n v="11190.73"/>
    <n v="7069.92"/>
    <s v="Minneapolis"/>
    <x v="1"/>
    <s v="L"/>
    <s v="Yellow"/>
    <n v="5"/>
    <x v="1"/>
    <s v="Wholesale"/>
    <s v="Cash"/>
  </r>
  <r>
    <s v="ORD-202400853"/>
    <x v="451"/>
    <n v="5315"/>
    <s v="25/02/1988"/>
    <x v="0"/>
    <x v="0"/>
    <n v="20820.57"/>
    <n v="11588.01"/>
    <s v="Los Angeles"/>
    <x v="2"/>
    <s v="XL"/>
    <s v="Blue"/>
    <n v="4"/>
    <x v="1"/>
    <s v="Wholesale"/>
    <s v="Bank Transfer"/>
  </r>
  <r>
    <s v="ORD-202400854"/>
    <x v="669"/>
    <n v="9978"/>
    <s v="11/01/1981"/>
    <x v="0"/>
    <x v="2"/>
    <n v="24673.97"/>
    <n v="12454.38"/>
    <s v="New York"/>
    <x v="0"/>
    <s v="XL"/>
    <s v="Blue"/>
    <n v="2"/>
    <x v="1"/>
    <s v="Retail"/>
    <s v="PayPal"/>
  </r>
  <r>
    <s v="ORD-202400855"/>
    <x v="670"/>
    <n v="8917"/>
    <s v="18/06/1997"/>
    <x v="1"/>
    <x v="4"/>
    <n v="14877.63"/>
    <n v="8335.1200000000008"/>
    <s v="Chicago"/>
    <x v="1"/>
    <s v="M"/>
    <s v="White"/>
    <n v="2"/>
    <x v="2"/>
    <s v="Retail"/>
    <s v="PayPal"/>
  </r>
  <r>
    <s v="ORD-202400856"/>
    <x v="228"/>
    <n v="8066"/>
    <s v="28/10/1981"/>
    <x v="1"/>
    <x v="0"/>
    <n v="10981.83"/>
    <n v="6974.57"/>
    <s v="Miami"/>
    <x v="0"/>
    <s v="M"/>
    <s v="Green"/>
    <n v="5"/>
    <x v="1"/>
    <s v="Wholesale"/>
    <s v="Cash"/>
  </r>
  <r>
    <s v="ORD-202400857"/>
    <x v="671"/>
    <n v="9314"/>
    <s v="03/05/1974"/>
    <x v="1"/>
    <x v="2"/>
    <n v="34040.29"/>
    <n v="16031.67"/>
    <s v="Seattle"/>
    <x v="2"/>
    <s v="M"/>
    <s v="Black"/>
    <n v="3"/>
    <x v="0"/>
    <s v="Wholesale"/>
    <s v="PayPal"/>
  </r>
  <r>
    <s v="ORD-202400858"/>
    <x v="672"/>
    <n v="8174"/>
    <s v="24/08/1990"/>
    <x v="1"/>
    <x v="1"/>
    <n v="47564.800000000003"/>
    <n v="22019.25"/>
    <s v="Chicago"/>
    <x v="1"/>
    <s v="M"/>
    <s v="Red"/>
    <n v="5"/>
    <x v="1"/>
    <s v="Wholesale"/>
    <s v="Bank Transfer"/>
  </r>
  <r>
    <s v="ORD-202400859"/>
    <x v="439"/>
    <n v="5128"/>
    <s v="21/05/1982"/>
    <x v="0"/>
    <x v="4"/>
    <n v="39564.199999999997"/>
    <n v="21687.59"/>
    <s v="Boston"/>
    <x v="0"/>
    <s v="M"/>
    <s v="White"/>
    <n v="2"/>
    <x v="0"/>
    <s v="Retail"/>
    <s v="PayPal"/>
  </r>
  <r>
    <s v="ORD-202400860"/>
    <x v="587"/>
    <n v="3363"/>
    <s v="06/04/1988"/>
    <x v="1"/>
    <x v="2"/>
    <n v="44337.78"/>
    <n v="28561.41"/>
    <s v="Miami"/>
    <x v="0"/>
    <s v="S"/>
    <s v="Black"/>
    <n v="3"/>
    <x v="0"/>
    <s v="Wholesale"/>
    <s v="Cash"/>
  </r>
  <r>
    <s v="ORD-202400861"/>
    <x v="673"/>
    <n v="3938"/>
    <s v="28/02/1981"/>
    <x v="0"/>
    <x v="2"/>
    <n v="6777.13"/>
    <n v="4308.66"/>
    <s v="Boston"/>
    <x v="0"/>
    <s v="S"/>
    <s v="Green"/>
    <n v="1"/>
    <x v="1"/>
    <s v="Retail"/>
    <s v="PayPal"/>
  </r>
  <r>
    <s v="ORD-202400862"/>
    <x v="415"/>
    <n v="6624"/>
    <s v="19/03/1976"/>
    <x v="0"/>
    <x v="3"/>
    <n v="2773.72"/>
    <n v="1445.2"/>
    <s v="Minneapolis"/>
    <x v="1"/>
    <s v="XL"/>
    <s v="Green"/>
    <n v="4"/>
    <x v="1"/>
    <s v="Retail"/>
    <s v="Cash"/>
  </r>
  <r>
    <s v="ORD-202400863"/>
    <x v="674"/>
    <n v="5223"/>
    <s v="02/07/1993"/>
    <x v="0"/>
    <x v="0"/>
    <n v="19499.84"/>
    <n v="9012.44"/>
    <s v="Seattle"/>
    <x v="2"/>
    <s v="S"/>
    <s v="Black"/>
    <n v="3"/>
    <x v="1"/>
    <s v="Retail"/>
    <s v="PayPal"/>
  </r>
  <r>
    <s v="ORD-202400864"/>
    <x v="125"/>
    <n v="7141"/>
    <s v="10/04/1995"/>
    <x v="0"/>
    <x v="2"/>
    <n v="34684.639999999999"/>
    <n v="16915.57"/>
    <s v="San Francisco"/>
    <x v="2"/>
    <s v="XL"/>
    <s v="Blue"/>
    <n v="5"/>
    <x v="1"/>
    <s v="Retail"/>
    <s v="PayPal"/>
  </r>
  <r>
    <s v="ORD-202400865"/>
    <x v="471"/>
    <n v="9312"/>
    <s v="18/12/1977"/>
    <x v="0"/>
    <x v="2"/>
    <n v="21594.63"/>
    <n v="11639.97"/>
    <s v="Detroit"/>
    <x v="1"/>
    <s v="S"/>
    <s v="Yellow"/>
    <n v="1"/>
    <x v="2"/>
    <s v="Retail"/>
    <s v="Bank Transfer"/>
  </r>
  <r>
    <s v="ORD-202400866"/>
    <x v="205"/>
    <n v="4164"/>
    <s v="28/04/1992"/>
    <x v="0"/>
    <x v="4"/>
    <n v="61964.28"/>
    <n v="39285.339999999997"/>
    <s v="Seattle"/>
    <x v="2"/>
    <s v="XL"/>
    <s v="Black"/>
    <n v="5"/>
    <x v="2"/>
    <s v="Wholesale"/>
    <s v="Cash"/>
  </r>
  <r>
    <s v="ORD-202400867"/>
    <x v="675"/>
    <n v="4085"/>
    <s v="06/01/1992"/>
    <x v="1"/>
    <x v="2"/>
    <n v="8372.48"/>
    <n v="3865.78"/>
    <s v="New York"/>
    <x v="0"/>
    <s v="XL"/>
    <s v="Black"/>
    <n v="5"/>
    <x v="1"/>
    <s v="Retail"/>
    <s v="PayPal"/>
  </r>
  <r>
    <s v="ORD-202400868"/>
    <x v="676"/>
    <n v="9951"/>
    <s v="07/09/1987"/>
    <x v="0"/>
    <x v="1"/>
    <n v="40783.74"/>
    <n v="19457.72"/>
    <s v="Boston"/>
    <x v="0"/>
    <s v="M"/>
    <s v="Green"/>
    <n v="4"/>
    <x v="1"/>
    <s v="Retail"/>
    <s v="Bank Transfer"/>
  </r>
  <r>
    <s v="ORD-202400869"/>
    <x v="272"/>
    <n v="9152"/>
    <s v="21/09/1983"/>
    <x v="1"/>
    <x v="2"/>
    <n v="44764.18"/>
    <n v="26401.03"/>
    <s v="Los Angeles"/>
    <x v="2"/>
    <s v="S"/>
    <s v="Blue"/>
    <n v="1"/>
    <x v="1"/>
    <s v="Retail"/>
    <s v="PayPal"/>
  </r>
  <r>
    <s v="ORD-202400870"/>
    <x v="677"/>
    <n v="5963"/>
    <s v="13/02/1972"/>
    <x v="1"/>
    <x v="2"/>
    <n v="9908.92"/>
    <n v="6369.82"/>
    <s v="Boston"/>
    <x v="0"/>
    <s v="S"/>
    <s v="Black"/>
    <n v="4"/>
    <x v="0"/>
    <s v="Retail"/>
    <s v="Cash"/>
  </r>
  <r>
    <s v="ORD-202400871"/>
    <x v="678"/>
    <n v="4042"/>
    <s v="06/07/1990"/>
    <x v="0"/>
    <x v="0"/>
    <n v="17287.439999999999"/>
    <n v="8031.62"/>
    <s v="Boston"/>
    <x v="0"/>
    <s v="M"/>
    <s v="White"/>
    <n v="2"/>
    <x v="0"/>
    <s v="Wholesale"/>
    <s v="Cash"/>
  </r>
  <r>
    <s v="ORD-202400872"/>
    <x v="316"/>
    <n v="4938"/>
    <s v="19/03/1970"/>
    <x v="1"/>
    <x v="3"/>
    <n v="9438.2000000000007"/>
    <n v="6110.45"/>
    <s v="Chicago"/>
    <x v="1"/>
    <s v="M"/>
    <s v="Green"/>
    <n v="4"/>
    <x v="1"/>
    <s v="Retail"/>
    <s v="Cash"/>
  </r>
  <r>
    <s v="ORD-202400873"/>
    <x v="493"/>
    <n v="6074"/>
    <s v="02/02/1998"/>
    <x v="0"/>
    <x v="3"/>
    <n v="14253.41"/>
    <n v="8276.49"/>
    <s v="Miami"/>
    <x v="0"/>
    <s v="L"/>
    <s v="White"/>
    <n v="1"/>
    <x v="1"/>
    <s v="Retail"/>
    <s v="Bank Transfer"/>
  </r>
  <r>
    <s v="ORD-202400874"/>
    <x v="679"/>
    <n v="7479"/>
    <s v="20/06/1970"/>
    <x v="0"/>
    <x v="3"/>
    <n v="9660.02"/>
    <n v="5214.7299999999996"/>
    <s v="Chicago"/>
    <x v="1"/>
    <s v="M"/>
    <s v="Red"/>
    <n v="1"/>
    <x v="1"/>
    <s v="Wholesale"/>
    <s v="Bank Transfer"/>
  </r>
  <r>
    <s v="ORD-202400875"/>
    <x v="680"/>
    <n v="7524"/>
    <s v="17/07/2000"/>
    <x v="1"/>
    <x v="2"/>
    <n v="37044.870000000003"/>
    <n v="18779.560000000001"/>
    <s v="Seattle"/>
    <x v="2"/>
    <s v="L"/>
    <s v="Red"/>
    <n v="1"/>
    <x v="1"/>
    <s v="Wholesale"/>
    <s v="Cash"/>
  </r>
  <r>
    <s v="ORD-202400876"/>
    <x v="681"/>
    <n v="8683"/>
    <s v="08/08/1971"/>
    <x v="1"/>
    <x v="3"/>
    <n v="2465.08"/>
    <n v="1222.01"/>
    <s v="Detroit"/>
    <x v="1"/>
    <s v="XL"/>
    <s v="Blue"/>
    <n v="1"/>
    <x v="0"/>
    <s v="Wholesale"/>
    <s v="Cash"/>
  </r>
  <r>
    <s v="ORD-202400877"/>
    <x v="71"/>
    <n v="9251"/>
    <s v="04/11/1971"/>
    <x v="0"/>
    <x v="1"/>
    <n v="69466.17"/>
    <n v="41331.120000000003"/>
    <s v="San Francisco"/>
    <x v="2"/>
    <s v="S"/>
    <s v="Yellow"/>
    <n v="1"/>
    <x v="2"/>
    <s v="Retail"/>
    <s v="Bank Transfer"/>
  </r>
  <r>
    <s v="ORD-202400878"/>
    <x v="443"/>
    <n v="7226"/>
    <s v="22/07/1987"/>
    <x v="0"/>
    <x v="1"/>
    <n v="76048.08"/>
    <n v="41911.54"/>
    <s v="Minneapolis"/>
    <x v="1"/>
    <s v="M"/>
    <s v="Blue"/>
    <n v="2"/>
    <x v="1"/>
    <s v="Wholesale"/>
    <s v="Cash"/>
  </r>
  <r>
    <s v="ORD-202400879"/>
    <x v="682"/>
    <n v="3639"/>
    <s v="24/12/1994"/>
    <x v="0"/>
    <x v="3"/>
    <n v="8054.92"/>
    <n v="4136.29"/>
    <s v="Chicago"/>
    <x v="1"/>
    <s v="S"/>
    <s v="Black"/>
    <n v="1"/>
    <x v="1"/>
    <s v="Retail"/>
    <s v="PayPal"/>
  </r>
  <r>
    <s v="ORD-202400880"/>
    <x v="116"/>
    <n v="4828"/>
    <s v="28/08/1974"/>
    <x v="0"/>
    <x v="3"/>
    <n v="7265.17"/>
    <n v="4086.97"/>
    <s v="Boston"/>
    <x v="0"/>
    <s v="XL"/>
    <s v="Yellow"/>
    <n v="1"/>
    <x v="2"/>
    <s v="Wholesale"/>
    <s v="Cash"/>
  </r>
  <r>
    <s v="ORD-202400881"/>
    <x v="265"/>
    <n v="7325"/>
    <s v="21/08/1995"/>
    <x v="1"/>
    <x v="4"/>
    <n v="41709.46"/>
    <n v="21995.63"/>
    <s v="New York"/>
    <x v="0"/>
    <s v="M"/>
    <s v="Black"/>
    <n v="4"/>
    <x v="0"/>
    <s v="Retail"/>
    <s v="PayPal"/>
  </r>
  <r>
    <s v="ORD-202400882"/>
    <x v="683"/>
    <n v="5699"/>
    <s v="23/06/1976"/>
    <x v="0"/>
    <x v="1"/>
    <n v="102877.37"/>
    <n v="54287.4"/>
    <s v="New York"/>
    <x v="0"/>
    <s v="L"/>
    <s v="Blue"/>
    <n v="3"/>
    <x v="0"/>
    <s v="Retail"/>
    <s v="Bank Transfer"/>
  </r>
  <r>
    <s v="ORD-202400883"/>
    <x v="206"/>
    <n v="3048"/>
    <s v="17/01/1988"/>
    <x v="1"/>
    <x v="2"/>
    <n v="20801"/>
    <n v="11048.63"/>
    <s v="San Francisco"/>
    <x v="2"/>
    <s v="XL"/>
    <s v="White"/>
    <n v="4"/>
    <x v="1"/>
    <s v="Retail"/>
    <s v="Bank Transfer"/>
  </r>
  <r>
    <s v="ORD-202400884"/>
    <x v="684"/>
    <n v="4554"/>
    <s v="13/01/1981"/>
    <x v="0"/>
    <x v="2"/>
    <n v="38635.14"/>
    <n v="24711.07"/>
    <s v="Seattle"/>
    <x v="2"/>
    <s v="L"/>
    <s v="White"/>
    <n v="5"/>
    <x v="2"/>
    <s v="Wholesale"/>
    <s v="Bank Transfer"/>
  </r>
  <r>
    <s v="ORD-202400885"/>
    <x v="685"/>
    <n v="8410"/>
    <s v="05/04/1999"/>
    <x v="1"/>
    <x v="2"/>
    <n v="42382.46"/>
    <n v="27173.37"/>
    <s v="New York"/>
    <x v="0"/>
    <s v="XL"/>
    <s v="Red"/>
    <n v="2"/>
    <x v="1"/>
    <s v="Retail"/>
    <s v="Cash"/>
  </r>
  <r>
    <s v="ORD-202400886"/>
    <x v="686"/>
    <n v="7323"/>
    <s v="06/04/1979"/>
    <x v="0"/>
    <x v="1"/>
    <n v="39940.449999999997"/>
    <n v="23932.09"/>
    <s v="Boston"/>
    <x v="0"/>
    <s v="M"/>
    <s v="Black"/>
    <n v="4"/>
    <x v="0"/>
    <s v="Wholesale"/>
    <s v="Cash"/>
  </r>
  <r>
    <s v="ORD-202400887"/>
    <x v="530"/>
    <n v="9693"/>
    <s v="08/03/1984"/>
    <x v="0"/>
    <x v="2"/>
    <n v="43971.38"/>
    <n v="26707.88"/>
    <s v="San Francisco"/>
    <x v="2"/>
    <s v="S"/>
    <s v="Red"/>
    <n v="1"/>
    <x v="2"/>
    <s v="Wholesale"/>
    <s v="Bank Transfer"/>
  </r>
  <r>
    <s v="ORD-202400888"/>
    <x v="687"/>
    <n v="6039"/>
    <s v="22/07/1979"/>
    <x v="0"/>
    <x v="3"/>
    <n v="5277.56"/>
    <n v="3334.62"/>
    <s v="Minneapolis"/>
    <x v="1"/>
    <s v="XL"/>
    <s v="White"/>
    <n v="3"/>
    <x v="0"/>
    <s v="Retail"/>
    <s v="Cash"/>
  </r>
  <r>
    <s v="ORD-202400889"/>
    <x v="625"/>
    <n v="9721"/>
    <s v="25/04/1975"/>
    <x v="1"/>
    <x v="3"/>
    <n v="2855.05"/>
    <n v="1600.15"/>
    <s v="Chicago"/>
    <x v="1"/>
    <s v="XL"/>
    <s v="Black"/>
    <n v="3"/>
    <x v="0"/>
    <s v="Wholesale"/>
    <s v="Cash"/>
  </r>
  <r>
    <s v="ORD-202400890"/>
    <x v="688"/>
    <n v="7241"/>
    <s v="31/01/1976"/>
    <x v="1"/>
    <x v="3"/>
    <n v="5431.59"/>
    <n v="2629.39"/>
    <s v="New York"/>
    <x v="0"/>
    <s v="S"/>
    <s v="Yellow"/>
    <n v="3"/>
    <x v="2"/>
    <s v="Retail"/>
    <s v="Cash"/>
  </r>
  <r>
    <s v="ORD-202400891"/>
    <x v="689"/>
    <n v="6566"/>
    <s v="04/06/1985"/>
    <x v="0"/>
    <x v="3"/>
    <n v="20371.7"/>
    <n v="9447.9500000000007"/>
    <s v="Los Angeles"/>
    <x v="2"/>
    <s v="M"/>
    <s v="Yellow"/>
    <n v="3"/>
    <x v="0"/>
    <s v="Wholesale"/>
    <s v="Cash"/>
  </r>
  <r>
    <s v="ORD-202400892"/>
    <x v="328"/>
    <n v="6811"/>
    <s v="23/09/1973"/>
    <x v="1"/>
    <x v="4"/>
    <n v="7409.18"/>
    <n v="4654.5200000000004"/>
    <s v="Detroit"/>
    <x v="1"/>
    <s v="XL"/>
    <s v="Blue"/>
    <n v="3"/>
    <x v="2"/>
    <s v="Retail"/>
    <s v="Bank Transfer"/>
  </r>
  <r>
    <s v="ORD-202400893"/>
    <x v="36"/>
    <n v="4912"/>
    <s v="17/02/1999"/>
    <x v="1"/>
    <x v="1"/>
    <n v="29256.82"/>
    <n v="18994.43"/>
    <s v="Chicago"/>
    <x v="1"/>
    <s v="L"/>
    <s v="Red"/>
    <n v="3"/>
    <x v="0"/>
    <s v="Wholesale"/>
    <s v="Bank Transfer"/>
  </r>
  <r>
    <s v="ORD-202400894"/>
    <x v="690"/>
    <n v="1314"/>
    <s v="24/06/1970"/>
    <x v="1"/>
    <x v="1"/>
    <n v="33820.639999999999"/>
    <n v="21337.68"/>
    <s v="Miami"/>
    <x v="0"/>
    <s v="XL"/>
    <s v="White"/>
    <n v="1"/>
    <x v="0"/>
    <s v="Retail"/>
    <s v="Bank Transfer"/>
  </r>
  <r>
    <s v="ORD-202400895"/>
    <x v="691"/>
    <n v="3168"/>
    <s v="07/05/1985"/>
    <x v="1"/>
    <x v="3"/>
    <n v="17233.45"/>
    <n v="9658.94"/>
    <s v="Seattle"/>
    <x v="2"/>
    <s v="XL"/>
    <s v="Green"/>
    <n v="3"/>
    <x v="1"/>
    <s v="Retail"/>
    <s v="PayPal"/>
  </r>
  <r>
    <s v="ORD-202400896"/>
    <x v="253"/>
    <n v="3105"/>
    <s v="12/01/1971"/>
    <x v="0"/>
    <x v="3"/>
    <n v="8305.52"/>
    <n v="4031.68"/>
    <s v="Seattle"/>
    <x v="2"/>
    <s v="S"/>
    <s v="Blue"/>
    <n v="5"/>
    <x v="2"/>
    <s v="Wholesale"/>
    <s v="Cash"/>
  </r>
  <r>
    <s v="ORD-202400897"/>
    <x v="692"/>
    <n v="3559"/>
    <s v="27/02/1973"/>
    <x v="1"/>
    <x v="0"/>
    <n v="15179.45"/>
    <n v="7835.33"/>
    <s v="Los Angeles"/>
    <x v="2"/>
    <s v="S"/>
    <s v="Yellow"/>
    <n v="1"/>
    <x v="1"/>
    <s v="Retail"/>
    <s v="PayPal"/>
  </r>
  <r>
    <s v="ORD-202400898"/>
    <x v="480"/>
    <n v="4818"/>
    <s v="03/06/1989"/>
    <x v="0"/>
    <x v="4"/>
    <n v="9234.33"/>
    <n v="4302.1099999999997"/>
    <s v="Chicago"/>
    <x v="1"/>
    <s v="L"/>
    <s v="Black"/>
    <n v="5"/>
    <x v="1"/>
    <s v="Wholesale"/>
    <s v="PayPal"/>
  </r>
  <r>
    <s v="ORD-202400899"/>
    <x v="693"/>
    <n v="2003"/>
    <s v="19/07/1996"/>
    <x v="1"/>
    <x v="0"/>
    <n v="5331.5"/>
    <n v="2405.91"/>
    <s v="Detroit"/>
    <x v="1"/>
    <s v="M"/>
    <s v="Blue"/>
    <n v="3"/>
    <x v="1"/>
    <s v="Retail"/>
    <s v="Cash"/>
  </r>
  <r>
    <s v="ORD-202400900"/>
    <x v="151"/>
    <n v="3661"/>
    <s v="19/03/1980"/>
    <x v="1"/>
    <x v="0"/>
    <n v="10805.03"/>
    <n v="6142.25"/>
    <s v="Boston"/>
    <x v="0"/>
    <s v="XL"/>
    <s v="Yellow"/>
    <n v="3"/>
    <x v="1"/>
    <s v="Retail"/>
    <s v="Bank Transfer"/>
  </r>
  <r>
    <s v="ORD-202400901"/>
    <x v="694"/>
    <n v="5611"/>
    <s v="16/04/1981"/>
    <x v="0"/>
    <x v="4"/>
    <n v="12990.22"/>
    <n v="6008.71"/>
    <s v="Boston"/>
    <x v="0"/>
    <s v="L"/>
    <s v="Black"/>
    <n v="1"/>
    <x v="0"/>
    <s v="Wholesale"/>
    <s v="Cash"/>
  </r>
  <r>
    <s v="ORD-202400902"/>
    <x v="435"/>
    <n v="6216"/>
    <s v="16/12/1973"/>
    <x v="1"/>
    <x v="1"/>
    <n v="78699.429999999993"/>
    <n v="44945.35"/>
    <s v="Boston"/>
    <x v="0"/>
    <s v="S"/>
    <s v="Yellow"/>
    <n v="3"/>
    <x v="0"/>
    <s v="Retail"/>
    <s v="Bank Transfer"/>
  </r>
  <r>
    <s v="ORD-202400903"/>
    <x v="218"/>
    <n v="9944"/>
    <s v="23/01/1984"/>
    <x v="0"/>
    <x v="2"/>
    <n v="14527.68"/>
    <n v="7033"/>
    <s v="Miami"/>
    <x v="0"/>
    <s v="L"/>
    <s v="White"/>
    <n v="4"/>
    <x v="2"/>
    <s v="Retail"/>
    <s v="Bank Transfer"/>
  </r>
  <r>
    <s v="ORD-202400904"/>
    <x v="518"/>
    <n v="1401"/>
    <s v="27/10/1988"/>
    <x v="0"/>
    <x v="1"/>
    <n v="59111.86"/>
    <n v="31110.07"/>
    <s v="Miami"/>
    <x v="0"/>
    <s v="M"/>
    <s v="White"/>
    <n v="3"/>
    <x v="1"/>
    <s v="Wholesale"/>
    <s v="PayPal"/>
  </r>
  <r>
    <s v="ORD-202400905"/>
    <x v="695"/>
    <n v="7410"/>
    <s v="26/09/1970"/>
    <x v="1"/>
    <x v="1"/>
    <n v="14625.96"/>
    <n v="7568.39"/>
    <s v="Chicago"/>
    <x v="1"/>
    <s v="S"/>
    <s v="White"/>
    <n v="4"/>
    <x v="1"/>
    <s v="Wholesale"/>
    <s v="PayPal"/>
  </r>
  <r>
    <s v="ORD-202400906"/>
    <x v="188"/>
    <n v="3618"/>
    <s v="08/07/1989"/>
    <x v="1"/>
    <x v="1"/>
    <n v="124116.44"/>
    <n v="57335.85"/>
    <s v="Los Angeles"/>
    <x v="2"/>
    <s v="S"/>
    <s v="Red"/>
    <n v="3"/>
    <x v="0"/>
    <s v="Wholesale"/>
    <s v="Cash"/>
  </r>
  <r>
    <s v="ORD-202400907"/>
    <x v="696"/>
    <n v="3598"/>
    <s v="26/10/1983"/>
    <x v="1"/>
    <x v="3"/>
    <n v="12456.89"/>
    <n v="7309.85"/>
    <s v="San Francisco"/>
    <x v="2"/>
    <s v="XL"/>
    <s v="Yellow"/>
    <n v="1"/>
    <x v="0"/>
    <s v="Retail"/>
    <s v="Bank Transfer"/>
  </r>
  <r>
    <s v="ORD-202400908"/>
    <x v="415"/>
    <n v="1290"/>
    <s v="31/10/1972"/>
    <x v="1"/>
    <x v="3"/>
    <n v="7125.11"/>
    <n v="3557.01"/>
    <s v="Boston"/>
    <x v="0"/>
    <s v="L"/>
    <s v="Black"/>
    <n v="2"/>
    <x v="2"/>
    <s v="Wholesale"/>
    <s v="PayPal"/>
  </r>
  <r>
    <s v="ORD-202400909"/>
    <x v="659"/>
    <n v="4184"/>
    <s v="07/11/1984"/>
    <x v="0"/>
    <x v="0"/>
    <n v="15093.21"/>
    <n v="9151.2999999999993"/>
    <s v="Minneapolis"/>
    <x v="1"/>
    <s v="M"/>
    <s v="Black"/>
    <n v="5"/>
    <x v="0"/>
    <s v="Wholesale"/>
    <s v="Cash"/>
  </r>
  <r>
    <s v="ORD-202400910"/>
    <x v="674"/>
    <n v="3430"/>
    <s v="26/03/1987"/>
    <x v="1"/>
    <x v="3"/>
    <n v="3516.35"/>
    <n v="1927.62"/>
    <s v="Miami"/>
    <x v="0"/>
    <s v="L"/>
    <s v="Red"/>
    <n v="4"/>
    <x v="1"/>
    <s v="Retail"/>
    <s v="Bank Transfer"/>
  </r>
  <r>
    <s v="ORD-202400911"/>
    <x v="697"/>
    <n v="1050"/>
    <s v="08/01/1980"/>
    <x v="1"/>
    <x v="3"/>
    <n v="5214.08"/>
    <n v="2993.56"/>
    <s v="Miami"/>
    <x v="0"/>
    <s v="M"/>
    <s v="Green"/>
    <n v="3"/>
    <x v="0"/>
    <s v="Retail"/>
    <s v="PayPal"/>
  </r>
  <r>
    <s v="ORD-202400912"/>
    <x v="698"/>
    <n v="5843"/>
    <s v="27/05/1975"/>
    <x v="0"/>
    <x v="4"/>
    <n v="52819.97"/>
    <n v="25828.36"/>
    <s v="Seattle"/>
    <x v="2"/>
    <s v="L"/>
    <s v="Blue"/>
    <n v="4"/>
    <x v="1"/>
    <s v="Wholesale"/>
    <s v="Cash"/>
  </r>
  <r>
    <s v="ORD-202400913"/>
    <x v="347"/>
    <n v="7904"/>
    <s v="21/11/1998"/>
    <x v="0"/>
    <x v="4"/>
    <n v="19475.43"/>
    <n v="11785.74"/>
    <s v="Los Angeles"/>
    <x v="2"/>
    <s v="M"/>
    <s v="White"/>
    <n v="4"/>
    <x v="0"/>
    <s v="Retail"/>
    <s v="Bank Transfer"/>
  </r>
  <r>
    <s v="ORD-202400914"/>
    <x v="699"/>
    <n v="5665"/>
    <s v="03/05/1990"/>
    <x v="0"/>
    <x v="1"/>
    <n v="55909.33"/>
    <n v="28768.75"/>
    <s v="San Francisco"/>
    <x v="2"/>
    <s v="S"/>
    <s v="Red"/>
    <n v="1"/>
    <x v="2"/>
    <s v="Retail"/>
    <s v="Bank Transfer"/>
  </r>
  <r>
    <s v="ORD-202400915"/>
    <x v="700"/>
    <n v="6306"/>
    <s v="29/12/1998"/>
    <x v="1"/>
    <x v="2"/>
    <n v="11586.55"/>
    <n v="6634.65"/>
    <s v="Seattle"/>
    <x v="2"/>
    <s v="S"/>
    <s v="Black"/>
    <n v="3"/>
    <x v="1"/>
    <s v="Wholesale"/>
    <s v="Cash"/>
  </r>
  <r>
    <s v="ORD-202400916"/>
    <x v="594"/>
    <n v="2112"/>
    <s v="12/11/1972"/>
    <x v="0"/>
    <x v="0"/>
    <n v="5341.65"/>
    <n v="2962.24"/>
    <s v="Chicago"/>
    <x v="1"/>
    <s v="M"/>
    <s v="Red"/>
    <n v="3"/>
    <x v="2"/>
    <s v="Retail"/>
    <s v="Bank Transfer"/>
  </r>
  <r>
    <s v="ORD-202400917"/>
    <x v="84"/>
    <n v="7487"/>
    <s v="04/09/1988"/>
    <x v="0"/>
    <x v="1"/>
    <n v="71775.34"/>
    <n v="33583.300000000003"/>
    <s v="Los Angeles"/>
    <x v="2"/>
    <s v="M"/>
    <s v="White"/>
    <n v="2"/>
    <x v="1"/>
    <s v="Wholesale"/>
    <s v="Bank Transfer"/>
  </r>
  <r>
    <s v="ORD-202400918"/>
    <x v="538"/>
    <n v="4694"/>
    <s v="03/11/1998"/>
    <x v="1"/>
    <x v="0"/>
    <n v="5678.32"/>
    <n v="2803.96"/>
    <s v="Los Angeles"/>
    <x v="2"/>
    <s v="M"/>
    <s v="Blue"/>
    <n v="2"/>
    <x v="0"/>
    <s v="Retail"/>
    <s v="PayPal"/>
  </r>
  <r>
    <s v="ORD-202400919"/>
    <x v="469"/>
    <n v="7798"/>
    <s v="15/01/2000"/>
    <x v="0"/>
    <x v="1"/>
    <n v="14929.49"/>
    <n v="8478.9599999999991"/>
    <s v="New York"/>
    <x v="0"/>
    <s v="M"/>
    <s v="Blue"/>
    <n v="5"/>
    <x v="0"/>
    <s v="Retail"/>
    <s v="Cash"/>
  </r>
  <r>
    <s v="ORD-202400920"/>
    <x v="66"/>
    <n v="3494"/>
    <s v="19/07/1979"/>
    <x v="0"/>
    <x v="1"/>
    <n v="98512.06"/>
    <n v="58994.02"/>
    <s v="Miami"/>
    <x v="0"/>
    <s v="L"/>
    <s v="Green"/>
    <n v="5"/>
    <x v="1"/>
    <s v="Retail"/>
    <s v="Cash"/>
  </r>
  <r>
    <s v="ORD-202400921"/>
    <x v="701"/>
    <n v="2952"/>
    <s v="12/08/1987"/>
    <x v="1"/>
    <x v="2"/>
    <n v="21904.44"/>
    <n v="11808.87"/>
    <s v="Miami"/>
    <x v="0"/>
    <s v="XL"/>
    <s v="Blue"/>
    <n v="2"/>
    <x v="1"/>
    <s v="Retail"/>
    <s v="Cash"/>
  </r>
  <r>
    <s v="ORD-202400922"/>
    <x v="702"/>
    <n v="4511"/>
    <s v="09/12/2000"/>
    <x v="1"/>
    <x v="4"/>
    <n v="24557.93"/>
    <n v="11318.1"/>
    <s v="New York"/>
    <x v="0"/>
    <s v="M"/>
    <s v="Yellow"/>
    <n v="3"/>
    <x v="1"/>
    <s v="Retail"/>
    <s v="Cash"/>
  </r>
  <r>
    <s v="ORD-202400923"/>
    <x v="703"/>
    <n v="8501"/>
    <s v="07/09/1984"/>
    <x v="1"/>
    <x v="3"/>
    <n v="10223.120000000001"/>
    <n v="4938.29"/>
    <s v="Los Angeles"/>
    <x v="2"/>
    <s v="XL"/>
    <s v="White"/>
    <n v="5"/>
    <x v="0"/>
    <s v="Wholesale"/>
    <s v="PayPal"/>
  </r>
  <r>
    <s v="ORD-202400924"/>
    <x v="704"/>
    <n v="1819"/>
    <s v="27/05/1971"/>
    <x v="0"/>
    <x v="4"/>
    <n v="27432.34"/>
    <n v="17447.84"/>
    <s v="Chicago"/>
    <x v="1"/>
    <s v="L"/>
    <s v="White"/>
    <n v="4"/>
    <x v="0"/>
    <s v="Wholesale"/>
    <s v="Cash"/>
  </r>
  <r>
    <s v="ORD-202400925"/>
    <x v="705"/>
    <n v="5587"/>
    <s v="31/05/1973"/>
    <x v="1"/>
    <x v="0"/>
    <n v="19466.36"/>
    <n v="9917.99"/>
    <s v="Los Angeles"/>
    <x v="2"/>
    <s v="S"/>
    <s v="Red"/>
    <n v="3"/>
    <x v="1"/>
    <s v="Retail"/>
    <s v="Cash"/>
  </r>
  <r>
    <s v="ORD-202400926"/>
    <x v="73"/>
    <n v="3860"/>
    <s v="18/05/1991"/>
    <x v="0"/>
    <x v="0"/>
    <n v="7082.86"/>
    <n v="4214.03"/>
    <s v="Seattle"/>
    <x v="2"/>
    <s v="XL"/>
    <s v="Yellow"/>
    <n v="5"/>
    <x v="1"/>
    <s v="Retail"/>
    <s v="PayPal"/>
  </r>
  <r>
    <s v="ORD-202400927"/>
    <x v="706"/>
    <n v="7183"/>
    <s v="31/05/2000"/>
    <x v="0"/>
    <x v="0"/>
    <n v="3433.01"/>
    <n v="1841.8"/>
    <s v="Boston"/>
    <x v="0"/>
    <s v="XL"/>
    <s v="White"/>
    <n v="2"/>
    <x v="2"/>
    <s v="Retail"/>
    <s v="Cash"/>
  </r>
  <r>
    <s v="ORD-202400928"/>
    <x v="507"/>
    <n v="1399"/>
    <s v="28/12/1981"/>
    <x v="1"/>
    <x v="0"/>
    <n v="21832.81"/>
    <n v="10645.98"/>
    <s v="Miami"/>
    <x v="0"/>
    <s v="XL"/>
    <s v="Red"/>
    <n v="1"/>
    <x v="2"/>
    <s v="Wholesale"/>
    <s v="Bank Transfer"/>
  </r>
  <r>
    <s v="ORD-202400929"/>
    <x v="707"/>
    <n v="6964"/>
    <s v="08/11/1982"/>
    <x v="0"/>
    <x v="1"/>
    <n v="47308.95"/>
    <n v="25606.04"/>
    <s v="Boston"/>
    <x v="0"/>
    <s v="XL"/>
    <s v="Yellow"/>
    <n v="2"/>
    <x v="1"/>
    <s v="Wholesale"/>
    <s v="PayPal"/>
  </r>
  <r>
    <s v="ORD-202400930"/>
    <x v="69"/>
    <n v="7582"/>
    <s v="21/10/1977"/>
    <x v="1"/>
    <x v="2"/>
    <n v="25791.02"/>
    <n v="13398.11"/>
    <s v="New York"/>
    <x v="0"/>
    <s v="L"/>
    <s v="Blue"/>
    <n v="4"/>
    <x v="0"/>
    <s v="Retail"/>
    <s v="Bank Transfer"/>
  </r>
  <r>
    <s v="ORD-202400931"/>
    <x v="708"/>
    <n v="8644"/>
    <s v="15/12/1998"/>
    <x v="1"/>
    <x v="3"/>
    <n v="14305.55"/>
    <n v="8903.2000000000007"/>
    <s v="San Francisco"/>
    <x v="2"/>
    <s v="M"/>
    <s v="Red"/>
    <n v="3"/>
    <x v="0"/>
    <s v="Wholesale"/>
    <s v="PayPal"/>
  </r>
  <r>
    <s v="ORD-202400932"/>
    <x v="709"/>
    <n v="3285"/>
    <s v="26/09/1995"/>
    <x v="0"/>
    <x v="1"/>
    <n v="108303.06"/>
    <n v="57321.56"/>
    <s v="San Francisco"/>
    <x v="2"/>
    <s v="XL"/>
    <s v="Red"/>
    <n v="5"/>
    <x v="0"/>
    <s v="Retail"/>
    <s v="PayPal"/>
  </r>
  <r>
    <s v="ORD-202400933"/>
    <x v="710"/>
    <n v="6486"/>
    <s v="06/09/2000"/>
    <x v="1"/>
    <x v="0"/>
    <n v="5299.27"/>
    <n v="3160.33"/>
    <s v="Seattle"/>
    <x v="2"/>
    <s v="L"/>
    <s v="Yellow"/>
    <n v="4"/>
    <x v="0"/>
    <s v="Wholesale"/>
    <s v="Cash"/>
  </r>
  <r>
    <s v="ORD-202400934"/>
    <x v="711"/>
    <n v="8432"/>
    <s v="17/02/1980"/>
    <x v="0"/>
    <x v="2"/>
    <n v="43166.91"/>
    <n v="27154.01"/>
    <s v="Boston"/>
    <x v="0"/>
    <s v="M"/>
    <s v="Black"/>
    <n v="1"/>
    <x v="2"/>
    <s v="Wholesale"/>
    <s v="Cash"/>
  </r>
  <r>
    <s v="ORD-202400935"/>
    <x v="712"/>
    <n v="4428"/>
    <s v="03/08/1983"/>
    <x v="0"/>
    <x v="0"/>
    <n v="17297.48"/>
    <n v="8444.65"/>
    <s v="New York"/>
    <x v="0"/>
    <s v="S"/>
    <s v="Red"/>
    <n v="3"/>
    <x v="1"/>
    <s v="Retail"/>
    <s v="PayPal"/>
  </r>
  <r>
    <s v="ORD-202400936"/>
    <x v="713"/>
    <n v="7602"/>
    <s v="05/09/1999"/>
    <x v="0"/>
    <x v="1"/>
    <n v="64199.57"/>
    <n v="32744.55"/>
    <s v="San Francisco"/>
    <x v="2"/>
    <s v="XL"/>
    <s v="Green"/>
    <n v="2"/>
    <x v="1"/>
    <s v="Wholesale"/>
    <s v="Bank Transfer"/>
  </r>
  <r>
    <s v="ORD-202400937"/>
    <x v="119"/>
    <n v="6236"/>
    <s v="05/06/1992"/>
    <x v="1"/>
    <x v="4"/>
    <n v="10520.77"/>
    <n v="6208.58"/>
    <s v="Boston"/>
    <x v="0"/>
    <s v="XL"/>
    <s v="Yellow"/>
    <n v="1"/>
    <x v="1"/>
    <s v="Retail"/>
    <s v="Bank Transfer"/>
  </r>
  <r>
    <s v="ORD-202400938"/>
    <x v="714"/>
    <n v="2422"/>
    <s v="13/11/1991"/>
    <x v="1"/>
    <x v="1"/>
    <n v="17104.169999999998"/>
    <n v="8011.76"/>
    <s v="Detroit"/>
    <x v="1"/>
    <s v="M"/>
    <s v="Black"/>
    <n v="1"/>
    <x v="0"/>
    <s v="Wholesale"/>
    <s v="Cash"/>
  </r>
  <r>
    <s v="ORD-202400939"/>
    <x v="570"/>
    <n v="4548"/>
    <s v="29/03/1990"/>
    <x v="1"/>
    <x v="4"/>
    <n v="11513.29"/>
    <n v="6755.59"/>
    <s v="Miami"/>
    <x v="0"/>
    <s v="S"/>
    <s v="Yellow"/>
    <n v="4"/>
    <x v="1"/>
    <s v="Retail"/>
    <s v="Bank Transfer"/>
  </r>
  <r>
    <s v="ORD-202400940"/>
    <x v="588"/>
    <n v="2927"/>
    <s v="11/05/1981"/>
    <x v="1"/>
    <x v="3"/>
    <n v="5375.08"/>
    <n v="2904.4"/>
    <s v="Miami"/>
    <x v="0"/>
    <s v="M"/>
    <s v="Red"/>
    <n v="3"/>
    <x v="0"/>
    <s v="Retail"/>
    <s v="PayPal"/>
  </r>
  <r>
    <s v="ORD-202400941"/>
    <x v="605"/>
    <n v="3893"/>
    <s v="17/05/1987"/>
    <x v="1"/>
    <x v="4"/>
    <n v="13280.24"/>
    <n v="6461.31"/>
    <s v="Los Angeles"/>
    <x v="2"/>
    <s v="L"/>
    <s v="Black"/>
    <n v="5"/>
    <x v="2"/>
    <s v="Retail"/>
    <s v="Bank Transfer"/>
  </r>
  <r>
    <s v="ORD-202400942"/>
    <x v="715"/>
    <n v="1387"/>
    <s v="31/03/1995"/>
    <x v="1"/>
    <x v="4"/>
    <n v="16802.84"/>
    <n v="10230.700000000001"/>
    <s v="Chicago"/>
    <x v="1"/>
    <s v="XL"/>
    <s v="Red"/>
    <n v="5"/>
    <x v="2"/>
    <s v="Retail"/>
    <s v="PayPal"/>
  </r>
  <r>
    <s v="ORD-202400943"/>
    <x v="716"/>
    <n v="2096"/>
    <s v="10/12/1988"/>
    <x v="0"/>
    <x v="4"/>
    <n v="13473.59"/>
    <n v="8428.49"/>
    <s v="San Francisco"/>
    <x v="2"/>
    <s v="L"/>
    <s v="White"/>
    <n v="4"/>
    <x v="0"/>
    <s v="Retail"/>
    <s v="Cash"/>
  </r>
  <r>
    <s v="ORD-202400944"/>
    <x v="717"/>
    <n v="9944"/>
    <s v="04/01/1990"/>
    <x v="1"/>
    <x v="4"/>
    <n v="29195.09"/>
    <n v="15928.14"/>
    <s v="Los Angeles"/>
    <x v="2"/>
    <s v="M"/>
    <s v="Yellow"/>
    <n v="4"/>
    <x v="1"/>
    <s v="Retail"/>
    <s v="Cash"/>
  </r>
  <r>
    <s v="ORD-202400945"/>
    <x v="718"/>
    <n v="9359"/>
    <s v="09/09/1972"/>
    <x v="0"/>
    <x v="0"/>
    <n v="6161.89"/>
    <n v="3593.5"/>
    <s v="Los Angeles"/>
    <x v="2"/>
    <s v="S"/>
    <s v="Green"/>
    <n v="2"/>
    <x v="1"/>
    <s v="Retail"/>
    <s v="Bank Transfer"/>
  </r>
  <r>
    <s v="ORD-202400946"/>
    <x v="241"/>
    <n v="3824"/>
    <s v="11/06/1974"/>
    <x v="1"/>
    <x v="0"/>
    <n v="9935.11"/>
    <n v="5716.72"/>
    <s v="Chicago"/>
    <x v="1"/>
    <s v="S"/>
    <s v="Blue"/>
    <n v="2"/>
    <x v="2"/>
    <s v="Retail"/>
    <s v="Cash"/>
  </r>
  <r>
    <s v="ORD-202400947"/>
    <x v="719"/>
    <n v="6926"/>
    <s v="24/01/1998"/>
    <x v="0"/>
    <x v="1"/>
    <n v="61575.89"/>
    <n v="32713.93"/>
    <s v="New York"/>
    <x v="0"/>
    <s v="XL"/>
    <s v="Red"/>
    <n v="3"/>
    <x v="0"/>
    <s v="Retail"/>
    <s v="PayPal"/>
  </r>
  <r>
    <s v="ORD-202400948"/>
    <x v="720"/>
    <n v="8853"/>
    <s v="18/09/1975"/>
    <x v="1"/>
    <x v="2"/>
    <n v="32567.25"/>
    <n v="19575.72"/>
    <s v="Miami"/>
    <x v="0"/>
    <s v="M"/>
    <s v="Blue"/>
    <n v="5"/>
    <x v="0"/>
    <s v="Retail"/>
    <s v="Cash"/>
  </r>
  <r>
    <s v="ORD-202400949"/>
    <x v="721"/>
    <n v="1654"/>
    <s v="12/07/1976"/>
    <x v="1"/>
    <x v="2"/>
    <n v="22292.31"/>
    <n v="11283.62"/>
    <s v="Los Angeles"/>
    <x v="2"/>
    <s v="L"/>
    <s v="Green"/>
    <n v="5"/>
    <x v="0"/>
    <s v="Wholesale"/>
    <s v="Bank Transfer"/>
  </r>
  <r>
    <s v="ORD-202400950"/>
    <x v="722"/>
    <n v="3248"/>
    <s v="17/02/1995"/>
    <x v="1"/>
    <x v="0"/>
    <n v="10484.49"/>
    <n v="6167.87"/>
    <s v="Miami"/>
    <x v="0"/>
    <s v="L"/>
    <s v="Yellow"/>
    <n v="5"/>
    <x v="0"/>
    <s v="Retail"/>
    <s v="PayPal"/>
  </r>
  <r>
    <s v="ORD-202400951"/>
    <x v="723"/>
    <n v="6311"/>
    <s v="17/01/1984"/>
    <x v="0"/>
    <x v="3"/>
    <n v="13213.76"/>
    <n v="6867.23"/>
    <s v="San Francisco"/>
    <x v="2"/>
    <s v="L"/>
    <s v="Blue"/>
    <n v="3"/>
    <x v="0"/>
    <s v="Retail"/>
    <s v="Bank Transfer"/>
  </r>
  <r>
    <s v="ORD-202400952"/>
    <x v="146"/>
    <n v="5833"/>
    <s v="16/11/2000"/>
    <x v="0"/>
    <x v="0"/>
    <n v="16828.75"/>
    <n v="8789.61"/>
    <s v="Boston"/>
    <x v="0"/>
    <s v="L"/>
    <s v="Blue"/>
    <n v="4"/>
    <x v="0"/>
    <s v="Retail"/>
    <s v="PayPal"/>
  </r>
  <r>
    <s v="ORD-202400953"/>
    <x v="724"/>
    <n v="3999"/>
    <s v="18/02/1985"/>
    <x v="1"/>
    <x v="0"/>
    <n v="7596.86"/>
    <n v="4013.62"/>
    <s v="Miami"/>
    <x v="0"/>
    <s v="L"/>
    <s v="Yellow"/>
    <n v="4"/>
    <x v="0"/>
    <s v="Retail"/>
    <s v="PayPal"/>
  </r>
  <r>
    <s v="ORD-202400954"/>
    <x v="725"/>
    <n v="2090"/>
    <s v="23/02/1970"/>
    <x v="0"/>
    <x v="3"/>
    <n v="18974.830000000002"/>
    <n v="9505.67"/>
    <s v="Los Angeles"/>
    <x v="2"/>
    <s v="XL"/>
    <s v="White"/>
    <n v="5"/>
    <x v="0"/>
    <s v="Retail"/>
    <s v="PayPal"/>
  </r>
  <r>
    <s v="ORD-202400955"/>
    <x v="218"/>
    <n v="2770"/>
    <s v="13/09/1996"/>
    <x v="1"/>
    <x v="4"/>
    <n v="29010.45"/>
    <n v="14871.58"/>
    <s v="San Francisco"/>
    <x v="2"/>
    <s v="M"/>
    <s v="Blue"/>
    <n v="1"/>
    <x v="1"/>
    <s v="Wholesale"/>
    <s v="Cash"/>
  </r>
  <r>
    <s v="ORD-202400956"/>
    <x v="452"/>
    <n v="2571"/>
    <s v="19/09/1975"/>
    <x v="1"/>
    <x v="2"/>
    <n v="18990.82"/>
    <n v="11931.22"/>
    <s v="Los Angeles"/>
    <x v="2"/>
    <s v="S"/>
    <s v="Red"/>
    <n v="1"/>
    <x v="1"/>
    <s v="Wholesale"/>
    <s v="Bank Transfer"/>
  </r>
  <r>
    <s v="ORD-202400957"/>
    <x v="726"/>
    <n v="6792"/>
    <s v="19/12/1981"/>
    <x v="0"/>
    <x v="2"/>
    <n v="16568.55"/>
    <n v="9290.68"/>
    <s v="Los Angeles"/>
    <x v="2"/>
    <s v="L"/>
    <s v="Blue"/>
    <n v="2"/>
    <x v="2"/>
    <s v="Wholesale"/>
    <s v="Cash"/>
  </r>
  <r>
    <s v="ORD-202400958"/>
    <x v="727"/>
    <n v="8966"/>
    <s v="06/02/1982"/>
    <x v="0"/>
    <x v="3"/>
    <n v="2772.03"/>
    <n v="1716.1"/>
    <s v="New York"/>
    <x v="0"/>
    <s v="M"/>
    <s v="Blue"/>
    <n v="4"/>
    <x v="0"/>
    <s v="Wholesale"/>
    <s v="Cash"/>
  </r>
  <r>
    <s v="ORD-202400959"/>
    <x v="728"/>
    <n v="7335"/>
    <s v="25/11/1996"/>
    <x v="1"/>
    <x v="2"/>
    <n v="16850.16"/>
    <n v="7920.81"/>
    <s v="Los Angeles"/>
    <x v="2"/>
    <s v="S"/>
    <s v="White"/>
    <n v="4"/>
    <x v="1"/>
    <s v="Wholesale"/>
    <s v="Bank Transfer"/>
  </r>
  <r>
    <s v="ORD-202400960"/>
    <x v="684"/>
    <n v="9053"/>
    <s v="15/03/2000"/>
    <x v="1"/>
    <x v="4"/>
    <n v="34888.83"/>
    <n v="19355.87"/>
    <s v="Minneapolis"/>
    <x v="1"/>
    <s v="L"/>
    <s v="Red"/>
    <n v="4"/>
    <x v="0"/>
    <s v="Retail"/>
    <s v="Bank Transfer"/>
  </r>
  <r>
    <s v="ORD-202400961"/>
    <x v="729"/>
    <n v="7187"/>
    <s v="25/08/2000"/>
    <x v="0"/>
    <x v="4"/>
    <n v="27868.94"/>
    <n v="13695.53"/>
    <s v="Miami"/>
    <x v="0"/>
    <s v="L"/>
    <s v="Green"/>
    <n v="4"/>
    <x v="1"/>
    <s v="Wholesale"/>
    <s v="Cash"/>
  </r>
  <r>
    <s v="ORD-202400962"/>
    <x v="18"/>
    <n v="2059"/>
    <s v="12/12/1980"/>
    <x v="1"/>
    <x v="3"/>
    <n v="15750.45"/>
    <n v="7156.62"/>
    <s v="San Francisco"/>
    <x v="2"/>
    <s v="L"/>
    <s v="Green"/>
    <n v="4"/>
    <x v="1"/>
    <s v="Retail"/>
    <s v="Bank Transfer"/>
  </r>
  <r>
    <s v="ORD-202400963"/>
    <x v="730"/>
    <n v="5257"/>
    <s v="12/06/1986"/>
    <x v="1"/>
    <x v="1"/>
    <n v="17655.88"/>
    <n v="8718.9599999999991"/>
    <s v="Chicago"/>
    <x v="1"/>
    <s v="M"/>
    <s v="Red"/>
    <n v="4"/>
    <x v="1"/>
    <s v="Wholesale"/>
    <s v="Cash"/>
  </r>
  <r>
    <s v="ORD-202400964"/>
    <x v="731"/>
    <n v="2298"/>
    <s v="26/03/1981"/>
    <x v="1"/>
    <x v="4"/>
    <n v="28479.439999999999"/>
    <n v="14485.51"/>
    <s v="New York"/>
    <x v="0"/>
    <s v="XL"/>
    <s v="Green"/>
    <n v="2"/>
    <x v="1"/>
    <s v="Retail"/>
    <s v="PayPal"/>
  </r>
  <r>
    <s v="ORD-202400965"/>
    <x v="732"/>
    <n v="9977"/>
    <s v="06/12/1982"/>
    <x v="1"/>
    <x v="0"/>
    <n v="23679.74"/>
    <n v="14894.19"/>
    <s v="Los Angeles"/>
    <x v="2"/>
    <s v="M"/>
    <s v="Red"/>
    <n v="2"/>
    <x v="0"/>
    <s v="Retail"/>
    <s v="Cash"/>
  </r>
  <r>
    <s v="ORD-202400966"/>
    <x v="733"/>
    <n v="3931"/>
    <s v="20/07/1986"/>
    <x v="0"/>
    <x v="1"/>
    <n v="76435.48"/>
    <n v="37251.699999999997"/>
    <s v="Los Angeles"/>
    <x v="2"/>
    <s v="S"/>
    <s v="Green"/>
    <n v="2"/>
    <x v="0"/>
    <s v="Retail"/>
    <s v="Cash"/>
  </r>
  <r>
    <s v="ORD-202400967"/>
    <x v="403"/>
    <n v="3167"/>
    <s v="29/12/1976"/>
    <x v="0"/>
    <x v="2"/>
    <n v="30120.36"/>
    <n v="18579.919999999998"/>
    <s v="New York"/>
    <x v="0"/>
    <s v="L"/>
    <s v="White"/>
    <n v="2"/>
    <x v="0"/>
    <s v="Wholesale"/>
    <s v="PayPal"/>
  </r>
  <r>
    <s v="ORD-202400968"/>
    <x v="523"/>
    <n v="1009"/>
    <s v="05/02/1976"/>
    <x v="1"/>
    <x v="1"/>
    <n v="41072.769999999997"/>
    <n v="25044.84"/>
    <s v="Seattle"/>
    <x v="2"/>
    <s v="XL"/>
    <s v="Yellow"/>
    <n v="5"/>
    <x v="0"/>
    <s v="Wholesale"/>
    <s v="Bank Transfer"/>
  </r>
  <r>
    <s v="ORD-202400969"/>
    <x v="734"/>
    <n v="9576"/>
    <s v="12/04/1981"/>
    <x v="1"/>
    <x v="2"/>
    <n v="10787.76"/>
    <n v="6705.51"/>
    <s v="Detroit"/>
    <x v="1"/>
    <s v="M"/>
    <s v="Red"/>
    <n v="2"/>
    <x v="1"/>
    <s v="Wholesale"/>
    <s v="Bank Transfer"/>
  </r>
  <r>
    <s v="ORD-202400970"/>
    <x v="469"/>
    <n v="8982"/>
    <s v="10/02/1984"/>
    <x v="0"/>
    <x v="2"/>
    <n v="38112.33"/>
    <n v="18793.73"/>
    <s v="San Francisco"/>
    <x v="2"/>
    <s v="M"/>
    <s v="White"/>
    <n v="5"/>
    <x v="0"/>
    <s v="Wholesale"/>
    <s v="PayPal"/>
  </r>
  <r>
    <s v="ORD-202400971"/>
    <x v="735"/>
    <n v="5143"/>
    <s v="11/09/1989"/>
    <x v="1"/>
    <x v="2"/>
    <n v="15131.17"/>
    <n v="8966.4"/>
    <s v="Miami"/>
    <x v="0"/>
    <s v="L"/>
    <s v="Blue"/>
    <n v="4"/>
    <x v="1"/>
    <s v="Wholesale"/>
    <s v="Cash"/>
  </r>
  <r>
    <s v="ORD-202400972"/>
    <x v="736"/>
    <n v="8620"/>
    <s v="22/09/1985"/>
    <x v="1"/>
    <x v="3"/>
    <n v="10191.06"/>
    <n v="6363.53"/>
    <s v="Detroit"/>
    <x v="1"/>
    <s v="S"/>
    <s v="Yellow"/>
    <n v="3"/>
    <x v="1"/>
    <s v="Retail"/>
    <s v="Bank Transfer"/>
  </r>
  <r>
    <s v="ORD-202400973"/>
    <x v="526"/>
    <n v="3718"/>
    <s v="24/09/1992"/>
    <x v="0"/>
    <x v="4"/>
    <n v="53649.22"/>
    <n v="25708.05"/>
    <s v="San Francisco"/>
    <x v="2"/>
    <s v="L"/>
    <s v="Red"/>
    <n v="1"/>
    <x v="0"/>
    <s v="Wholesale"/>
    <s v="Bank Transfer"/>
  </r>
  <r>
    <s v="ORD-202400974"/>
    <x v="737"/>
    <n v="6350"/>
    <s v="22/11/1997"/>
    <x v="1"/>
    <x v="2"/>
    <n v="26417.24"/>
    <n v="16120.98"/>
    <s v="San Francisco"/>
    <x v="2"/>
    <s v="S"/>
    <s v="White"/>
    <n v="4"/>
    <x v="1"/>
    <s v="Retail"/>
    <s v="PayPal"/>
  </r>
  <r>
    <s v="ORD-202400975"/>
    <x v="293"/>
    <n v="6409"/>
    <s v="14/12/1986"/>
    <x v="1"/>
    <x v="0"/>
    <n v="16221.93"/>
    <n v="9360.7199999999993"/>
    <s v="Boston"/>
    <x v="0"/>
    <s v="M"/>
    <s v="Blue"/>
    <n v="2"/>
    <x v="1"/>
    <s v="Retail"/>
    <s v="Bank Transfer"/>
  </r>
  <r>
    <s v="ORD-202400976"/>
    <x v="44"/>
    <n v="4172"/>
    <s v="07/10/1988"/>
    <x v="1"/>
    <x v="2"/>
    <n v="50073.85"/>
    <n v="31377.94"/>
    <s v="Los Angeles"/>
    <x v="2"/>
    <s v="XL"/>
    <s v="Yellow"/>
    <n v="5"/>
    <x v="1"/>
    <s v="Wholesale"/>
    <s v="Cash"/>
  </r>
  <r>
    <s v="ORD-202400977"/>
    <x v="551"/>
    <n v="4589"/>
    <s v="18/12/1972"/>
    <x v="1"/>
    <x v="3"/>
    <n v="10454.379999999999"/>
    <n v="5050.7299999999996"/>
    <s v="Chicago"/>
    <x v="1"/>
    <s v="XL"/>
    <s v="Red"/>
    <n v="1"/>
    <x v="0"/>
    <s v="Wholesale"/>
    <s v="Bank Transfer"/>
  </r>
  <r>
    <s v="ORD-202400978"/>
    <x v="738"/>
    <n v="9977"/>
    <s v="20/11/1995"/>
    <x v="1"/>
    <x v="3"/>
    <n v="12992.57"/>
    <n v="6695.16"/>
    <s v="Miami"/>
    <x v="0"/>
    <s v="M"/>
    <s v="Black"/>
    <n v="5"/>
    <x v="0"/>
    <s v="Retail"/>
    <s v="PayPal"/>
  </r>
  <r>
    <s v="ORD-202400979"/>
    <x v="417"/>
    <n v="6376"/>
    <s v="18/03/1982"/>
    <x v="1"/>
    <x v="2"/>
    <n v="17597.14"/>
    <n v="10467.75"/>
    <s v="New York"/>
    <x v="0"/>
    <s v="XL"/>
    <s v="Red"/>
    <n v="5"/>
    <x v="1"/>
    <s v="Wholesale"/>
    <s v="Cash"/>
  </r>
  <r>
    <s v="ORD-202400980"/>
    <x v="23"/>
    <n v="3510"/>
    <s v="30/10/1990"/>
    <x v="0"/>
    <x v="2"/>
    <n v="28137.75"/>
    <n v="15508.65"/>
    <s v="Detroit"/>
    <x v="1"/>
    <s v="XL"/>
    <s v="Black"/>
    <n v="4"/>
    <x v="1"/>
    <s v="Retail"/>
    <s v="Cash"/>
  </r>
  <r>
    <s v="ORD-202400981"/>
    <x v="109"/>
    <n v="1932"/>
    <s v="31/01/1984"/>
    <x v="1"/>
    <x v="1"/>
    <n v="62448.76"/>
    <n v="33499.61"/>
    <s v="Seattle"/>
    <x v="2"/>
    <s v="XL"/>
    <s v="White"/>
    <n v="1"/>
    <x v="1"/>
    <s v="Retail"/>
    <s v="Bank Transfer"/>
  </r>
  <r>
    <s v="ORD-202400982"/>
    <x v="739"/>
    <n v="8046"/>
    <s v="07/03/1988"/>
    <x v="0"/>
    <x v="3"/>
    <n v="7297.01"/>
    <n v="4174.7299999999996"/>
    <s v="San Francisco"/>
    <x v="2"/>
    <s v="M"/>
    <s v="Green"/>
    <n v="2"/>
    <x v="0"/>
    <s v="Retail"/>
    <s v="Cash"/>
  </r>
  <r>
    <s v="ORD-202400983"/>
    <x v="740"/>
    <n v="9071"/>
    <s v="23/03/1989"/>
    <x v="0"/>
    <x v="0"/>
    <n v="15343.58"/>
    <n v="9339.91"/>
    <s v="Los Angeles"/>
    <x v="2"/>
    <s v="M"/>
    <s v="Red"/>
    <n v="1"/>
    <x v="0"/>
    <s v="Retail"/>
    <s v="Bank Transfer"/>
  </r>
  <r>
    <s v="ORD-202400984"/>
    <x v="424"/>
    <n v="2433"/>
    <s v="10/01/1986"/>
    <x v="0"/>
    <x v="0"/>
    <n v="5527.23"/>
    <n v="2829.68"/>
    <s v="Minneapolis"/>
    <x v="1"/>
    <s v="S"/>
    <s v="Red"/>
    <n v="5"/>
    <x v="1"/>
    <s v="Retail"/>
    <s v="Cash"/>
  </r>
  <r>
    <s v="ORD-202400985"/>
    <x v="741"/>
    <n v="5379"/>
    <s v="28/10/1974"/>
    <x v="1"/>
    <x v="0"/>
    <n v="11647.32"/>
    <n v="6466.8"/>
    <s v="Chicago"/>
    <x v="1"/>
    <s v="L"/>
    <s v="Blue"/>
    <n v="1"/>
    <x v="0"/>
    <s v="Wholesale"/>
    <s v="Cash"/>
  </r>
  <r>
    <s v="ORD-202400986"/>
    <x v="77"/>
    <n v="5648"/>
    <s v="28/11/2000"/>
    <x v="0"/>
    <x v="1"/>
    <n v="46825.38"/>
    <n v="24242.98"/>
    <s v="Boston"/>
    <x v="0"/>
    <s v="M"/>
    <s v="Black"/>
    <n v="4"/>
    <x v="2"/>
    <s v="Retail"/>
    <s v="PayPal"/>
  </r>
  <r>
    <s v="ORD-202400987"/>
    <x v="227"/>
    <n v="6351"/>
    <s v="16/11/1983"/>
    <x v="0"/>
    <x v="0"/>
    <n v="8387.85"/>
    <n v="4024.02"/>
    <s v="Seattle"/>
    <x v="2"/>
    <s v="M"/>
    <s v="Red"/>
    <n v="1"/>
    <x v="1"/>
    <s v="Wholesale"/>
    <s v="Cash"/>
  </r>
  <r>
    <s v="ORD-202400988"/>
    <x v="276"/>
    <n v="6242"/>
    <s v="04/12/1984"/>
    <x v="0"/>
    <x v="4"/>
    <n v="51884.55"/>
    <n v="27865.48"/>
    <s v="San Francisco"/>
    <x v="2"/>
    <s v="S"/>
    <s v="Black"/>
    <n v="5"/>
    <x v="0"/>
    <s v="Retail"/>
    <s v="PayPal"/>
  </r>
  <r>
    <s v="ORD-202400989"/>
    <x v="597"/>
    <n v="6653"/>
    <s v="04/08/1978"/>
    <x v="0"/>
    <x v="0"/>
    <n v="5051.07"/>
    <n v="3122.69"/>
    <s v="San Francisco"/>
    <x v="2"/>
    <s v="L"/>
    <s v="White"/>
    <n v="2"/>
    <x v="2"/>
    <s v="Retail"/>
    <s v="Bank Transfer"/>
  </r>
  <r>
    <s v="ORD-202400990"/>
    <x v="742"/>
    <n v="6157"/>
    <s v="11/12/1988"/>
    <x v="0"/>
    <x v="1"/>
    <n v="15678.78"/>
    <n v="9511.4"/>
    <s v="Miami"/>
    <x v="0"/>
    <s v="L"/>
    <s v="White"/>
    <n v="1"/>
    <x v="0"/>
    <s v="Wholesale"/>
    <s v="Cash"/>
  </r>
  <r>
    <s v="ORD-202400991"/>
    <x v="743"/>
    <n v="3957"/>
    <s v="27/01/1979"/>
    <x v="1"/>
    <x v="2"/>
    <n v="11410.97"/>
    <n v="5155.99"/>
    <s v="Los Angeles"/>
    <x v="2"/>
    <s v="L"/>
    <s v="Black"/>
    <n v="3"/>
    <x v="2"/>
    <s v="Retail"/>
    <s v="Cash"/>
  </r>
  <r>
    <s v="ORD-202400992"/>
    <x v="527"/>
    <n v="9273"/>
    <s v="19/07/1999"/>
    <x v="1"/>
    <x v="4"/>
    <n v="28195"/>
    <n v="17704.13"/>
    <s v="Seattle"/>
    <x v="2"/>
    <s v="M"/>
    <s v="White"/>
    <n v="1"/>
    <x v="0"/>
    <s v="Wholesale"/>
    <s v="PayPal"/>
  </r>
  <r>
    <s v="ORD-202400993"/>
    <x v="744"/>
    <n v="2028"/>
    <s v="08/06/1996"/>
    <x v="1"/>
    <x v="4"/>
    <n v="46432.14"/>
    <n v="24769.18"/>
    <s v="San Francisco"/>
    <x v="2"/>
    <s v="XL"/>
    <s v="Yellow"/>
    <n v="5"/>
    <x v="1"/>
    <s v="Retail"/>
    <s v="PayPal"/>
  </r>
  <r>
    <s v="ORD-202400994"/>
    <x v="348"/>
    <n v="5163"/>
    <s v="17/04/1980"/>
    <x v="1"/>
    <x v="2"/>
    <n v="21744.76"/>
    <n v="12093.32"/>
    <s v="San Francisco"/>
    <x v="2"/>
    <s v="S"/>
    <s v="Blue"/>
    <n v="4"/>
    <x v="1"/>
    <s v="Retail"/>
    <s v="Cash"/>
  </r>
  <r>
    <s v="ORD-202400995"/>
    <x v="745"/>
    <n v="9220"/>
    <s v="25/09/1970"/>
    <x v="1"/>
    <x v="1"/>
    <n v="63871.65"/>
    <n v="37215.64"/>
    <s v="Minneapolis"/>
    <x v="1"/>
    <s v="XL"/>
    <s v="Yellow"/>
    <n v="2"/>
    <x v="0"/>
    <s v="Retail"/>
    <s v="Cash"/>
  </r>
  <r>
    <s v="ORD-202400996"/>
    <x v="197"/>
    <n v="4281"/>
    <s v="07/06/1999"/>
    <x v="0"/>
    <x v="1"/>
    <n v="46508.35"/>
    <n v="21669.89"/>
    <s v="Minneapolis"/>
    <x v="1"/>
    <s v="M"/>
    <s v="White"/>
    <n v="1"/>
    <x v="1"/>
    <s v="Wholesale"/>
    <s v="PayPal"/>
  </r>
  <r>
    <s v="ORD-202400997"/>
    <x v="392"/>
    <n v="4343"/>
    <s v="16/02/1989"/>
    <x v="0"/>
    <x v="2"/>
    <n v="22712.61"/>
    <n v="13696.12"/>
    <s v="Seattle"/>
    <x v="2"/>
    <s v="L"/>
    <s v="Green"/>
    <n v="5"/>
    <x v="0"/>
    <s v="Wholesale"/>
    <s v="Cash"/>
  </r>
  <r>
    <s v="ORD-202400998"/>
    <x v="746"/>
    <n v="5424"/>
    <s v="17/12/1972"/>
    <x v="0"/>
    <x v="3"/>
    <n v="2203.39"/>
    <n v="1190.4000000000001"/>
    <s v="Chicago"/>
    <x v="1"/>
    <s v="S"/>
    <s v="Yellow"/>
    <n v="5"/>
    <x v="0"/>
    <s v="Retail"/>
    <s v="PayPal"/>
  </r>
  <r>
    <s v="ORD-202400999"/>
    <x v="747"/>
    <n v="4101"/>
    <s v="27/05/1987"/>
    <x v="1"/>
    <x v="2"/>
    <n v="23201.55"/>
    <n v="14667.65"/>
    <s v="New York"/>
    <x v="0"/>
    <s v="S"/>
    <s v="Red"/>
    <n v="2"/>
    <x v="1"/>
    <s v="Retail"/>
    <s v="PayPal"/>
  </r>
  <r>
    <s v="ORD-202401000"/>
    <x v="748"/>
    <n v="6573"/>
    <s v="04/05/1971"/>
    <x v="1"/>
    <x v="3"/>
    <n v="15510.4"/>
    <n v="8321.02"/>
    <s v="Miami"/>
    <x v="0"/>
    <s v="XL"/>
    <s v="Blue"/>
    <n v="2"/>
    <x v="1"/>
    <s v="Wholesale"/>
    <s v="PayPal"/>
  </r>
  <r>
    <s v="ORD-202401001"/>
    <x v="749"/>
    <n v="8501"/>
    <s v="05/03/1992"/>
    <x v="1"/>
    <x v="3"/>
    <n v="8159.59"/>
    <n v="4273.78"/>
    <s v="New York"/>
    <x v="0"/>
    <s v="S"/>
    <s v="Red"/>
    <n v="4"/>
    <x v="1"/>
    <s v="Retail"/>
    <s v="Cash"/>
  </r>
  <r>
    <s v="ORD-202401002"/>
    <x v="421"/>
    <n v="8593"/>
    <s v="20/02/1984"/>
    <x v="0"/>
    <x v="0"/>
    <n v="4083.12"/>
    <n v="1915.78"/>
    <s v="Minneapolis"/>
    <x v="1"/>
    <s v="S"/>
    <s v="Yellow"/>
    <n v="2"/>
    <x v="0"/>
    <s v="Retail"/>
    <s v="PayPal"/>
  </r>
  <r>
    <s v="ORD-202401003"/>
    <x v="108"/>
    <n v="5031"/>
    <s v="22/03/1984"/>
    <x v="1"/>
    <x v="4"/>
    <n v="34840.019999999997"/>
    <n v="18643.87"/>
    <s v="Miami"/>
    <x v="0"/>
    <s v="S"/>
    <s v="Red"/>
    <n v="1"/>
    <x v="2"/>
    <s v="Wholesale"/>
    <s v="Cash"/>
  </r>
  <r>
    <s v="ORD-202401004"/>
    <x v="750"/>
    <n v="9699"/>
    <s v="03/05/1973"/>
    <x v="1"/>
    <x v="3"/>
    <n v="3438.9"/>
    <n v="1759.61"/>
    <s v="Miami"/>
    <x v="0"/>
    <s v="L"/>
    <s v="White"/>
    <n v="1"/>
    <x v="1"/>
    <s v="Retail"/>
    <s v="Cash"/>
  </r>
  <r>
    <s v="ORD-202401005"/>
    <x v="205"/>
    <n v="2857"/>
    <s v="06/04/1986"/>
    <x v="0"/>
    <x v="3"/>
    <n v="16885.439999999999"/>
    <n v="10192.049999999999"/>
    <s v="New York"/>
    <x v="0"/>
    <s v="L"/>
    <s v="Red"/>
    <n v="2"/>
    <x v="0"/>
    <s v="Retail"/>
    <s v="Cash"/>
  </r>
  <r>
    <s v="ORD-202401006"/>
    <x v="751"/>
    <n v="9993"/>
    <s v="29/07/1973"/>
    <x v="1"/>
    <x v="2"/>
    <n v="55362.81"/>
    <n v="32197.9"/>
    <s v="San Francisco"/>
    <x v="2"/>
    <s v="S"/>
    <s v="White"/>
    <n v="1"/>
    <x v="1"/>
    <s v="Wholesale"/>
    <s v="Cash"/>
  </r>
  <r>
    <s v="ORD-202401007"/>
    <x v="695"/>
    <n v="1065"/>
    <s v="22/05/1996"/>
    <x v="0"/>
    <x v="0"/>
    <n v="13961.53"/>
    <n v="6401.43"/>
    <s v="Miami"/>
    <x v="0"/>
    <s v="L"/>
    <s v="White"/>
    <n v="5"/>
    <x v="1"/>
    <s v="Retail"/>
    <s v="PayPal"/>
  </r>
  <r>
    <s v="ORD-202401008"/>
    <x v="752"/>
    <n v="2701"/>
    <s v="11/07/1995"/>
    <x v="0"/>
    <x v="4"/>
    <n v="16193.57"/>
    <n v="9647.31"/>
    <s v="Chicago"/>
    <x v="1"/>
    <s v="M"/>
    <s v="Blue"/>
    <n v="5"/>
    <x v="1"/>
    <s v="Retail"/>
    <s v="PayPal"/>
  </r>
  <r>
    <s v="ORD-202401009"/>
    <x v="380"/>
    <n v="9971"/>
    <s v="06/02/1992"/>
    <x v="0"/>
    <x v="1"/>
    <n v="20417.66"/>
    <n v="10049.6"/>
    <s v="Miami"/>
    <x v="0"/>
    <s v="XL"/>
    <s v="Blue"/>
    <n v="5"/>
    <x v="1"/>
    <s v="Retail"/>
    <s v="PayPal"/>
  </r>
  <r>
    <s v="ORD-202401010"/>
    <x v="753"/>
    <n v="5177"/>
    <s v="06/11/1988"/>
    <x v="1"/>
    <x v="2"/>
    <n v="7188.9"/>
    <n v="3399.79"/>
    <s v="Seattle"/>
    <x v="2"/>
    <s v="M"/>
    <s v="Black"/>
    <n v="3"/>
    <x v="0"/>
    <s v="Retail"/>
    <s v="PayPal"/>
  </r>
  <r>
    <s v="ORD-202401011"/>
    <x v="754"/>
    <n v="1762"/>
    <s v="19/03/1981"/>
    <x v="0"/>
    <x v="2"/>
    <n v="36967.81"/>
    <n v="17618.580000000002"/>
    <s v="Boston"/>
    <x v="0"/>
    <s v="M"/>
    <s v="Green"/>
    <n v="1"/>
    <x v="0"/>
    <s v="Wholesale"/>
    <s v="PayPal"/>
  </r>
  <r>
    <s v="ORD-202401012"/>
    <x v="598"/>
    <n v="3365"/>
    <s v="20/01/1990"/>
    <x v="0"/>
    <x v="4"/>
    <n v="35495.620000000003"/>
    <n v="21550.080000000002"/>
    <s v="Seattle"/>
    <x v="2"/>
    <s v="L"/>
    <s v="Green"/>
    <n v="4"/>
    <x v="1"/>
    <s v="Retail"/>
    <s v="Bank Transfer"/>
  </r>
  <r>
    <s v="ORD-202401013"/>
    <x v="386"/>
    <n v="4080"/>
    <s v="04/11/1985"/>
    <x v="0"/>
    <x v="3"/>
    <n v="8796.39"/>
    <n v="5628.18"/>
    <s v="Los Angeles"/>
    <x v="2"/>
    <s v="XL"/>
    <s v="Red"/>
    <n v="3"/>
    <x v="1"/>
    <s v="Retail"/>
    <s v="Cash"/>
  </r>
  <r>
    <s v="ORD-202401014"/>
    <x v="174"/>
    <n v="2809"/>
    <s v="18/07/1988"/>
    <x v="1"/>
    <x v="0"/>
    <n v="6371.14"/>
    <n v="3222.94"/>
    <s v="New York"/>
    <x v="0"/>
    <s v="XL"/>
    <s v="Red"/>
    <n v="4"/>
    <x v="0"/>
    <s v="Retail"/>
    <s v="PayPal"/>
  </r>
  <r>
    <s v="ORD-202401015"/>
    <x v="755"/>
    <n v="8812"/>
    <s v="13/05/1982"/>
    <x v="1"/>
    <x v="0"/>
    <n v="7409.77"/>
    <n v="4046.25"/>
    <s v="Miami"/>
    <x v="0"/>
    <s v="XL"/>
    <s v="Blue"/>
    <n v="1"/>
    <x v="0"/>
    <s v="Wholesale"/>
    <s v="Bank Transfer"/>
  </r>
  <r>
    <s v="ORD-202401016"/>
    <x v="756"/>
    <n v="7075"/>
    <s v="03/01/1982"/>
    <x v="1"/>
    <x v="1"/>
    <n v="93544.91"/>
    <n v="47180.54"/>
    <s v="Seattle"/>
    <x v="2"/>
    <s v="L"/>
    <s v="Black"/>
    <n v="4"/>
    <x v="1"/>
    <s v="Retail"/>
    <s v="Cash"/>
  </r>
  <r>
    <s v="ORD-202401017"/>
    <x v="757"/>
    <n v="9682"/>
    <s v="09/12/1994"/>
    <x v="0"/>
    <x v="2"/>
    <n v="28262.3"/>
    <n v="18243.04"/>
    <s v="San Francisco"/>
    <x v="2"/>
    <s v="S"/>
    <s v="Blue"/>
    <n v="1"/>
    <x v="1"/>
    <s v="Wholesale"/>
    <s v="PayPal"/>
  </r>
  <r>
    <s v="ORD-202401018"/>
    <x v="758"/>
    <n v="7960"/>
    <s v="29/09/1983"/>
    <x v="1"/>
    <x v="4"/>
    <n v="34428.06"/>
    <n v="17365.11"/>
    <s v="San Francisco"/>
    <x v="2"/>
    <s v="M"/>
    <s v="Black"/>
    <n v="4"/>
    <x v="0"/>
    <s v="Wholesale"/>
    <s v="PayPal"/>
  </r>
  <r>
    <s v="ORD-202401019"/>
    <x v="639"/>
    <n v="1750"/>
    <s v="26/07/1984"/>
    <x v="1"/>
    <x v="2"/>
    <n v="21593.62"/>
    <n v="12994.72"/>
    <s v="New York"/>
    <x v="0"/>
    <s v="L"/>
    <s v="White"/>
    <n v="2"/>
    <x v="1"/>
    <s v="Retail"/>
    <s v="PayPal"/>
  </r>
  <r>
    <s v="ORD-202401020"/>
    <x v="759"/>
    <n v="8652"/>
    <s v="13/03/1979"/>
    <x v="1"/>
    <x v="3"/>
    <n v="9371"/>
    <n v="5601.26"/>
    <s v="Seattle"/>
    <x v="2"/>
    <s v="S"/>
    <s v="Black"/>
    <n v="5"/>
    <x v="1"/>
    <s v="Retail"/>
    <s v="PayPal"/>
  </r>
  <r>
    <s v="ORD-202401021"/>
    <x v="760"/>
    <n v="2970"/>
    <s v="09/05/1988"/>
    <x v="1"/>
    <x v="4"/>
    <n v="38150.050000000003"/>
    <n v="23956.720000000001"/>
    <s v="San Francisco"/>
    <x v="2"/>
    <s v="M"/>
    <s v="Red"/>
    <n v="3"/>
    <x v="2"/>
    <s v="Wholesale"/>
    <s v="Cash"/>
  </r>
  <r>
    <s v="ORD-202401022"/>
    <x v="356"/>
    <n v="8798"/>
    <s v="25/12/1971"/>
    <x v="1"/>
    <x v="1"/>
    <n v="44417.440000000002"/>
    <n v="25826.94"/>
    <s v="Detroit"/>
    <x v="1"/>
    <s v="S"/>
    <s v="White"/>
    <n v="2"/>
    <x v="0"/>
    <s v="Wholesale"/>
    <s v="Cash"/>
  </r>
  <r>
    <s v="ORD-202401023"/>
    <x v="192"/>
    <n v="6717"/>
    <s v="27/02/1989"/>
    <x v="1"/>
    <x v="2"/>
    <n v="43966.53"/>
    <n v="24676.54"/>
    <s v="Seattle"/>
    <x v="2"/>
    <s v="M"/>
    <s v="Red"/>
    <n v="1"/>
    <x v="2"/>
    <s v="Retail"/>
    <s v="PayPal"/>
  </r>
  <r>
    <s v="ORD-202401024"/>
    <x v="761"/>
    <n v="4208"/>
    <s v="18/01/1978"/>
    <x v="0"/>
    <x v="3"/>
    <n v="5069.97"/>
    <n v="2580.61"/>
    <s v="Los Angeles"/>
    <x v="2"/>
    <s v="S"/>
    <s v="Black"/>
    <n v="4"/>
    <x v="1"/>
    <s v="Retail"/>
    <s v="Cash"/>
  </r>
  <r>
    <s v="ORD-202401025"/>
    <x v="762"/>
    <n v="8074"/>
    <s v="21/10/2000"/>
    <x v="0"/>
    <x v="4"/>
    <n v="38470.870000000003"/>
    <n v="23725.91"/>
    <s v="Boston"/>
    <x v="0"/>
    <s v="M"/>
    <s v="White"/>
    <n v="4"/>
    <x v="1"/>
    <s v="Retail"/>
    <s v="PayPal"/>
  </r>
  <r>
    <s v="ORD-202401026"/>
    <x v="763"/>
    <n v="3518"/>
    <s v="14/04/1973"/>
    <x v="1"/>
    <x v="4"/>
    <n v="18018.400000000001"/>
    <n v="8934.4500000000007"/>
    <s v="San Francisco"/>
    <x v="2"/>
    <s v="M"/>
    <s v="Green"/>
    <n v="5"/>
    <x v="0"/>
    <s v="Wholesale"/>
    <s v="PayPal"/>
  </r>
  <r>
    <s v="ORD-202401027"/>
    <x v="764"/>
    <n v="3578"/>
    <s v="28/04/1990"/>
    <x v="0"/>
    <x v="3"/>
    <n v="13518.96"/>
    <n v="7232.34"/>
    <s v="Detroit"/>
    <x v="1"/>
    <s v="XL"/>
    <s v="Green"/>
    <n v="3"/>
    <x v="1"/>
    <s v="Retail"/>
    <s v="PayPal"/>
  </r>
  <r>
    <s v="ORD-202401028"/>
    <x v="765"/>
    <n v="2491"/>
    <s v="08/11/1990"/>
    <x v="0"/>
    <x v="4"/>
    <n v="37474.269999999997"/>
    <n v="17813.61"/>
    <s v="New York"/>
    <x v="0"/>
    <s v="S"/>
    <s v="Blue"/>
    <n v="5"/>
    <x v="2"/>
    <s v="Retail"/>
    <s v="Bank Transfer"/>
  </r>
  <r>
    <s v="ORD-202401029"/>
    <x v="766"/>
    <n v="9486"/>
    <s v="15/05/1972"/>
    <x v="0"/>
    <x v="1"/>
    <n v="77023.28"/>
    <n v="38231.279999999999"/>
    <s v="Seattle"/>
    <x v="2"/>
    <s v="M"/>
    <s v="Blue"/>
    <n v="1"/>
    <x v="0"/>
    <s v="Wholesale"/>
    <s v="Cash"/>
  </r>
  <r>
    <s v="ORD-202401030"/>
    <x v="54"/>
    <n v="5278"/>
    <s v="25/08/1981"/>
    <x v="1"/>
    <x v="4"/>
    <n v="39067.21"/>
    <n v="24050.63"/>
    <s v="Seattle"/>
    <x v="2"/>
    <s v="S"/>
    <s v="White"/>
    <n v="4"/>
    <x v="2"/>
    <s v="Retail"/>
    <s v="Cash"/>
  </r>
  <r>
    <s v="ORD-202401031"/>
    <x v="172"/>
    <n v="9957"/>
    <s v="08/12/1988"/>
    <x v="0"/>
    <x v="1"/>
    <n v="75733.37"/>
    <n v="38954.86"/>
    <s v="New York"/>
    <x v="0"/>
    <s v="M"/>
    <s v="Black"/>
    <n v="3"/>
    <x v="2"/>
    <s v="Retail"/>
    <s v="Cash"/>
  </r>
  <r>
    <s v="ORD-202401032"/>
    <x v="73"/>
    <n v="6283"/>
    <s v="02/10/1973"/>
    <x v="0"/>
    <x v="0"/>
    <n v="16657.29"/>
    <n v="10187.51"/>
    <s v="New York"/>
    <x v="0"/>
    <s v="S"/>
    <s v="Red"/>
    <n v="2"/>
    <x v="0"/>
    <s v="Wholesale"/>
    <s v="Bank Transfer"/>
  </r>
  <r>
    <s v="ORD-202401033"/>
    <x v="767"/>
    <n v="1423"/>
    <s v="18/02/1997"/>
    <x v="0"/>
    <x v="0"/>
    <n v="13373.88"/>
    <n v="6855.03"/>
    <s v="Boston"/>
    <x v="0"/>
    <s v="S"/>
    <s v="Yellow"/>
    <n v="3"/>
    <x v="0"/>
    <s v="Retail"/>
    <s v="Cash"/>
  </r>
  <r>
    <s v="ORD-202401034"/>
    <x v="768"/>
    <n v="9046"/>
    <s v="19/11/1982"/>
    <x v="0"/>
    <x v="1"/>
    <n v="26440.959999999999"/>
    <n v="16257.79"/>
    <s v="New York"/>
    <x v="0"/>
    <s v="L"/>
    <s v="Yellow"/>
    <n v="5"/>
    <x v="0"/>
    <s v="Retail"/>
    <s v="Bank Transfer"/>
  </r>
  <r>
    <s v="ORD-202401035"/>
    <x v="769"/>
    <n v="5280"/>
    <s v="15/02/1970"/>
    <x v="0"/>
    <x v="1"/>
    <n v="35627.75"/>
    <n v="20569.099999999999"/>
    <s v="San Francisco"/>
    <x v="2"/>
    <s v="S"/>
    <s v="Green"/>
    <n v="5"/>
    <x v="1"/>
    <s v="Retail"/>
    <s v="Bank Transfer"/>
  </r>
  <r>
    <s v="ORD-202401036"/>
    <x v="290"/>
    <n v="6269"/>
    <s v="22/03/1980"/>
    <x v="1"/>
    <x v="2"/>
    <n v="36029.61"/>
    <n v="18852.21"/>
    <s v="New York"/>
    <x v="0"/>
    <s v="M"/>
    <s v="Yellow"/>
    <n v="4"/>
    <x v="0"/>
    <s v="Retail"/>
    <s v="Cash"/>
  </r>
  <r>
    <s v="ORD-202401037"/>
    <x v="770"/>
    <n v="8537"/>
    <s v="21/07/1997"/>
    <x v="1"/>
    <x v="2"/>
    <n v="28011.98"/>
    <n v="12700.6"/>
    <s v="New York"/>
    <x v="0"/>
    <s v="M"/>
    <s v="Blue"/>
    <n v="1"/>
    <x v="1"/>
    <s v="Wholesale"/>
    <s v="Cash"/>
  </r>
  <r>
    <s v="ORD-202401038"/>
    <x v="771"/>
    <n v="1081"/>
    <s v="28/09/1993"/>
    <x v="1"/>
    <x v="3"/>
    <n v="6578.83"/>
    <n v="3300.81"/>
    <s v="Minneapolis"/>
    <x v="1"/>
    <s v="M"/>
    <s v="Yellow"/>
    <n v="4"/>
    <x v="0"/>
    <s v="Wholesale"/>
    <s v="PayPal"/>
  </r>
  <r>
    <s v="ORD-202401039"/>
    <x v="772"/>
    <n v="5387"/>
    <s v="06/12/1987"/>
    <x v="0"/>
    <x v="0"/>
    <n v="7928.77"/>
    <n v="3671.86"/>
    <s v="Seattle"/>
    <x v="2"/>
    <s v="XL"/>
    <s v="Yellow"/>
    <n v="3"/>
    <x v="0"/>
    <s v="Retail"/>
    <s v="PayPal"/>
  </r>
  <r>
    <s v="ORD-202401040"/>
    <x v="512"/>
    <n v="7877"/>
    <s v="20/11/1980"/>
    <x v="0"/>
    <x v="2"/>
    <n v="19152.46"/>
    <n v="11396.59"/>
    <s v="Boston"/>
    <x v="0"/>
    <s v="XL"/>
    <s v="Blue"/>
    <n v="1"/>
    <x v="1"/>
    <s v="Wholesale"/>
    <s v="Cash"/>
  </r>
  <r>
    <s v="ORD-202401041"/>
    <x v="773"/>
    <n v="3566"/>
    <s v="28/06/1987"/>
    <x v="1"/>
    <x v="3"/>
    <n v="14326.77"/>
    <n v="7517.73"/>
    <s v="New York"/>
    <x v="0"/>
    <s v="L"/>
    <s v="Red"/>
    <n v="2"/>
    <x v="1"/>
    <s v="Retail"/>
    <s v="PayPal"/>
  </r>
  <r>
    <s v="ORD-202401042"/>
    <x v="623"/>
    <n v="2386"/>
    <s v="30/12/1999"/>
    <x v="1"/>
    <x v="0"/>
    <n v="10764.52"/>
    <n v="5729.29"/>
    <s v="Seattle"/>
    <x v="2"/>
    <s v="L"/>
    <s v="Green"/>
    <n v="5"/>
    <x v="0"/>
    <s v="Wholesale"/>
    <s v="PayPal"/>
  </r>
  <r>
    <s v="ORD-202401043"/>
    <x v="164"/>
    <n v="9207"/>
    <s v="30/10/1980"/>
    <x v="0"/>
    <x v="0"/>
    <n v="14569.71"/>
    <n v="7358.97"/>
    <s v="Chicago"/>
    <x v="1"/>
    <s v="M"/>
    <s v="White"/>
    <n v="5"/>
    <x v="2"/>
    <s v="Retail"/>
    <s v="PayPal"/>
  </r>
  <r>
    <s v="ORD-202401044"/>
    <x v="774"/>
    <n v="4352"/>
    <s v="17/09/1980"/>
    <x v="0"/>
    <x v="0"/>
    <n v="5876.63"/>
    <n v="3543.66"/>
    <s v="San Francisco"/>
    <x v="2"/>
    <s v="L"/>
    <s v="Blue"/>
    <n v="5"/>
    <x v="1"/>
    <s v="Retail"/>
    <s v="PayPal"/>
  </r>
  <r>
    <s v="ORD-202401045"/>
    <x v="775"/>
    <n v="2549"/>
    <s v="15/01/1974"/>
    <x v="1"/>
    <x v="2"/>
    <n v="24852.28"/>
    <n v="14768.48"/>
    <s v="Seattle"/>
    <x v="2"/>
    <s v="S"/>
    <s v="Yellow"/>
    <n v="1"/>
    <x v="0"/>
    <s v="Retail"/>
    <s v="PayPal"/>
  </r>
  <r>
    <s v="ORD-202401046"/>
    <x v="776"/>
    <n v="6292"/>
    <s v="21/11/1998"/>
    <x v="0"/>
    <x v="4"/>
    <n v="9639.83"/>
    <n v="5121.92"/>
    <s v="Seattle"/>
    <x v="2"/>
    <s v="S"/>
    <s v="Black"/>
    <n v="1"/>
    <x v="2"/>
    <s v="Wholesale"/>
    <s v="PayPal"/>
  </r>
  <r>
    <s v="ORD-202401047"/>
    <x v="777"/>
    <n v="8564"/>
    <s v="11/04/1974"/>
    <x v="1"/>
    <x v="0"/>
    <n v="14794.24"/>
    <n v="8788.6200000000008"/>
    <s v="Miami"/>
    <x v="0"/>
    <s v="S"/>
    <s v="Red"/>
    <n v="2"/>
    <x v="1"/>
    <s v="Retail"/>
    <s v="Cash"/>
  </r>
  <r>
    <s v="ORD-202401048"/>
    <x v="490"/>
    <n v="9583"/>
    <s v="15/10/1996"/>
    <x v="0"/>
    <x v="0"/>
    <n v="5987.06"/>
    <n v="3145.95"/>
    <s v="Miami"/>
    <x v="0"/>
    <s v="XL"/>
    <s v="Black"/>
    <n v="4"/>
    <x v="1"/>
    <s v="Retail"/>
    <s v="PayPal"/>
  </r>
  <r>
    <s v="ORD-202401049"/>
    <x v="778"/>
    <n v="4501"/>
    <s v="05/07/2000"/>
    <x v="1"/>
    <x v="3"/>
    <n v="10648.22"/>
    <n v="6478.55"/>
    <s v="Seattle"/>
    <x v="2"/>
    <s v="M"/>
    <s v="Red"/>
    <n v="1"/>
    <x v="1"/>
    <s v="Retail"/>
    <s v="Cash"/>
  </r>
  <r>
    <s v="ORD-202401050"/>
    <x v="32"/>
    <n v="4700"/>
    <s v="10/02/1983"/>
    <x v="0"/>
    <x v="0"/>
    <n v="6942.4"/>
    <n v="3786.87"/>
    <s v="Detroit"/>
    <x v="1"/>
    <s v="S"/>
    <s v="Yellow"/>
    <n v="2"/>
    <x v="0"/>
    <s v="Retail"/>
    <s v="Cash"/>
  </r>
  <r>
    <s v="ORD-202401051"/>
    <x v="238"/>
    <n v="2204"/>
    <s v="19/08/1976"/>
    <x v="0"/>
    <x v="3"/>
    <n v="7021.74"/>
    <n v="3630.51"/>
    <s v="Chicago"/>
    <x v="1"/>
    <s v="XL"/>
    <s v="Red"/>
    <n v="1"/>
    <x v="1"/>
    <s v="Retail"/>
    <s v="PayPal"/>
  </r>
  <r>
    <s v="ORD-202401052"/>
    <x v="779"/>
    <n v="1348"/>
    <s v="16/06/1986"/>
    <x v="1"/>
    <x v="4"/>
    <n v="14483.96"/>
    <n v="9228"/>
    <s v="Minneapolis"/>
    <x v="1"/>
    <s v="XL"/>
    <s v="White"/>
    <n v="1"/>
    <x v="0"/>
    <s v="Retail"/>
    <s v="PayPal"/>
  </r>
  <r>
    <s v="ORD-202401053"/>
    <x v="443"/>
    <n v="4328"/>
    <s v="03/05/1993"/>
    <x v="1"/>
    <x v="3"/>
    <n v="11073.56"/>
    <n v="6942.1"/>
    <s v="Los Angeles"/>
    <x v="2"/>
    <s v="S"/>
    <s v="Red"/>
    <n v="4"/>
    <x v="1"/>
    <s v="Retail"/>
    <s v="Bank Transfer"/>
  </r>
  <r>
    <s v="ORD-202401054"/>
    <x v="780"/>
    <n v="6579"/>
    <s v="24/05/1981"/>
    <x v="1"/>
    <x v="4"/>
    <n v="6327.78"/>
    <n v="3391.43"/>
    <s v="Chicago"/>
    <x v="1"/>
    <s v="M"/>
    <s v="White"/>
    <n v="5"/>
    <x v="1"/>
    <s v="Wholesale"/>
    <s v="Bank Transfer"/>
  </r>
  <r>
    <s v="ORD-202401055"/>
    <x v="652"/>
    <n v="5321"/>
    <s v="12/07/1993"/>
    <x v="1"/>
    <x v="0"/>
    <n v="14657.52"/>
    <n v="6714.15"/>
    <s v="Seattle"/>
    <x v="2"/>
    <s v="M"/>
    <s v="Green"/>
    <n v="5"/>
    <x v="1"/>
    <s v="Retail"/>
    <s v="Bank Transfer"/>
  </r>
  <r>
    <s v="ORD-202401056"/>
    <x v="781"/>
    <n v="9660"/>
    <s v="07/09/1994"/>
    <x v="0"/>
    <x v="2"/>
    <n v="23513"/>
    <n v="11577.62"/>
    <s v="Miami"/>
    <x v="0"/>
    <s v="L"/>
    <s v="Yellow"/>
    <n v="1"/>
    <x v="1"/>
    <s v="Wholesale"/>
    <s v="Bank Transfer"/>
  </r>
  <r>
    <s v="ORD-202401057"/>
    <x v="87"/>
    <n v="2062"/>
    <s v="28/04/1995"/>
    <x v="1"/>
    <x v="1"/>
    <n v="24645.599999999999"/>
    <n v="11986.53"/>
    <s v="New York"/>
    <x v="0"/>
    <s v="S"/>
    <s v="Black"/>
    <n v="4"/>
    <x v="2"/>
    <s v="Retail"/>
    <s v="Cash"/>
  </r>
  <r>
    <s v="ORD-202401058"/>
    <x v="329"/>
    <n v="7158"/>
    <s v="15/11/1988"/>
    <x v="1"/>
    <x v="0"/>
    <n v="21443.95"/>
    <n v="12402.11"/>
    <s v="Seattle"/>
    <x v="2"/>
    <s v="XL"/>
    <s v="Red"/>
    <n v="5"/>
    <x v="1"/>
    <s v="Retail"/>
    <s v="Bank Transfer"/>
  </r>
  <r>
    <s v="ORD-202401059"/>
    <x v="782"/>
    <n v="2686"/>
    <s v="12/05/1995"/>
    <x v="1"/>
    <x v="3"/>
    <n v="2351.0300000000002"/>
    <n v="1293.27"/>
    <s v="Boston"/>
    <x v="0"/>
    <s v="L"/>
    <s v="Yellow"/>
    <n v="5"/>
    <x v="0"/>
    <s v="Wholesale"/>
    <s v="Cash"/>
  </r>
  <r>
    <s v="ORD-202401060"/>
    <x v="683"/>
    <n v="3314"/>
    <s v="17/03/1983"/>
    <x v="1"/>
    <x v="4"/>
    <n v="21521.11"/>
    <n v="12094.21"/>
    <s v="Chicago"/>
    <x v="1"/>
    <s v="S"/>
    <s v="White"/>
    <n v="5"/>
    <x v="0"/>
    <s v="Wholesale"/>
    <s v="Bank Transfer"/>
  </r>
  <r>
    <s v="ORD-202401061"/>
    <x v="383"/>
    <n v="8241"/>
    <s v="18/10/1998"/>
    <x v="0"/>
    <x v="4"/>
    <n v="53584.85"/>
    <n v="27430.1"/>
    <s v="Seattle"/>
    <x v="2"/>
    <s v="M"/>
    <s v="Yellow"/>
    <n v="5"/>
    <x v="1"/>
    <s v="Wholesale"/>
    <s v="PayPal"/>
  </r>
  <r>
    <s v="ORD-202401062"/>
    <x v="783"/>
    <n v="1286"/>
    <s v="26/06/1999"/>
    <x v="1"/>
    <x v="2"/>
    <n v="32179.17"/>
    <n v="20255.18"/>
    <s v="Detroit"/>
    <x v="1"/>
    <s v="XL"/>
    <s v="Black"/>
    <n v="1"/>
    <x v="2"/>
    <s v="Wholesale"/>
    <s v="PayPal"/>
  </r>
  <r>
    <s v="ORD-202401063"/>
    <x v="611"/>
    <n v="6877"/>
    <s v="22/03/1988"/>
    <x v="0"/>
    <x v="4"/>
    <n v="30079.23"/>
    <n v="15136.1"/>
    <s v="Miami"/>
    <x v="0"/>
    <s v="XL"/>
    <s v="Yellow"/>
    <n v="4"/>
    <x v="1"/>
    <s v="Wholesale"/>
    <s v="Cash"/>
  </r>
  <r>
    <s v="ORD-202401064"/>
    <x v="784"/>
    <n v="4117"/>
    <s v="15/07/1976"/>
    <x v="1"/>
    <x v="3"/>
    <n v="8679.4500000000007"/>
    <n v="5607.75"/>
    <s v="San Francisco"/>
    <x v="2"/>
    <s v="S"/>
    <s v="Green"/>
    <n v="2"/>
    <x v="0"/>
    <s v="Retail"/>
    <s v="Cash"/>
  </r>
  <r>
    <s v="ORD-202401065"/>
    <x v="785"/>
    <n v="3690"/>
    <s v="28/04/1971"/>
    <x v="1"/>
    <x v="3"/>
    <n v="14284.99"/>
    <n v="6431.04"/>
    <s v="San Francisco"/>
    <x v="2"/>
    <s v="XL"/>
    <s v="Yellow"/>
    <n v="4"/>
    <x v="2"/>
    <s v="Retail"/>
    <s v="Cash"/>
  </r>
  <r>
    <s v="ORD-202401066"/>
    <x v="786"/>
    <n v="6486"/>
    <s v="03/09/1978"/>
    <x v="0"/>
    <x v="1"/>
    <n v="13948.09"/>
    <n v="6461.38"/>
    <s v="San Francisco"/>
    <x v="2"/>
    <s v="S"/>
    <s v="Yellow"/>
    <n v="3"/>
    <x v="1"/>
    <s v="Wholesale"/>
    <s v="Cash"/>
  </r>
  <r>
    <s v="ORD-202401067"/>
    <x v="236"/>
    <n v="9549"/>
    <s v="29/03/1998"/>
    <x v="0"/>
    <x v="4"/>
    <n v="30193.58"/>
    <n v="19320.41"/>
    <s v="Minneapolis"/>
    <x v="1"/>
    <s v="XL"/>
    <s v="Black"/>
    <n v="2"/>
    <x v="1"/>
    <s v="Retail"/>
    <s v="PayPal"/>
  </r>
  <r>
    <s v="ORD-202401068"/>
    <x v="327"/>
    <n v="7401"/>
    <s v="18/08/1982"/>
    <x v="0"/>
    <x v="3"/>
    <n v="3872.73"/>
    <n v="2473.0700000000002"/>
    <s v="Los Angeles"/>
    <x v="2"/>
    <s v="M"/>
    <s v="Black"/>
    <n v="4"/>
    <x v="0"/>
    <s v="Retail"/>
    <s v="Cash"/>
  </r>
  <r>
    <s v="ORD-202401069"/>
    <x v="741"/>
    <n v="8768"/>
    <s v="20/01/1998"/>
    <x v="1"/>
    <x v="4"/>
    <n v="52692.92"/>
    <n v="34060.519999999997"/>
    <s v="Miami"/>
    <x v="0"/>
    <s v="S"/>
    <s v="Green"/>
    <n v="1"/>
    <x v="1"/>
    <s v="Retail"/>
    <s v="PayPal"/>
  </r>
  <r>
    <s v="ORD-202401070"/>
    <x v="787"/>
    <n v="6147"/>
    <s v="14/12/1975"/>
    <x v="1"/>
    <x v="4"/>
    <n v="47543.76"/>
    <n v="23023.05"/>
    <s v="Los Angeles"/>
    <x v="2"/>
    <s v="L"/>
    <s v="White"/>
    <n v="1"/>
    <x v="0"/>
    <s v="Wholesale"/>
    <s v="Bank Transfer"/>
  </r>
  <r>
    <s v="ORD-202401071"/>
    <x v="788"/>
    <n v="7223"/>
    <s v="08/01/1970"/>
    <x v="0"/>
    <x v="0"/>
    <n v="6006.27"/>
    <n v="3209.63"/>
    <s v="Los Angeles"/>
    <x v="2"/>
    <s v="L"/>
    <s v="Blue"/>
    <n v="4"/>
    <x v="0"/>
    <s v="Retail"/>
    <s v="Bank Transfer"/>
  </r>
  <r>
    <s v="ORD-202401072"/>
    <x v="499"/>
    <n v="5861"/>
    <s v="16/06/1994"/>
    <x v="1"/>
    <x v="4"/>
    <n v="16011.14"/>
    <n v="7362.51"/>
    <s v="Los Angeles"/>
    <x v="2"/>
    <s v="M"/>
    <s v="Yellow"/>
    <n v="3"/>
    <x v="1"/>
    <s v="Wholesale"/>
    <s v="Bank Transfer"/>
  </r>
  <r>
    <s v="ORD-202401073"/>
    <x v="736"/>
    <n v="8401"/>
    <s v="10/08/1980"/>
    <x v="0"/>
    <x v="1"/>
    <n v="61789.56"/>
    <n v="38087.089999999997"/>
    <s v="New York"/>
    <x v="0"/>
    <s v="XL"/>
    <s v="White"/>
    <n v="5"/>
    <x v="1"/>
    <s v="Retail"/>
    <s v="Bank Transfer"/>
  </r>
  <r>
    <s v="ORD-202401074"/>
    <x v="106"/>
    <n v="1229"/>
    <s v="16/05/1973"/>
    <x v="0"/>
    <x v="0"/>
    <n v="10851.44"/>
    <n v="6789.05"/>
    <s v="Miami"/>
    <x v="0"/>
    <s v="M"/>
    <s v="Red"/>
    <n v="2"/>
    <x v="1"/>
    <s v="Wholesale"/>
    <s v="Bank Transfer"/>
  </r>
  <r>
    <s v="ORD-202401075"/>
    <x v="233"/>
    <n v="8175"/>
    <s v="16/03/1997"/>
    <x v="0"/>
    <x v="2"/>
    <n v="48014.98"/>
    <n v="29928.54"/>
    <s v="Seattle"/>
    <x v="2"/>
    <s v="M"/>
    <s v="Yellow"/>
    <n v="2"/>
    <x v="2"/>
    <s v="Wholesale"/>
    <s v="Cash"/>
  </r>
  <r>
    <s v="ORD-202401076"/>
    <x v="163"/>
    <n v="1375"/>
    <s v="03/03/1990"/>
    <x v="1"/>
    <x v="2"/>
    <n v="32925.050000000003"/>
    <n v="18692.29"/>
    <s v="Miami"/>
    <x v="0"/>
    <s v="XL"/>
    <s v="White"/>
    <n v="1"/>
    <x v="0"/>
    <s v="Wholesale"/>
    <s v="Bank Transfer"/>
  </r>
  <r>
    <s v="ORD-202401077"/>
    <x v="511"/>
    <n v="6981"/>
    <s v="11/09/1970"/>
    <x v="0"/>
    <x v="2"/>
    <n v="14558.89"/>
    <n v="6969.72"/>
    <s v="Minneapolis"/>
    <x v="1"/>
    <s v="M"/>
    <s v="Blue"/>
    <n v="2"/>
    <x v="0"/>
    <s v="Retail"/>
    <s v="Cash"/>
  </r>
  <r>
    <s v="ORD-202401078"/>
    <x v="789"/>
    <n v="9832"/>
    <s v="11/01/1985"/>
    <x v="1"/>
    <x v="0"/>
    <n v="23580.55"/>
    <n v="13850.02"/>
    <s v="San Francisco"/>
    <x v="2"/>
    <s v="XL"/>
    <s v="Yellow"/>
    <n v="2"/>
    <x v="0"/>
    <s v="Retail"/>
    <s v="Cash"/>
  </r>
  <r>
    <s v="ORD-202401079"/>
    <x v="790"/>
    <n v="1646"/>
    <s v="26/08/1996"/>
    <x v="1"/>
    <x v="4"/>
    <n v="23050.29"/>
    <n v="13246.71"/>
    <s v="Seattle"/>
    <x v="2"/>
    <s v="L"/>
    <s v="Yellow"/>
    <n v="1"/>
    <x v="2"/>
    <s v="Retail"/>
    <s v="Cash"/>
  </r>
  <r>
    <s v="ORD-202401080"/>
    <x v="791"/>
    <n v="9884"/>
    <s v="17/09/1999"/>
    <x v="1"/>
    <x v="3"/>
    <n v="12668.07"/>
    <n v="7216.3"/>
    <s v="Chicago"/>
    <x v="1"/>
    <s v="L"/>
    <s v="Yellow"/>
    <n v="3"/>
    <x v="0"/>
    <s v="Retail"/>
    <s v="PayPal"/>
  </r>
  <r>
    <s v="ORD-202401081"/>
    <x v="439"/>
    <n v="2376"/>
    <s v="13/01/1999"/>
    <x v="1"/>
    <x v="1"/>
    <n v="51494.55"/>
    <n v="29620.34"/>
    <s v="Seattle"/>
    <x v="2"/>
    <s v="XL"/>
    <s v="Red"/>
    <n v="4"/>
    <x v="1"/>
    <s v="Wholesale"/>
    <s v="Cash"/>
  </r>
  <r>
    <s v="ORD-202401082"/>
    <x v="14"/>
    <n v="4059"/>
    <s v="17/06/1999"/>
    <x v="0"/>
    <x v="1"/>
    <n v="69150.95"/>
    <n v="37369.26"/>
    <s v="Minneapolis"/>
    <x v="1"/>
    <s v="XL"/>
    <s v="Red"/>
    <n v="5"/>
    <x v="1"/>
    <s v="Wholesale"/>
    <s v="Bank Transfer"/>
  </r>
  <r>
    <s v="ORD-202401083"/>
    <x v="93"/>
    <n v="8151"/>
    <s v="11/10/1995"/>
    <x v="1"/>
    <x v="1"/>
    <n v="74121.41"/>
    <n v="35636.32"/>
    <s v="Boston"/>
    <x v="0"/>
    <s v="M"/>
    <s v="Green"/>
    <n v="5"/>
    <x v="0"/>
    <s v="Retail"/>
    <s v="PayPal"/>
  </r>
  <r>
    <s v="ORD-202401084"/>
    <x v="192"/>
    <n v="4051"/>
    <s v="18/11/1987"/>
    <x v="0"/>
    <x v="1"/>
    <n v="53700.92"/>
    <n v="31635.23"/>
    <s v="Seattle"/>
    <x v="2"/>
    <s v="S"/>
    <s v="Black"/>
    <n v="3"/>
    <x v="0"/>
    <s v="Retail"/>
    <s v="PayPal"/>
  </r>
  <r>
    <s v="ORD-202401085"/>
    <x v="792"/>
    <n v="3751"/>
    <s v="08/08/1975"/>
    <x v="1"/>
    <x v="1"/>
    <n v="58262.23"/>
    <n v="28267.75"/>
    <s v="Boston"/>
    <x v="0"/>
    <s v="L"/>
    <s v="Green"/>
    <n v="3"/>
    <x v="1"/>
    <s v="Wholesale"/>
    <s v="Bank Transfer"/>
  </r>
  <r>
    <s v="ORD-202401086"/>
    <x v="510"/>
    <n v="4042"/>
    <s v="13/03/1983"/>
    <x v="0"/>
    <x v="4"/>
    <n v="31456.11"/>
    <n v="14992.6"/>
    <s v="Miami"/>
    <x v="0"/>
    <s v="L"/>
    <s v="White"/>
    <n v="2"/>
    <x v="2"/>
    <s v="Retail"/>
    <s v="PayPal"/>
  </r>
  <r>
    <s v="ORD-202401087"/>
    <x v="559"/>
    <n v="6371"/>
    <s v="11/07/2000"/>
    <x v="0"/>
    <x v="2"/>
    <n v="18442.75"/>
    <n v="9545.5499999999993"/>
    <s v="Minneapolis"/>
    <x v="1"/>
    <s v="XL"/>
    <s v="Blue"/>
    <n v="3"/>
    <x v="1"/>
    <s v="Wholesale"/>
    <s v="Cash"/>
  </r>
  <r>
    <s v="ORD-202401088"/>
    <x v="793"/>
    <n v="7062"/>
    <s v="06/10/1993"/>
    <x v="0"/>
    <x v="2"/>
    <n v="19840.63"/>
    <n v="12862.4"/>
    <s v="Seattle"/>
    <x v="2"/>
    <s v="S"/>
    <s v="Yellow"/>
    <n v="4"/>
    <x v="1"/>
    <s v="Retail"/>
    <s v="PayPal"/>
  </r>
  <r>
    <s v="ORD-202401089"/>
    <x v="445"/>
    <n v="1256"/>
    <s v="20/07/1984"/>
    <x v="1"/>
    <x v="3"/>
    <n v="14937.31"/>
    <n v="9031.11"/>
    <s v="Miami"/>
    <x v="0"/>
    <s v="L"/>
    <s v="Green"/>
    <n v="2"/>
    <x v="1"/>
    <s v="Retail"/>
    <s v="PayPal"/>
  </r>
  <r>
    <s v="ORD-202401090"/>
    <x v="38"/>
    <n v="8884"/>
    <s v="29/01/1975"/>
    <x v="1"/>
    <x v="3"/>
    <n v="6840.28"/>
    <n v="3350.57"/>
    <s v="Seattle"/>
    <x v="2"/>
    <s v="L"/>
    <s v="Yellow"/>
    <n v="2"/>
    <x v="1"/>
    <s v="Retail"/>
    <s v="Bank Transfer"/>
  </r>
  <r>
    <s v="ORD-202401091"/>
    <x v="794"/>
    <n v="6370"/>
    <s v="28/08/1984"/>
    <x v="0"/>
    <x v="4"/>
    <n v="14360.67"/>
    <n v="8555.89"/>
    <s v="San Francisco"/>
    <x v="2"/>
    <s v="L"/>
    <s v="Yellow"/>
    <n v="2"/>
    <x v="2"/>
    <s v="Retail"/>
    <s v="PayPal"/>
  </r>
  <r>
    <s v="ORD-202401092"/>
    <x v="42"/>
    <n v="5354"/>
    <s v="05/11/1997"/>
    <x v="0"/>
    <x v="1"/>
    <n v="75468.23"/>
    <n v="43670.63"/>
    <s v="San Francisco"/>
    <x v="2"/>
    <s v="S"/>
    <s v="Green"/>
    <n v="1"/>
    <x v="1"/>
    <s v="Retail"/>
    <s v="Bank Transfer"/>
  </r>
  <r>
    <s v="ORD-202401093"/>
    <x v="795"/>
    <n v="8747"/>
    <s v="29/06/1993"/>
    <x v="0"/>
    <x v="3"/>
    <n v="10264.67"/>
    <n v="6333.12"/>
    <s v="Seattle"/>
    <x v="2"/>
    <s v="XL"/>
    <s v="Red"/>
    <n v="3"/>
    <x v="1"/>
    <s v="Retail"/>
    <s v="PayPal"/>
  </r>
  <r>
    <s v="ORD-202401094"/>
    <x v="796"/>
    <n v="8014"/>
    <s v="02/01/1995"/>
    <x v="1"/>
    <x v="2"/>
    <n v="11157.73"/>
    <n v="5745.02"/>
    <s v="Miami"/>
    <x v="0"/>
    <s v="XL"/>
    <s v="White"/>
    <n v="5"/>
    <x v="1"/>
    <s v="Retail"/>
    <s v="Cash"/>
  </r>
  <r>
    <s v="ORD-202401095"/>
    <x v="797"/>
    <n v="9869"/>
    <s v="18/07/1982"/>
    <x v="1"/>
    <x v="2"/>
    <n v="37422.36"/>
    <n v="19998.240000000002"/>
    <s v="Seattle"/>
    <x v="2"/>
    <s v="L"/>
    <s v="Green"/>
    <n v="5"/>
    <x v="1"/>
    <s v="Retail"/>
    <s v="Bank Transfer"/>
  </r>
  <r>
    <s v="ORD-202401096"/>
    <x v="798"/>
    <n v="1416"/>
    <s v="27/11/1984"/>
    <x v="0"/>
    <x v="3"/>
    <n v="13272.36"/>
    <n v="5989.17"/>
    <s v="Chicago"/>
    <x v="1"/>
    <s v="S"/>
    <s v="Red"/>
    <n v="2"/>
    <x v="2"/>
    <s v="Retail"/>
    <s v="Cash"/>
  </r>
  <r>
    <s v="ORD-202401097"/>
    <x v="799"/>
    <n v="6340"/>
    <s v="12/03/1975"/>
    <x v="1"/>
    <x v="4"/>
    <n v="8977.68"/>
    <n v="4049.96"/>
    <s v="New York"/>
    <x v="0"/>
    <s v="L"/>
    <s v="White"/>
    <n v="1"/>
    <x v="0"/>
    <s v="Wholesale"/>
    <s v="Bank Transfer"/>
  </r>
  <r>
    <s v="ORD-202401098"/>
    <x v="800"/>
    <n v="9598"/>
    <s v="26/04/1993"/>
    <x v="1"/>
    <x v="0"/>
    <n v="9094.4699999999993"/>
    <n v="5220.16"/>
    <s v="New York"/>
    <x v="0"/>
    <s v="XL"/>
    <s v="Blue"/>
    <n v="4"/>
    <x v="2"/>
    <s v="Wholesale"/>
    <s v="Cash"/>
  </r>
  <r>
    <s v="ORD-202401099"/>
    <x v="99"/>
    <n v="7771"/>
    <s v="07/11/1998"/>
    <x v="0"/>
    <x v="0"/>
    <n v="21495.08"/>
    <n v="10230.530000000001"/>
    <s v="Seattle"/>
    <x v="2"/>
    <s v="M"/>
    <s v="Green"/>
    <n v="3"/>
    <x v="1"/>
    <s v="Wholesale"/>
    <s v="PayPal"/>
  </r>
  <r>
    <s v="ORD-202401100"/>
    <x v="711"/>
    <n v="4119"/>
    <s v="31/12/1975"/>
    <x v="0"/>
    <x v="0"/>
    <n v="7996.93"/>
    <n v="4568.7700000000004"/>
    <s v="Los Angeles"/>
    <x v="2"/>
    <s v="S"/>
    <s v="Black"/>
    <n v="3"/>
    <x v="0"/>
    <s v="Retail"/>
    <s v="PayPal"/>
  </r>
  <r>
    <s v="ORD-202401101"/>
    <x v="218"/>
    <n v="4341"/>
    <s v="08/03/1977"/>
    <x v="1"/>
    <x v="1"/>
    <n v="44622.62"/>
    <n v="24832.61"/>
    <s v="Los Angeles"/>
    <x v="2"/>
    <s v="XL"/>
    <s v="White"/>
    <n v="5"/>
    <x v="0"/>
    <s v="Wholesale"/>
    <s v="Cash"/>
  </r>
  <r>
    <s v="ORD-202401102"/>
    <x v="635"/>
    <n v="5352"/>
    <s v="19/03/1995"/>
    <x v="1"/>
    <x v="1"/>
    <n v="21903.66"/>
    <n v="10534.59"/>
    <s v="Miami"/>
    <x v="0"/>
    <s v="S"/>
    <s v="Green"/>
    <n v="2"/>
    <x v="0"/>
    <s v="Retail"/>
    <s v="PayPal"/>
  </r>
  <r>
    <s v="ORD-202401103"/>
    <x v="381"/>
    <n v="1869"/>
    <s v="10/08/1987"/>
    <x v="0"/>
    <x v="3"/>
    <n v="13200.41"/>
    <n v="8475.59"/>
    <s v="Miami"/>
    <x v="0"/>
    <s v="XL"/>
    <s v="Blue"/>
    <n v="1"/>
    <x v="0"/>
    <s v="Retail"/>
    <s v="Bank Transfer"/>
  </r>
  <r>
    <s v="ORD-202401104"/>
    <x v="801"/>
    <n v="1479"/>
    <s v="08/05/1978"/>
    <x v="1"/>
    <x v="4"/>
    <n v="16935.13"/>
    <n v="8146.45"/>
    <s v="Boston"/>
    <x v="0"/>
    <s v="M"/>
    <s v="Black"/>
    <n v="4"/>
    <x v="2"/>
    <s v="Wholesale"/>
    <s v="PayPal"/>
  </r>
  <r>
    <s v="ORD-202401105"/>
    <x v="802"/>
    <n v="4871"/>
    <s v="08/08/1983"/>
    <x v="0"/>
    <x v="0"/>
    <n v="9561.4599999999991"/>
    <n v="4621.18"/>
    <s v="San Francisco"/>
    <x v="2"/>
    <s v="L"/>
    <s v="Black"/>
    <n v="2"/>
    <x v="0"/>
    <s v="Wholesale"/>
    <s v="PayPal"/>
  </r>
  <r>
    <s v="ORD-202401106"/>
    <x v="803"/>
    <n v="8586"/>
    <s v="10/12/1991"/>
    <x v="1"/>
    <x v="3"/>
    <n v="6282.99"/>
    <n v="3842.98"/>
    <s v="Seattle"/>
    <x v="2"/>
    <s v="L"/>
    <s v="Blue"/>
    <n v="1"/>
    <x v="0"/>
    <s v="Retail"/>
    <s v="Bank Transfer"/>
  </r>
  <r>
    <s v="ORD-202401107"/>
    <x v="804"/>
    <n v="8189"/>
    <s v="16/01/1990"/>
    <x v="0"/>
    <x v="1"/>
    <n v="32045.02"/>
    <n v="15537.54"/>
    <s v="Miami"/>
    <x v="0"/>
    <s v="S"/>
    <s v="Blue"/>
    <n v="1"/>
    <x v="1"/>
    <s v="Wholesale"/>
    <s v="PayPal"/>
  </r>
  <r>
    <s v="ORD-202401108"/>
    <x v="805"/>
    <n v="6355"/>
    <s v="30/12/1991"/>
    <x v="0"/>
    <x v="3"/>
    <n v="12180.91"/>
    <n v="6841.56"/>
    <s v="Boston"/>
    <x v="0"/>
    <s v="M"/>
    <s v="Blue"/>
    <n v="2"/>
    <x v="1"/>
    <s v="Wholesale"/>
    <s v="Cash"/>
  </r>
  <r>
    <s v="ORD-202401109"/>
    <x v="806"/>
    <n v="4087"/>
    <s v="01/08/1994"/>
    <x v="0"/>
    <x v="2"/>
    <n v="12364.03"/>
    <n v="5673.77"/>
    <s v="San Francisco"/>
    <x v="2"/>
    <s v="XL"/>
    <s v="Yellow"/>
    <n v="4"/>
    <x v="0"/>
    <s v="Retail"/>
    <s v="PayPal"/>
  </r>
  <r>
    <s v="ORD-202401110"/>
    <x v="807"/>
    <n v="9426"/>
    <s v="12/09/1986"/>
    <x v="1"/>
    <x v="4"/>
    <n v="22248.42"/>
    <n v="12848.14"/>
    <s v="Seattle"/>
    <x v="2"/>
    <s v="XL"/>
    <s v="Red"/>
    <n v="1"/>
    <x v="1"/>
    <s v="Retail"/>
    <s v="Bank Transfer"/>
  </r>
  <r>
    <s v="ORD-202401111"/>
    <x v="202"/>
    <n v="2793"/>
    <s v="21/05/1984"/>
    <x v="1"/>
    <x v="0"/>
    <n v="6694.38"/>
    <n v="4130.68"/>
    <s v="San Francisco"/>
    <x v="2"/>
    <s v="M"/>
    <s v="Blue"/>
    <n v="5"/>
    <x v="2"/>
    <s v="Wholesale"/>
    <s v="Cash"/>
  </r>
  <r>
    <s v="ORD-202401112"/>
    <x v="62"/>
    <n v="1393"/>
    <s v="15/08/1985"/>
    <x v="0"/>
    <x v="1"/>
    <n v="42629.65"/>
    <n v="23258.47"/>
    <s v="Boston"/>
    <x v="0"/>
    <s v="M"/>
    <s v="Red"/>
    <n v="5"/>
    <x v="2"/>
    <s v="Wholesale"/>
    <s v="PayPal"/>
  </r>
  <r>
    <s v="ORD-202401113"/>
    <x v="189"/>
    <n v="2886"/>
    <s v="03/03/1974"/>
    <x v="0"/>
    <x v="4"/>
    <n v="31352.66"/>
    <n v="18079.77"/>
    <s v="San Francisco"/>
    <x v="2"/>
    <s v="M"/>
    <s v="Red"/>
    <n v="2"/>
    <x v="1"/>
    <s v="Wholesale"/>
    <s v="PayPal"/>
  </r>
  <r>
    <s v="ORD-202401114"/>
    <x v="672"/>
    <n v="2462"/>
    <s v="02/03/1975"/>
    <x v="0"/>
    <x v="1"/>
    <n v="17446.48"/>
    <n v="9256.0400000000009"/>
    <s v="Minneapolis"/>
    <x v="1"/>
    <s v="M"/>
    <s v="Blue"/>
    <n v="1"/>
    <x v="1"/>
    <s v="Wholesale"/>
    <s v="Bank Transfer"/>
  </r>
  <r>
    <s v="ORD-202401115"/>
    <x v="808"/>
    <n v="4243"/>
    <s v="26/02/1981"/>
    <x v="0"/>
    <x v="0"/>
    <n v="6055.25"/>
    <n v="3417.44"/>
    <s v="San Francisco"/>
    <x v="2"/>
    <s v="XL"/>
    <s v="White"/>
    <n v="3"/>
    <x v="1"/>
    <s v="Retail"/>
    <s v="Cash"/>
  </r>
  <r>
    <s v="ORD-202401116"/>
    <x v="220"/>
    <n v="5621"/>
    <s v="17/09/1976"/>
    <x v="0"/>
    <x v="3"/>
    <n v="4694.67"/>
    <n v="2379.6799999999998"/>
    <s v="Boston"/>
    <x v="0"/>
    <s v="XL"/>
    <s v="Black"/>
    <n v="5"/>
    <x v="1"/>
    <s v="Retail"/>
    <s v="Cash"/>
  </r>
  <r>
    <s v="ORD-202401117"/>
    <x v="809"/>
    <n v="3110"/>
    <s v="06/11/1986"/>
    <x v="0"/>
    <x v="3"/>
    <n v="11049.91"/>
    <n v="6279.45"/>
    <s v="Miami"/>
    <x v="0"/>
    <s v="L"/>
    <s v="Green"/>
    <n v="4"/>
    <x v="2"/>
    <s v="Retail"/>
    <s v="PayPal"/>
  </r>
  <r>
    <s v="ORD-202401118"/>
    <x v="810"/>
    <n v="6656"/>
    <s v="09/07/1995"/>
    <x v="0"/>
    <x v="3"/>
    <n v="10404.200000000001"/>
    <n v="5895.97"/>
    <s v="New York"/>
    <x v="0"/>
    <s v="S"/>
    <s v="Red"/>
    <n v="2"/>
    <x v="2"/>
    <s v="Retail"/>
    <s v="Bank Transfer"/>
  </r>
  <r>
    <s v="ORD-202401119"/>
    <x v="811"/>
    <n v="3135"/>
    <s v="08/10/1983"/>
    <x v="0"/>
    <x v="1"/>
    <n v="101820.5"/>
    <n v="51100.800000000003"/>
    <s v="San Francisco"/>
    <x v="2"/>
    <s v="S"/>
    <s v="Black"/>
    <n v="2"/>
    <x v="1"/>
    <s v="Wholesale"/>
    <s v="Cash"/>
  </r>
  <r>
    <s v="ORD-202401120"/>
    <x v="812"/>
    <n v="5553"/>
    <s v="13/03/1992"/>
    <x v="0"/>
    <x v="1"/>
    <n v="33318.28"/>
    <n v="19120.86"/>
    <s v="San Francisco"/>
    <x v="2"/>
    <s v="XL"/>
    <s v="Black"/>
    <n v="1"/>
    <x v="1"/>
    <s v="Wholesale"/>
    <s v="Cash"/>
  </r>
  <r>
    <s v="ORD-202401121"/>
    <x v="167"/>
    <n v="6609"/>
    <s v="20/10/1974"/>
    <x v="1"/>
    <x v="4"/>
    <n v="21191.15"/>
    <n v="13198.08"/>
    <s v="Los Angeles"/>
    <x v="2"/>
    <s v="S"/>
    <s v="Blue"/>
    <n v="3"/>
    <x v="1"/>
    <s v="Retail"/>
    <s v="Cash"/>
  </r>
  <r>
    <s v="ORD-202401122"/>
    <x v="802"/>
    <n v="7038"/>
    <s v="02/04/1990"/>
    <x v="1"/>
    <x v="3"/>
    <n v="15712.49"/>
    <n v="8039.32"/>
    <s v="Miami"/>
    <x v="0"/>
    <s v="S"/>
    <s v="Green"/>
    <n v="4"/>
    <x v="0"/>
    <s v="Wholesale"/>
    <s v="Bank Transfer"/>
  </r>
  <r>
    <s v="ORD-202401123"/>
    <x v="394"/>
    <n v="2743"/>
    <s v="07/07/1991"/>
    <x v="0"/>
    <x v="3"/>
    <n v="19439.439999999999"/>
    <n v="9723.99"/>
    <s v="San Francisco"/>
    <x v="2"/>
    <s v="XL"/>
    <s v="Red"/>
    <n v="1"/>
    <x v="1"/>
    <s v="Retail"/>
    <s v="Cash"/>
  </r>
  <r>
    <s v="ORD-202401124"/>
    <x v="719"/>
    <n v="4765"/>
    <s v="05/11/1994"/>
    <x v="0"/>
    <x v="4"/>
    <n v="20931.3"/>
    <n v="10575.2"/>
    <s v="Boston"/>
    <x v="0"/>
    <s v="S"/>
    <s v="White"/>
    <n v="2"/>
    <x v="1"/>
    <s v="Retail"/>
    <s v="Cash"/>
  </r>
  <r>
    <s v="ORD-202401125"/>
    <x v="511"/>
    <n v="1499"/>
    <s v="03/08/1996"/>
    <x v="0"/>
    <x v="0"/>
    <n v="17625.919999999998"/>
    <n v="10414.459999999999"/>
    <s v="Boston"/>
    <x v="0"/>
    <s v="XL"/>
    <s v="Red"/>
    <n v="2"/>
    <x v="0"/>
    <s v="Retail"/>
    <s v="Cash"/>
  </r>
  <r>
    <s v="ORD-202401126"/>
    <x v="504"/>
    <n v="6916"/>
    <s v="28/11/1982"/>
    <x v="1"/>
    <x v="0"/>
    <n v="12761.38"/>
    <n v="6251.79"/>
    <s v="San Francisco"/>
    <x v="2"/>
    <s v="XL"/>
    <s v="Blue"/>
    <n v="1"/>
    <x v="0"/>
    <s v="Retail"/>
    <s v="PayPal"/>
  </r>
  <r>
    <s v="ORD-202401127"/>
    <x v="22"/>
    <n v="7978"/>
    <s v="16/01/1990"/>
    <x v="1"/>
    <x v="1"/>
    <n v="76617.19"/>
    <n v="42080.83"/>
    <s v="San Francisco"/>
    <x v="2"/>
    <s v="M"/>
    <s v="Red"/>
    <n v="5"/>
    <x v="1"/>
    <s v="Retail"/>
    <s v="PayPal"/>
  </r>
  <r>
    <s v="ORD-202401128"/>
    <x v="471"/>
    <n v="8167"/>
    <s v="28/05/1981"/>
    <x v="1"/>
    <x v="1"/>
    <n v="27977.99"/>
    <n v="13423.36"/>
    <s v="Chicago"/>
    <x v="1"/>
    <s v="L"/>
    <s v="Yellow"/>
    <n v="1"/>
    <x v="0"/>
    <s v="Wholesale"/>
    <s v="PayPal"/>
  </r>
  <r>
    <s v="ORD-202401129"/>
    <x v="813"/>
    <n v="7972"/>
    <s v="10/08/1988"/>
    <x v="0"/>
    <x v="4"/>
    <n v="18273.98"/>
    <n v="9430.59"/>
    <s v="Chicago"/>
    <x v="1"/>
    <s v="S"/>
    <s v="Red"/>
    <n v="1"/>
    <x v="1"/>
    <s v="Retail"/>
    <s v="PayPal"/>
  </r>
  <r>
    <s v="ORD-202401130"/>
    <x v="571"/>
    <n v="4865"/>
    <s v="07/04/1996"/>
    <x v="0"/>
    <x v="4"/>
    <n v="47950.32"/>
    <n v="26976.09"/>
    <s v="Miami"/>
    <x v="0"/>
    <s v="L"/>
    <s v="Yellow"/>
    <n v="1"/>
    <x v="1"/>
    <s v="Wholesale"/>
    <s v="PayPal"/>
  </r>
  <r>
    <s v="ORD-202401131"/>
    <x v="814"/>
    <n v="5876"/>
    <s v="13/09/1971"/>
    <x v="1"/>
    <x v="4"/>
    <n v="58488.07"/>
    <n v="30940.19"/>
    <s v="Los Angeles"/>
    <x v="2"/>
    <s v="XL"/>
    <s v="Black"/>
    <n v="2"/>
    <x v="0"/>
    <s v="Retail"/>
    <s v="PayPal"/>
  </r>
  <r>
    <s v="ORD-202401132"/>
    <x v="815"/>
    <n v="2672"/>
    <s v="16/02/1983"/>
    <x v="1"/>
    <x v="3"/>
    <n v="16621.14"/>
    <n v="10655.65"/>
    <s v="Los Angeles"/>
    <x v="2"/>
    <s v="M"/>
    <s v="Blue"/>
    <n v="4"/>
    <x v="1"/>
    <s v="Retail"/>
    <s v="Bank Transfer"/>
  </r>
  <r>
    <s v="ORD-202401133"/>
    <x v="127"/>
    <n v="3998"/>
    <s v="07/08/1989"/>
    <x v="0"/>
    <x v="2"/>
    <n v="26621.95"/>
    <n v="17128.78"/>
    <s v="New York"/>
    <x v="0"/>
    <s v="L"/>
    <s v="Yellow"/>
    <n v="5"/>
    <x v="2"/>
    <s v="Wholesale"/>
    <s v="Bank Transfer"/>
  </r>
  <r>
    <s v="ORD-202401134"/>
    <x v="816"/>
    <n v="3286"/>
    <s v="29/04/1989"/>
    <x v="0"/>
    <x v="0"/>
    <n v="6194.96"/>
    <n v="2850.9"/>
    <s v="Chicago"/>
    <x v="1"/>
    <s v="XL"/>
    <s v="Yellow"/>
    <n v="2"/>
    <x v="1"/>
    <s v="Retail"/>
    <s v="Cash"/>
  </r>
  <r>
    <s v="ORD-202401135"/>
    <x v="817"/>
    <n v="2557"/>
    <s v="22/08/1981"/>
    <x v="0"/>
    <x v="4"/>
    <n v="20878.5"/>
    <n v="12252.95"/>
    <s v="Boston"/>
    <x v="0"/>
    <s v="XL"/>
    <s v="Blue"/>
    <n v="1"/>
    <x v="1"/>
    <s v="Retail"/>
    <s v="Cash"/>
  </r>
  <r>
    <s v="ORD-202401136"/>
    <x v="818"/>
    <n v="9326"/>
    <s v="03/09/1999"/>
    <x v="0"/>
    <x v="1"/>
    <n v="82246.02"/>
    <n v="51015.57"/>
    <s v="Boston"/>
    <x v="0"/>
    <s v="XL"/>
    <s v="Green"/>
    <n v="3"/>
    <x v="0"/>
    <s v="Retail"/>
    <s v="Cash"/>
  </r>
  <r>
    <s v="ORD-202401137"/>
    <x v="135"/>
    <n v="8214"/>
    <s v="14/08/1995"/>
    <x v="1"/>
    <x v="1"/>
    <n v="54937.19"/>
    <n v="24848.46"/>
    <s v="Miami"/>
    <x v="0"/>
    <s v="M"/>
    <s v="Red"/>
    <n v="1"/>
    <x v="1"/>
    <s v="Retail"/>
    <s v="Bank Transfer"/>
  </r>
  <r>
    <s v="ORD-202401138"/>
    <x v="380"/>
    <n v="2394"/>
    <s v="22/01/1987"/>
    <x v="1"/>
    <x v="4"/>
    <n v="45060.26"/>
    <n v="21101.75"/>
    <s v="Seattle"/>
    <x v="2"/>
    <s v="S"/>
    <s v="Blue"/>
    <n v="5"/>
    <x v="2"/>
    <s v="Wholesale"/>
    <s v="PayPal"/>
  </r>
  <r>
    <s v="ORD-202401139"/>
    <x v="819"/>
    <n v="8591"/>
    <s v="30/09/1976"/>
    <x v="1"/>
    <x v="1"/>
    <n v="65085.01"/>
    <n v="42292.87"/>
    <s v="Los Angeles"/>
    <x v="2"/>
    <s v="XL"/>
    <s v="Black"/>
    <n v="1"/>
    <x v="1"/>
    <s v="Retail"/>
    <s v="Cash"/>
  </r>
  <r>
    <s v="ORD-202401140"/>
    <x v="820"/>
    <n v="2843"/>
    <s v="30/12/1988"/>
    <x v="1"/>
    <x v="3"/>
    <n v="5879.53"/>
    <n v="3227.1"/>
    <s v="Miami"/>
    <x v="0"/>
    <s v="M"/>
    <s v="Blue"/>
    <n v="4"/>
    <x v="1"/>
    <s v="Wholesale"/>
    <s v="PayPal"/>
  </r>
  <r>
    <s v="ORD-202401141"/>
    <x v="287"/>
    <n v="7523"/>
    <s v="24/08/1990"/>
    <x v="0"/>
    <x v="2"/>
    <n v="16664.05"/>
    <n v="7649.36"/>
    <s v="New York"/>
    <x v="0"/>
    <s v="XL"/>
    <s v="Black"/>
    <n v="3"/>
    <x v="2"/>
    <s v="Retail"/>
    <s v="PayPal"/>
  </r>
  <r>
    <s v="ORD-202401142"/>
    <x v="821"/>
    <n v="9383"/>
    <s v="28/04/1990"/>
    <x v="1"/>
    <x v="3"/>
    <n v="5275.34"/>
    <n v="2842.3"/>
    <s v="San Francisco"/>
    <x v="2"/>
    <s v="M"/>
    <s v="Yellow"/>
    <n v="3"/>
    <x v="1"/>
    <s v="Retail"/>
    <s v="Bank Transfer"/>
  </r>
  <r>
    <s v="ORD-202401143"/>
    <x v="822"/>
    <n v="3048"/>
    <s v="11/07/1994"/>
    <x v="0"/>
    <x v="3"/>
    <n v="8781.66"/>
    <n v="4959.6499999999996"/>
    <s v="New York"/>
    <x v="0"/>
    <s v="M"/>
    <s v="Green"/>
    <n v="5"/>
    <x v="1"/>
    <s v="Wholesale"/>
    <s v="Cash"/>
  </r>
  <r>
    <s v="ORD-202401144"/>
    <x v="823"/>
    <n v="9637"/>
    <s v="15/10/1976"/>
    <x v="1"/>
    <x v="4"/>
    <n v="30271.87"/>
    <n v="14034.95"/>
    <s v="Miami"/>
    <x v="0"/>
    <s v="S"/>
    <s v="Yellow"/>
    <n v="1"/>
    <x v="1"/>
    <s v="Retail"/>
    <s v="Cash"/>
  </r>
  <r>
    <s v="ORD-202401145"/>
    <x v="679"/>
    <n v="3674"/>
    <s v="18/09/1998"/>
    <x v="0"/>
    <x v="2"/>
    <n v="35174.18"/>
    <n v="16587.87"/>
    <s v="Boston"/>
    <x v="0"/>
    <s v="M"/>
    <s v="White"/>
    <n v="4"/>
    <x v="2"/>
    <s v="Retail"/>
    <s v="Cash"/>
  </r>
  <r>
    <s v="ORD-202401146"/>
    <x v="824"/>
    <n v="1359"/>
    <s v="29/11/1984"/>
    <x v="0"/>
    <x v="2"/>
    <n v="26068.799999999999"/>
    <n v="16716.09"/>
    <s v="San Francisco"/>
    <x v="2"/>
    <s v="L"/>
    <s v="White"/>
    <n v="2"/>
    <x v="1"/>
    <s v="Wholesale"/>
    <s v="Bank Transfer"/>
  </r>
  <r>
    <s v="ORD-202401147"/>
    <x v="825"/>
    <n v="7822"/>
    <s v="08/04/1971"/>
    <x v="1"/>
    <x v="3"/>
    <n v="18028.46"/>
    <n v="9807.65"/>
    <s v="Los Angeles"/>
    <x v="2"/>
    <s v="XL"/>
    <s v="Black"/>
    <n v="1"/>
    <x v="0"/>
    <s v="Retail"/>
    <s v="Bank Transfer"/>
  </r>
  <r>
    <s v="ORD-202401148"/>
    <x v="826"/>
    <n v="1046"/>
    <s v="09/04/1994"/>
    <x v="1"/>
    <x v="0"/>
    <n v="11724.27"/>
    <n v="6568.29"/>
    <s v="Boston"/>
    <x v="0"/>
    <s v="S"/>
    <s v="Green"/>
    <n v="1"/>
    <x v="1"/>
    <s v="Retail"/>
    <s v="Cash"/>
  </r>
  <r>
    <s v="ORD-202401149"/>
    <x v="150"/>
    <n v="5342"/>
    <s v="22/11/1986"/>
    <x v="1"/>
    <x v="0"/>
    <n v="15548.49"/>
    <n v="8671.09"/>
    <s v="Miami"/>
    <x v="0"/>
    <s v="M"/>
    <s v="Black"/>
    <n v="5"/>
    <x v="1"/>
    <s v="Wholesale"/>
    <s v="Bank Transfer"/>
  </r>
  <r>
    <s v="ORD-202401150"/>
    <x v="668"/>
    <n v="6575"/>
    <s v="06/09/1984"/>
    <x v="1"/>
    <x v="2"/>
    <n v="47164.29"/>
    <n v="28803.98"/>
    <s v="Seattle"/>
    <x v="2"/>
    <s v="S"/>
    <s v="Red"/>
    <n v="1"/>
    <x v="0"/>
    <s v="Wholesale"/>
    <s v="PayPal"/>
  </r>
  <r>
    <s v="ORD-202401151"/>
    <x v="295"/>
    <n v="1728"/>
    <s v="11/02/1987"/>
    <x v="1"/>
    <x v="0"/>
    <n v="7716.2"/>
    <n v="4204.53"/>
    <s v="Seattle"/>
    <x v="2"/>
    <s v="XL"/>
    <s v="Black"/>
    <n v="1"/>
    <x v="1"/>
    <s v="Retail"/>
    <s v="PayPal"/>
  </r>
  <r>
    <s v="ORD-202401152"/>
    <x v="827"/>
    <n v="3060"/>
    <s v="19/01/1999"/>
    <x v="0"/>
    <x v="1"/>
    <n v="31601.35"/>
    <n v="15863.28"/>
    <s v="Chicago"/>
    <x v="1"/>
    <s v="L"/>
    <s v="Yellow"/>
    <n v="1"/>
    <x v="1"/>
    <s v="Retail"/>
    <s v="Cash"/>
  </r>
  <r>
    <s v="ORD-202401153"/>
    <x v="828"/>
    <n v="5099"/>
    <s v="16/10/1993"/>
    <x v="0"/>
    <x v="1"/>
    <n v="19284.95"/>
    <n v="12228.62"/>
    <s v="Boston"/>
    <x v="0"/>
    <s v="XL"/>
    <s v="Black"/>
    <n v="3"/>
    <x v="0"/>
    <s v="Wholesale"/>
    <s v="PayPal"/>
  </r>
  <r>
    <s v="ORD-202401154"/>
    <x v="829"/>
    <n v="3651"/>
    <s v="04/10/1981"/>
    <x v="0"/>
    <x v="1"/>
    <n v="53905.48"/>
    <n v="34298.9"/>
    <s v="Miami"/>
    <x v="0"/>
    <s v="L"/>
    <s v="White"/>
    <n v="3"/>
    <x v="0"/>
    <s v="Retail"/>
    <s v="PayPal"/>
  </r>
  <r>
    <s v="ORD-202401155"/>
    <x v="117"/>
    <n v="4150"/>
    <s v="26/11/1979"/>
    <x v="0"/>
    <x v="1"/>
    <n v="40346.300000000003"/>
    <n v="20112.759999999998"/>
    <s v="Detroit"/>
    <x v="1"/>
    <s v="L"/>
    <s v="Green"/>
    <n v="4"/>
    <x v="2"/>
    <s v="Wholesale"/>
    <s v="PayPal"/>
  </r>
  <r>
    <s v="ORD-202401156"/>
    <x v="794"/>
    <n v="6472"/>
    <s v="15/10/1987"/>
    <x v="1"/>
    <x v="2"/>
    <n v="17464.52"/>
    <n v="8046.6"/>
    <s v="San Francisco"/>
    <x v="2"/>
    <s v="XL"/>
    <s v="Blue"/>
    <n v="2"/>
    <x v="1"/>
    <s v="Retail"/>
    <s v="Cash"/>
  </r>
  <r>
    <s v="ORD-202401157"/>
    <x v="78"/>
    <n v="8765"/>
    <s v="16/06/1999"/>
    <x v="1"/>
    <x v="1"/>
    <n v="38709.599999999999"/>
    <n v="23332.67"/>
    <s v="Minneapolis"/>
    <x v="1"/>
    <s v="S"/>
    <s v="White"/>
    <n v="1"/>
    <x v="1"/>
    <s v="Retail"/>
    <s v="PayPal"/>
  </r>
  <r>
    <s v="ORD-202401158"/>
    <x v="830"/>
    <n v="9739"/>
    <s v="08/04/1981"/>
    <x v="1"/>
    <x v="2"/>
    <n v="37294.99"/>
    <n v="16828.39"/>
    <s v="Chicago"/>
    <x v="1"/>
    <s v="S"/>
    <s v="Red"/>
    <n v="4"/>
    <x v="0"/>
    <s v="Wholesale"/>
    <s v="Bank Transfer"/>
  </r>
  <r>
    <s v="ORD-202401159"/>
    <x v="203"/>
    <n v="6871"/>
    <s v="03/12/1995"/>
    <x v="1"/>
    <x v="4"/>
    <n v="53046.04"/>
    <n v="33389.99"/>
    <s v="Boston"/>
    <x v="0"/>
    <s v="L"/>
    <s v="White"/>
    <n v="2"/>
    <x v="2"/>
    <s v="Retail"/>
    <s v="Bank Transfer"/>
  </r>
  <r>
    <s v="ORD-202401160"/>
    <x v="831"/>
    <n v="1876"/>
    <s v="21/05/1977"/>
    <x v="0"/>
    <x v="3"/>
    <n v="5124.1099999999997"/>
    <n v="2540.34"/>
    <s v="Detroit"/>
    <x v="1"/>
    <s v="XL"/>
    <s v="Green"/>
    <n v="2"/>
    <x v="1"/>
    <s v="Wholesale"/>
    <s v="PayPal"/>
  </r>
  <r>
    <s v="ORD-202401161"/>
    <x v="51"/>
    <n v="7037"/>
    <s v="28/07/1977"/>
    <x v="1"/>
    <x v="4"/>
    <n v="59444.27"/>
    <n v="28828.43"/>
    <s v="Seattle"/>
    <x v="2"/>
    <s v="M"/>
    <s v="Red"/>
    <n v="5"/>
    <x v="0"/>
    <s v="Retail"/>
    <s v="Bank Transfer"/>
  </r>
  <r>
    <s v="ORD-202401162"/>
    <x v="176"/>
    <n v="1515"/>
    <s v="12/02/1972"/>
    <x v="1"/>
    <x v="0"/>
    <n v="6740.38"/>
    <n v="3913.22"/>
    <s v="Minneapolis"/>
    <x v="1"/>
    <s v="L"/>
    <s v="Black"/>
    <n v="4"/>
    <x v="1"/>
    <s v="Retail"/>
    <s v="Cash"/>
  </r>
  <r>
    <s v="ORD-202401163"/>
    <x v="487"/>
    <n v="5677"/>
    <s v="27/01/1990"/>
    <x v="1"/>
    <x v="4"/>
    <n v="31162.84"/>
    <n v="17892.39"/>
    <s v="Chicago"/>
    <x v="1"/>
    <s v="S"/>
    <s v="White"/>
    <n v="4"/>
    <x v="2"/>
    <s v="Retail"/>
    <s v="Cash"/>
  </r>
  <r>
    <s v="ORD-202401164"/>
    <x v="832"/>
    <n v="3780"/>
    <s v="13/12/1991"/>
    <x v="0"/>
    <x v="0"/>
    <n v="8664.48"/>
    <n v="5341.83"/>
    <s v="San Francisco"/>
    <x v="2"/>
    <s v="XL"/>
    <s v="Black"/>
    <n v="2"/>
    <x v="2"/>
    <s v="Wholesale"/>
    <s v="Bank Transfer"/>
  </r>
  <r>
    <s v="ORD-202401165"/>
    <x v="299"/>
    <n v="7341"/>
    <s v="20/03/1997"/>
    <x v="0"/>
    <x v="1"/>
    <n v="90436.52"/>
    <n v="45307.43"/>
    <s v="Boston"/>
    <x v="0"/>
    <s v="M"/>
    <s v="Red"/>
    <n v="4"/>
    <x v="0"/>
    <s v="Wholesale"/>
    <s v="Cash"/>
  </r>
  <r>
    <s v="ORD-202401166"/>
    <x v="690"/>
    <n v="6423"/>
    <s v="17/04/1980"/>
    <x v="0"/>
    <x v="1"/>
    <n v="77846.45"/>
    <n v="35214.86"/>
    <s v="Seattle"/>
    <x v="2"/>
    <s v="S"/>
    <s v="Yellow"/>
    <n v="1"/>
    <x v="0"/>
    <s v="Retail"/>
    <s v="Bank Transfer"/>
  </r>
  <r>
    <s v="ORD-202401167"/>
    <x v="833"/>
    <n v="5568"/>
    <s v="23/09/1977"/>
    <x v="1"/>
    <x v="3"/>
    <n v="7099.9"/>
    <n v="4146.38"/>
    <s v="Boston"/>
    <x v="0"/>
    <s v="L"/>
    <s v="Green"/>
    <n v="3"/>
    <x v="1"/>
    <s v="Wholesale"/>
    <s v="Cash"/>
  </r>
  <r>
    <s v="ORD-202401168"/>
    <x v="834"/>
    <n v="8378"/>
    <s v="03/10/1979"/>
    <x v="0"/>
    <x v="0"/>
    <n v="3213.47"/>
    <n v="1887.1"/>
    <s v="Minneapolis"/>
    <x v="1"/>
    <s v="L"/>
    <s v="Blue"/>
    <n v="5"/>
    <x v="1"/>
    <s v="Retail"/>
    <s v="PayPal"/>
  </r>
  <r>
    <s v="ORD-202401169"/>
    <x v="835"/>
    <n v="7972"/>
    <s v="23/06/1995"/>
    <x v="0"/>
    <x v="3"/>
    <n v="16949.990000000002"/>
    <n v="10218.59"/>
    <s v="Miami"/>
    <x v="0"/>
    <s v="S"/>
    <s v="Green"/>
    <n v="3"/>
    <x v="0"/>
    <s v="Wholesale"/>
    <s v="Bank Transfer"/>
  </r>
  <r>
    <s v="ORD-202401170"/>
    <x v="836"/>
    <n v="2467"/>
    <s v="20/08/1971"/>
    <x v="1"/>
    <x v="0"/>
    <n v="16562.22"/>
    <n v="8032.77"/>
    <s v="San Francisco"/>
    <x v="2"/>
    <s v="M"/>
    <s v="Blue"/>
    <n v="5"/>
    <x v="0"/>
    <s v="Retail"/>
    <s v="Cash"/>
  </r>
  <r>
    <s v="ORD-202401171"/>
    <x v="497"/>
    <n v="9191"/>
    <s v="25/12/1998"/>
    <x v="0"/>
    <x v="1"/>
    <n v="34517.22"/>
    <n v="21172.25"/>
    <s v="New York"/>
    <x v="0"/>
    <s v="M"/>
    <s v="Blue"/>
    <n v="5"/>
    <x v="2"/>
    <s v="Wholesale"/>
    <s v="PayPal"/>
  </r>
  <r>
    <s v="ORD-202401172"/>
    <x v="837"/>
    <n v="4032"/>
    <s v="02/09/1970"/>
    <x v="0"/>
    <x v="4"/>
    <n v="12326.68"/>
    <n v="5552.21"/>
    <s v="New York"/>
    <x v="0"/>
    <s v="S"/>
    <s v="Black"/>
    <n v="5"/>
    <x v="1"/>
    <s v="Retail"/>
    <s v="Cash"/>
  </r>
  <r>
    <s v="ORD-202401173"/>
    <x v="838"/>
    <n v="8878"/>
    <s v="14/01/1995"/>
    <x v="1"/>
    <x v="1"/>
    <n v="28820.33"/>
    <n v="16126.36"/>
    <s v="Los Angeles"/>
    <x v="2"/>
    <s v="L"/>
    <s v="Blue"/>
    <n v="3"/>
    <x v="1"/>
    <s v="Retail"/>
    <s v="Cash"/>
  </r>
  <r>
    <s v="ORD-202401174"/>
    <x v="839"/>
    <n v="4997"/>
    <s v="25/02/1999"/>
    <x v="0"/>
    <x v="3"/>
    <n v="7402.81"/>
    <n v="4449.26"/>
    <s v="Chicago"/>
    <x v="1"/>
    <s v="XL"/>
    <s v="Green"/>
    <n v="4"/>
    <x v="0"/>
    <s v="Wholesale"/>
    <s v="PayPal"/>
  </r>
  <r>
    <s v="ORD-202401175"/>
    <x v="840"/>
    <n v="2600"/>
    <s v="11/03/1984"/>
    <x v="0"/>
    <x v="2"/>
    <n v="7120.45"/>
    <n v="4248.54"/>
    <s v="New York"/>
    <x v="0"/>
    <s v="S"/>
    <s v="White"/>
    <n v="4"/>
    <x v="2"/>
    <s v="Retail"/>
    <s v="Bank Transfer"/>
  </r>
  <r>
    <s v="ORD-202401176"/>
    <x v="841"/>
    <n v="1320"/>
    <s v="12/11/1984"/>
    <x v="0"/>
    <x v="1"/>
    <n v="32866.160000000003"/>
    <n v="21181.87"/>
    <s v="Detroit"/>
    <x v="1"/>
    <s v="XL"/>
    <s v="White"/>
    <n v="3"/>
    <x v="1"/>
    <s v="Retail"/>
    <s v="PayPal"/>
  </r>
  <r>
    <s v="ORD-202401177"/>
    <x v="842"/>
    <n v="5623"/>
    <s v="01/02/1980"/>
    <x v="0"/>
    <x v="2"/>
    <n v="30290.560000000001"/>
    <n v="16912.150000000001"/>
    <s v="San Francisco"/>
    <x v="2"/>
    <s v="S"/>
    <s v="White"/>
    <n v="5"/>
    <x v="2"/>
    <s v="Wholesale"/>
    <s v="Bank Transfer"/>
  </r>
  <r>
    <s v="ORD-202401178"/>
    <x v="843"/>
    <n v="4189"/>
    <s v="13/03/1995"/>
    <x v="1"/>
    <x v="4"/>
    <n v="27057.83"/>
    <n v="13270.79"/>
    <s v="Miami"/>
    <x v="0"/>
    <s v="M"/>
    <s v="White"/>
    <n v="5"/>
    <x v="0"/>
    <s v="Retail"/>
    <s v="Bank Transfer"/>
  </r>
  <r>
    <s v="ORD-202401179"/>
    <x v="844"/>
    <n v="8101"/>
    <s v="22/03/1994"/>
    <x v="0"/>
    <x v="1"/>
    <n v="41841.83"/>
    <n v="27155.4"/>
    <s v="Seattle"/>
    <x v="2"/>
    <s v="XL"/>
    <s v="Yellow"/>
    <n v="1"/>
    <x v="1"/>
    <s v="Retail"/>
    <s v="PayPal"/>
  </r>
  <r>
    <s v="ORD-202401180"/>
    <x v="357"/>
    <n v="1382"/>
    <s v="30/11/1986"/>
    <x v="0"/>
    <x v="1"/>
    <n v="19111.330000000002"/>
    <n v="12205.52"/>
    <s v="San Francisco"/>
    <x v="2"/>
    <s v="M"/>
    <s v="White"/>
    <n v="3"/>
    <x v="0"/>
    <s v="Wholesale"/>
    <s v="PayPal"/>
  </r>
  <r>
    <s v="ORD-202401181"/>
    <x v="845"/>
    <n v="1095"/>
    <s v="27/10/1994"/>
    <x v="1"/>
    <x v="2"/>
    <n v="37839.300000000003"/>
    <n v="24147.11"/>
    <s v="New York"/>
    <x v="0"/>
    <s v="XL"/>
    <s v="Green"/>
    <n v="3"/>
    <x v="0"/>
    <s v="Wholesale"/>
    <s v="Cash"/>
  </r>
  <r>
    <s v="ORD-202401182"/>
    <x v="846"/>
    <n v="5862"/>
    <s v="26/11/1991"/>
    <x v="1"/>
    <x v="2"/>
    <n v="20152.55"/>
    <n v="12228.8"/>
    <s v="Miami"/>
    <x v="0"/>
    <s v="S"/>
    <s v="Yellow"/>
    <n v="5"/>
    <x v="1"/>
    <s v="Retail"/>
    <s v="PayPal"/>
  </r>
  <r>
    <s v="ORD-202401183"/>
    <x v="847"/>
    <n v="8823"/>
    <s v="21/01/1997"/>
    <x v="1"/>
    <x v="1"/>
    <n v="41983.67"/>
    <n v="19517.77"/>
    <s v="New York"/>
    <x v="0"/>
    <s v="S"/>
    <s v="Black"/>
    <n v="3"/>
    <x v="0"/>
    <s v="Retail"/>
    <s v="Cash"/>
  </r>
  <r>
    <s v="ORD-202401184"/>
    <x v="848"/>
    <n v="6225"/>
    <s v="14/01/1972"/>
    <x v="1"/>
    <x v="2"/>
    <n v="39268.29"/>
    <n v="18663.580000000002"/>
    <s v="Seattle"/>
    <x v="2"/>
    <s v="M"/>
    <s v="Blue"/>
    <n v="3"/>
    <x v="0"/>
    <s v="Retail"/>
    <s v="PayPal"/>
  </r>
  <r>
    <s v="ORD-202401185"/>
    <x v="849"/>
    <n v="7717"/>
    <s v="08/05/1985"/>
    <x v="1"/>
    <x v="4"/>
    <n v="59579.63"/>
    <n v="32284.51"/>
    <s v="Seattle"/>
    <x v="2"/>
    <s v="M"/>
    <s v="Blue"/>
    <n v="3"/>
    <x v="2"/>
    <s v="Retail"/>
    <s v="Cash"/>
  </r>
  <r>
    <s v="ORD-202401186"/>
    <x v="332"/>
    <n v="1957"/>
    <s v="24/03/1970"/>
    <x v="0"/>
    <x v="1"/>
    <n v="59299.58"/>
    <n v="34416.879999999997"/>
    <s v="Boston"/>
    <x v="0"/>
    <s v="M"/>
    <s v="Blue"/>
    <n v="3"/>
    <x v="0"/>
    <s v="Retail"/>
    <s v="Cash"/>
  </r>
  <r>
    <s v="ORD-202401187"/>
    <x v="193"/>
    <n v="8888"/>
    <s v="13/04/1970"/>
    <x v="0"/>
    <x v="2"/>
    <n v="8385.26"/>
    <n v="4362.74"/>
    <s v="Chicago"/>
    <x v="1"/>
    <s v="S"/>
    <s v="Red"/>
    <n v="1"/>
    <x v="0"/>
    <s v="Wholesale"/>
    <s v="PayPal"/>
  </r>
  <r>
    <s v="ORD-202401188"/>
    <x v="338"/>
    <n v="6160"/>
    <s v="12/11/1973"/>
    <x v="0"/>
    <x v="3"/>
    <n v="7999.4"/>
    <n v="4795.6899999999996"/>
    <s v="San Francisco"/>
    <x v="2"/>
    <s v="S"/>
    <s v="Black"/>
    <n v="3"/>
    <x v="1"/>
    <s v="Wholesale"/>
    <s v="Bank Transfer"/>
  </r>
  <r>
    <s v="ORD-202401189"/>
    <x v="400"/>
    <n v="8048"/>
    <s v="07/03/1973"/>
    <x v="1"/>
    <x v="4"/>
    <n v="29860.16"/>
    <n v="13464.56"/>
    <s v="Seattle"/>
    <x v="2"/>
    <s v="XL"/>
    <s v="Green"/>
    <n v="1"/>
    <x v="2"/>
    <s v="Retail"/>
    <s v="Bank Transfer"/>
  </r>
  <r>
    <s v="ORD-202401190"/>
    <x v="274"/>
    <n v="9550"/>
    <s v="26/04/1976"/>
    <x v="1"/>
    <x v="0"/>
    <n v="8067.74"/>
    <n v="4526.54"/>
    <s v="Miami"/>
    <x v="0"/>
    <s v="M"/>
    <s v="White"/>
    <n v="3"/>
    <x v="1"/>
    <s v="Retail"/>
    <s v="Bank Transfer"/>
  </r>
  <r>
    <s v="ORD-202401191"/>
    <x v="850"/>
    <n v="3314"/>
    <s v="01/02/1993"/>
    <x v="1"/>
    <x v="3"/>
    <n v="3770.48"/>
    <n v="1931.13"/>
    <s v="Miami"/>
    <x v="0"/>
    <s v="S"/>
    <s v="Blue"/>
    <n v="1"/>
    <x v="1"/>
    <s v="Retail"/>
    <s v="Cash"/>
  </r>
  <r>
    <s v="ORD-202401192"/>
    <x v="559"/>
    <n v="2125"/>
    <s v="21/03/1978"/>
    <x v="1"/>
    <x v="0"/>
    <n v="19727.79"/>
    <n v="9719.23"/>
    <s v="Seattle"/>
    <x v="2"/>
    <s v="L"/>
    <s v="White"/>
    <n v="3"/>
    <x v="0"/>
    <s v="Wholesale"/>
    <s v="Cash"/>
  </r>
  <r>
    <s v="ORD-202401193"/>
    <x v="851"/>
    <n v="8133"/>
    <s v="24/06/1994"/>
    <x v="0"/>
    <x v="1"/>
    <n v="59768.31"/>
    <n v="32248.639999999999"/>
    <s v="Los Angeles"/>
    <x v="2"/>
    <s v="M"/>
    <s v="Black"/>
    <n v="3"/>
    <x v="2"/>
    <s v="Wholesale"/>
    <s v="PayPal"/>
  </r>
  <r>
    <s v="ORD-202401194"/>
    <x v="636"/>
    <n v="5881"/>
    <s v="01/03/1987"/>
    <x v="1"/>
    <x v="3"/>
    <n v="16725.07"/>
    <n v="9333.23"/>
    <s v="San Francisco"/>
    <x v="2"/>
    <s v="L"/>
    <s v="Green"/>
    <n v="1"/>
    <x v="1"/>
    <s v="Retail"/>
    <s v="Bank Transfer"/>
  </r>
  <r>
    <s v="ORD-202401195"/>
    <x v="387"/>
    <n v="6967"/>
    <s v="04/08/1973"/>
    <x v="1"/>
    <x v="2"/>
    <n v="14101.35"/>
    <n v="7937.85"/>
    <s v="Miami"/>
    <x v="0"/>
    <s v="S"/>
    <s v="Yellow"/>
    <n v="1"/>
    <x v="0"/>
    <s v="Retail"/>
    <s v="Bank Transfer"/>
  </r>
  <r>
    <s v="ORD-202401196"/>
    <x v="34"/>
    <n v="2666"/>
    <s v="18/11/1999"/>
    <x v="0"/>
    <x v="0"/>
    <n v="5935.3"/>
    <n v="2769.81"/>
    <s v="San Francisco"/>
    <x v="2"/>
    <s v="S"/>
    <s v="White"/>
    <n v="5"/>
    <x v="2"/>
    <s v="Retail"/>
    <s v="PayPal"/>
  </r>
  <r>
    <s v="ORD-202401197"/>
    <x v="362"/>
    <n v="7374"/>
    <s v="04/08/2000"/>
    <x v="0"/>
    <x v="3"/>
    <n v="16626.330000000002"/>
    <n v="8070.91"/>
    <s v="San Francisco"/>
    <x v="2"/>
    <s v="S"/>
    <s v="White"/>
    <n v="5"/>
    <x v="1"/>
    <s v="Retail"/>
    <s v="Bank Transfer"/>
  </r>
  <r>
    <s v="ORD-202401198"/>
    <x v="852"/>
    <n v="3215"/>
    <s v="30/11/1999"/>
    <x v="0"/>
    <x v="0"/>
    <n v="12308.99"/>
    <n v="6311.43"/>
    <s v="New York"/>
    <x v="0"/>
    <s v="L"/>
    <s v="Red"/>
    <n v="1"/>
    <x v="1"/>
    <s v="Retail"/>
    <s v="PayPal"/>
  </r>
  <r>
    <s v="ORD-202401199"/>
    <x v="853"/>
    <n v="5253"/>
    <s v="26/07/1985"/>
    <x v="1"/>
    <x v="2"/>
    <n v="20934.48"/>
    <n v="12006.49"/>
    <s v="Chicago"/>
    <x v="1"/>
    <s v="S"/>
    <s v="White"/>
    <n v="3"/>
    <x v="1"/>
    <s v="Wholesale"/>
    <s v="Cash"/>
  </r>
  <r>
    <s v="ORD-202401200"/>
    <x v="854"/>
    <n v="1811"/>
    <s v="15/09/1994"/>
    <x v="1"/>
    <x v="4"/>
    <n v="29075.94"/>
    <n v="16514.48"/>
    <s v="Boston"/>
    <x v="0"/>
    <s v="L"/>
    <s v="Black"/>
    <n v="1"/>
    <x v="2"/>
    <s v="Wholesale"/>
    <s v="Cash"/>
  </r>
  <r>
    <s v="ORD-202401201"/>
    <x v="855"/>
    <n v="1199"/>
    <s v="22/08/1983"/>
    <x v="0"/>
    <x v="2"/>
    <n v="41083.94"/>
    <n v="23245.11"/>
    <s v="San Francisco"/>
    <x v="2"/>
    <s v="S"/>
    <s v="Green"/>
    <n v="3"/>
    <x v="1"/>
    <s v="Retail"/>
    <s v="Cash"/>
  </r>
  <r>
    <s v="ORD-202401202"/>
    <x v="110"/>
    <n v="2179"/>
    <s v="21/11/1972"/>
    <x v="1"/>
    <x v="1"/>
    <n v="86641.279999999999"/>
    <n v="54754.82"/>
    <s v="Seattle"/>
    <x v="2"/>
    <s v="M"/>
    <s v="Black"/>
    <n v="3"/>
    <x v="2"/>
    <s v="Wholesale"/>
    <s v="Cash"/>
  </r>
  <r>
    <s v="ORD-202401203"/>
    <x v="193"/>
    <n v="6578"/>
    <s v="09/10/2000"/>
    <x v="0"/>
    <x v="2"/>
    <n v="7976.49"/>
    <n v="4208.2700000000004"/>
    <s v="Minneapolis"/>
    <x v="1"/>
    <s v="S"/>
    <s v="Red"/>
    <n v="4"/>
    <x v="2"/>
    <s v="Retail"/>
    <s v="PayPal"/>
  </r>
  <r>
    <s v="ORD-202401204"/>
    <x v="31"/>
    <n v="2207"/>
    <s v="21/08/1972"/>
    <x v="1"/>
    <x v="2"/>
    <n v="36798.300000000003"/>
    <n v="20073.48"/>
    <s v="Los Angeles"/>
    <x v="2"/>
    <s v="S"/>
    <s v="Black"/>
    <n v="2"/>
    <x v="2"/>
    <s v="Retail"/>
    <s v="PayPal"/>
  </r>
  <r>
    <s v="ORD-202401205"/>
    <x v="673"/>
    <n v="5734"/>
    <s v="01/08/1995"/>
    <x v="1"/>
    <x v="3"/>
    <n v="8298.69"/>
    <n v="5333.04"/>
    <s v="Boston"/>
    <x v="0"/>
    <s v="L"/>
    <s v="Blue"/>
    <n v="1"/>
    <x v="1"/>
    <s v="Retail"/>
    <s v="Bank Transfer"/>
  </r>
  <r>
    <s v="ORD-202401206"/>
    <x v="856"/>
    <n v="6700"/>
    <s v="23/05/1998"/>
    <x v="0"/>
    <x v="2"/>
    <n v="7053.74"/>
    <n v="3473.99"/>
    <s v="New York"/>
    <x v="0"/>
    <s v="XL"/>
    <s v="Green"/>
    <n v="3"/>
    <x v="1"/>
    <s v="Retail"/>
    <s v="Bank Transfer"/>
  </r>
  <r>
    <s v="ORD-202401207"/>
    <x v="662"/>
    <n v="3448"/>
    <s v="19/05/1978"/>
    <x v="0"/>
    <x v="2"/>
    <n v="45603.67"/>
    <n v="23328.240000000002"/>
    <s v="Seattle"/>
    <x v="2"/>
    <s v="S"/>
    <s v="Red"/>
    <n v="1"/>
    <x v="0"/>
    <s v="Retail"/>
    <s v="Cash"/>
  </r>
  <r>
    <s v="ORD-202401208"/>
    <x v="857"/>
    <n v="9863"/>
    <s v="03/04/1970"/>
    <x v="1"/>
    <x v="3"/>
    <n v="6660.34"/>
    <n v="3320.81"/>
    <s v="Miami"/>
    <x v="0"/>
    <s v="M"/>
    <s v="Red"/>
    <n v="1"/>
    <x v="1"/>
    <s v="Retail"/>
    <s v="Cash"/>
  </r>
  <r>
    <s v="ORD-202401209"/>
    <x v="790"/>
    <n v="9897"/>
    <s v="26/12/1984"/>
    <x v="1"/>
    <x v="2"/>
    <n v="20318.39"/>
    <n v="11441.67"/>
    <s v="New York"/>
    <x v="0"/>
    <s v="M"/>
    <s v="Red"/>
    <n v="2"/>
    <x v="0"/>
    <s v="Retail"/>
    <s v="Bank Transfer"/>
  </r>
  <r>
    <s v="ORD-202401210"/>
    <x v="336"/>
    <n v="3935"/>
    <s v="19/10/1988"/>
    <x v="0"/>
    <x v="4"/>
    <n v="61103.31"/>
    <n v="29225.29"/>
    <s v="San Francisco"/>
    <x v="2"/>
    <s v="L"/>
    <s v="Green"/>
    <n v="5"/>
    <x v="1"/>
    <s v="Retail"/>
    <s v="Bank Transfer"/>
  </r>
  <r>
    <s v="ORD-202401211"/>
    <x v="858"/>
    <n v="2488"/>
    <s v="20/02/1975"/>
    <x v="1"/>
    <x v="1"/>
    <n v="41318.620000000003"/>
    <n v="20458.09"/>
    <s v="Detroit"/>
    <x v="1"/>
    <s v="S"/>
    <s v="Blue"/>
    <n v="2"/>
    <x v="1"/>
    <s v="Wholesale"/>
    <s v="Cash"/>
  </r>
  <r>
    <s v="ORD-202401212"/>
    <x v="543"/>
    <n v="3039"/>
    <s v="11/07/1993"/>
    <x v="1"/>
    <x v="0"/>
    <n v="11883.38"/>
    <n v="6978.86"/>
    <s v="Boston"/>
    <x v="0"/>
    <s v="S"/>
    <s v="White"/>
    <n v="1"/>
    <x v="0"/>
    <s v="Retail"/>
    <s v="Cash"/>
  </r>
  <r>
    <s v="ORD-202401213"/>
    <x v="859"/>
    <n v="8598"/>
    <s v="15/01/1984"/>
    <x v="1"/>
    <x v="1"/>
    <n v="18169.5"/>
    <n v="10686.33"/>
    <s v="Miami"/>
    <x v="0"/>
    <s v="XL"/>
    <s v="Yellow"/>
    <n v="5"/>
    <x v="1"/>
    <s v="Retail"/>
    <s v="Bank Transfer"/>
  </r>
  <r>
    <s v="ORD-202401214"/>
    <x v="698"/>
    <n v="2100"/>
    <s v="09/09/1979"/>
    <x v="1"/>
    <x v="1"/>
    <n v="52904.93"/>
    <n v="25442.76"/>
    <s v="Minneapolis"/>
    <x v="1"/>
    <s v="XL"/>
    <s v="Blue"/>
    <n v="5"/>
    <x v="1"/>
    <s v="Wholesale"/>
    <s v="Bank Transfer"/>
  </r>
  <r>
    <s v="ORD-202401215"/>
    <x v="860"/>
    <n v="3662"/>
    <s v="22/05/1991"/>
    <x v="0"/>
    <x v="4"/>
    <n v="8622.4599999999991"/>
    <n v="4830.6499999999996"/>
    <s v="Detroit"/>
    <x v="1"/>
    <s v="L"/>
    <s v="Yellow"/>
    <n v="2"/>
    <x v="0"/>
    <s v="Wholesale"/>
    <s v="Cash"/>
  </r>
  <r>
    <s v="ORD-202401216"/>
    <x v="575"/>
    <n v="5567"/>
    <s v="10/11/1991"/>
    <x v="0"/>
    <x v="4"/>
    <n v="31547.040000000001"/>
    <n v="20029.560000000001"/>
    <s v="Los Angeles"/>
    <x v="2"/>
    <s v="S"/>
    <s v="Red"/>
    <n v="4"/>
    <x v="2"/>
    <s v="Wholesale"/>
    <s v="PayPal"/>
  </r>
  <r>
    <s v="ORD-202401217"/>
    <x v="662"/>
    <n v="3090"/>
    <s v="02/08/1970"/>
    <x v="0"/>
    <x v="0"/>
    <n v="14597.68"/>
    <n v="9426.23"/>
    <s v="New York"/>
    <x v="0"/>
    <s v="L"/>
    <s v="Black"/>
    <n v="2"/>
    <x v="1"/>
    <s v="Retail"/>
    <s v="PayPal"/>
  </r>
  <r>
    <s v="ORD-202401218"/>
    <x v="775"/>
    <n v="7110"/>
    <s v="06/12/1980"/>
    <x v="0"/>
    <x v="3"/>
    <n v="3078.22"/>
    <n v="1863.46"/>
    <s v="San Francisco"/>
    <x v="2"/>
    <s v="M"/>
    <s v="Yellow"/>
    <n v="1"/>
    <x v="1"/>
    <s v="Wholesale"/>
    <s v="Bank Transfer"/>
  </r>
  <r>
    <s v="ORD-202401219"/>
    <x v="861"/>
    <n v="4781"/>
    <s v="14/06/1985"/>
    <x v="1"/>
    <x v="4"/>
    <n v="37358.949999999997"/>
    <n v="19470.43"/>
    <s v="Los Angeles"/>
    <x v="2"/>
    <s v="S"/>
    <s v="Yellow"/>
    <n v="5"/>
    <x v="1"/>
    <s v="Wholesale"/>
    <s v="PayPal"/>
  </r>
  <r>
    <s v="ORD-202401220"/>
    <x v="862"/>
    <n v="2212"/>
    <s v="05/10/2000"/>
    <x v="1"/>
    <x v="3"/>
    <n v="5608.55"/>
    <n v="3494.34"/>
    <s v="Los Angeles"/>
    <x v="2"/>
    <s v="S"/>
    <s v="Blue"/>
    <n v="5"/>
    <x v="0"/>
    <s v="Retail"/>
    <s v="Cash"/>
  </r>
  <r>
    <s v="ORD-202401221"/>
    <x v="751"/>
    <n v="2095"/>
    <s v="18/05/1982"/>
    <x v="1"/>
    <x v="2"/>
    <n v="18686.349999999999"/>
    <n v="8972.57"/>
    <s v="Chicago"/>
    <x v="1"/>
    <s v="S"/>
    <s v="Blue"/>
    <n v="1"/>
    <x v="1"/>
    <s v="Retail"/>
    <s v="Cash"/>
  </r>
  <r>
    <s v="ORD-202401222"/>
    <x v="745"/>
    <n v="8544"/>
    <s v="23/08/1987"/>
    <x v="0"/>
    <x v="3"/>
    <n v="10934.34"/>
    <n v="6452.19"/>
    <s v="Seattle"/>
    <x v="2"/>
    <s v="M"/>
    <s v="Red"/>
    <n v="5"/>
    <x v="0"/>
    <s v="Retail"/>
    <s v="Bank Transfer"/>
  </r>
  <r>
    <s v="ORD-202401223"/>
    <x v="863"/>
    <n v="1592"/>
    <s v="25/06/1983"/>
    <x v="1"/>
    <x v="2"/>
    <n v="58282.96"/>
    <n v="30791.08"/>
    <s v="Seattle"/>
    <x v="2"/>
    <s v="M"/>
    <s v="Black"/>
    <n v="3"/>
    <x v="0"/>
    <s v="Retail"/>
    <s v="Cash"/>
  </r>
  <r>
    <s v="ORD-202401224"/>
    <x v="567"/>
    <n v="8432"/>
    <s v="03/07/1977"/>
    <x v="0"/>
    <x v="4"/>
    <n v="14709.19"/>
    <n v="7116.14"/>
    <s v="Miami"/>
    <x v="0"/>
    <s v="M"/>
    <s v="White"/>
    <n v="1"/>
    <x v="1"/>
    <s v="Wholesale"/>
    <s v="Bank Transfer"/>
  </r>
  <r>
    <s v="ORD-202401225"/>
    <x v="864"/>
    <n v="6252"/>
    <s v="13/05/1999"/>
    <x v="1"/>
    <x v="0"/>
    <n v="19898.759999999998"/>
    <n v="9358.0400000000009"/>
    <s v="San Francisco"/>
    <x v="2"/>
    <s v="S"/>
    <s v="Yellow"/>
    <n v="4"/>
    <x v="2"/>
    <s v="Retail"/>
    <s v="PayPal"/>
  </r>
  <r>
    <s v="ORD-202401226"/>
    <x v="104"/>
    <n v="6097"/>
    <s v="08/10/1980"/>
    <x v="0"/>
    <x v="0"/>
    <n v="13041.22"/>
    <n v="7357.58"/>
    <s v="Boston"/>
    <x v="0"/>
    <s v="XL"/>
    <s v="Green"/>
    <n v="2"/>
    <x v="1"/>
    <s v="Retail"/>
    <s v="Cash"/>
  </r>
  <r>
    <s v="ORD-202401227"/>
    <x v="865"/>
    <n v="6990"/>
    <s v="17/05/1978"/>
    <x v="0"/>
    <x v="3"/>
    <n v="6617.23"/>
    <n v="3289.89"/>
    <s v="Detroit"/>
    <x v="1"/>
    <s v="M"/>
    <s v="Green"/>
    <n v="2"/>
    <x v="2"/>
    <s v="Retail"/>
    <s v="PayPal"/>
  </r>
  <r>
    <s v="ORD-202401228"/>
    <x v="797"/>
    <n v="9183"/>
    <s v="24/09/1993"/>
    <x v="1"/>
    <x v="0"/>
    <n v="4687.0200000000004"/>
    <n v="3027.94"/>
    <s v="Los Angeles"/>
    <x v="2"/>
    <s v="L"/>
    <s v="Green"/>
    <n v="4"/>
    <x v="0"/>
    <s v="Retail"/>
    <s v="PayPal"/>
  </r>
  <r>
    <s v="ORD-202401229"/>
    <x v="866"/>
    <n v="5395"/>
    <s v="28/04/1996"/>
    <x v="1"/>
    <x v="1"/>
    <n v="101412.79"/>
    <n v="52947.47"/>
    <s v="Miami"/>
    <x v="0"/>
    <s v="M"/>
    <s v="White"/>
    <n v="3"/>
    <x v="0"/>
    <s v="Wholesale"/>
    <s v="Bank Transfer"/>
  </r>
  <r>
    <s v="ORD-202401230"/>
    <x v="772"/>
    <n v="4418"/>
    <s v="30/04/1989"/>
    <x v="1"/>
    <x v="1"/>
    <n v="29300.91"/>
    <n v="14223.15"/>
    <s v="Seattle"/>
    <x v="2"/>
    <s v="L"/>
    <s v="Green"/>
    <n v="1"/>
    <x v="0"/>
    <s v="Wholesale"/>
    <s v="PayPal"/>
  </r>
  <r>
    <s v="ORD-202401231"/>
    <x v="867"/>
    <n v="4037"/>
    <s v="30/04/1985"/>
    <x v="1"/>
    <x v="3"/>
    <n v="11939.17"/>
    <n v="6144.13"/>
    <s v="Seattle"/>
    <x v="2"/>
    <s v="L"/>
    <s v="Yellow"/>
    <n v="4"/>
    <x v="1"/>
    <s v="Wholesale"/>
    <s v="Cash"/>
  </r>
  <r>
    <s v="ORD-202401232"/>
    <x v="868"/>
    <n v="4925"/>
    <s v="18/02/1976"/>
    <x v="1"/>
    <x v="4"/>
    <n v="55119.040000000001"/>
    <n v="31291.09"/>
    <s v="Los Angeles"/>
    <x v="2"/>
    <s v="S"/>
    <s v="Green"/>
    <n v="2"/>
    <x v="1"/>
    <s v="Wholesale"/>
    <s v="Bank Transfer"/>
  </r>
  <r>
    <s v="ORD-202401233"/>
    <x v="801"/>
    <n v="5060"/>
    <s v="07/10/1978"/>
    <x v="0"/>
    <x v="3"/>
    <n v="19681.54"/>
    <n v="12071"/>
    <s v="Seattle"/>
    <x v="2"/>
    <s v="L"/>
    <s v="Green"/>
    <n v="3"/>
    <x v="1"/>
    <s v="Wholesale"/>
    <s v="Bank Transfer"/>
  </r>
  <r>
    <s v="ORD-202401234"/>
    <x v="869"/>
    <n v="1296"/>
    <s v="14/07/2000"/>
    <x v="0"/>
    <x v="0"/>
    <n v="12932.08"/>
    <n v="7594.39"/>
    <s v="New York"/>
    <x v="0"/>
    <s v="S"/>
    <s v="White"/>
    <n v="5"/>
    <x v="2"/>
    <s v="Wholesale"/>
    <s v="Cash"/>
  </r>
  <r>
    <s v="ORD-202401235"/>
    <x v="54"/>
    <n v="5601"/>
    <s v="26/12/1994"/>
    <x v="1"/>
    <x v="2"/>
    <n v="10489.56"/>
    <n v="5481.32"/>
    <s v="Chicago"/>
    <x v="1"/>
    <s v="L"/>
    <s v="Black"/>
    <n v="2"/>
    <x v="1"/>
    <s v="Wholesale"/>
    <s v="Bank Transfer"/>
  </r>
  <r>
    <s v="ORD-202401236"/>
    <x v="588"/>
    <n v="9146"/>
    <s v="17/01/1975"/>
    <x v="0"/>
    <x v="0"/>
    <n v="17692.740000000002"/>
    <n v="8540.64"/>
    <s v="Seattle"/>
    <x v="2"/>
    <s v="S"/>
    <s v="Black"/>
    <n v="5"/>
    <x v="1"/>
    <s v="Retail"/>
    <s v="PayPal"/>
  </r>
  <r>
    <s v="ORD-202401237"/>
    <x v="870"/>
    <n v="8044"/>
    <s v="24/11/1995"/>
    <x v="1"/>
    <x v="3"/>
    <n v="9508.7199999999993"/>
    <n v="5052.43"/>
    <s v="Chicago"/>
    <x v="1"/>
    <s v="M"/>
    <s v="White"/>
    <n v="1"/>
    <x v="1"/>
    <s v="Wholesale"/>
    <s v="PayPal"/>
  </r>
  <r>
    <s v="ORD-202401238"/>
    <x v="808"/>
    <n v="2030"/>
    <s v="02/02/1994"/>
    <x v="0"/>
    <x v="0"/>
    <n v="15890.43"/>
    <n v="8318.6"/>
    <s v="Detroit"/>
    <x v="1"/>
    <s v="S"/>
    <s v="Red"/>
    <n v="1"/>
    <x v="2"/>
    <s v="Retail"/>
    <s v="PayPal"/>
  </r>
  <r>
    <s v="ORD-202401239"/>
    <x v="871"/>
    <n v="4192"/>
    <s v="21/09/1999"/>
    <x v="0"/>
    <x v="4"/>
    <n v="24215.45"/>
    <n v="13823.22"/>
    <s v="Los Angeles"/>
    <x v="2"/>
    <s v="M"/>
    <s v="Yellow"/>
    <n v="1"/>
    <x v="0"/>
    <s v="Retail"/>
    <s v="Bank Transfer"/>
  </r>
  <r>
    <s v="ORD-202401240"/>
    <x v="432"/>
    <n v="4251"/>
    <s v="29/07/1971"/>
    <x v="0"/>
    <x v="0"/>
    <n v="7328.58"/>
    <n v="4210.17"/>
    <s v="Boston"/>
    <x v="0"/>
    <s v="L"/>
    <s v="Black"/>
    <n v="2"/>
    <x v="0"/>
    <s v="Retail"/>
    <s v="PayPal"/>
  </r>
  <r>
    <s v="ORD-202401241"/>
    <x v="872"/>
    <n v="6635"/>
    <s v="15/01/1981"/>
    <x v="0"/>
    <x v="4"/>
    <n v="51912.08"/>
    <n v="33393.589999999997"/>
    <s v="Seattle"/>
    <x v="2"/>
    <s v="L"/>
    <s v="Black"/>
    <n v="2"/>
    <x v="2"/>
    <s v="Retail"/>
    <s v="Cash"/>
  </r>
  <r>
    <s v="ORD-202401242"/>
    <x v="873"/>
    <n v="3855"/>
    <s v="24/01/1997"/>
    <x v="0"/>
    <x v="2"/>
    <n v="18954.150000000001"/>
    <n v="11762.43"/>
    <s v="Miami"/>
    <x v="0"/>
    <s v="M"/>
    <s v="Green"/>
    <n v="2"/>
    <x v="1"/>
    <s v="Retail"/>
    <s v="Cash"/>
  </r>
  <r>
    <s v="ORD-202401243"/>
    <x v="769"/>
    <n v="8522"/>
    <s v="23/09/1994"/>
    <x v="0"/>
    <x v="1"/>
    <n v="37001.919999999998"/>
    <n v="19530.28"/>
    <s v="New York"/>
    <x v="0"/>
    <s v="XL"/>
    <s v="Red"/>
    <n v="5"/>
    <x v="2"/>
    <s v="Wholesale"/>
    <s v="Cash"/>
  </r>
  <r>
    <s v="ORD-202401244"/>
    <x v="644"/>
    <n v="6803"/>
    <s v="23/06/1974"/>
    <x v="0"/>
    <x v="4"/>
    <n v="41859.870000000003"/>
    <n v="23510.81"/>
    <s v="Los Angeles"/>
    <x v="2"/>
    <s v="M"/>
    <s v="Black"/>
    <n v="1"/>
    <x v="2"/>
    <s v="Retail"/>
    <s v="PayPal"/>
  </r>
  <r>
    <s v="ORD-202401245"/>
    <x v="874"/>
    <n v="8839"/>
    <s v="22/01/1988"/>
    <x v="0"/>
    <x v="0"/>
    <n v="11319.48"/>
    <n v="6800.18"/>
    <s v="Seattle"/>
    <x v="2"/>
    <s v="M"/>
    <s v="Blue"/>
    <n v="2"/>
    <x v="2"/>
    <s v="Wholesale"/>
    <s v="PayPal"/>
  </r>
  <r>
    <s v="ORD-202401246"/>
    <x v="587"/>
    <n v="2738"/>
    <s v="04/10/1970"/>
    <x v="1"/>
    <x v="3"/>
    <n v="5317.46"/>
    <n v="2556.6"/>
    <s v="Chicago"/>
    <x v="1"/>
    <s v="M"/>
    <s v="Black"/>
    <n v="2"/>
    <x v="1"/>
    <s v="Wholesale"/>
    <s v="Bank Transfer"/>
  </r>
  <r>
    <s v="ORD-202401247"/>
    <x v="875"/>
    <n v="7088"/>
    <s v="21/06/1979"/>
    <x v="0"/>
    <x v="3"/>
    <n v="18978.759999999998"/>
    <n v="9459.94"/>
    <s v="Los Angeles"/>
    <x v="2"/>
    <s v="XL"/>
    <s v="Blue"/>
    <n v="1"/>
    <x v="2"/>
    <s v="Retail"/>
    <s v="Cash"/>
  </r>
  <r>
    <s v="ORD-202401248"/>
    <x v="227"/>
    <n v="8955"/>
    <s v="14/04/1970"/>
    <x v="1"/>
    <x v="0"/>
    <n v="8186.6"/>
    <n v="4599.05"/>
    <s v="Seattle"/>
    <x v="2"/>
    <s v="L"/>
    <s v="Red"/>
    <n v="5"/>
    <x v="1"/>
    <s v="Retail"/>
    <s v="PayPal"/>
  </r>
  <r>
    <s v="ORD-202401249"/>
    <x v="876"/>
    <n v="7542"/>
    <s v="13/11/1982"/>
    <x v="0"/>
    <x v="4"/>
    <n v="40190.69"/>
    <n v="23874.03"/>
    <s v="San Francisco"/>
    <x v="2"/>
    <s v="L"/>
    <s v="White"/>
    <n v="1"/>
    <x v="1"/>
    <s v="Retail"/>
    <s v="Bank Transfer"/>
  </r>
  <r>
    <s v="ORD-202401250"/>
    <x v="877"/>
    <n v="2102"/>
    <s v="02/02/1998"/>
    <x v="1"/>
    <x v="2"/>
    <n v="8868.4"/>
    <n v="5724.29"/>
    <s v="San Francisco"/>
    <x v="2"/>
    <s v="L"/>
    <s v="Red"/>
    <n v="1"/>
    <x v="0"/>
    <s v="Wholesale"/>
    <s v="Bank Transfer"/>
  </r>
  <r>
    <s v="ORD-202401251"/>
    <x v="79"/>
    <n v="7159"/>
    <s v="06/11/1995"/>
    <x v="0"/>
    <x v="4"/>
    <n v="44796.87"/>
    <n v="24198.01"/>
    <s v="San Francisco"/>
    <x v="2"/>
    <s v="XL"/>
    <s v="Green"/>
    <n v="2"/>
    <x v="1"/>
    <s v="Wholesale"/>
    <s v="Cash"/>
  </r>
  <r>
    <s v="ORD-202401252"/>
    <x v="657"/>
    <n v="9128"/>
    <s v="11/03/1973"/>
    <x v="0"/>
    <x v="1"/>
    <n v="22363.23"/>
    <n v="13022.7"/>
    <s v="Los Angeles"/>
    <x v="2"/>
    <s v="M"/>
    <s v="Green"/>
    <n v="1"/>
    <x v="2"/>
    <s v="Retail"/>
    <s v="PayPal"/>
  </r>
  <r>
    <s v="ORD-202401253"/>
    <x v="878"/>
    <n v="7651"/>
    <s v="12/05/1990"/>
    <x v="0"/>
    <x v="2"/>
    <n v="35453.61"/>
    <n v="19664.13"/>
    <s v="Seattle"/>
    <x v="2"/>
    <s v="M"/>
    <s v="Red"/>
    <n v="2"/>
    <x v="1"/>
    <s v="Wholesale"/>
    <s v="Cash"/>
  </r>
  <r>
    <s v="ORD-202401254"/>
    <x v="879"/>
    <n v="7379"/>
    <s v="01/04/1999"/>
    <x v="0"/>
    <x v="3"/>
    <n v="8419.8700000000008"/>
    <n v="4360.01"/>
    <s v="Seattle"/>
    <x v="2"/>
    <s v="XL"/>
    <s v="Black"/>
    <n v="5"/>
    <x v="1"/>
    <s v="Retail"/>
    <s v="PayPal"/>
  </r>
  <r>
    <s v="ORD-202401255"/>
    <x v="358"/>
    <n v="4326"/>
    <s v="07/11/1983"/>
    <x v="0"/>
    <x v="0"/>
    <n v="11473.09"/>
    <n v="6608.42"/>
    <s v="Detroit"/>
    <x v="1"/>
    <s v="XL"/>
    <s v="Green"/>
    <n v="3"/>
    <x v="1"/>
    <s v="Wholesale"/>
    <s v="PayPal"/>
  </r>
  <r>
    <s v="ORD-202401256"/>
    <x v="753"/>
    <n v="1748"/>
    <s v="29/06/1976"/>
    <x v="0"/>
    <x v="0"/>
    <n v="4466.96"/>
    <n v="2072"/>
    <s v="Boston"/>
    <x v="0"/>
    <s v="S"/>
    <s v="Green"/>
    <n v="4"/>
    <x v="2"/>
    <s v="Retail"/>
    <s v="Bank Transfer"/>
  </r>
  <r>
    <s v="ORD-202401257"/>
    <x v="421"/>
    <n v="1019"/>
    <s v="29/03/1972"/>
    <x v="0"/>
    <x v="0"/>
    <n v="9602.5400000000009"/>
    <n v="5399.05"/>
    <s v="Miami"/>
    <x v="0"/>
    <s v="XL"/>
    <s v="Green"/>
    <n v="3"/>
    <x v="0"/>
    <s v="Wholesale"/>
    <s v="Bank Transfer"/>
  </r>
  <r>
    <s v="ORD-202401258"/>
    <x v="459"/>
    <n v="7877"/>
    <s v="29/12/1973"/>
    <x v="0"/>
    <x v="1"/>
    <n v="55411.08"/>
    <n v="28786.71"/>
    <s v="Seattle"/>
    <x v="2"/>
    <s v="S"/>
    <s v="Green"/>
    <n v="3"/>
    <x v="1"/>
    <s v="Retail"/>
    <s v="Bank Transfer"/>
  </r>
  <r>
    <s v="ORD-202401259"/>
    <x v="880"/>
    <n v="7989"/>
    <s v="21/03/1982"/>
    <x v="0"/>
    <x v="1"/>
    <n v="74061.61"/>
    <n v="39865.58"/>
    <s v="Los Angeles"/>
    <x v="2"/>
    <s v="S"/>
    <s v="Black"/>
    <n v="5"/>
    <x v="0"/>
    <s v="Retail"/>
    <s v="PayPal"/>
  </r>
  <r>
    <s v="ORD-202401260"/>
    <x v="40"/>
    <n v="1130"/>
    <s v="26/11/1990"/>
    <x v="0"/>
    <x v="4"/>
    <n v="29830.43"/>
    <n v="14080.69"/>
    <s v="San Francisco"/>
    <x v="2"/>
    <s v="M"/>
    <s v="White"/>
    <n v="4"/>
    <x v="0"/>
    <s v="Retail"/>
    <s v="Cash"/>
  </r>
  <r>
    <s v="ORD-202401261"/>
    <x v="778"/>
    <n v="6495"/>
    <s v="07/02/1995"/>
    <x v="1"/>
    <x v="1"/>
    <n v="35112.85"/>
    <n v="17778.990000000002"/>
    <s v="Minneapolis"/>
    <x v="1"/>
    <s v="XL"/>
    <s v="Blue"/>
    <n v="3"/>
    <x v="2"/>
    <s v="Wholesale"/>
    <s v="Bank Transfer"/>
  </r>
  <r>
    <s v="ORD-202401262"/>
    <x v="881"/>
    <n v="2987"/>
    <s v="14/06/1997"/>
    <x v="1"/>
    <x v="0"/>
    <n v="14695.11"/>
    <n v="8386.44"/>
    <s v="Miami"/>
    <x v="0"/>
    <s v="M"/>
    <s v="Yellow"/>
    <n v="2"/>
    <x v="2"/>
    <s v="Wholesale"/>
    <s v="Bank Transfer"/>
  </r>
  <r>
    <s v="ORD-202401263"/>
    <x v="882"/>
    <n v="5322"/>
    <s v="22/05/1988"/>
    <x v="0"/>
    <x v="2"/>
    <n v="33606.050000000003"/>
    <n v="19666.41"/>
    <s v="San Francisco"/>
    <x v="2"/>
    <s v="M"/>
    <s v="Blue"/>
    <n v="2"/>
    <x v="1"/>
    <s v="Retail"/>
    <s v="Bank Transfer"/>
  </r>
  <r>
    <s v="ORD-202401264"/>
    <x v="554"/>
    <n v="9735"/>
    <s v="05/01/2000"/>
    <x v="1"/>
    <x v="1"/>
    <n v="28923.61"/>
    <n v="13927.84"/>
    <s v="Seattle"/>
    <x v="2"/>
    <s v="S"/>
    <s v="Yellow"/>
    <n v="4"/>
    <x v="1"/>
    <s v="Wholesale"/>
    <s v="Cash"/>
  </r>
  <r>
    <s v="ORD-202401265"/>
    <x v="491"/>
    <n v="4157"/>
    <s v="07/08/1985"/>
    <x v="1"/>
    <x v="1"/>
    <n v="43508.77"/>
    <n v="26404.33"/>
    <s v="Chicago"/>
    <x v="1"/>
    <s v="L"/>
    <s v="Green"/>
    <n v="4"/>
    <x v="2"/>
    <s v="Retail"/>
    <s v="Cash"/>
  </r>
  <r>
    <s v="ORD-202401266"/>
    <x v="883"/>
    <n v="7250"/>
    <s v="28/08/1983"/>
    <x v="0"/>
    <x v="4"/>
    <n v="16188.15"/>
    <n v="9262.66"/>
    <s v="Los Angeles"/>
    <x v="2"/>
    <s v="S"/>
    <s v="Red"/>
    <n v="2"/>
    <x v="2"/>
    <s v="Wholesale"/>
    <s v="Cash"/>
  </r>
  <r>
    <s v="ORD-202401267"/>
    <x v="610"/>
    <n v="6836"/>
    <s v="26/08/1987"/>
    <x v="1"/>
    <x v="4"/>
    <n v="22562.46"/>
    <n v="12780.96"/>
    <s v="Los Angeles"/>
    <x v="2"/>
    <s v="XL"/>
    <s v="Red"/>
    <n v="5"/>
    <x v="2"/>
    <s v="Wholesale"/>
    <s v="Cash"/>
  </r>
  <r>
    <s v="ORD-202401268"/>
    <x v="310"/>
    <n v="5888"/>
    <s v="04/03/1986"/>
    <x v="0"/>
    <x v="4"/>
    <n v="9898.24"/>
    <n v="5102.0600000000004"/>
    <s v="Detroit"/>
    <x v="1"/>
    <s v="XL"/>
    <s v="Blue"/>
    <n v="1"/>
    <x v="1"/>
    <s v="Wholesale"/>
    <s v="PayPal"/>
  </r>
  <r>
    <s v="ORD-202401269"/>
    <x v="884"/>
    <n v="3223"/>
    <s v="25/01/1977"/>
    <x v="0"/>
    <x v="2"/>
    <n v="36019.449999999997"/>
    <n v="17612.810000000001"/>
    <s v="Los Angeles"/>
    <x v="2"/>
    <s v="XL"/>
    <s v="Green"/>
    <n v="2"/>
    <x v="1"/>
    <s v="Retail"/>
    <s v="Cash"/>
  </r>
  <r>
    <s v="ORD-202401270"/>
    <x v="885"/>
    <n v="7492"/>
    <s v="17/08/1992"/>
    <x v="0"/>
    <x v="0"/>
    <n v="5960.56"/>
    <n v="3625.77"/>
    <s v="Los Angeles"/>
    <x v="2"/>
    <s v="L"/>
    <s v="Black"/>
    <n v="2"/>
    <x v="0"/>
    <s v="Retail"/>
    <s v="PayPal"/>
  </r>
  <r>
    <s v="ORD-202401271"/>
    <x v="878"/>
    <n v="8983"/>
    <s v="23/09/1999"/>
    <x v="1"/>
    <x v="3"/>
    <n v="11743.68"/>
    <n v="5435.94"/>
    <s v="Chicago"/>
    <x v="1"/>
    <s v="L"/>
    <s v="Blue"/>
    <n v="1"/>
    <x v="1"/>
    <s v="Wholesale"/>
    <s v="Cash"/>
  </r>
  <r>
    <s v="ORD-202401272"/>
    <x v="886"/>
    <n v="3653"/>
    <s v="30/04/1977"/>
    <x v="1"/>
    <x v="0"/>
    <n v="14431.2"/>
    <n v="7470.57"/>
    <s v="Seattle"/>
    <x v="2"/>
    <s v="XL"/>
    <s v="Green"/>
    <n v="2"/>
    <x v="1"/>
    <s v="Retail"/>
    <s v="Cash"/>
  </r>
  <r>
    <s v="ORD-202401273"/>
    <x v="887"/>
    <n v="2766"/>
    <s v="01/01/1988"/>
    <x v="0"/>
    <x v="4"/>
    <n v="11672.41"/>
    <n v="5275.84"/>
    <s v="New York"/>
    <x v="0"/>
    <s v="S"/>
    <s v="Blue"/>
    <n v="2"/>
    <x v="1"/>
    <s v="Retail"/>
    <s v="Cash"/>
  </r>
  <r>
    <s v="ORD-202401274"/>
    <x v="223"/>
    <n v="1175"/>
    <s v="20/05/1986"/>
    <x v="1"/>
    <x v="0"/>
    <n v="15910.59"/>
    <n v="7611.61"/>
    <s v="New York"/>
    <x v="0"/>
    <s v="XL"/>
    <s v="Yellow"/>
    <n v="5"/>
    <x v="1"/>
    <s v="Wholesale"/>
    <s v="Cash"/>
  </r>
  <r>
    <s v="ORD-202401275"/>
    <x v="614"/>
    <n v="2281"/>
    <s v="07/07/1972"/>
    <x v="0"/>
    <x v="4"/>
    <n v="35947.879999999997"/>
    <n v="21458.84"/>
    <s v="Chicago"/>
    <x v="1"/>
    <s v="L"/>
    <s v="White"/>
    <n v="2"/>
    <x v="1"/>
    <s v="Retail"/>
    <s v="PayPal"/>
  </r>
  <r>
    <s v="ORD-202401276"/>
    <x v="888"/>
    <n v="1268"/>
    <s v="20/01/1973"/>
    <x v="0"/>
    <x v="4"/>
    <n v="21395.26"/>
    <n v="10325.540000000001"/>
    <s v="Chicago"/>
    <x v="1"/>
    <s v="M"/>
    <s v="Black"/>
    <n v="2"/>
    <x v="1"/>
    <s v="Wholesale"/>
    <s v="Cash"/>
  </r>
  <r>
    <s v="ORD-202401277"/>
    <x v="889"/>
    <n v="8578"/>
    <s v="07/07/1994"/>
    <x v="0"/>
    <x v="2"/>
    <n v="51669"/>
    <n v="28172.91"/>
    <s v="Seattle"/>
    <x v="2"/>
    <s v="XL"/>
    <s v="Green"/>
    <n v="3"/>
    <x v="1"/>
    <s v="Wholesale"/>
    <s v="PayPal"/>
  </r>
  <r>
    <s v="ORD-202401278"/>
    <x v="154"/>
    <n v="9873"/>
    <s v="13/09/1998"/>
    <x v="0"/>
    <x v="3"/>
    <n v="5180.79"/>
    <n v="3285.14"/>
    <s v="Chicago"/>
    <x v="1"/>
    <s v="M"/>
    <s v="Black"/>
    <n v="4"/>
    <x v="0"/>
    <s v="Retail"/>
    <s v="Cash"/>
  </r>
  <r>
    <s v="ORD-202401279"/>
    <x v="413"/>
    <n v="6623"/>
    <s v="12/11/2000"/>
    <x v="1"/>
    <x v="1"/>
    <n v="61165.22"/>
    <n v="34054.06"/>
    <s v="San Francisco"/>
    <x v="2"/>
    <s v="L"/>
    <s v="Yellow"/>
    <n v="2"/>
    <x v="2"/>
    <s v="Retail"/>
    <s v="PayPal"/>
  </r>
  <r>
    <s v="ORD-202401280"/>
    <x v="890"/>
    <n v="3129"/>
    <s v="22/06/1974"/>
    <x v="0"/>
    <x v="0"/>
    <n v="4271.68"/>
    <n v="1962.53"/>
    <s v="Seattle"/>
    <x v="2"/>
    <s v="XL"/>
    <s v="Yellow"/>
    <n v="1"/>
    <x v="1"/>
    <s v="Retail"/>
    <s v="PayPal"/>
  </r>
  <r>
    <s v="ORD-202401281"/>
    <x v="29"/>
    <n v="1810"/>
    <s v="21/05/1990"/>
    <x v="1"/>
    <x v="1"/>
    <n v="38258.67"/>
    <n v="17492.27"/>
    <s v="Boston"/>
    <x v="0"/>
    <s v="M"/>
    <s v="Yellow"/>
    <n v="2"/>
    <x v="1"/>
    <s v="Retail"/>
    <s v="PayPal"/>
  </r>
  <r>
    <s v="ORD-202401282"/>
    <x v="891"/>
    <n v="2671"/>
    <s v="28/02/1992"/>
    <x v="0"/>
    <x v="2"/>
    <n v="14710.33"/>
    <n v="9283.15"/>
    <s v="Boston"/>
    <x v="0"/>
    <s v="XL"/>
    <s v="Black"/>
    <n v="3"/>
    <x v="1"/>
    <s v="Retail"/>
    <s v="Cash"/>
  </r>
  <r>
    <s v="ORD-202401283"/>
    <x v="497"/>
    <n v="3886"/>
    <s v="08/11/1986"/>
    <x v="1"/>
    <x v="3"/>
    <n v="11208.87"/>
    <n v="6579.83"/>
    <s v="San Francisco"/>
    <x v="2"/>
    <s v="L"/>
    <s v="Yellow"/>
    <n v="4"/>
    <x v="2"/>
    <s v="Retail"/>
    <s v="Cash"/>
  </r>
  <r>
    <s v="ORD-202401284"/>
    <x v="507"/>
    <n v="5823"/>
    <s v="02/01/1983"/>
    <x v="1"/>
    <x v="0"/>
    <n v="12401.09"/>
    <n v="7824.7"/>
    <s v="New York"/>
    <x v="0"/>
    <s v="S"/>
    <s v="Green"/>
    <n v="5"/>
    <x v="2"/>
    <s v="Retail"/>
    <s v="PayPal"/>
  </r>
  <r>
    <s v="ORD-202401285"/>
    <x v="832"/>
    <n v="7130"/>
    <s v="19/06/1970"/>
    <x v="1"/>
    <x v="4"/>
    <n v="41791.4"/>
    <n v="24526.16"/>
    <s v="Miami"/>
    <x v="0"/>
    <s v="S"/>
    <s v="Yellow"/>
    <n v="3"/>
    <x v="1"/>
    <s v="Wholesale"/>
    <s v="Bank Transfer"/>
  </r>
  <r>
    <s v="ORD-202401286"/>
    <x v="503"/>
    <n v="4427"/>
    <s v="07/07/1999"/>
    <x v="0"/>
    <x v="3"/>
    <n v="17214.43"/>
    <n v="9804.42"/>
    <s v="Seattle"/>
    <x v="2"/>
    <s v="L"/>
    <s v="White"/>
    <n v="2"/>
    <x v="1"/>
    <s v="Retail"/>
    <s v="Bank Transfer"/>
  </r>
  <r>
    <s v="ORD-202401287"/>
    <x v="281"/>
    <n v="7854"/>
    <s v="15/10/1970"/>
    <x v="0"/>
    <x v="4"/>
    <n v="40775.42"/>
    <n v="21197.43"/>
    <s v="New York"/>
    <x v="0"/>
    <s v="S"/>
    <s v="Blue"/>
    <n v="5"/>
    <x v="1"/>
    <s v="Wholesale"/>
    <s v="PayPal"/>
  </r>
  <r>
    <s v="ORD-202401288"/>
    <x v="569"/>
    <n v="7725"/>
    <s v="21/06/1984"/>
    <x v="0"/>
    <x v="4"/>
    <n v="9555.5400000000009"/>
    <n v="5430.25"/>
    <s v="New York"/>
    <x v="0"/>
    <s v="L"/>
    <s v="Black"/>
    <n v="5"/>
    <x v="1"/>
    <s v="Retail"/>
    <s v="Bank Transfer"/>
  </r>
  <r>
    <s v="ORD-202401289"/>
    <x v="892"/>
    <n v="3947"/>
    <s v="23/04/1983"/>
    <x v="0"/>
    <x v="0"/>
    <n v="8292.7999999999993"/>
    <n v="3857.81"/>
    <s v="New York"/>
    <x v="0"/>
    <s v="L"/>
    <s v="Yellow"/>
    <n v="5"/>
    <x v="1"/>
    <s v="Wholesale"/>
    <s v="Bank Transfer"/>
  </r>
  <r>
    <s v="ORD-202401290"/>
    <x v="893"/>
    <n v="1714"/>
    <s v="25/10/1971"/>
    <x v="1"/>
    <x v="0"/>
    <n v="12057.93"/>
    <n v="7479.94"/>
    <s v="Los Angeles"/>
    <x v="2"/>
    <s v="M"/>
    <s v="Black"/>
    <n v="2"/>
    <x v="1"/>
    <s v="Wholesale"/>
    <s v="Cash"/>
  </r>
  <r>
    <s v="ORD-202401291"/>
    <x v="894"/>
    <n v="5850"/>
    <s v="10/09/1986"/>
    <x v="0"/>
    <x v="3"/>
    <n v="7261.35"/>
    <n v="4049.4"/>
    <s v="Chicago"/>
    <x v="1"/>
    <s v="XL"/>
    <s v="Yellow"/>
    <n v="4"/>
    <x v="0"/>
    <s v="Wholesale"/>
    <s v="Bank Transfer"/>
  </r>
  <r>
    <s v="ORD-202401292"/>
    <x v="895"/>
    <n v="9802"/>
    <s v="04/10/1981"/>
    <x v="0"/>
    <x v="0"/>
    <n v="5831.35"/>
    <n v="3777.34"/>
    <s v="Chicago"/>
    <x v="1"/>
    <s v="M"/>
    <s v="Black"/>
    <n v="1"/>
    <x v="1"/>
    <s v="Retail"/>
    <s v="PayPal"/>
  </r>
  <r>
    <s v="ORD-202401293"/>
    <x v="639"/>
    <n v="9532"/>
    <s v="27/01/1984"/>
    <x v="1"/>
    <x v="1"/>
    <n v="59205.02"/>
    <n v="38006.81"/>
    <s v="Minneapolis"/>
    <x v="1"/>
    <s v="XL"/>
    <s v="Green"/>
    <n v="4"/>
    <x v="0"/>
    <s v="Wholesale"/>
    <s v="Cash"/>
  </r>
  <r>
    <s v="ORD-202401294"/>
    <x v="896"/>
    <n v="3308"/>
    <s v="06/01/1975"/>
    <x v="1"/>
    <x v="4"/>
    <n v="37920.54"/>
    <n v="18422.14"/>
    <s v="Boston"/>
    <x v="0"/>
    <s v="M"/>
    <s v="Blue"/>
    <n v="1"/>
    <x v="1"/>
    <s v="Retail"/>
    <s v="Bank Transfer"/>
  </r>
  <r>
    <s v="ORD-202401295"/>
    <x v="897"/>
    <n v="8956"/>
    <s v="16/08/1982"/>
    <x v="0"/>
    <x v="1"/>
    <n v="27860.21"/>
    <n v="17344.099999999999"/>
    <s v="San Francisco"/>
    <x v="2"/>
    <s v="XL"/>
    <s v="Blue"/>
    <n v="4"/>
    <x v="0"/>
    <s v="Retail"/>
    <s v="PayPal"/>
  </r>
  <r>
    <s v="ORD-202401296"/>
    <x v="898"/>
    <n v="2816"/>
    <s v="08/12/1978"/>
    <x v="0"/>
    <x v="1"/>
    <n v="22303.5"/>
    <n v="13940.51"/>
    <s v="Seattle"/>
    <x v="2"/>
    <s v="XL"/>
    <s v="White"/>
    <n v="1"/>
    <x v="0"/>
    <s v="Wholesale"/>
    <s v="PayPal"/>
  </r>
  <r>
    <s v="ORD-202401297"/>
    <x v="363"/>
    <n v="6515"/>
    <s v="10/03/1994"/>
    <x v="0"/>
    <x v="2"/>
    <n v="25450.09"/>
    <n v="12412.27"/>
    <s v="Los Angeles"/>
    <x v="2"/>
    <s v="S"/>
    <s v="Red"/>
    <n v="3"/>
    <x v="0"/>
    <s v="Retail"/>
    <s v="Cash"/>
  </r>
  <r>
    <s v="ORD-202401298"/>
    <x v="192"/>
    <n v="3651"/>
    <s v="08/12/1985"/>
    <x v="1"/>
    <x v="3"/>
    <n v="17982.28"/>
    <n v="10307.24"/>
    <s v="Seattle"/>
    <x v="2"/>
    <s v="S"/>
    <s v="Red"/>
    <n v="4"/>
    <x v="1"/>
    <s v="Wholesale"/>
    <s v="Cash"/>
  </r>
  <r>
    <s v="ORD-202401299"/>
    <x v="231"/>
    <n v="4388"/>
    <s v="07/12/1994"/>
    <x v="1"/>
    <x v="3"/>
    <n v="10232.52"/>
    <n v="6411.21"/>
    <s v="Minneapolis"/>
    <x v="1"/>
    <s v="M"/>
    <s v="Blue"/>
    <n v="4"/>
    <x v="1"/>
    <s v="Wholesale"/>
    <s v="PayPal"/>
  </r>
  <r>
    <s v="ORD-202401300"/>
    <x v="813"/>
    <n v="7515"/>
    <s v="10/12/1977"/>
    <x v="1"/>
    <x v="3"/>
    <n v="5714.15"/>
    <n v="3067.42"/>
    <s v="Los Angeles"/>
    <x v="2"/>
    <s v="L"/>
    <s v="Red"/>
    <n v="1"/>
    <x v="2"/>
    <s v="Retail"/>
    <s v="PayPal"/>
  </r>
  <r>
    <s v="ORD-202401301"/>
    <x v="899"/>
    <n v="2624"/>
    <s v="01/11/1976"/>
    <x v="0"/>
    <x v="4"/>
    <n v="17786.349999999999"/>
    <n v="8668.48"/>
    <s v="New York"/>
    <x v="0"/>
    <s v="S"/>
    <s v="Yellow"/>
    <n v="4"/>
    <x v="1"/>
    <s v="Wholesale"/>
    <s v="PayPal"/>
  </r>
  <r>
    <s v="ORD-202401302"/>
    <x v="461"/>
    <n v="2556"/>
    <s v="20/04/1987"/>
    <x v="0"/>
    <x v="2"/>
    <n v="19633.34"/>
    <n v="11305.46"/>
    <s v="Chicago"/>
    <x v="1"/>
    <s v="L"/>
    <s v="Yellow"/>
    <n v="2"/>
    <x v="1"/>
    <s v="Wholesale"/>
    <s v="PayPal"/>
  </r>
  <r>
    <s v="ORD-202401303"/>
    <x v="900"/>
    <n v="3087"/>
    <s v="12/11/1997"/>
    <x v="1"/>
    <x v="3"/>
    <n v="8571.17"/>
    <n v="5496.73"/>
    <s v="Boston"/>
    <x v="0"/>
    <s v="S"/>
    <s v="White"/>
    <n v="5"/>
    <x v="0"/>
    <s v="Retail"/>
    <s v="PayPal"/>
  </r>
  <r>
    <s v="ORD-202401304"/>
    <x v="762"/>
    <n v="9150"/>
    <s v="12/09/1985"/>
    <x v="0"/>
    <x v="0"/>
    <n v="19525.830000000002"/>
    <n v="8851.59"/>
    <s v="Seattle"/>
    <x v="2"/>
    <s v="M"/>
    <s v="Black"/>
    <n v="4"/>
    <x v="1"/>
    <s v="Wholesale"/>
    <s v="Bank Transfer"/>
  </r>
  <r>
    <s v="ORD-202401305"/>
    <x v="674"/>
    <n v="6303"/>
    <s v="16/03/1976"/>
    <x v="1"/>
    <x v="1"/>
    <n v="26902.22"/>
    <n v="15424.35"/>
    <s v="New York"/>
    <x v="0"/>
    <s v="M"/>
    <s v="Green"/>
    <n v="3"/>
    <x v="1"/>
    <s v="Retail"/>
    <s v="Bank Transfer"/>
  </r>
  <r>
    <s v="ORD-202401306"/>
    <x v="766"/>
    <n v="1368"/>
    <s v="27/12/1995"/>
    <x v="1"/>
    <x v="0"/>
    <n v="9234.6200000000008"/>
    <n v="5033.2"/>
    <s v="New York"/>
    <x v="0"/>
    <s v="XL"/>
    <s v="White"/>
    <n v="5"/>
    <x v="2"/>
    <s v="Retail"/>
    <s v="Bank Transfer"/>
  </r>
  <r>
    <s v="ORD-202401307"/>
    <x v="414"/>
    <n v="8492"/>
    <s v="14/09/1996"/>
    <x v="1"/>
    <x v="1"/>
    <n v="71389.84"/>
    <n v="39236.29"/>
    <s v="Miami"/>
    <x v="0"/>
    <s v="L"/>
    <s v="Black"/>
    <n v="5"/>
    <x v="2"/>
    <s v="Retail"/>
    <s v="Bank Transfer"/>
  </r>
  <r>
    <s v="ORD-202401308"/>
    <x v="238"/>
    <n v="2843"/>
    <s v="24/07/1983"/>
    <x v="1"/>
    <x v="4"/>
    <n v="34631.93"/>
    <n v="17585.919999999998"/>
    <s v="Seattle"/>
    <x v="2"/>
    <s v="XL"/>
    <s v="Yellow"/>
    <n v="3"/>
    <x v="1"/>
    <s v="Wholesale"/>
    <s v="PayPal"/>
  </r>
  <r>
    <s v="ORD-202401309"/>
    <x v="901"/>
    <n v="1458"/>
    <s v="10/12/1993"/>
    <x v="1"/>
    <x v="3"/>
    <n v="4593.8999999999996"/>
    <n v="2076.33"/>
    <s v="Chicago"/>
    <x v="1"/>
    <s v="M"/>
    <s v="Black"/>
    <n v="5"/>
    <x v="2"/>
    <s v="Wholesale"/>
    <s v="Bank Transfer"/>
  </r>
  <r>
    <s v="ORD-202401310"/>
    <x v="902"/>
    <n v="3286"/>
    <s v="16/11/1987"/>
    <x v="1"/>
    <x v="3"/>
    <n v="2801.77"/>
    <n v="1485.06"/>
    <s v="Chicago"/>
    <x v="1"/>
    <s v="S"/>
    <s v="Red"/>
    <n v="5"/>
    <x v="1"/>
    <s v="Retail"/>
    <s v="Bank Transfer"/>
  </r>
  <r>
    <s v="ORD-202401311"/>
    <x v="740"/>
    <n v="4112"/>
    <s v="17/09/1995"/>
    <x v="0"/>
    <x v="0"/>
    <n v="7454.93"/>
    <n v="3809.65"/>
    <s v="Los Angeles"/>
    <x v="2"/>
    <s v="M"/>
    <s v="Yellow"/>
    <n v="5"/>
    <x v="0"/>
    <s v="Retail"/>
    <s v="PayPal"/>
  </r>
  <r>
    <s v="ORD-202401312"/>
    <x v="576"/>
    <n v="3447"/>
    <s v="27/08/1970"/>
    <x v="1"/>
    <x v="2"/>
    <n v="30950.62"/>
    <n v="19592.97"/>
    <s v="Detroit"/>
    <x v="1"/>
    <s v="S"/>
    <s v="Red"/>
    <n v="2"/>
    <x v="1"/>
    <s v="Retail"/>
    <s v="Bank Transfer"/>
  </r>
  <r>
    <s v="ORD-202401313"/>
    <x v="903"/>
    <n v="4330"/>
    <s v="18/12/1985"/>
    <x v="0"/>
    <x v="4"/>
    <n v="52141.17"/>
    <n v="33373.64"/>
    <s v="Miami"/>
    <x v="0"/>
    <s v="XL"/>
    <s v="Green"/>
    <n v="1"/>
    <x v="0"/>
    <s v="Wholesale"/>
    <s v="Cash"/>
  </r>
  <r>
    <s v="ORD-202401314"/>
    <x v="904"/>
    <n v="8353"/>
    <s v="18/05/1989"/>
    <x v="0"/>
    <x v="0"/>
    <n v="10114.200000000001"/>
    <n v="5522.05"/>
    <s v="Detroit"/>
    <x v="1"/>
    <s v="S"/>
    <s v="Black"/>
    <n v="1"/>
    <x v="0"/>
    <s v="Retail"/>
    <s v="PayPal"/>
  </r>
  <r>
    <s v="ORD-202401315"/>
    <x v="905"/>
    <n v="3013"/>
    <s v="14/09/1986"/>
    <x v="0"/>
    <x v="4"/>
    <n v="15510.25"/>
    <n v="9830.19"/>
    <s v="Chicago"/>
    <x v="1"/>
    <s v="L"/>
    <s v="Green"/>
    <n v="2"/>
    <x v="0"/>
    <s v="Wholesale"/>
    <s v="Bank Transfer"/>
  </r>
  <r>
    <s v="ORD-202401316"/>
    <x v="906"/>
    <n v="3700"/>
    <s v="15/10/1986"/>
    <x v="1"/>
    <x v="2"/>
    <n v="38019.949999999997"/>
    <n v="19981.990000000002"/>
    <s v="Boston"/>
    <x v="0"/>
    <s v="M"/>
    <s v="Red"/>
    <n v="3"/>
    <x v="2"/>
    <s v="Wholesale"/>
    <s v="Bank Transfer"/>
  </r>
  <r>
    <s v="ORD-202401317"/>
    <x v="323"/>
    <n v="3962"/>
    <s v="07/04/1978"/>
    <x v="0"/>
    <x v="2"/>
    <n v="20322.46"/>
    <n v="10493.65"/>
    <s v="Chicago"/>
    <x v="1"/>
    <s v="M"/>
    <s v="Black"/>
    <n v="3"/>
    <x v="1"/>
    <s v="Retail"/>
    <s v="Bank Transfer"/>
  </r>
  <r>
    <s v="ORD-202401318"/>
    <x v="907"/>
    <n v="4650"/>
    <s v="14/09/1986"/>
    <x v="1"/>
    <x v="2"/>
    <n v="21319.8"/>
    <n v="10004.91"/>
    <s v="San Francisco"/>
    <x v="2"/>
    <s v="M"/>
    <s v="Yellow"/>
    <n v="2"/>
    <x v="1"/>
    <s v="Retail"/>
    <s v="Cash"/>
  </r>
  <r>
    <s v="ORD-202401319"/>
    <x v="908"/>
    <n v="1923"/>
    <s v="16/06/1977"/>
    <x v="0"/>
    <x v="2"/>
    <n v="23590.3"/>
    <n v="12476.37"/>
    <s v="Minneapolis"/>
    <x v="1"/>
    <s v="M"/>
    <s v="Red"/>
    <n v="1"/>
    <x v="2"/>
    <s v="Wholesale"/>
    <s v="Cash"/>
  </r>
  <r>
    <s v="ORD-202401320"/>
    <x v="909"/>
    <n v="7973"/>
    <s v="17/01/1977"/>
    <x v="1"/>
    <x v="4"/>
    <n v="26094.99"/>
    <n v="14590.11"/>
    <s v="Detroit"/>
    <x v="1"/>
    <s v="M"/>
    <s v="Yellow"/>
    <n v="3"/>
    <x v="0"/>
    <s v="Wholesale"/>
    <s v="Bank Transfer"/>
  </r>
  <r>
    <s v="ORD-202401321"/>
    <x v="627"/>
    <n v="6673"/>
    <s v="23/07/2000"/>
    <x v="0"/>
    <x v="4"/>
    <n v="39529.75"/>
    <n v="20260.009999999998"/>
    <s v="New York"/>
    <x v="0"/>
    <s v="XL"/>
    <s v="Red"/>
    <n v="5"/>
    <x v="1"/>
    <s v="Retail"/>
    <s v="Cash"/>
  </r>
  <r>
    <s v="ORD-202401322"/>
    <x v="910"/>
    <n v="6951"/>
    <s v="12/02/1972"/>
    <x v="1"/>
    <x v="2"/>
    <n v="24098.799999999999"/>
    <n v="12089.53"/>
    <s v="Los Angeles"/>
    <x v="2"/>
    <s v="XL"/>
    <s v="Green"/>
    <n v="3"/>
    <x v="0"/>
    <s v="Wholesale"/>
    <s v="PayPal"/>
  </r>
  <r>
    <s v="ORD-202401323"/>
    <x v="911"/>
    <n v="8557"/>
    <s v="12/01/1975"/>
    <x v="0"/>
    <x v="2"/>
    <n v="28142.15"/>
    <n v="14354.07"/>
    <s v="Los Angeles"/>
    <x v="2"/>
    <s v="XL"/>
    <s v="Blue"/>
    <n v="3"/>
    <x v="1"/>
    <s v="Wholesale"/>
    <s v="Cash"/>
  </r>
  <r>
    <s v="ORD-202401324"/>
    <x v="912"/>
    <n v="3044"/>
    <s v="04/10/1978"/>
    <x v="0"/>
    <x v="1"/>
    <n v="59000.28"/>
    <n v="36861.57"/>
    <s v="Los Angeles"/>
    <x v="2"/>
    <s v="S"/>
    <s v="Black"/>
    <n v="2"/>
    <x v="1"/>
    <s v="Wholesale"/>
    <s v="PayPal"/>
  </r>
  <r>
    <s v="ORD-202401325"/>
    <x v="397"/>
    <n v="3868"/>
    <s v="30/12/1993"/>
    <x v="0"/>
    <x v="3"/>
    <n v="5958"/>
    <n v="2888.54"/>
    <s v="Minneapolis"/>
    <x v="1"/>
    <s v="XL"/>
    <s v="Blue"/>
    <n v="1"/>
    <x v="1"/>
    <s v="Retail"/>
    <s v="Cash"/>
  </r>
  <r>
    <s v="ORD-202401326"/>
    <x v="353"/>
    <n v="7694"/>
    <s v="19/09/1983"/>
    <x v="1"/>
    <x v="2"/>
    <n v="35136.11"/>
    <n v="17305.990000000002"/>
    <s v="Los Angeles"/>
    <x v="2"/>
    <s v="L"/>
    <s v="Black"/>
    <n v="2"/>
    <x v="0"/>
    <s v="Wholesale"/>
    <s v="PayPal"/>
  </r>
  <r>
    <s v="ORD-202401327"/>
    <x v="913"/>
    <n v="8837"/>
    <s v="02/10/2000"/>
    <x v="0"/>
    <x v="1"/>
    <n v="34022.33"/>
    <n v="21225.56"/>
    <s v="Seattle"/>
    <x v="2"/>
    <s v="XL"/>
    <s v="Red"/>
    <n v="4"/>
    <x v="1"/>
    <s v="Retail"/>
    <s v="Cash"/>
  </r>
  <r>
    <s v="ORD-202401328"/>
    <x v="608"/>
    <n v="4439"/>
    <s v="26/01/1980"/>
    <x v="1"/>
    <x v="1"/>
    <n v="16476.21"/>
    <n v="9406.6"/>
    <s v="Miami"/>
    <x v="0"/>
    <s v="L"/>
    <s v="White"/>
    <n v="4"/>
    <x v="1"/>
    <s v="Wholesale"/>
    <s v="Cash"/>
  </r>
  <r>
    <s v="ORD-202401329"/>
    <x v="914"/>
    <n v="1790"/>
    <s v="12/01/1975"/>
    <x v="1"/>
    <x v="1"/>
    <n v="35263.06"/>
    <n v="19940.830000000002"/>
    <s v="Boston"/>
    <x v="0"/>
    <s v="M"/>
    <s v="Black"/>
    <n v="3"/>
    <x v="1"/>
    <s v="Wholesale"/>
    <s v="PayPal"/>
  </r>
  <r>
    <s v="ORD-202401330"/>
    <x v="915"/>
    <n v="5830"/>
    <s v="08/03/1999"/>
    <x v="1"/>
    <x v="1"/>
    <n v="40270.35"/>
    <n v="25675.43"/>
    <s v="Boston"/>
    <x v="0"/>
    <s v="L"/>
    <s v="Yellow"/>
    <n v="5"/>
    <x v="0"/>
    <s v="Retail"/>
    <s v="Bank Transfer"/>
  </r>
  <r>
    <s v="ORD-202401331"/>
    <x v="764"/>
    <n v="6710"/>
    <s v="28/06/1998"/>
    <x v="0"/>
    <x v="3"/>
    <n v="21477.15"/>
    <n v="12851.49"/>
    <s v="San Francisco"/>
    <x v="2"/>
    <s v="S"/>
    <s v="Blue"/>
    <n v="2"/>
    <x v="1"/>
    <s v="Wholesale"/>
    <s v="Bank Transfer"/>
  </r>
  <r>
    <s v="ORD-202401332"/>
    <x v="916"/>
    <n v="3255"/>
    <s v="27/04/1973"/>
    <x v="1"/>
    <x v="0"/>
    <n v="12843.01"/>
    <n v="6261.05"/>
    <s v="Boston"/>
    <x v="0"/>
    <s v="XL"/>
    <s v="Red"/>
    <n v="4"/>
    <x v="1"/>
    <s v="Retail"/>
    <s v="PayPal"/>
  </r>
  <r>
    <s v="ORD-202401333"/>
    <x v="917"/>
    <n v="7970"/>
    <s v="31/03/1979"/>
    <x v="1"/>
    <x v="3"/>
    <n v="15008.58"/>
    <n v="7233.76"/>
    <s v="Miami"/>
    <x v="0"/>
    <s v="XL"/>
    <s v="Yellow"/>
    <n v="1"/>
    <x v="1"/>
    <s v="Wholesale"/>
    <s v="PayPal"/>
  </r>
  <r>
    <s v="ORD-202401334"/>
    <x v="918"/>
    <n v="2342"/>
    <s v="13/02/1975"/>
    <x v="0"/>
    <x v="1"/>
    <n v="84768.13"/>
    <n v="54859.22"/>
    <s v="Seattle"/>
    <x v="2"/>
    <s v="S"/>
    <s v="Green"/>
    <n v="3"/>
    <x v="0"/>
    <s v="Wholesale"/>
    <s v="Cash"/>
  </r>
  <r>
    <s v="ORD-202401335"/>
    <x v="202"/>
    <n v="3734"/>
    <s v="10/04/1998"/>
    <x v="0"/>
    <x v="0"/>
    <n v="12445.97"/>
    <n v="7037.18"/>
    <s v="Boston"/>
    <x v="0"/>
    <s v="L"/>
    <s v="Green"/>
    <n v="2"/>
    <x v="0"/>
    <s v="Retail"/>
    <s v="Bank Transfer"/>
  </r>
  <r>
    <s v="ORD-202401336"/>
    <x v="398"/>
    <n v="6129"/>
    <s v="22/06/1999"/>
    <x v="0"/>
    <x v="3"/>
    <n v="11931.8"/>
    <n v="6478.2"/>
    <s v="New York"/>
    <x v="0"/>
    <s v="S"/>
    <s v="Black"/>
    <n v="3"/>
    <x v="1"/>
    <s v="Wholesale"/>
    <s v="Cash"/>
  </r>
  <r>
    <s v="ORD-202401337"/>
    <x v="919"/>
    <n v="1170"/>
    <s v="31/07/1973"/>
    <x v="0"/>
    <x v="4"/>
    <n v="36945.64"/>
    <n v="20561.27"/>
    <s v="New York"/>
    <x v="0"/>
    <s v="XL"/>
    <s v="Green"/>
    <n v="2"/>
    <x v="0"/>
    <s v="Retail"/>
    <s v="Cash"/>
  </r>
  <r>
    <s v="ORD-202401338"/>
    <x v="920"/>
    <n v="9765"/>
    <s v="19/09/1984"/>
    <x v="0"/>
    <x v="4"/>
    <n v="35690.99"/>
    <n v="21180.31"/>
    <s v="San Francisco"/>
    <x v="2"/>
    <s v="S"/>
    <s v="Green"/>
    <n v="3"/>
    <x v="1"/>
    <s v="Retail"/>
    <s v="Cash"/>
  </r>
  <r>
    <s v="ORD-202401339"/>
    <x v="33"/>
    <n v="9129"/>
    <s v="25/10/1993"/>
    <x v="0"/>
    <x v="2"/>
    <n v="24388.48"/>
    <n v="12935.93"/>
    <s v="New York"/>
    <x v="0"/>
    <s v="XL"/>
    <s v="Red"/>
    <n v="2"/>
    <x v="0"/>
    <s v="Retail"/>
    <s v="PayPal"/>
  </r>
  <r>
    <s v="ORD-202401340"/>
    <x v="921"/>
    <n v="1116"/>
    <s v="15/09/1972"/>
    <x v="1"/>
    <x v="4"/>
    <n v="28711.42"/>
    <n v="18521.32"/>
    <s v="Los Angeles"/>
    <x v="2"/>
    <s v="XL"/>
    <s v="Red"/>
    <n v="3"/>
    <x v="0"/>
    <s v="Retail"/>
    <s v="PayPal"/>
  </r>
  <r>
    <s v="ORD-202401341"/>
    <x v="922"/>
    <n v="8984"/>
    <s v="27/09/1980"/>
    <x v="0"/>
    <x v="2"/>
    <n v="22539.91"/>
    <n v="13703.61"/>
    <s v="Seattle"/>
    <x v="2"/>
    <s v="S"/>
    <s v="Red"/>
    <n v="4"/>
    <x v="1"/>
    <s v="Retail"/>
    <s v="PayPal"/>
  </r>
  <r>
    <s v="ORD-202401342"/>
    <x v="923"/>
    <n v="8965"/>
    <s v="25/02/1991"/>
    <x v="0"/>
    <x v="4"/>
    <n v="28642.62"/>
    <n v="17788.560000000001"/>
    <s v="Boston"/>
    <x v="0"/>
    <s v="XL"/>
    <s v="Black"/>
    <n v="4"/>
    <x v="1"/>
    <s v="Retail"/>
    <s v="Cash"/>
  </r>
  <r>
    <s v="ORD-202401343"/>
    <x v="680"/>
    <n v="7753"/>
    <s v="30/01/1973"/>
    <x v="0"/>
    <x v="4"/>
    <n v="13940.39"/>
    <n v="6565.49"/>
    <s v="Seattle"/>
    <x v="2"/>
    <s v="XL"/>
    <s v="Green"/>
    <n v="2"/>
    <x v="1"/>
    <s v="Wholesale"/>
    <s v="PayPal"/>
  </r>
  <r>
    <s v="ORD-202401344"/>
    <x v="924"/>
    <n v="1613"/>
    <s v="01/08/1975"/>
    <x v="0"/>
    <x v="3"/>
    <n v="6112.12"/>
    <n v="3418.95"/>
    <s v="Minneapolis"/>
    <x v="1"/>
    <s v="M"/>
    <s v="White"/>
    <n v="2"/>
    <x v="1"/>
    <s v="Retail"/>
    <s v="Bank Transfer"/>
  </r>
  <r>
    <s v="ORD-202401345"/>
    <x v="381"/>
    <n v="5246"/>
    <s v="23/10/1981"/>
    <x v="1"/>
    <x v="3"/>
    <n v="11269.21"/>
    <n v="6263.13"/>
    <s v="Los Angeles"/>
    <x v="2"/>
    <s v="M"/>
    <s v="Yellow"/>
    <n v="3"/>
    <x v="0"/>
    <s v="Wholesale"/>
    <s v="PayPal"/>
  </r>
  <r>
    <s v="ORD-202401346"/>
    <x v="925"/>
    <n v="1058"/>
    <s v="29/07/1999"/>
    <x v="0"/>
    <x v="2"/>
    <n v="15256.08"/>
    <n v="8502.4599999999991"/>
    <s v="Los Angeles"/>
    <x v="2"/>
    <s v="L"/>
    <s v="Yellow"/>
    <n v="5"/>
    <x v="0"/>
    <s v="Retail"/>
    <s v="Bank Transfer"/>
  </r>
  <r>
    <s v="ORD-202401347"/>
    <x v="764"/>
    <n v="8433"/>
    <s v="12/02/1994"/>
    <x v="0"/>
    <x v="4"/>
    <n v="49120.95"/>
    <n v="23315.61"/>
    <s v="Miami"/>
    <x v="0"/>
    <s v="L"/>
    <s v="Blue"/>
    <n v="1"/>
    <x v="0"/>
    <s v="Retail"/>
    <s v="PayPal"/>
  </r>
  <r>
    <s v="ORD-202401348"/>
    <x v="926"/>
    <n v="4327"/>
    <s v="30/07/1971"/>
    <x v="1"/>
    <x v="0"/>
    <n v="16156.04"/>
    <n v="9178.7199999999993"/>
    <s v="Chicago"/>
    <x v="1"/>
    <s v="S"/>
    <s v="Yellow"/>
    <n v="4"/>
    <x v="1"/>
    <s v="Retail"/>
    <s v="PayPal"/>
  </r>
  <r>
    <s v="ORD-202401349"/>
    <x v="776"/>
    <n v="8780"/>
    <s v="27/09/1982"/>
    <x v="1"/>
    <x v="2"/>
    <n v="6340.58"/>
    <n v="3171.65"/>
    <s v="Boston"/>
    <x v="0"/>
    <s v="M"/>
    <s v="Black"/>
    <n v="1"/>
    <x v="0"/>
    <s v="Wholesale"/>
    <s v="Cash"/>
  </r>
  <r>
    <s v="ORD-202401350"/>
    <x v="534"/>
    <n v="4052"/>
    <s v="15/01/1971"/>
    <x v="0"/>
    <x v="4"/>
    <n v="21232.71"/>
    <n v="11035.41"/>
    <s v="Minneapolis"/>
    <x v="1"/>
    <s v="M"/>
    <s v="Red"/>
    <n v="3"/>
    <x v="1"/>
    <s v="Wholesale"/>
    <s v="Cash"/>
  </r>
  <r>
    <s v="ORD-202401351"/>
    <x v="431"/>
    <n v="3194"/>
    <s v="19/09/1990"/>
    <x v="0"/>
    <x v="4"/>
    <n v="15469.49"/>
    <n v="7826.01"/>
    <s v="Detroit"/>
    <x v="1"/>
    <s v="S"/>
    <s v="Red"/>
    <n v="4"/>
    <x v="0"/>
    <s v="Wholesale"/>
    <s v="Bank Transfer"/>
  </r>
  <r>
    <s v="ORD-202401352"/>
    <x v="675"/>
    <n v="2233"/>
    <s v="16/09/1994"/>
    <x v="0"/>
    <x v="4"/>
    <n v="37189.46"/>
    <n v="22050.28"/>
    <s v="Los Angeles"/>
    <x v="2"/>
    <s v="L"/>
    <s v="Red"/>
    <n v="2"/>
    <x v="1"/>
    <s v="Retail"/>
    <s v="Bank Transfer"/>
  </r>
  <r>
    <s v="ORD-202401353"/>
    <x v="272"/>
    <n v="7666"/>
    <s v="22/06/1981"/>
    <x v="0"/>
    <x v="0"/>
    <n v="8498.48"/>
    <n v="4458.63"/>
    <s v="Seattle"/>
    <x v="2"/>
    <s v="XL"/>
    <s v="Green"/>
    <n v="2"/>
    <x v="1"/>
    <s v="Retail"/>
    <s v="PayPal"/>
  </r>
  <r>
    <s v="ORD-202401354"/>
    <x v="927"/>
    <n v="1845"/>
    <s v="23/11/1997"/>
    <x v="0"/>
    <x v="4"/>
    <n v="11339.62"/>
    <n v="5970.47"/>
    <s v="New York"/>
    <x v="0"/>
    <s v="XL"/>
    <s v="Red"/>
    <n v="4"/>
    <x v="1"/>
    <s v="Retail"/>
    <s v="Cash"/>
  </r>
  <r>
    <s v="ORD-202401355"/>
    <x v="928"/>
    <n v="1520"/>
    <s v="30/07/1971"/>
    <x v="1"/>
    <x v="0"/>
    <n v="12581.51"/>
    <n v="6256.65"/>
    <s v="Miami"/>
    <x v="0"/>
    <s v="XL"/>
    <s v="Black"/>
    <n v="2"/>
    <x v="1"/>
    <s v="Retail"/>
    <s v="Bank Transfer"/>
  </r>
  <r>
    <s v="ORD-202401356"/>
    <x v="88"/>
    <n v="6128"/>
    <s v="18/02/1997"/>
    <x v="0"/>
    <x v="4"/>
    <n v="7663.13"/>
    <n v="4206.96"/>
    <s v="Detroit"/>
    <x v="1"/>
    <s v="M"/>
    <s v="Green"/>
    <n v="5"/>
    <x v="2"/>
    <s v="Retail"/>
    <s v="Bank Transfer"/>
  </r>
  <r>
    <s v="ORD-202401357"/>
    <x v="929"/>
    <n v="8396"/>
    <s v="09/05/1999"/>
    <x v="0"/>
    <x v="4"/>
    <n v="20893.75"/>
    <n v="9858.33"/>
    <s v="San Francisco"/>
    <x v="2"/>
    <s v="XL"/>
    <s v="Yellow"/>
    <n v="1"/>
    <x v="0"/>
    <s v="Retail"/>
    <s v="Cash"/>
  </r>
  <r>
    <s v="ORD-202401358"/>
    <x v="930"/>
    <n v="5576"/>
    <s v="08/03/1984"/>
    <x v="1"/>
    <x v="4"/>
    <n v="31719.32"/>
    <n v="20609.900000000001"/>
    <s v="Miami"/>
    <x v="0"/>
    <s v="S"/>
    <s v="Yellow"/>
    <n v="2"/>
    <x v="0"/>
    <s v="Wholesale"/>
    <s v="Cash"/>
  </r>
  <r>
    <s v="ORD-202401359"/>
    <x v="744"/>
    <n v="3370"/>
    <s v="31/05/1972"/>
    <x v="0"/>
    <x v="1"/>
    <n v="67449.070000000007"/>
    <n v="34306.43"/>
    <s v="New York"/>
    <x v="0"/>
    <s v="M"/>
    <s v="Blue"/>
    <n v="3"/>
    <x v="1"/>
    <s v="Wholesale"/>
    <s v="Cash"/>
  </r>
  <r>
    <s v="ORD-202401360"/>
    <x v="931"/>
    <n v="1278"/>
    <s v="14/05/1976"/>
    <x v="1"/>
    <x v="4"/>
    <n v="26617.94"/>
    <n v="16360.94"/>
    <s v="Los Angeles"/>
    <x v="2"/>
    <s v="XL"/>
    <s v="Blue"/>
    <n v="4"/>
    <x v="0"/>
    <s v="Retail"/>
    <s v="Cash"/>
  </r>
  <r>
    <s v="ORD-202401361"/>
    <x v="932"/>
    <n v="7700"/>
    <s v="05/02/1991"/>
    <x v="0"/>
    <x v="2"/>
    <n v="25650.91"/>
    <n v="14634.76"/>
    <s v="Seattle"/>
    <x v="2"/>
    <s v="L"/>
    <s v="Black"/>
    <n v="5"/>
    <x v="1"/>
    <s v="Wholesale"/>
    <s v="Cash"/>
  </r>
  <r>
    <s v="ORD-202401362"/>
    <x v="32"/>
    <n v="2834"/>
    <s v="25/09/1985"/>
    <x v="1"/>
    <x v="3"/>
    <n v="3555.83"/>
    <n v="1675.34"/>
    <s v="San Francisco"/>
    <x v="2"/>
    <s v="S"/>
    <s v="Green"/>
    <n v="5"/>
    <x v="0"/>
    <s v="Wholesale"/>
    <s v="Cash"/>
  </r>
  <r>
    <s v="ORD-202401363"/>
    <x v="933"/>
    <n v="9779"/>
    <s v="23/10/1982"/>
    <x v="1"/>
    <x v="3"/>
    <n v="5335.54"/>
    <n v="2994.31"/>
    <s v="Detroit"/>
    <x v="1"/>
    <s v="XL"/>
    <s v="Blue"/>
    <n v="2"/>
    <x v="0"/>
    <s v="Wholesale"/>
    <s v="Cash"/>
  </r>
  <r>
    <s v="ORD-202401364"/>
    <x v="514"/>
    <n v="8181"/>
    <s v="08/05/1980"/>
    <x v="0"/>
    <x v="2"/>
    <n v="39231.78"/>
    <n v="18513.759999999998"/>
    <s v="Miami"/>
    <x v="0"/>
    <s v="S"/>
    <s v="White"/>
    <n v="3"/>
    <x v="0"/>
    <s v="Retail"/>
    <s v="Cash"/>
  </r>
  <r>
    <s v="ORD-202401365"/>
    <x v="934"/>
    <n v="7439"/>
    <s v="17/01/1979"/>
    <x v="0"/>
    <x v="4"/>
    <n v="53603.91"/>
    <n v="32542.11"/>
    <s v="Los Angeles"/>
    <x v="2"/>
    <s v="M"/>
    <s v="Green"/>
    <n v="5"/>
    <x v="1"/>
    <s v="Retail"/>
    <s v="Bank Transfer"/>
  </r>
  <r>
    <s v="ORD-202401366"/>
    <x v="935"/>
    <n v="7721"/>
    <s v="04/09/1993"/>
    <x v="1"/>
    <x v="1"/>
    <n v="20416.22"/>
    <n v="9952.8700000000008"/>
    <s v="Chicago"/>
    <x v="1"/>
    <s v="S"/>
    <s v="Blue"/>
    <n v="1"/>
    <x v="2"/>
    <s v="Retail"/>
    <s v="PayPal"/>
  </r>
  <r>
    <s v="ORD-202401367"/>
    <x v="936"/>
    <n v="4410"/>
    <s v="25/01/1970"/>
    <x v="0"/>
    <x v="4"/>
    <n v="6054.9"/>
    <n v="2749.68"/>
    <s v="Boston"/>
    <x v="0"/>
    <s v="XL"/>
    <s v="Blue"/>
    <n v="3"/>
    <x v="0"/>
    <s v="Wholesale"/>
    <s v="Bank Transfer"/>
  </r>
  <r>
    <s v="ORD-202401368"/>
    <x v="937"/>
    <n v="2474"/>
    <s v="25/08/1995"/>
    <x v="0"/>
    <x v="1"/>
    <n v="27364.45"/>
    <n v="14537.06"/>
    <s v="Los Angeles"/>
    <x v="2"/>
    <s v="S"/>
    <s v="Red"/>
    <n v="5"/>
    <x v="2"/>
    <s v="Wholesale"/>
    <s v="Bank Transfer"/>
  </r>
  <r>
    <s v="ORD-202401369"/>
    <x v="146"/>
    <n v="9101"/>
    <s v="01/10/2000"/>
    <x v="0"/>
    <x v="0"/>
    <n v="21300.47"/>
    <n v="12746.9"/>
    <s v="Boston"/>
    <x v="0"/>
    <s v="XL"/>
    <s v="Black"/>
    <n v="5"/>
    <x v="1"/>
    <s v="Retail"/>
    <s v="PayPal"/>
  </r>
  <r>
    <s v="ORD-202401370"/>
    <x v="938"/>
    <n v="8864"/>
    <s v="28/01/1989"/>
    <x v="1"/>
    <x v="3"/>
    <n v="11034.52"/>
    <n v="5055.2"/>
    <s v="Seattle"/>
    <x v="2"/>
    <s v="S"/>
    <s v="Yellow"/>
    <n v="5"/>
    <x v="0"/>
    <s v="Wholesale"/>
    <s v="Cash"/>
  </r>
  <r>
    <s v="ORD-202401371"/>
    <x v="939"/>
    <n v="2574"/>
    <s v="13/09/1973"/>
    <x v="0"/>
    <x v="0"/>
    <n v="8278.26"/>
    <n v="4821.51"/>
    <s v="Los Angeles"/>
    <x v="2"/>
    <s v="L"/>
    <s v="Black"/>
    <n v="3"/>
    <x v="1"/>
    <s v="Retail"/>
    <s v="PayPal"/>
  </r>
  <r>
    <s v="ORD-202401372"/>
    <x v="940"/>
    <n v="1197"/>
    <s v="27/08/1981"/>
    <x v="0"/>
    <x v="4"/>
    <n v="12055.33"/>
    <n v="6205.94"/>
    <s v="Minneapolis"/>
    <x v="1"/>
    <s v="M"/>
    <s v="Green"/>
    <n v="4"/>
    <x v="1"/>
    <s v="Retail"/>
    <s v="Bank Transfer"/>
  </r>
  <r>
    <s v="ORD-202401373"/>
    <x v="570"/>
    <n v="7626"/>
    <s v="06/04/1982"/>
    <x v="1"/>
    <x v="1"/>
    <n v="33178.519999999997"/>
    <n v="19682.25"/>
    <s v="Detroit"/>
    <x v="1"/>
    <s v="S"/>
    <s v="Red"/>
    <n v="5"/>
    <x v="1"/>
    <s v="Wholesale"/>
    <s v="PayPal"/>
  </r>
  <r>
    <s v="ORD-202401374"/>
    <x v="941"/>
    <n v="9306"/>
    <s v="22/11/2000"/>
    <x v="0"/>
    <x v="0"/>
    <n v="23252.22"/>
    <n v="13498.46"/>
    <s v="Los Angeles"/>
    <x v="2"/>
    <s v="XL"/>
    <s v="Yellow"/>
    <n v="3"/>
    <x v="2"/>
    <s v="Retail"/>
    <s v="Bank Transfer"/>
  </r>
  <r>
    <s v="ORD-202401375"/>
    <x v="594"/>
    <n v="6320"/>
    <s v="03/10/1981"/>
    <x v="0"/>
    <x v="2"/>
    <n v="33644.660000000003"/>
    <n v="20453.72"/>
    <s v="Seattle"/>
    <x v="2"/>
    <s v="L"/>
    <s v="Black"/>
    <n v="2"/>
    <x v="1"/>
    <s v="Retail"/>
    <s v="Cash"/>
  </r>
  <r>
    <s v="ORD-202401376"/>
    <x v="114"/>
    <n v="2551"/>
    <s v="20/10/1997"/>
    <x v="0"/>
    <x v="4"/>
    <n v="34093.72"/>
    <n v="17606.099999999999"/>
    <s v="San Francisco"/>
    <x v="2"/>
    <s v="S"/>
    <s v="Black"/>
    <n v="4"/>
    <x v="2"/>
    <s v="Wholesale"/>
    <s v="PayPal"/>
  </r>
  <r>
    <s v="ORD-202401377"/>
    <x v="596"/>
    <n v="1519"/>
    <s v="18/02/1975"/>
    <x v="0"/>
    <x v="1"/>
    <n v="34439.49"/>
    <n v="16688.64"/>
    <s v="Minneapolis"/>
    <x v="1"/>
    <s v="S"/>
    <s v="Green"/>
    <n v="4"/>
    <x v="1"/>
    <s v="Retail"/>
    <s v="Cash"/>
  </r>
  <r>
    <s v="ORD-202401378"/>
    <x v="942"/>
    <n v="4285"/>
    <s v="19/11/1977"/>
    <x v="0"/>
    <x v="4"/>
    <n v="21756.400000000001"/>
    <n v="14099.04"/>
    <s v="Boston"/>
    <x v="0"/>
    <s v="XL"/>
    <s v="Red"/>
    <n v="3"/>
    <x v="1"/>
    <s v="Retail"/>
    <s v="Bank Transfer"/>
  </r>
  <r>
    <s v="ORD-202401379"/>
    <x v="943"/>
    <n v="6326"/>
    <s v="10/07/1989"/>
    <x v="0"/>
    <x v="2"/>
    <n v="33239.69"/>
    <n v="20089.43"/>
    <s v="Detroit"/>
    <x v="1"/>
    <s v="L"/>
    <s v="Green"/>
    <n v="4"/>
    <x v="0"/>
    <s v="Wholesale"/>
    <s v="Bank Transfer"/>
  </r>
  <r>
    <s v="ORD-202401380"/>
    <x v="337"/>
    <n v="5912"/>
    <s v="10/06/1998"/>
    <x v="1"/>
    <x v="3"/>
    <n v="12815.22"/>
    <n v="5831.32"/>
    <s v="New York"/>
    <x v="0"/>
    <s v="S"/>
    <s v="Green"/>
    <n v="2"/>
    <x v="1"/>
    <s v="Retail"/>
    <s v="PayPal"/>
  </r>
  <r>
    <s v="ORD-202401381"/>
    <x v="944"/>
    <n v="4848"/>
    <s v="22/08/1981"/>
    <x v="1"/>
    <x v="3"/>
    <n v="9479.18"/>
    <n v="5065.3999999999996"/>
    <s v="New York"/>
    <x v="0"/>
    <s v="XL"/>
    <s v="White"/>
    <n v="5"/>
    <x v="1"/>
    <s v="Wholesale"/>
    <s v="Cash"/>
  </r>
  <r>
    <s v="ORD-202401382"/>
    <x v="643"/>
    <n v="8422"/>
    <s v="08/09/1987"/>
    <x v="0"/>
    <x v="3"/>
    <n v="10197.450000000001"/>
    <n v="6316.92"/>
    <s v="New York"/>
    <x v="0"/>
    <s v="XL"/>
    <s v="Green"/>
    <n v="4"/>
    <x v="2"/>
    <s v="Wholesale"/>
    <s v="Bank Transfer"/>
  </r>
  <r>
    <s v="ORD-202401383"/>
    <x v="229"/>
    <n v="8241"/>
    <s v="26/06/1994"/>
    <x v="1"/>
    <x v="3"/>
    <n v="11602.82"/>
    <n v="5902.24"/>
    <s v="Detroit"/>
    <x v="1"/>
    <s v="XL"/>
    <s v="Red"/>
    <n v="2"/>
    <x v="0"/>
    <s v="Wholesale"/>
    <s v="Bank Transfer"/>
  </r>
  <r>
    <s v="ORD-202401384"/>
    <x v="945"/>
    <n v="9201"/>
    <s v="10/08/1983"/>
    <x v="1"/>
    <x v="3"/>
    <n v="15216.13"/>
    <n v="9810"/>
    <s v="San Francisco"/>
    <x v="2"/>
    <s v="M"/>
    <s v="Blue"/>
    <n v="3"/>
    <x v="2"/>
    <s v="Wholesale"/>
    <s v="Bank Transfer"/>
  </r>
  <r>
    <s v="ORD-202401385"/>
    <x v="539"/>
    <n v="3496"/>
    <s v="27/07/1994"/>
    <x v="0"/>
    <x v="2"/>
    <n v="17965.39"/>
    <n v="9292.7000000000007"/>
    <s v="Seattle"/>
    <x v="2"/>
    <s v="XL"/>
    <s v="Green"/>
    <n v="5"/>
    <x v="0"/>
    <s v="Retail"/>
    <s v="Bank Transfer"/>
  </r>
  <r>
    <s v="ORD-202401386"/>
    <x v="171"/>
    <n v="5637"/>
    <s v="26/05/1982"/>
    <x v="0"/>
    <x v="4"/>
    <n v="43628.82"/>
    <n v="20514.93"/>
    <s v="Los Angeles"/>
    <x v="2"/>
    <s v="XL"/>
    <s v="Blue"/>
    <n v="5"/>
    <x v="0"/>
    <s v="Retail"/>
    <s v="Bank Transfer"/>
  </r>
  <r>
    <s v="ORD-202401387"/>
    <x v="946"/>
    <n v="5710"/>
    <s v="17/05/2000"/>
    <x v="0"/>
    <x v="1"/>
    <n v="77823.77"/>
    <n v="43242.55"/>
    <s v="Seattle"/>
    <x v="2"/>
    <s v="L"/>
    <s v="Yellow"/>
    <n v="4"/>
    <x v="0"/>
    <s v="Wholesale"/>
    <s v="Bank Transfer"/>
  </r>
  <r>
    <s v="ORD-202401388"/>
    <x v="665"/>
    <n v="3977"/>
    <s v="18/12/1971"/>
    <x v="0"/>
    <x v="2"/>
    <n v="11081.64"/>
    <n v="6933.03"/>
    <s v="Los Angeles"/>
    <x v="2"/>
    <s v="L"/>
    <s v="Blue"/>
    <n v="3"/>
    <x v="1"/>
    <s v="Wholesale"/>
    <s v="Cash"/>
  </r>
  <r>
    <s v="ORD-202401389"/>
    <x v="947"/>
    <n v="7944"/>
    <s v="05/09/1993"/>
    <x v="0"/>
    <x v="0"/>
    <n v="8687.83"/>
    <n v="4326.05"/>
    <s v="Chicago"/>
    <x v="1"/>
    <s v="M"/>
    <s v="Red"/>
    <n v="5"/>
    <x v="1"/>
    <s v="Wholesale"/>
    <s v="Cash"/>
  </r>
  <r>
    <s v="ORD-202401390"/>
    <x v="186"/>
    <n v="1810"/>
    <s v="26/07/1996"/>
    <x v="0"/>
    <x v="4"/>
    <n v="15608.11"/>
    <n v="7885.29"/>
    <s v="Seattle"/>
    <x v="2"/>
    <s v="S"/>
    <s v="Blue"/>
    <n v="3"/>
    <x v="2"/>
    <s v="Retail"/>
    <s v="Cash"/>
  </r>
  <r>
    <s v="ORD-202401391"/>
    <x v="948"/>
    <n v="7798"/>
    <s v="05/04/1999"/>
    <x v="0"/>
    <x v="1"/>
    <n v="62090.3"/>
    <n v="29244.06"/>
    <s v="Seattle"/>
    <x v="2"/>
    <s v="XL"/>
    <s v="Blue"/>
    <n v="3"/>
    <x v="0"/>
    <s v="Wholesale"/>
    <s v="Cash"/>
  </r>
  <r>
    <s v="ORD-202401392"/>
    <x v="51"/>
    <n v="9583"/>
    <s v="07/12/1990"/>
    <x v="1"/>
    <x v="4"/>
    <n v="46105.13"/>
    <n v="29242.31"/>
    <s v="Miami"/>
    <x v="0"/>
    <s v="S"/>
    <s v="Red"/>
    <n v="2"/>
    <x v="2"/>
    <s v="Retail"/>
    <s v="Bank Transfer"/>
  </r>
  <r>
    <s v="ORD-202401393"/>
    <x v="832"/>
    <n v="9658"/>
    <s v="14/01/1995"/>
    <x v="1"/>
    <x v="4"/>
    <n v="31436.04"/>
    <n v="14167.99"/>
    <s v="Boston"/>
    <x v="0"/>
    <s v="M"/>
    <s v="White"/>
    <n v="5"/>
    <x v="0"/>
    <s v="Wholesale"/>
    <s v="Bank Transfer"/>
  </r>
  <r>
    <s v="ORD-202401394"/>
    <x v="949"/>
    <n v="2819"/>
    <s v="19/12/1992"/>
    <x v="1"/>
    <x v="4"/>
    <n v="39699.07"/>
    <n v="19092.3"/>
    <s v="San Francisco"/>
    <x v="2"/>
    <s v="M"/>
    <s v="Black"/>
    <n v="5"/>
    <x v="2"/>
    <s v="Retail"/>
    <s v="Bank Transfer"/>
  </r>
  <r>
    <s v="ORD-202401395"/>
    <x v="950"/>
    <n v="4714"/>
    <s v="14/03/1985"/>
    <x v="0"/>
    <x v="0"/>
    <n v="13782.65"/>
    <n v="7357.8"/>
    <s v="San Francisco"/>
    <x v="2"/>
    <s v="S"/>
    <s v="Red"/>
    <n v="2"/>
    <x v="0"/>
    <s v="Retail"/>
    <s v="PayPal"/>
  </r>
  <r>
    <s v="ORD-202401396"/>
    <x v="951"/>
    <n v="1241"/>
    <s v="31/05/1971"/>
    <x v="0"/>
    <x v="2"/>
    <n v="28493.95"/>
    <n v="16635.509999999998"/>
    <s v="Boston"/>
    <x v="0"/>
    <s v="L"/>
    <s v="Blue"/>
    <n v="2"/>
    <x v="1"/>
    <s v="Retail"/>
    <s v="Cash"/>
  </r>
  <r>
    <s v="ORD-202401397"/>
    <x v="952"/>
    <n v="7265"/>
    <s v="09/01/1997"/>
    <x v="1"/>
    <x v="2"/>
    <n v="31453.4"/>
    <n v="15786.97"/>
    <s v="Los Angeles"/>
    <x v="2"/>
    <s v="XL"/>
    <s v="Red"/>
    <n v="4"/>
    <x v="2"/>
    <s v="Wholesale"/>
    <s v="Bank Transfer"/>
  </r>
  <r>
    <s v="ORD-202401398"/>
    <x v="953"/>
    <n v="2465"/>
    <s v="16/05/1976"/>
    <x v="1"/>
    <x v="0"/>
    <n v="4382.25"/>
    <n v="2073.19"/>
    <s v="Seattle"/>
    <x v="2"/>
    <s v="XL"/>
    <s v="Green"/>
    <n v="2"/>
    <x v="1"/>
    <s v="Retail"/>
    <s v="Cash"/>
  </r>
  <r>
    <s v="ORD-202401399"/>
    <x v="466"/>
    <n v="5227"/>
    <s v="12/06/1993"/>
    <x v="0"/>
    <x v="4"/>
    <n v="27654.85"/>
    <n v="13616.59"/>
    <s v="San Francisco"/>
    <x v="2"/>
    <s v="S"/>
    <s v="Yellow"/>
    <n v="5"/>
    <x v="2"/>
    <s v="Retail"/>
    <s v="Bank Transfer"/>
  </r>
  <r>
    <s v="ORD-202401400"/>
    <x v="954"/>
    <n v="2755"/>
    <s v="10/07/1983"/>
    <x v="1"/>
    <x v="1"/>
    <n v="47472.63"/>
    <n v="29048.400000000001"/>
    <s v="Miami"/>
    <x v="0"/>
    <s v="S"/>
    <s v="Green"/>
    <n v="2"/>
    <x v="1"/>
    <s v="Retail"/>
    <s v="Cash"/>
  </r>
  <r>
    <s v="ORD-202401401"/>
    <x v="246"/>
    <n v="5764"/>
    <s v="31/05/1987"/>
    <x v="1"/>
    <x v="2"/>
    <n v="45789.3"/>
    <n v="22849.48"/>
    <s v="Seattle"/>
    <x v="2"/>
    <s v="L"/>
    <s v="Blue"/>
    <n v="3"/>
    <x v="0"/>
    <s v="Retail"/>
    <s v="Bank Transfer"/>
  </r>
  <r>
    <s v="ORD-202401402"/>
    <x v="955"/>
    <n v="5252"/>
    <s v="13/11/1988"/>
    <x v="0"/>
    <x v="3"/>
    <n v="10358.76"/>
    <n v="6360.82"/>
    <s v="Los Angeles"/>
    <x v="2"/>
    <s v="XL"/>
    <s v="Red"/>
    <n v="3"/>
    <x v="0"/>
    <s v="Retail"/>
    <s v="Bank Transfer"/>
  </r>
  <r>
    <s v="ORD-202401403"/>
    <x v="133"/>
    <n v="6398"/>
    <s v="07/02/1992"/>
    <x v="0"/>
    <x v="4"/>
    <n v="16196.87"/>
    <n v="9207.19"/>
    <s v="New York"/>
    <x v="0"/>
    <s v="XL"/>
    <s v="Yellow"/>
    <n v="1"/>
    <x v="1"/>
    <s v="Retail"/>
    <s v="Bank Transfer"/>
  </r>
  <r>
    <s v="ORD-202401404"/>
    <x v="956"/>
    <n v="3634"/>
    <s v="20/09/1990"/>
    <x v="0"/>
    <x v="4"/>
    <n v="30335.01"/>
    <n v="13765.18"/>
    <s v="Detroit"/>
    <x v="1"/>
    <s v="L"/>
    <s v="Green"/>
    <n v="4"/>
    <x v="0"/>
    <s v="Wholesale"/>
    <s v="Bank Transfer"/>
  </r>
  <r>
    <s v="ORD-202401405"/>
    <x v="957"/>
    <n v="2059"/>
    <s v="24/01/1986"/>
    <x v="1"/>
    <x v="0"/>
    <n v="5721.61"/>
    <n v="3101.91"/>
    <s v="Miami"/>
    <x v="0"/>
    <s v="S"/>
    <s v="Yellow"/>
    <n v="4"/>
    <x v="1"/>
    <s v="Retail"/>
    <s v="Bank Transfer"/>
  </r>
  <r>
    <s v="ORD-202401406"/>
    <x v="791"/>
    <n v="2002"/>
    <s v="02/08/1991"/>
    <x v="0"/>
    <x v="1"/>
    <n v="22002.14"/>
    <n v="11300.52"/>
    <s v="Miami"/>
    <x v="0"/>
    <s v="M"/>
    <s v="Yellow"/>
    <n v="1"/>
    <x v="0"/>
    <s v="Wholesale"/>
    <s v="Bank Transfer"/>
  </r>
  <r>
    <s v="ORD-202401407"/>
    <x v="958"/>
    <n v="3966"/>
    <s v="18/02/2000"/>
    <x v="1"/>
    <x v="1"/>
    <n v="11727.13"/>
    <n v="6596.8"/>
    <s v="Minneapolis"/>
    <x v="1"/>
    <s v="L"/>
    <s v="Green"/>
    <n v="4"/>
    <x v="0"/>
    <s v="Retail"/>
    <s v="Cash"/>
  </r>
  <r>
    <s v="ORD-202401408"/>
    <x v="959"/>
    <n v="7825"/>
    <s v="16/02/1990"/>
    <x v="1"/>
    <x v="1"/>
    <n v="28405.34"/>
    <n v="12840.84"/>
    <s v="Chicago"/>
    <x v="1"/>
    <s v="XL"/>
    <s v="Black"/>
    <n v="2"/>
    <x v="1"/>
    <s v="Wholesale"/>
    <s v="PayPal"/>
  </r>
  <r>
    <s v="ORD-202401409"/>
    <x v="824"/>
    <n v="7841"/>
    <s v="07/05/1991"/>
    <x v="0"/>
    <x v="4"/>
    <n v="29326.35"/>
    <n v="13932.25"/>
    <s v="San Francisco"/>
    <x v="2"/>
    <s v="XL"/>
    <s v="Black"/>
    <n v="5"/>
    <x v="2"/>
    <s v="Wholesale"/>
    <s v="Bank Transfer"/>
  </r>
  <r>
    <s v="ORD-202401410"/>
    <x v="960"/>
    <n v="4829"/>
    <s v="25/08/1987"/>
    <x v="0"/>
    <x v="4"/>
    <n v="7596.58"/>
    <n v="3926.84"/>
    <s v="Detroit"/>
    <x v="1"/>
    <s v="L"/>
    <s v="Blue"/>
    <n v="3"/>
    <x v="1"/>
    <s v="Wholesale"/>
    <s v="PayPal"/>
  </r>
  <r>
    <s v="ORD-202401411"/>
    <x v="659"/>
    <n v="2373"/>
    <s v="03/10/1988"/>
    <x v="1"/>
    <x v="0"/>
    <n v="13966.32"/>
    <n v="7540.06"/>
    <s v="Boston"/>
    <x v="0"/>
    <s v="L"/>
    <s v="Red"/>
    <n v="3"/>
    <x v="1"/>
    <s v="Wholesale"/>
    <s v="Bank Transfer"/>
  </r>
  <r>
    <s v="ORD-202401412"/>
    <x v="961"/>
    <n v="6554"/>
    <s v="02/06/1992"/>
    <x v="1"/>
    <x v="0"/>
    <n v="9926.3700000000008"/>
    <n v="5333.11"/>
    <s v="Los Angeles"/>
    <x v="2"/>
    <s v="S"/>
    <s v="Yellow"/>
    <n v="1"/>
    <x v="1"/>
    <s v="Wholesale"/>
    <s v="Bank Transfer"/>
  </r>
  <r>
    <s v="ORD-202401413"/>
    <x v="506"/>
    <n v="4379"/>
    <s v="06/06/1990"/>
    <x v="0"/>
    <x v="1"/>
    <n v="24530.17"/>
    <n v="11902.35"/>
    <s v="Los Angeles"/>
    <x v="2"/>
    <s v="M"/>
    <s v="White"/>
    <n v="1"/>
    <x v="1"/>
    <s v="Retail"/>
    <s v="Bank Transfer"/>
  </r>
  <r>
    <s v="ORD-202401414"/>
    <x v="962"/>
    <n v="2746"/>
    <s v="23/01/1992"/>
    <x v="1"/>
    <x v="3"/>
    <n v="3416.08"/>
    <n v="2069.7600000000002"/>
    <s v="Detroit"/>
    <x v="1"/>
    <s v="M"/>
    <s v="Yellow"/>
    <n v="5"/>
    <x v="1"/>
    <s v="Retail"/>
    <s v="PayPal"/>
  </r>
  <r>
    <s v="ORD-202401415"/>
    <x v="963"/>
    <n v="1128"/>
    <s v="21/01/1989"/>
    <x v="0"/>
    <x v="2"/>
    <n v="31546.76"/>
    <n v="19284.36"/>
    <s v="Seattle"/>
    <x v="2"/>
    <s v="M"/>
    <s v="Red"/>
    <n v="2"/>
    <x v="0"/>
    <s v="Wholesale"/>
    <s v="PayPal"/>
  </r>
  <r>
    <s v="ORD-202401416"/>
    <x v="917"/>
    <n v="7512"/>
    <s v="09/04/1978"/>
    <x v="1"/>
    <x v="4"/>
    <n v="32914.82"/>
    <n v="15321.4"/>
    <s v="New York"/>
    <x v="0"/>
    <s v="XL"/>
    <s v="Yellow"/>
    <n v="1"/>
    <x v="2"/>
    <s v="Retail"/>
    <s v="Cash"/>
  </r>
  <r>
    <s v="ORD-202401417"/>
    <x v="669"/>
    <n v="1176"/>
    <s v="12/05/1985"/>
    <x v="0"/>
    <x v="2"/>
    <n v="10588.73"/>
    <n v="5184.84"/>
    <s v="Chicago"/>
    <x v="1"/>
    <s v="M"/>
    <s v="White"/>
    <n v="4"/>
    <x v="1"/>
    <s v="Wholesale"/>
    <s v="Bank Transfer"/>
  </r>
  <r>
    <s v="ORD-202401418"/>
    <x v="964"/>
    <n v="8267"/>
    <s v="02/07/1982"/>
    <x v="1"/>
    <x v="3"/>
    <n v="14736.1"/>
    <n v="9330.5400000000009"/>
    <s v="New York"/>
    <x v="0"/>
    <s v="S"/>
    <s v="Yellow"/>
    <n v="2"/>
    <x v="2"/>
    <s v="Retail"/>
    <s v="Bank Transfer"/>
  </r>
  <r>
    <s v="ORD-202401419"/>
    <x v="965"/>
    <n v="6325"/>
    <s v="15/08/1997"/>
    <x v="0"/>
    <x v="2"/>
    <n v="25553.61"/>
    <n v="12618.29"/>
    <s v="Miami"/>
    <x v="0"/>
    <s v="M"/>
    <s v="Blue"/>
    <n v="4"/>
    <x v="0"/>
    <s v="Wholesale"/>
    <s v="Bank Transfer"/>
  </r>
  <r>
    <s v="ORD-202401420"/>
    <x v="811"/>
    <n v="6702"/>
    <s v="20/12/1979"/>
    <x v="0"/>
    <x v="4"/>
    <n v="26279.63"/>
    <n v="15885.53"/>
    <s v="Los Angeles"/>
    <x v="2"/>
    <s v="XL"/>
    <s v="Red"/>
    <n v="2"/>
    <x v="2"/>
    <s v="Wholesale"/>
    <s v="Bank Transfer"/>
  </r>
  <r>
    <s v="ORD-202401421"/>
    <x v="832"/>
    <n v="5976"/>
    <s v="21/10/1994"/>
    <x v="1"/>
    <x v="3"/>
    <n v="20307.23"/>
    <n v="11526.84"/>
    <s v="San Francisco"/>
    <x v="2"/>
    <s v="L"/>
    <s v="Yellow"/>
    <n v="5"/>
    <x v="1"/>
    <s v="Retail"/>
    <s v="Cash"/>
  </r>
  <r>
    <s v="ORD-202401422"/>
    <x v="534"/>
    <n v="6953"/>
    <s v="18/03/1992"/>
    <x v="1"/>
    <x v="1"/>
    <n v="92241.99"/>
    <n v="41909.230000000003"/>
    <s v="Boston"/>
    <x v="0"/>
    <s v="S"/>
    <s v="Yellow"/>
    <n v="1"/>
    <x v="0"/>
    <s v="Wholesale"/>
    <s v="PayPal"/>
  </r>
  <r>
    <s v="ORD-202401423"/>
    <x v="894"/>
    <n v="5903"/>
    <s v="30/08/1986"/>
    <x v="0"/>
    <x v="1"/>
    <n v="36489.129999999997"/>
    <n v="18459.8"/>
    <s v="Chicago"/>
    <x v="1"/>
    <s v="S"/>
    <s v="Yellow"/>
    <n v="2"/>
    <x v="1"/>
    <s v="Retail"/>
    <s v="Cash"/>
  </r>
  <r>
    <s v="ORD-202401424"/>
    <x v="713"/>
    <n v="1667"/>
    <s v="06/01/1973"/>
    <x v="0"/>
    <x v="4"/>
    <n v="38713.83"/>
    <n v="24435.15"/>
    <s v="Los Angeles"/>
    <x v="2"/>
    <s v="L"/>
    <s v="Green"/>
    <n v="1"/>
    <x v="1"/>
    <s v="Wholesale"/>
    <s v="Cash"/>
  </r>
  <r>
    <s v="ORD-202401425"/>
    <x v="929"/>
    <n v="7632"/>
    <s v="21/02/1980"/>
    <x v="1"/>
    <x v="2"/>
    <n v="28068.47"/>
    <n v="13799.31"/>
    <s v="Minneapolis"/>
    <x v="1"/>
    <s v="M"/>
    <s v="Blue"/>
    <n v="2"/>
    <x v="2"/>
    <s v="Retail"/>
    <s v="Cash"/>
  </r>
  <r>
    <s v="ORD-202401426"/>
    <x v="893"/>
    <n v="6682"/>
    <s v="13/03/1971"/>
    <x v="0"/>
    <x v="1"/>
    <n v="21357.54"/>
    <n v="13163.31"/>
    <s v="Los Angeles"/>
    <x v="2"/>
    <s v="L"/>
    <s v="Green"/>
    <n v="1"/>
    <x v="1"/>
    <s v="Retail"/>
    <s v="Bank Transfer"/>
  </r>
  <r>
    <s v="ORD-202401427"/>
    <x v="966"/>
    <n v="3193"/>
    <s v="19/12/1996"/>
    <x v="0"/>
    <x v="2"/>
    <n v="13613.56"/>
    <n v="6786.98"/>
    <s v="Boston"/>
    <x v="0"/>
    <s v="XL"/>
    <s v="White"/>
    <n v="2"/>
    <x v="1"/>
    <s v="Retail"/>
    <s v="PayPal"/>
  </r>
  <r>
    <s v="ORD-202401428"/>
    <x v="477"/>
    <n v="5394"/>
    <s v="14/09/1996"/>
    <x v="0"/>
    <x v="4"/>
    <n v="26059.7"/>
    <n v="16426.400000000001"/>
    <s v="Los Angeles"/>
    <x v="2"/>
    <s v="L"/>
    <s v="Yellow"/>
    <n v="1"/>
    <x v="0"/>
    <s v="Retail"/>
    <s v="Bank Transfer"/>
  </r>
  <r>
    <s v="ORD-202401429"/>
    <x v="906"/>
    <n v="7939"/>
    <s v="30/09/1975"/>
    <x v="1"/>
    <x v="4"/>
    <n v="30621.29"/>
    <n v="14705.23"/>
    <s v="Los Angeles"/>
    <x v="2"/>
    <s v="XL"/>
    <s v="Green"/>
    <n v="4"/>
    <x v="1"/>
    <s v="Wholesale"/>
    <s v="PayPal"/>
  </r>
  <r>
    <s v="ORD-202401430"/>
    <x v="967"/>
    <n v="1073"/>
    <s v="10/03/1971"/>
    <x v="0"/>
    <x v="1"/>
    <n v="72202.399999999994"/>
    <n v="45189.45"/>
    <s v="Seattle"/>
    <x v="2"/>
    <s v="L"/>
    <s v="Green"/>
    <n v="2"/>
    <x v="1"/>
    <s v="Retail"/>
    <s v="PayPal"/>
  </r>
  <r>
    <s v="ORD-202401431"/>
    <x v="968"/>
    <n v="6206"/>
    <s v="12/06/1970"/>
    <x v="0"/>
    <x v="0"/>
    <n v="11142.2"/>
    <n v="6618.01"/>
    <s v="San Francisco"/>
    <x v="2"/>
    <s v="M"/>
    <s v="Red"/>
    <n v="5"/>
    <x v="0"/>
    <s v="Retail"/>
    <s v="PayPal"/>
  </r>
  <r>
    <s v="ORD-202401432"/>
    <x v="666"/>
    <n v="3288"/>
    <s v="05/09/1990"/>
    <x v="1"/>
    <x v="3"/>
    <n v="7181.8"/>
    <n v="4630.57"/>
    <s v="Detroit"/>
    <x v="1"/>
    <s v="L"/>
    <s v="Black"/>
    <n v="3"/>
    <x v="2"/>
    <s v="Retail"/>
    <s v="Cash"/>
  </r>
  <r>
    <s v="ORD-202401433"/>
    <x v="969"/>
    <n v="9842"/>
    <s v="31/05/1984"/>
    <x v="0"/>
    <x v="0"/>
    <n v="12065.16"/>
    <n v="7205.2"/>
    <s v="New York"/>
    <x v="0"/>
    <s v="S"/>
    <s v="Green"/>
    <n v="5"/>
    <x v="0"/>
    <s v="Retail"/>
    <s v="Bank Transfer"/>
  </r>
  <r>
    <s v="ORD-202401434"/>
    <x v="351"/>
    <n v="8045"/>
    <s v="19/08/1977"/>
    <x v="1"/>
    <x v="4"/>
    <n v="9796.4"/>
    <n v="6118.06"/>
    <s v="Boston"/>
    <x v="0"/>
    <s v="S"/>
    <s v="Blue"/>
    <n v="3"/>
    <x v="0"/>
    <s v="Retail"/>
    <s v="Bank Transfer"/>
  </r>
  <r>
    <s v="ORD-202401435"/>
    <x v="51"/>
    <n v="6886"/>
    <s v="01/08/1992"/>
    <x v="0"/>
    <x v="4"/>
    <n v="33372.769999999997"/>
    <n v="18631.919999999998"/>
    <s v="Minneapolis"/>
    <x v="1"/>
    <s v="L"/>
    <s v="Black"/>
    <n v="4"/>
    <x v="0"/>
    <s v="Retail"/>
    <s v="Bank Transfer"/>
  </r>
  <r>
    <s v="ORD-202401436"/>
    <x v="970"/>
    <n v="3757"/>
    <s v="16/08/1975"/>
    <x v="1"/>
    <x v="0"/>
    <n v="7924.58"/>
    <n v="3909.52"/>
    <s v="New York"/>
    <x v="0"/>
    <s v="L"/>
    <s v="Black"/>
    <n v="3"/>
    <x v="1"/>
    <s v="Retail"/>
    <s v="Cash"/>
  </r>
  <r>
    <s v="ORD-202401437"/>
    <x v="287"/>
    <n v="4004"/>
    <s v="03/12/1993"/>
    <x v="1"/>
    <x v="4"/>
    <n v="34985.440000000002"/>
    <n v="20387.330000000002"/>
    <s v="New York"/>
    <x v="0"/>
    <s v="XL"/>
    <s v="Blue"/>
    <n v="3"/>
    <x v="1"/>
    <s v="Retail"/>
    <s v="Cash"/>
  </r>
  <r>
    <s v="ORD-202401438"/>
    <x v="941"/>
    <n v="3662"/>
    <s v="09/08/1977"/>
    <x v="0"/>
    <x v="3"/>
    <n v="16129.59"/>
    <n v="7539.58"/>
    <s v="Miami"/>
    <x v="0"/>
    <s v="M"/>
    <s v="Yellow"/>
    <n v="1"/>
    <x v="0"/>
    <s v="Wholesale"/>
    <s v="PayPal"/>
  </r>
  <r>
    <s v="ORD-202401439"/>
    <x v="616"/>
    <n v="7529"/>
    <s v="21/05/1988"/>
    <x v="0"/>
    <x v="3"/>
    <n v="6934.14"/>
    <n v="4272.88"/>
    <s v="Los Angeles"/>
    <x v="2"/>
    <s v="L"/>
    <s v="Red"/>
    <n v="5"/>
    <x v="1"/>
    <s v="Retail"/>
    <s v="Cash"/>
  </r>
  <r>
    <s v="ORD-202401440"/>
    <x v="971"/>
    <n v="2226"/>
    <s v="26/07/1997"/>
    <x v="0"/>
    <x v="0"/>
    <n v="10643.4"/>
    <n v="4969.2"/>
    <s v="Miami"/>
    <x v="0"/>
    <s v="M"/>
    <s v="Blue"/>
    <n v="3"/>
    <x v="0"/>
    <s v="Retail"/>
    <s v="Cash"/>
  </r>
  <r>
    <s v="ORD-202401441"/>
    <x v="972"/>
    <n v="7263"/>
    <s v="20/12/1979"/>
    <x v="0"/>
    <x v="3"/>
    <n v="10066.81"/>
    <n v="5375.42"/>
    <s v="San Francisco"/>
    <x v="2"/>
    <s v="S"/>
    <s v="Yellow"/>
    <n v="2"/>
    <x v="0"/>
    <s v="Wholesale"/>
    <s v="Bank Transfer"/>
  </r>
  <r>
    <s v="ORD-202401442"/>
    <x v="973"/>
    <n v="8766"/>
    <s v="18/06/1972"/>
    <x v="1"/>
    <x v="4"/>
    <n v="55477.95"/>
    <n v="29302.59"/>
    <s v="San Francisco"/>
    <x v="2"/>
    <s v="M"/>
    <s v="Black"/>
    <n v="5"/>
    <x v="0"/>
    <s v="Retail"/>
    <s v="Cash"/>
  </r>
  <r>
    <s v="ORD-202401443"/>
    <x v="974"/>
    <n v="8285"/>
    <s v="16/01/1974"/>
    <x v="1"/>
    <x v="1"/>
    <n v="51093.11"/>
    <n v="31753.24"/>
    <s v="New York"/>
    <x v="0"/>
    <s v="S"/>
    <s v="Blue"/>
    <n v="2"/>
    <x v="0"/>
    <s v="Retail"/>
    <s v="PayPal"/>
  </r>
  <r>
    <s v="ORD-202401444"/>
    <x v="326"/>
    <n v="3248"/>
    <s v="11/06/1983"/>
    <x v="0"/>
    <x v="2"/>
    <n v="28695.69"/>
    <n v="15146.1"/>
    <s v="Detroit"/>
    <x v="1"/>
    <s v="L"/>
    <s v="Green"/>
    <n v="1"/>
    <x v="2"/>
    <s v="Retail"/>
    <s v="Cash"/>
  </r>
  <r>
    <s v="ORD-202401445"/>
    <x v="768"/>
    <n v="1518"/>
    <s v="06/11/1988"/>
    <x v="1"/>
    <x v="3"/>
    <n v="15218.14"/>
    <n v="7482.54"/>
    <s v="Boston"/>
    <x v="0"/>
    <s v="L"/>
    <s v="Yellow"/>
    <n v="3"/>
    <x v="1"/>
    <s v="Wholesale"/>
    <s v="Bank Transfer"/>
  </r>
  <r>
    <s v="ORD-202401446"/>
    <x v="123"/>
    <n v="8231"/>
    <s v="13/12/1992"/>
    <x v="0"/>
    <x v="1"/>
    <n v="79550.990000000005"/>
    <n v="49097.18"/>
    <s v="Chicago"/>
    <x v="1"/>
    <s v="XL"/>
    <s v="Yellow"/>
    <n v="5"/>
    <x v="0"/>
    <s v="Retail"/>
    <s v="PayPal"/>
  </r>
  <r>
    <s v="ORD-202401447"/>
    <x v="975"/>
    <n v="5379"/>
    <s v="17/12/1981"/>
    <x v="0"/>
    <x v="2"/>
    <n v="33010.480000000003"/>
    <n v="15965.31"/>
    <s v="Los Angeles"/>
    <x v="2"/>
    <s v="L"/>
    <s v="Green"/>
    <n v="4"/>
    <x v="0"/>
    <s v="Wholesale"/>
    <s v="PayPal"/>
  </r>
  <r>
    <s v="ORD-202401448"/>
    <x v="226"/>
    <n v="6880"/>
    <s v="04/06/1977"/>
    <x v="1"/>
    <x v="2"/>
    <n v="28030.78"/>
    <n v="14686.58"/>
    <s v="Detroit"/>
    <x v="1"/>
    <s v="M"/>
    <s v="White"/>
    <n v="2"/>
    <x v="1"/>
    <s v="Retail"/>
    <s v="Bank Transfer"/>
  </r>
  <r>
    <s v="ORD-202401449"/>
    <x v="647"/>
    <n v="2035"/>
    <s v="10/12/1981"/>
    <x v="0"/>
    <x v="4"/>
    <n v="44232.36"/>
    <n v="19932.98"/>
    <s v="New York"/>
    <x v="0"/>
    <s v="L"/>
    <s v="Blue"/>
    <n v="5"/>
    <x v="2"/>
    <s v="Wholesale"/>
    <s v="Bank Transfer"/>
  </r>
  <r>
    <s v="ORD-202401450"/>
    <x v="976"/>
    <n v="6263"/>
    <s v="08/07/1980"/>
    <x v="0"/>
    <x v="4"/>
    <n v="38903.480000000003"/>
    <n v="17759.45"/>
    <s v="Miami"/>
    <x v="0"/>
    <s v="M"/>
    <s v="White"/>
    <n v="5"/>
    <x v="1"/>
    <s v="Wholesale"/>
    <s v="Cash"/>
  </r>
  <r>
    <s v="ORD-202401451"/>
    <x v="904"/>
    <n v="8464"/>
    <s v="19/12/1979"/>
    <x v="1"/>
    <x v="0"/>
    <n v="11248.81"/>
    <n v="6090.19"/>
    <s v="Seattle"/>
    <x v="2"/>
    <s v="XL"/>
    <s v="Black"/>
    <n v="4"/>
    <x v="1"/>
    <s v="Wholesale"/>
    <s v="PayPal"/>
  </r>
  <r>
    <s v="ORD-202401452"/>
    <x v="977"/>
    <n v="3152"/>
    <s v="19/12/1990"/>
    <x v="1"/>
    <x v="3"/>
    <n v="8953.2999999999993"/>
    <n v="4752.6499999999996"/>
    <s v="Minneapolis"/>
    <x v="1"/>
    <s v="S"/>
    <s v="Green"/>
    <n v="3"/>
    <x v="2"/>
    <s v="Retail"/>
    <s v="Bank Transfer"/>
  </r>
  <r>
    <s v="ORD-202401453"/>
    <x v="978"/>
    <n v="8418"/>
    <s v="09/09/1976"/>
    <x v="1"/>
    <x v="1"/>
    <n v="44712.4"/>
    <n v="21613.41"/>
    <s v="Detroit"/>
    <x v="1"/>
    <s v="S"/>
    <s v="Red"/>
    <n v="5"/>
    <x v="1"/>
    <s v="Retail"/>
    <s v="Bank Transfer"/>
  </r>
  <r>
    <s v="ORD-202401454"/>
    <x v="227"/>
    <n v="7748"/>
    <s v="19/04/1986"/>
    <x v="1"/>
    <x v="2"/>
    <n v="8097.78"/>
    <n v="5100.67"/>
    <s v="Boston"/>
    <x v="0"/>
    <s v="M"/>
    <s v="Black"/>
    <n v="2"/>
    <x v="1"/>
    <s v="Wholesale"/>
    <s v="PayPal"/>
  </r>
  <r>
    <s v="ORD-202401455"/>
    <x v="322"/>
    <n v="4456"/>
    <s v="14/11/1999"/>
    <x v="0"/>
    <x v="4"/>
    <n v="43981.36"/>
    <n v="23934.68"/>
    <s v="New York"/>
    <x v="0"/>
    <s v="S"/>
    <s v="Yellow"/>
    <n v="2"/>
    <x v="1"/>
    <s v="Retail"/>
    <s v="Bank Transfer"/>
  </r>
  <r>
    <s v="ORD-202401456"/>
    <x v="979"/>
    <n v="1264"/>
    <s v="22/07/1997"/>
    <x v="1"/>
    <x v="3"/>
    <n v="7634.04"/>
    <n v="4209.51"/>
    <s v="Minneapolis"/>
    <x v="1"/>
    <s v="L"/>
    <s v="Blue"/>
    <n v="5"/>
    <x v="0"/>
    <s v="Wholesale"/>
    <s v="Cash"/>
  </r>
  <r>
    <s v="ORD-202401457"/>
    <x v="527"/>
    <n v="9438"/>
    <s v="03/08/1977"/>
    <x v="1"/>
    <x v="1"/>
    <n v="85762.65"/>
    <n v="39006.06"/>
    <s v="Los Angeles"/>
    <x v="2"/>
    <s v="L"/>
    <s v="Black"/>
    <n v="3"/>
    <x v="2"/>
    <s v="Wholesale"/>
    <s v="PayPal"/>
  </r>
  <r>
    <s v="ORD-202401458"/>
    <x v="141"/>
    <n v="5298"/>
    <s v="19/08/1972"/>
    <x v="1"/>
    <x v="4"/>
    <n v="37030.879999999997"/>
    <n v="22328.45"/>
    <s v="Los Angeles"/>
    <x v="2"/>
    <s v="XL"/>
    <s v="Black"/>
    <n v="4"/>
    <x v="1"/>
    <s v="Retail"/>
    <s v="Cash"/>
  </r>
  <r>
    <s v="ORD-202401459"/>
    <x v="121"/>
    <n v="8775"/>
    <s v="31/08/1970"/>
    <x v="0"/>
    <x v="2"/>
    <n v="24311.49"/>
    <n v="13761.36"/>
    <s v="Chicago"/>
    <x v="1"/>
    <s v="M"/>
    <s v="Yellow"/>
    <n v="5"/>
    <x v="1"/>
    <s v="Wholesale"/>
    <s v="PayPal"/>
  </r>
  <r>
    <s v="ORD-202401460"/>
    <x v="980"/>
    <n v="4343"/>
    <s v="25/06/1984"/>
    <x v="0"/>
    <x v="4"/>
    <n v="16036.36"/>
    <n v="8683.82"/>
    <s v="Minneapolis"/>
    <x v="1"/>
    <s v="S"/>
    <s v="Yellow"/>
    <n v="4"/>
    <x v="2"/>
    <s v="Retail"/>
    <s v="Bank Transfer"/>
  </r>
  <r>
    <s v="ORD-202401461"/>
    <x v="981"/>
    <n v="9774"/>
    <s v="11/07/1996"/>
    <x v="0"/>
    <x v="2"/>
    <n v="35182.54"/>
    <n v="16445.009999999998"/>
    <s v="Seattle"/>
    <x v="2"/>
    <s v="M"/>
    <s v="Green"/>
    <n v="3"/>
    <x v="0"/>
    <s v="Wholesale"/>
    <s v="PayPal"/>
  </r>
  <r>
    <s v="ORD-202401462"/>
    <x v="973"/>
    <n v="1438"/>
    <s v="03/03/1990"/>
    <x v="1"/>
    <x v="2"/>
    <n v="36930.01"/>
    <n v="17087.59"/>
    <s v="San Francisco"/>
    <x v="2"/>
    <s v="L"/>
    <s v="Yellow"/>
    <n v="4"/>
    <x v="1"/>
    <s v="Retail"/>
    <s v="PayPal"/>
  </r>
  <r>
    <s v="ORD-202401463"/>
    <x v="982"/>
    <n v="5019"/>
    <s v="19/07/1999"/>
    <x v="0"/>
    <x v="2"/>
    <n v="37516.71"/>
    <n v="22756.21"/>
    <s v="Miami"/>
    <x v="0"/>
    <s v="S"/>
    <s v="White"/>
    <n v="5"/>
    <x v="1"/>
    <s v="Retail"/>
    <s v="Cash"/>
  </r>
  <r>
    <s v="ORD-202401464"/>
    <x v="355"/>
    <n v="2866"/>
    <s v="28/05/2000"/>
    <x v="1"/>
    <x v="3"/>
    <n v="16245.42"/>
    <n v="9024.99"/>
    <s v="San Francisco"/>
    <x v="2"/>
    <s v="S"/>
    <s v="Red"/>
    <n v="4"/>
    <x v="0"/>
    <s v="Retail"/>
    <s v="PayPal"/>
  </r>
  <r>
    <s v="ORD-202401465"/>
    <x v="290"/>
    <n v="6383"/>
    <s v="07/03/1974"/>
    <x v="0"/>
    <x v="4"/>
    <n v="14427.55"/>
    <n v="7787.32"/>
    <s v="Detroit"/>
    <x v="1"/>
    <s v="S"/>
    <s v="Red"/>
    <n v="4"/>
    <x v="1"/>
    <s v="Retail"/>
    <s v="Cash"/>
  </r>
  <r>
    <s v="ORD-202401466"/>
    <x v="53"/>
    <n v="9407"/>
    <s v="25/05/1971"/>
    <x v="0"/>
    <x v="4"/>
    <n v="40725.769999999997"/>
    <n v="25643.02"/>
    <s v="San Francisco"/>
    <x v="2"/>
    <s v="S"/>
    <s v="White"/>
    <n v="2"/>
    <x v="1"/>
    <s v="Retail"/>
    <s v="PayPal"/>
  </r>
  <r>
    <s v="ORD-202401467"/>
    <x v="911"/>
    <n v="9627"/>
    <s v="03/06/1983"/>
    <x v="1"/>
    <x v="4"/>
    <n v="33594.22"/>
    <n v="15320.25"/>
    <s v="Detroit"/>
    <x v="1"/>
    <s v="S"/>
    <s v="White"/>
    <n v="2"/>
    <x v="0"/>
    <s v="Wholesale"/>
    <s v="Bank Transfer"/>
  </r>
  <r>
    <s v="ORD-202401468"/>
    <x v="211"/>
    <n v="2233"/>
    <s v="26/12/1973"/>
    <x v="1"/>
    <x v="0"/>
    <n v="9770.09"/>
    <n v="5223.0600000000004"/>
    <s v="Chicago"/>
    <x v="1"/>
    <s v="S"/>
    <s v="Black"/>
    <n v="5"/>
    <x v="2"/>
    <s v="Retail"/>
    <s v="Cash"/>
  </r>
  <r>
    <s v="ORD-202401469"/>
    <x v="667"/>
    <n v="9689"/>
    <s v="27/06/1971"/>
    <x v="0"/>
    <x v="2"/>
    <n v="35437.019999999997"/>
    <n v="17648.400000000001"/>
    <s v="San Francisco"/>
    <x v="2"/>
    <s v="S"/>
    <s v="White"/>
    <n v="1"/>
    <x v="0"/>
    <s v="Wholesale"/>
    <s v="Bank Transfer"/>
  </r>
  <r>
    <s v="ORD-202401470"/>
    <x v="854"/>
    <n v="4012"/>
    <s v="11/02/1987"/>
    <x v="1"/>
    <x v="2"/>
    <n v="18382.71"/>
    <n v="10191.08"/>
    <s v="San Francisco"/>
    <x v="2"/>
    <s v="XL"/>
    <s v="Red"/>
    <n v="1"/>
    <x v="1"/>
    <s v="Wholesale"/>
    <s v="Bank Transfer"/>
  </r>
  <r>
    <s v="ORD-202401471"/>
    <x v="548"/>
    <n v="7681"/>
    <s v="23/08/1979"/>
    <x v="0"/>
    <x v="4"/>
    <n v="18912.060000000001"/>
    <n v="12061.31"/>
    <s v="Detroit"/>
    <x v="1"/>
    <s v="M"/>
    <s v="Blue"/>
    <n v="4"/>
    <x v="1"/>
    <s v="Retail"/>
    <s v="PayPal"/>
  </r>
  <r>
    <s v="ORD-202401472"/>
    <x v="807"/>
    <n v="5094"/>
    <s v="21/08/1972"/>
    <x v="1"/>
    <x v="1"/>
    <n v="55667.66"/>
    <n v="30047.84"/>
    <s v="Detroit"/>
    <x v="1"/>
    <s v="M"/>
    <s v="Green"/>
    <n v="2"/>
    <x v="1"/>
    <s v="Retail"/>
    <s v="PayPal"/>
  </r>
  <r>
    <s v="ORD-202401473"/>
    <x v="617"/>
    <n v="9212"/>
    <s v="23/06/1981"/>
    <x v="0"/>
    <x v="2"/>
    <n v="41534.01"/>
    <n v="25461.62"/>
    <s v="San Francisco"/>
    <x v="2"/>
    <s v="L"/>
    <s v="Green"/>
    <n v="1"/>
    <x v="2"/>
    <s v="Wholesale"/>
    <s v="PayPal"/>
  </r>
  <r>
    <s v="ORD-202401474"/>
    <x v="983"/>
    <n v="9165"/>
    <s v="07/04/1990"/>
    <x v="0"/>
    <x v="1"/>
    <n v="50793.21"/>
    <n v="25665.25"/>
    <s v="Seattle"/>
    <x v="2"/>
    <s v="XL"/>
    <s v="White"/>
    <n v="2"/>
    <x v="2"/>
    <s v="Wholesale"/>
    <s v="Cash"/>
  </r>
  <r>
    <s v="ORD-202401475"/>
    <x v="93"/>
    <n v="7680"/>
    <s v="23/09/1993"/>
    <x v="1"/>
    <x v="2"/>
    <n v="36314.89"/>
    <n v="17281.150000000001"/>
    <s v="San Francisco"/>
    <x v="2"/>
    <s v="L"/>
    <s v="Yellow"/>
    <n v="4"/>
    <x v="2"/>
    <s v="Wholesale"/>
    <s v="PayPal"/>
  </r>
  <r>
    <s v="ORD-202401476"/>
    <x v="984"/>
    <n v="9592"/>
    <s v="17/02/1997"/>
    <x v="1"/>
    <x v="0"/>
    <n v="5789.55"/>
    <n v="3718.33"/>
    <s v="Chicago"/>
    <x v="1"/>
    <s v="M"/>
    <s v="Red"/>
    <n v="4"/>
    <x v="1"/>
    <s v="Retail"/>
    <s v="Bank Transfer"/>
  </r>
  <r>
    <s v="ORD-202401477"/>
    <x v="985"/>
    <n v="3528"/>
    <s v="29/11/1986"/>
    <x v="0"/>
    <x v="1"/>
    <n v="17671.21"/>
    <n v="10608.01"/>
    <s v="Detroit"/>
    <x v="1"/>
    <s v="XL"/>
    <s v="White"/>
    <n v="5"/>
    <x v="0"/>
    <s v="Wholesale"/>
    <s v="Bank Transfer"/>
  </r>
  <r>
    <s v="ORD-202401478"/>
    <x v="98"/>
    <n v="5047"/>
    <s v="13/06/1975"/>
    <x v="1"/>
    <x v="3"/>
    <n v="9064.9"/>
    <n v="4167.78"/>
    <s v="Miami"/>
    <x v="0"/>
    <s v="L"/>
    <s v="Yellow"/>
    <n v="2"/>
    <x v="1"/>
    <s v="Retail"/>
    <s v="PayPal"/>
  </r>
  <r>
    <s v="ORD-202401479"/>
    <x v="813"/>
    <n v="1480"/>
    <s v="11/06/1970"/>
    <x v="0"/>
    <x v="4"/>
    <n v="51477.22"/>
    <n v="26146.240000000002"/>
    <s v="Boston"/>
    <x v="0"/>
    <s v="S"/>
    <s v="Black"/>
    <n v="4"/>
    <x v="2"/>
    <s v="Retail"/>
    <s v="PayPal"/>
  </r>
  <r>
    <s v="ORD-202401480"/>
    <x v="986"/>
    <n v="4716"/>
    <s v="01/09/1999"/>
    <x v="0"/>
    <x v="3"/>
    <n v="13383.94"/>
    <n v="7979.74"/>
    <s v="New York"/>
    <x v="0"/>
    <s v="S"/>
    <s v="Blue"/>
    <n v="3"/>
    <x v="1"/>
    <s v="Retail"/>
    <s v="PayPal"/>
  </r>
  <r>
    <s v="ORD-202401481"/>
    <x v="94"/>
    <n v="1543"/>
    <s v="10/12/1975"/>
    <x v="1"/>
    <x v="3"/>
    <n v="13194.18"/>
    <n v="8135.06"/>
    <s v="New York"/>
    <x v="0"/>
    <s v="XL"/>
    <s v="Green"/>
    <n v="2"/>
    <x v="0"/>
    <s v="Wholesale"/>
    <s v="PayPal"/>
  </r>
  <r>
    <s v="ORD-202401482"/>
    <x v="466"/>
    <n v="1911"/>
    <s v="15/10/1976"/>
    <x v="0"/>
    <x v="2"/>
    <n v="22059.85"/>
    <n v="13596.15"/>
    <s v="Los Angeles"/>
    <x v="2"/>
    <s v="S"/>
    <s v="Yellow"/>
    <n v="4"/>
    <x v="2"/>
    <s v="Retail"/>
    <s v="Cash"/>
  </r>
  <r>
    <s v="ORD-202401483"/>
    <x v="987"/>
    <n v="9932"/>
    <s v="01/07/1995"/>
    <x v="0"/>
    <x v="1"/>
    <n v="68286.490000000005"/>
    <n v="42437.41"/>
    <s v="Miami"/>
    <x v="0"/>
    <s v="XL"/>
    <s v="Yellow"/>
    <n v="2"/>
    <x v="2"/>
    <s v="Retail"/>
    <s v="PayPal"/>
  </r>
  <r>
    <s v="ORD-202401484"/>
    <x v="988"/>
    <n v="2646"/>
    <s v="07/05/1988"/>
    <x v="1"/>
    <x v="3"/>
    <n v="11578.06"/>
    <n v="7475.19"/>
    <s v="Seattle"/>
    <x v="2"/>
    <s v="M"/>
    <s v="Black"/>
    <n v="3"/>
    <x v="2"/>
    <s v="Retail"/>
    <s v="Cash"/>
  </r>
  <r>
    <s v="ORD-202401485"/>
    <x v="989"/>
    <n v="4695"/>
    <s v="06/04/1984"/>
    <x v="0"/>
    <x v="1"/>
    <n v="50945.04"/>
    <n v="27838.02"/>
    <s v="Miami"/>
    <x v="0"/>
    <s v="L"/>
    <s v="White"/>
    <n v="1"/>
    <x v="1"/>
    <s v="Retail"/>
    <s v="Bank Transfer"/>
  </r>
  <r>
    <s v="ORD-202401486"/>
    <x v="748"/>
    <n v="4698"/>
    <s v="14/10/1972"/>
    <x v="1"/>
    <x v="4"/>
    <n v="16781.939999999999"/>
    <n v="9483.81"/>
    <s v="Los Angeles"/>
    <x v="2"/>
    <s v="M"/>
    <s v="Red"/>
    <n v="2"/>
    <x v="0"/>
    <s v="Wholesale"/>
    <s v="PayPal"/>
  </r>
  <r>
    <s v="ORD-202401487"/>
    <x v="990"/>
    <n v="4168"/>
    <s v="22/09/1991"/>
    <x v="0"/>
    <x v="0"/>
    <n v="8766.9"/>
    <n v="4278.03"/>
    <s v="Detroit"/>
    <x v="1"/>
    <s v="M"/>
    <s v="Green"/>
    <n v="3"/>
    <x v="1"/>
    <s v="Retail"/>
    <s v="PayPal"/>
  </r>
  <r>
    <s v="ORD-202401488"/>
    <x v="927"/>
    <n v="3108"/>
    <s v="29/08/1988"/>
    <x v="0"/>
    <x v="1"/>
    <n v="26257.919999999998"/>
    <n v="12161.03"/>
    <s v="Miami"/>
    <x v="0"/>
    <s v="S"/>
    <s v="Black"/>
    <n v="4"/>
    <x v="1"/>
    <s v="Retail"/>
    <s v="PayPal"/>
  </r>
  <r>
    <s v="ORD-202401489"/>
    <x v="991"/>
    <n v="6853"/>
    <s v="01/01/1995"/>
    <x v="0"/>
    <x v="0"/>
    <n v="15762.24"/>
    <n v="7846.1"/>
    <s v="San Francisco"/>
    <x v="2"/>
    <s v="M"/>
    <s v="Yellow"/>
    <n v="5"/>
    <x v="1"/>
    <s v="Retail"/>
    <s v="Bank Transfer"/>
  </r>
  <r>
    <s v="ORD-202401490"/>
    <x v="992"/>
    <n v="9337"/>
    <s v="18/11/1985"/>
    <x v="0"/>
    <x v="4"/>
    <n v="31109.38"/>
    <n v="17387.71"/>
    <s v="San Francisco"/>
    <x v="2"/>
    <s v="S"/>
    <s v="Black"/>
    <n v="1"/>
    <x v="1"/>
    <s v="Wholesale"/>
    <s v="Bank Transfer"/>
  </r>
  <r>
    <s v="ORD-202401491"/>
    <x v="993"/>
    <n v="2916"/>
    <s v="23/11/1999"/>
    <x v="1"/>
    <x v="2"/>
    <n v="10256.879999999999"/>
    <n v="5624.66"/>
    <s v="Seattle"/>
    <x v="2"/>
    <s v="XL"/>
    <s v="Red"/>
    <n v="1"/>
    <x v="1"/>
    <s v="Retail"/>
    <s v="Cash"/>
  </r>
  <r>
    <s v="ORD-202401492"/>
    <x v="994"/>
    <n v="5073"/>
    <s v="29/10/1970"/>
    <x v="0"/>
    <x v="3"/>
    <n v="4018.49"/>
    <n v="2454.71"/>
    <s v="Miami"/>
    <x v="0"/>
    <s v="S"/>
    <s v="Black"/>
    <n v="2"/>
    <x v="0"/>
    <s v="Retail"/>
    <s v="Cash"/>
  </r>
  <r>
    <s v="ORD-202401493"/>
    <x v="995"/>
    <n v="7542"/>
    <s v="27/05/1994"/>
    <x v="1"/>
    <x v="0"/>
    <n v="10719.32"/>
    <n v="6310.19"/>
    <s v="Boston"/>
    <x v="0"/>
    <s v="S"/>
    <s v="Black"/>
    <n v="4"/>
    <x v="0"/>
    <s v="Retail"/>
    <s v="Bank Transfer"/>
  </r>
  <r>
    <s v="ORD-202401494"/>
    <x v="996"/>
    <n v="8165"/>
    <s v="03/09/1982"/>
    <x v="0"/>
    <x v="0"/>
    <n v="14463.72"/>
    <n v="8598.32"/>
    <s v="Seattle"/>
    <x v="2"/>
    <s v="L"/>
    <s v="Black"/>
    <n v="4"/>
    <x v="1"/>
    <s v="Retail"/>
    <s v="Cash"/>
  </r>
  <r>
    <s v="ORD-202401495"/>
    <x v="830"/>
    <n v="1875"/>
    <s v="02/10/1992"/>
    <x v="1"/>
    <x v="2"/>
    <n v="28854.51"/>
    <n v="15902.23"/>
    <s v="Miami"/>
    <x v="0"/>
    <s v="XL"/>
    <s v="Red"/>
    <n v="5"/>
    <x v="1"/>
    <s v="Wholesale"/>
    <s v="PayPal"/>
  </r>
  <r>
    <s v="ORD-202401496"/>
    <x v="997"/>
    <n v="5622"/>
    <s v="23/03/1998"/>
    <x v="0"/>
    <x v="1"/>
    <n v="24504.43"/>
    <n v="12005.66"/>
    <s v="Seattle"/>
    <x v="2"/>
    <s v="M"/>
    <s v="White"/>
    <n v="4"/>
    <x v="1"/>
    <s v="Retail"/>
    <s v="Bank Transfer"/>
  </r>
  <r>
    <s v="ORD-202401497"/>
    <x v="998"/>
    <n v="4055"/>
    <s v="23/10/1980"/>
    <x v="0"/>
    <x v="4"/>
    <n v="10304.74"/>
    <n v="5989.52"/>
    <s v="Boston"/>
    <x v="0"/>
    <s v="S"/>
    <s v="Green"/>
    <n v="4"/>
    <x v="0"/>
    <s v="Wholesale"/>
    <s v="Cash"/>
  </r>
  <r>
    <s v="ORD-202401498"/>
    <x v="225"/>
    <n v="8799"/>
    <s v="25/04/1970"/>
    <x v="1"/>
    <x v="2"/>
    <n v="57622.66"/>
    <n v="30117.73"/>
    <s v="San Francisco"/>
    <x v="2"/>
    <s v="L"/>
    <s v="Green"/>
    <n v="4"/>
    <x v="0"/>
    <s v="Wholesale"/>
    <s v="Cash"/>
  </r>
  <r>
    <s v="ORD-202401499"/>
    <x v="4"/>
    <n v="2309"/>
    <s v="28/10/1978"/>
    <x v="1"/>
    <x v="3"/>
    <n v="11141.19"/>
    <n v="5658.11"/>
    <s v="Detroit"/>
    <x v="1"/>
    <s v="S"/>
    <s v="Yellow"/>
    <n v="5"/>
    <x v="1"/>
    <s v="Retail"/>
    <s v="Bank Transfer"/>
  </r>
  <r>
    <s v="ORD-202401500"/>
    <x v="999"/>
    <n v="3945"/>
    <s v="11/04/1988"/>
    <x v="0"/>
    <x v="3"/>
    <n v="9875.94"/>
    <n v="5943.23"/>
    <s v="San Francisco"/>
    <x v="2"/>
    <s v="XL"/>
    <s v="Red"/>
    <n v="3"/>
    <x v="1"/>
    <s v="Retail"/>
    <s v="PayPal"/>
  </r>
  <r>
    <s v="ORD-202401501"/>
    <x v="924"/>
    <n v="8346"/>
    <s v="23/10/1991"/>
    <x v="0"/>
    <x v="1"/>
    <n v="24996.58"/>
    <n v="13189.5"/>
    <s v="Seattle"/>
    <x v="2"/>
    <s v="XL"/>
    <s v="Red"/>
    <n v="3"/>
    <x v="2"/>
    <s v="Retail"/>
    <s v="Cash"/>
  </r>
  <r>
    <s v="ORD-202401502"/>
    <x v="1000"/>
    <n v="3117"/>
    <s v="23/12/1971"/>
    <x v="0"/>
    <x v="2"/>
    <n v="42525.48"/>
    <n v="22784.6"/>
    <s v="San Francisco"/>
    <x v="2"/>
    <s v="S"/>
    <s v="Yellow"/>
    <n v="5"/>
    <x v="0"/>
    <s v="Retail"/>
    <s v="Cash"/>
  </r>
  <r>
    <s v="ORD-202401503"/>
    <x v="1001"/>
    <n v="1472"/>
    <s v="01/09/1998"/>
    <x v="0"/>
    <x v="4"/>
    <n v="18274.11"/>
    <n v="8308.5300000000007"/>
    <s v="Boston"/>
    <x v="0"/>
    <s v="L"/>
    <s v="Green"/>
    <n v="2"/>
    <x v="0"/>
    <s v="Wholesale"/>
    <s v="Bank Transfer"/>
  </r>
  <r>
    <s v="ORD-202401504"/>
    <x v="1002"/>
    <n v="4058"/>
    <s v="11/01/1975"/>
    <x v="1"/>
    <x v="1"/>
    <n v="17297.36"/>
    <n v="9940.0400000000009"/>
    <s v="Boston"/>
    <x v="0"/>
    <s v="XL"/>
    <s v="Red"/>
    <n v="2"/>
    <x v="2"/>
    <s v="Retail"/>
    <s v="Bank Transfer"/>
  </r>
  <r>
    <s v="ORD-202401505"/>
    <x v="343"/>
    <n v="3245"/>
    <s v="28/06/1996"/>
    <x v="0"/>
    <x v="2"/>
    <n v="16432.27"/>
    <n v="9850.0499999999993"/>
    <s v="Detroit"/>
    <x v="1"/>
    <s v="L"/>
    <s v="Black"/>
    <n v="3"/>
    <x v="2"/>
    <s v="Retail"/>
    <s v="Cash"/>
  </r>
  <r>
    <s v="ORD-202401506"/>
    <x v="1003"/>
    <n v="7378"/>
    <s v="13/09/1996"/>
    <x v="1"/>
    <x v="0"/>
    <n v="12876.61"/>
    <n v="7157.83"/>
    <s v="Los Angeles"/>
    <x v="2"/>
    <s v="L"/>
    <s v="Green"/>
    <n v="3"/>
    <x v="1"/>
    <s v="Retail"/>
    <s v="Cash"/>
  </r>
  <r>
    <s v="ORD-202401507"/>
    <x v="1004"/>
    <n v="1857"/>
    <s v="16/03/1992"/>
    <x v="1"/>
    <x v="2"/>
    <n v="25568.49"/>
    <n v="13448.44"/>
    <s v="Boston"/>
    <x v="0"/>
    <s v="M"/>
    <s v="White"/>
    <n v="1"/>
    <x v="2"/>
    <s v="Wholesale"/>
    <s v="Bank Transfer"/>
  </r>
  <r>
    <s v="ORD-202401508"/>
    <x v="104"/>
    <n v="7907"/>
    <s v="02/12/1976"/>
    <x v="1"/>
    <x v="1"/>
    <n v="13170.59"/>
    <n v="6445"/>
    <s v="New York"/>
    <x v="0"/>
    <s v="S"/>
    <s v="Green"/>
    <n v="5"/>
    <x v="1"/>
    <s v="Retail"/>
    <s v="Cash"/>
  </r>
  <r>
    <s v="ORD-202401509"/>
    <x v="51"/>
    <n v="7933"/>
    <s v="17/01/1974"/>
    <x v="1"/>
    <x v="1"/>
    <n v="81712.47"/>
    <n v="41935.39"/>
    <s v="New York"/>
    <x v="0"/>
    <s v="S"/>
    <s v="Green"/>
    <n v="5"/>
    <x v="1"/>
    <s v="Retail"/>
    <s v="Cash"/>
  </r>
  <r>
    <s v="ORD-202401510"/>
    <x v="895"/>
    <n v="8247"/>
    <s v="19/10/1983"/>
    <x v="1"/>
    <x v="4"/>
    <n v="10296.629999999999"/>
    <n v="5406.51"/>
    <s v="San Francisco"/>
    <x v="2"/>
    <s v="L"/>
    <s v="Black"/>
    <n v="3"/>
    <x v="1"/>
    <s v="Wholesale"/>
    <s v="Bank Transfer"/>
  </r>
  <r>
    <s v="ORD-202401511"/>
    <x v="958"/>
    <n v="2309"/>
    <s v="11/07/1975"/>
    <x v="1"/>
    <x v="1"/>
    <n v="43735.09"/>
    <n v="26185.02"/>
    <s v="Miami"/>
    <x v="0"/>
    <s v="L"/>
    <s v="Black"/>
    <n v="4"/>
    <x v="0"/>
    <s v="Retail"/>
    <s v="Bank Transfer"/>
  </r>
  <r>
    <s v="ORD-202401512"/>
    <x v="1005"/>
    <n v="9108"/>
    <s v="29/03/1997"/>
    <x v="1"/>
    <x v="2"/>
    <n v="25966.54"/>
    <n v="14590.94"/>
    <s v="Detroit"/>
    <x v="1"/>
    <s v="XL"/>
    <s v="Yellow"/>
    <n v="1"/>
    <x v="1"/>
    <s v="Retail"/>
    <s v="Cash"/>
  </r>
  <r>
    <s v="ORD-202401513"/>
    <x v="476"/>
    <n v="5347"/>
    <s v="26/04/1994"/>
    <x v="0"/>
    <x v="0"/>
    <n v="14911.23"/>
    <n v="9112.8799999999992"/>
    <s v="Detroit"/>
    <x v="1"/>
    <s v="S"/>
    <s v="Yellow"/>
    <n v="2"/>
    <x v="1"/>
    <s v="Wholesale"/>
    <s v="Bank Transfer"/>
  </r>
  <r>
    <s v="ORD-202401514"/>
    <x v="10"/>
    <n v="8848"/>
    <s v="30/01/1997"/>
    <x v="0"/>
    <x v="4"/>
    <n v="46358.7"/>
    <n v="22096.98"/>
    <s v="New York"/>
    <x v="0"/>
    <s v="XL"/>
    <s v="Green"/>
    <n v="3"/>
    <x v="1"/>
    <s v="Wholesale"/>
    <s v="Cash"/>
  </r>
  <r>
    <s v="ORD-202401515"/>
    <x v="865"/>
    <n v="4061"/>
    <s v="14/11/1986"/>
    <x v="1"/>
    <x v="3"/>
    <n v="6850.09"/>
    <n v="3731.1"/>
    <s v="Los Angeles"/>
    <x v="2"/>
    <s v="M"/>
    <s v="Yellow"/>
    <n v="2"/>
    <x v="1"/>
    <s v="Retail"/>
    <s v="Bank Transfer"/>
  </r>
  <r>
    <s v="ORD-202401516"/>
    <x v="1006"/>
    <n v="2538"/>
    <s v="21/10/1995"/>
    <x v="1"/>
    <x v="4"/>
    <n v="38505.879999999997"/>
    <n v="17328.669999999998"/>
    <s v="New York"/>
    <x v="0"/>
    <s v="XL"/>
    <s v="Yellow"/>
    <n v="2"/>
    <x v="1"/>
    <s v="Wholesale"/>
    <s v="PayPal"/>
  </r>
  <r>
    <s v="ORD-202401517"/>
    <x v="1007"/>
    <n v="9606"/>
    <s v="02/03/1973"/>
    <x v="0"/>
    <x v="4"/>
    <n v="49091.93"/>
    <n v="22180.65"/>
    <s v="Los Angeles"/>
    <x v="2"/>
    <s v="XL"/>
    <s v="Green"/>
    <n v="3"/>
    <x v="2"/>
    <s v="Retail"/>
    <s v="Bank Transfer"/>
  </r>
  <r>
    <s v="ORD-202401518"/>
    <x v="1008"/>
    <n v="8150"/>
    <s v="07/07/1984"/>
    <x v="0"/>
    <x v="3"/>
    <n v="3766.31"/>
    <n v="2417.52"/>
    <s v="New York"/>
    <x v="0"/>
    <s v="S"/>
    <s v="Red"/>
    <n v="1"/>
    <x v="0"/>
    <s v="Retail"/>
    <s v="Bank Transfer"/>
  </r>
  <r>
    <s v="ORD-202401519"/>
    <x v="1009"/>
    <n v="3466"/>
    <s v="20/01/1998"/>
    <x v="0"/>
    <x v="0"/>
    <n v="6786.23"/>
    <n v="3688.23"/>
    <s v="Chicago"/>
    <x v="1"/>
    <s v="M"/>
    <s v="Blue"/>
    <n v="1"/>
    <x v="1"/>
    <s v="Wholesale"/>
    <s v="PayPal"/>
  </r>
  <r>
    <s v="ORD-202401520"/>
    <x v="216"/>
    <n v="8257"/>
    <s v="09/04/1971"/>
    <x v="0"/>
    <x v="2"/>
    <n v="10381.549999999999"/>
    <n v="5422.3"/>
    <s v="Minneapolis"/>
    <x v="1"/>
    <s v="M"/>
    <s v="White"/>
    <n v="1"/>
    <x v="1"/>
    <s v="Retail"/>
    <s v="PayPal"/>
  </r>
  <r>
    <s v="ORD-202401521"/>
    <x v="1010"/>
    <n v="8748"/>
    <s v="21/09/1998"/>
    <x v="1"/>
    <x v="4"/>
    <n v="34933.21"/>
    <n v="16644.11"/>
    <s v="Miami"/>
    <x v="0"/>
    <s v="XL"/>
    <s v="Green"/>
    <n v="1"/>
    <x v="0"/>
    <s v="Wholesale"/>
    <s v="Bank Transfer"/>
  </r>
  <r>
    <s v="ORD-202401522"/>
    <x v="653"/>
    <n v="7082"/>
    <s v="06/03/1976"/>
    <x v="0"/>
    <x v="1"/>
    <n v="73455.59"/>
    <n v="39367.79"/>
    <s v="Miami"/>
    <x v="0"/>
    <s v="M"/>
    <s v="Red"/>
    <n v="1"/>
    <x v="1"/>
    <s v="Retail"/>
    <s v="PayPal"/>
  </r>
  <r>
    <s v="ORD-202401523"/>
    <x v="813"/>
    <n v="7744"/>
    <s v="08/10/1981"/>
    <x v="0"/>
    <x v="0"/>
    <n v="9499.3799999999992"/>
    <n v="5125.5200000000004"/>
    <s v="Miami"/>
    <x v="0"/>
    <s v="L"/>
    <s v="Yellow"/>
    <n v="4"/>
    <x v="0"/>
    <s v="Retail"/>
    <s v="PayPal"/>
  </r>
  <r>
    <s v="ORD-202401524"/>
    <x v="950"/>
    <n v="9874"/>
    <s v="06/10/1995"/>
    <x v="1"/>
    <x v="0"/>
    <n v="13550.43"/>
    <n v="7718.75"/>
    <s v="Detroit"/>
    <x v="1"/>
    <s v="S"/>
    <s v="Green"/>
    <n v="5"/>
    <x v="2"/>
    <s v="Retail"/>
    <s v="Cash"/>
  </r>
  <r>
    <s v="ORD-202401525"/>
    <x v="58"/>
    <n v="4400"/>
    <s v="27/08/1982"/>
    <x v="0"/>
    <x v="3"/>
    <n v="15992.91"/>
    <n v="9675.9599999999991"/>
    <s v="Boston"/>
    <x v="0"/>
    <s v="XL"/>
    <s v="Green"/>
    <n v="2"/>
    <x v="1"/>
    <s v="Wholesale"/>
    <s v="PayPal"/>
  </r>
  <r>
    <s v="ORD-202401526"/>
    <x v="1003"/>
    <n v="9743"/>
    <s v="10/04/1996"/>
    <x v="0"/>
    <x v="4"/>
    <n v="33088.51"/>
    <n v="20913.46"/>
    <s v="San Francisco"/>
    <x v="2"/>
    <s v="L"/>
    <s v="Yellow"/>
    <n v="3"/>
    <x v="0"/>
    <s v="Retail"/>
    <s v="Bank Transfer"/>
  </r>
  <r>
    <s v="ORD-202401527"/>
    <x v="1011"/>
    <n v="3252"/>
    <s v="30/04/1977"/>
    <x v="0"/>
    <x v="4"/>
    <n v="52736.639999999999"/>
    <n v="33985.269999999997"/>
    <s v="Seattle"/>
    <x v="2"/>
    <s v="L"/>
    <s v="White"/>
    <n v="3"/>
    <x v="1"/>
    <s v="Wholesale"/>
    <s v="PayPal"/>
  </r>
  <r>
    <s v="ORD-202401528"/>
    <x v="33"/>
    <n v="2052"/>
    <s v="21/01/1992"/>
    <x v="0"/>
    <x v="0"/>
    <n v="25020.61"/>
    <n v="11903.64"/>
    <s v="San Francisco"/>
    <x v="2"/>
    <s v="XL"/>
    <s v="Yellow"/>
    <n v="5"/>
    <x v="0"/>
    <s v="Retail"/>
    <s v="PayPal"/>
  </r>
  <r>
    <s v="ORD-202401529"/>
    <x v="1012"/>
    <n v="4275"/>
    <s v="16/06/1973"/>
    <x v="1"/>
    <x v="4"/>
    <n v="33689"/>
    <n v="17653.560000000001"/>
    <s v="Miami"/>
    <x v="0"/>
    <s v="L"/>
    <s v="White"/>
    <n v="5"/>
    <x v="0"/>
    <s v="Wholesale"/>
    <s v="Bank Transfer"/>
  </r>
  <r>
    <s v="ORD-202401530"/>
    <x v="1013"/>
    <n v="5412"/>
    <s v="20/12/1997"/>
    <x v="1"/>
    <x v="2"/>
    <n v="16034.79"/>
    <n v="9390.84"/>
    <s v="Seattle"/>
    <x v="2"/>
    <s v="M"/>
    <s v="Red"/>
    <n v="5"/>
    <x v="2"/>
    <s v="Retail"/>
    <s v="Cash"/>
  </r>
  <r>
    <s v="ORD-202401531"/>
    <x v="83"/>
    <n v="7835"/>
    <s v="24/04/1976"/>
    <x v="0"/>
    <x v="4"/>
    <n v="30656.799999999999"/>
    <n v="14607.4"/>
    <s v="Los Angeles"/>
    <x v="2"/>
    <s v="S"/>
    <s v="White"/>
    <n v="3"/>
    <x v="1"/>
    <s v="Retail"/>
    <s v="Bank Transfer"/>
  </r>
  <r>
    <s v="ORD-202401532"/>
    <x v="486"/>
    <n v="7530"/>
    <s v="13/06/1993"/>
    <x v="1"/>
    <x v="3"/>
    <n v="6597.23"/>
    <n v="3969.75"/>
    <s v="Miami"/>
    <x v="0"/>
    <s v="XL"/>
    <s v="Green"/>
    <n v="1"/>
    <x v="2"/>
    <s v="Retail"/>
    <s v="Bank Transfer"/>
  </r>
  <r>
    <s v="ORD-202401533"/>
    <x v="341"/>
    <n v="9536"/>
    <s v="21/02/1985"/>
    <x v="1"/>
    <x v="4"/>
    <n v="45491.03"/>
    <n v="28257.54"/>
    <s v="Los Angeles"/>
    <x v="2"/>
    <s v="L"/>
    <s v="Black"/>
    <n v="1"/>
    <x v="1"/>
    <s v="Retail"/>
    <s v="Bank Transfer"/>
  </r>
  <r>
    <s v="ORD-202401534"/>
    <x v="319"/>
    <n v="2125"/>
    <s v="31/08/1981"/>
    <x v="1"/>
    <x v="4"/>
    <n v="63778.91"/>
    <n v="28763.5"/>
    <s v="Los Angeles"/>
    <x v="2"/>
    <s v="M"/>
    <s v="Blue"/>
    <n v="5"/>
    <x v="1"/>
    <s v="Retail"/>
    <s v="Bank Transfer"/>
  </r>
  <r>
    <s v="ORD-202401535"/>
    <x v="1014"/>
    <n v="8415"/>
    <s v="06/11/1972"/>
    <x v="0"/>
    <x v="3"/>
    <n v="21718.720000000001"/>
    <n v="11546.58"/>
    <s v="Los Angeles"/>
    <x v="2"/>
    <s v="S"/>
    <s v="Yellow"/>
    <n v="3"/>
    <x v="2"/>
    <s v="Retail"/>
    <s v="Cash"/>
  </r>
  <r>
    <s v="ORD-202401536"/>
    <x v="1015"/>
    <n v="1794"/>
    <s v="05/12/1984"/>
    <x v="0"/>
    <x v="4"/>
    <n v="6843.51"/>
    <n v="3912.73"/>
    <s v="Miami"/>
    <x v="0"/>
    <s v="L"/>
    <s v="Black"/>
    <n v="1"/>
    <x v="1"/>
    <s v="Wholesale"/>
    <s v="Cash"/>
  </r>
  <r>
    <s v="ORD-202401537"/>
    <x v="265"/>
    <n v="8942"/>
    <s v="02/10/1996"/>
    <x v="1"/>
    <x v="0"/>
    <n v="6820.6"/>
    <n v="3441.31"/>
    <s v="Miami"/>
    <x v="0"/>
    <s v="M"/>
    <s v="Yellow"/>
    <n v="3"/>
    <x v="1"/>
    <s v="Retail"/>
    <s v="PayPal"/>
  </r>
  <r>
    <s v="ORD-202401538"/>
    <x v="137"/>
    <n v="6798"/>
    <s v="07/03/1979"/>
    <x v="1"/>
    <x v="2"/>
    <n v="47713.71"/>
    <n v="26167.56"/>
    <s v="Los Angeles"/>
    <x v="2"/>
    <s v="S"/>
    <s v="Yellow"/>
    <n v="3"/>
    <x v="0"/>
    <s v="Wholesale"/>
    <s v="Cash"/>
  </r>
  <r>
    <s v="ORD-202401539"/>
    <x v="398"/>
    <n v="1739"/>
    <s v="09/08/1994"/>
    <x v="0"/>
    <x v="4"/>
    <n v="32340.86"/>
    <n v="17348.91"/>
    <s v="Boston"/>
    <x v="0"/>
    <s v="M"/>
    <s v="Black"/>
    <n v="5"/>
    <x v="1"/>
    <s v="Retail"/>
    <s v="Cash"/>
  </r>
  <r>
    <s v="ORD-202401540"/>
    <x v="1016"/>
    <n v="9529"/>
    <s v="24/11/1984"/>
    <x v="1"/>
    <x v="2"/>
    <n v="23414.54"/>
    <n v="14615.38"/>
    <s v="Chicago"/>
    <x v="1"/>
    <s v="XL"/>
    <s v="Blue"/>
    <n v="3"/>
    <x v="1"/>
    <s v="Retail"/>
    <s v="PayPal"/>
  </r>
  <r>
    <s v="ORD-202401541"/>
    <x v="1017"/>
    <n v="6940"/>
    <s v="25/08/1990"/>
    <x v="1"/>
    <x v="1"/>
    <n v="81763.73"/>
    <n v="38652.639999999999"/>
    <s v="Boston"/>
    <x v="0"/>
    <s v="L"/>
    <s v="Red"/>
    <n v="5"/>
    <x v="2"/>
    <s v="Wholesale"/>
    <s v="PayPal"/>
  </r>
  <r>
    <s v="ORD-202401542"/>
    <x v="1018"/>
    <n v="6242"/>
    <s v="14/03/1997"/>
    <x v="1"/>
    <x v="4"/>
    <n v="38828.9"/>
    <n v="23732.080000000002"/>
    <s v="New York"/>
    <x v="0"/>
    <s v="L"/>
    <s v="Red"/>
    <n v="5"/>
    <x v="1"/>
    <s v="Retail"/>
    <s v="Cash"/>
  </r>
  <r>
    <s v="ORD-202401543"/>
    <x v="482"/>
    <n v="5586"/>
    <s v="25/11/1986"/>
    <x v="0"/>
    <x v="4"/>
    <n v="34489.129999999997"/>
    <n v="21304.93"/>
    <s v="San Francisco"/>
    <x v="2"/>
    <s v="L"/>
    <s v="Yellow"/>
    <n v="2"/>
    <x v="1"/>
    <s v="Wholesale"/>
    <s v="Cash"/>
  </r>
  <r>
    <s v="ORD-202401544"/>
    <x v="805"/>
    <n v="2416"/>
    <s v="25/06/1999"/>
    <x v="1"/>
    <x v="2"/>
    <n v="12556.25"/>
    <n v="7689.36"/>
    <s v="Miami"/>
    <x v="0"/>
    <s v="S"/>
    <s v="White"/>
    <n v="5"/>
    <x v="0"/>
    <s v="Retail"/>
    <s v="Cash"/>
  </r>
  <r>
    <s v="ORD-202401545"/>
    <x v="1019"/>
    <n v="9990"/>
    <s v="09/12/1997"/>
    <x v="0"/>
    <x v="3"/>
    <n v="12221.24"/>
    <n v="7767.46"/>
    <s v="Minneapolis"/>
    <x v="1"/>
    <s v="M"/>
    <s v="Blue"/>
    <n v="4"/>
    <x v="0"/>
    <s v="Retail"/>
    <s v="Bank Transfer"/>
  </r>
  <r>
    <s v="ORD-202401546"/>
    <x v="601"/>
    <n v="4735"/>
    <s v="06/09/1977"/>
    <x v="1"/>
    <x v="1"/>
    <n v="84993.65"/>
    <n v="47990.97"/>
    <s v="Seattle"/>
    <x v="2"/>
    <s v="S"/>
    <s v="Black"/>
    <n v="4"/>
    <x v="1"/>
    <s v="Retail"/>
    <s v="PayPal"/>
  </r>
  <r>
    <s v="ORD-202401547"/>
    <x v="204"/>
    <n v="8635"/>
    <s v="02/08/1982"/>
    <x v="1"/>
    <x v="1"/>
    <n v="62568.65"/>
    <n v="36956.39"/>
    <s v="Boston"/>
    <x v="0"/>
    <s v="S"/>
    <s v="Black"/>
    <n v="4"/>
    <x v="1"/>
    <s v="Retail"/>
    <s v="Cash"/>
  </r>
  <r>
    <s v="ORD-202401548"/>
    <x v="1020"/>
    <n v="1651"/>
    <s v="05/04/1994"/>
    <x v="1"/>
    <x v="3"/>
    <n v="14827.3"/>
    <n v="8044.61"/>
    <s v="New York"/>
    <x v="0"/>
    <s v="S"/>
    <s v="Green"/>
    <n v="5"/>
    <x v="1"/>
    <s v="Retail"/>
    <s v="Cash"/>
  </r>
  <r>
    <s v="ORD-202401549"/>
    <x v="1021"/>
    <n v="7399"/>
    <s v="18/02/1998"/>
    <x v="0"/>
    <x v="2"/>
    <n v="25455.72"/>
    <n v="14254.84"/>
    <s v="Miami"/>
    <x v="0"/>
    <s v="L"/>
    <s v="Yellow"/>
    <n v="5"/>
    <x v="1"/>
    <s v="Retail"/>
    <s v="Cash"/>
  </r>
  <r>
    <s v="ORD-202401550"/>
    <x v="687"/>
    <n v="7539"/>
    <s v="01/09/1980"/>
    <x v="0"/>
    <x v="0"/>
    <n v="4586.92"/>
    <n v="2922.47"/>
    <s v="Chicago"/>
    <x v="1"/>
    <s v="S"/>
    <s v="Black"/>
    <n v="3"/>
    <x v="0"/>
    <s v="Retail"/>
    <s v="PayPal"/>
  </r>
  <r>
    <s v="ORD-202401551"/>
    <x v="5"/>
    <n v="2610"/>
    <s v="12/05/1987"/>
    <x v="0"/>
    <x v="0"/>
    <n v="21147.74"/>
    <n v="9628.7900000000009"/>
    <s v="Seattle"/>
    <x v="2"/>
    <s v="XL"/>
    <s v="Red"/>
    <n v="4"/>
    <x v="1"/>
    <s v="Wholesale"/>
    <s v="PayPal"/>
  </r>
  <r>
    <s v="ORD-202401552"/>
    <x v="849"/>
    <n v="3404"/>
    <s v="31/07/1991"/>
    <x v="0"/>
    <x v="4"/>
    <n v="30831.99"/>
    <n v="17615.52"/>
    <s v="Los Angeles"/>
    <x v="2"/>
    <s v="M"/>
    <s v="Blue"/>
    <n v="3"/>
    <x v="2"/>
    <s v="Retail"/>
    <s v="Bank Transfer"/>
  </r>
  <r>
    <s v="ORD-202401553"/>
    <x v="1022"/>
    <n v="1724"/>
    <s v="08/03/1984"/>
    <x v="1"/>
    <x v="3"/>
    <n v="10794.22"/>
    <n v="5850.99"/>
    <s v="Boston"/>
    <x v="0"/>
    <s v="XL"/>
    <s v="Yellow"/>
    <n v="2"/>
    <x v="2"/>
    <s v="Retail"/>
    <s v="Bank Transfer"/>
  </r>
  <r>
    <s v="ORD-202401554"/>
    <x v="618"/>
    <n v="4572"/>
    <s v="30/08/1977"/>
    <x v="0"/>
    <x v="3"/>
    <n v="6536.31"/>
    <n v="3386.15"/>
    <s v="New York"/>
    <x v="0"/>
    <s v="S"/>
    <s v="Black"/>
    <n v="3"/>
    <x v="1"/>
    <s v="Wholesale"/>
    <s v="Bank Transfer"/>
  </r>
  <r>
    <s v="ORD-202401555"/>
    <x v="80"/>
    <n v="9463"/>
    <s v="27/12/1979"/>
    <x v="1"/>
    <x v="1"/>
    <n v="88176.91"/>
    <n v="44620.28"/>
    <s v="Los Angeles"/>
    <x v="2"/>
    <s v="S"/>
    <s v="Green"/>
    <n v="3"/>
    <x v="2"/>
    <s v="Retail"/>
    <s v="Cash"/>
  </r>
  <r>
    <s v="ORD-202401556"/>
    <x v="36"/>
    <n v="2677"/>
    <s v="22/03/1999"/>
    <x v="0"/>
    <x v="4"/>
    <n v="39974.75"/>
    <n v="25805.91"/>
    <s v="Minneapolis"/>
    <x v="1"/>
    <s v="L"/>
    <s v="Red"/>
    <n v="2"/>
    <x v="1"/>
    <s v="Wholesale"/>
    <s v="Cash"/>
  </r>
  <r>
    <s v="ORD-202401557"/>
    <x v="185"/>
    <n v="1613"/>
    <s v="08/05/1973"/>
    <x v="1"/>
    <x v="3"/>
    <n v="20218.900000000001"/>
    <n v="10919.56"/>
    <s v="San Francisco"/>
    <x v="2"/>
    <s v="XL"/>
    <s v="Yellow"/>
    <n v="1"/>
    <x v="2"/>
    <s v="Retail"/>
    <s v="PayPal"/>
  </r>
  <r>
    <s v="ORD-202401558"/>
    <x v="1023"/>
    <n v="7750"/>
    <s v="25/10/1981"/>
    <x v="1"/>
    <x v="2"/>
    <n v="19469"/>
    <n v="9903.66"/>
    <s v="Detroit"/>
    <x v="1"/>
    <s v="M"/>
    <s v="White"/>
    <n v="4"/>
    <x v="2"/>
    <s v="Wholesale"/>
    <s v="Cash"/>
  </r>
  <r>
    <s v="ORD-202401559"/>
    <x v="189"/>
    <n v="4412"/>
    <s v="12/09/1992"/>
    <x v="0"/>
    <x v="1"/>
    <n v="52329.47"/>
    <n v="33437.519999999997"/>
    <s v="Los Angeles"/>
    <x v="2"/>
    <s v="L"/>
    <s v="White"/>
    <n v="2"/>
    <x v="0"/>
    <s v="Wholesale"/>
    <s v="Cash"/>
  </r>
  <r>
    <s v="ORD-202401560"/>
    <x v="1024"/>
    <n v="1618"/>
    <s v="08/05/1979"/>
    <x v="0"/>
    <x v="4"/>
    <n v="28902.59"/>
    <n v="13519.06"/>
    <s v="New York"/>
    <x v="0"/>
    <s v="L"/>
    <s v="Black"/>
    <n v="3"/>
    <x v="0"/>
    <s v="Wholesale"/>
    <s v="Cash"/>
  </r>
  <r>
    <s v="ORD-202401561"/>
    <x v="705"/>
    <n v="6684"/>
    <s v="04/02/1973"/>
    <x v="1"/>
    <x v="4"/>
    <n v="41833.699999999997"/>
    <n v="23703.63"/>
    <s v="San Francisco"/>
    <x v="2"/>
    <s v="XL"/>
    <s v="Red"/>
    <n v="4"/>
    <x v="2"/>
    <s v="Retail"/>
    <s v="Bank Transfer"/>
  </r>
  <r>
    <s v="ORD-202401562"/>
    <x v="1025"/>
    <n v="6844"/>
    <s v="29/06/1985"/>
    <x v="1"/>
    <x v="2"/>
    <n v="18143.22"/>
    <n v="11508.53"/>
    <s v="Detroit"/>
    <x v="1"/>
    <s v="XL"/>
    <s v="Green"/>
    <n v="5"/>
    <x v="1"/>
    <s v="Retail"/>
    <s v="Cash"/>
  </r>
  <r>
    <s v="ORD-202401563"/>
    <x v="1026"/>
    <n v="7627"/>
    <s v="21/03/1974"/>
    <x v="0"/>
    <x v="3"/>
    <n v="9512.2199999999993"/>
    <n v="6074.11"/>
    <s v="Los Angeles"/>
    <x v="2"/>
    <s v="S"/>
    <s v="Blue"/>
    <n v="3"/>
    <x v="2"/>
    <s v="Wholesale"/>
    <s v="Bank Transfer"/>
  </r>
  <r>
    <s v="ORD-202401564"/>
    <x v="1027"/>
    <n v="8976"/>
    <s v="15/02/1979"/>
    <x v="1"/>
    <x v="0"/>
    <n v="7673.12"/>
    <n v="4582.3"/>
    <s v="New York"/>
    <x v="0"/>
    <s v="M"/>
    <s v="Yellow"/>
    <n v="2"/>
    <x v="0"/>
    <s v="Retail"/>
    <s v="PayPal"/>
  </r>
  <r>
    <s v="ORD-202401565"/>
    <x v="1028"/>
    <n v="6699"/>
    <s v="20/01/1989"/>
    <x v="0"/>
    <x v="0"/>
    <n v="6659.72"/>
    <n v="3857.06"/>
    <s v="Chicago"/>
    <x v="1"/>
    <s v="XL"/>
    <s v="Black"/>
    <n v="2"/>
    <x v="1"/>
    <s v="Wholesale"/>
    <s v="Bank Transfer"/>
  </r>
  <r>
    <s v="ORD-202401566"/>
    <x v="885"/>
    <n v="8135"/>
    <s v="25/07/1988"/>
    <x v="0"/>
    <x v="4"/>
    <n v="12083.01"/>
    <n v="7847.63"/>
    <s v="San Francisco"/>
    <x v="2"/>
    <s v="XL"/>
    <s v="Blue"/>
    <n v="3"/>
    <x v="1"/>
    <s v="Wholesale"/>
    <s v="Cash"/>
  </r>
  <r>
    <s v="ORD-202401567"/>
    <x v="849"/>
    <n v="9916"/>
    <s v="19/01/1982"/>
    <x v="0"/>
    <x v="4"/>
    <n v="14735.24"/>
    <n v="9544.2099999999991"/>
    <s v="Los Angeles"/>
    <x v="2"/>
    <s v="XL"/>
    <s v="White"/>
    <n v="5"/>
    <x v="1"/>
    <s v="Retail"/>
    <s v="Bank Transfer"/>
  </r>
  <r>
    <s v="ORD-202401568"/>
    <x v="1029"/>
    <n v="6364"/>
    <s v="28/03/1973"/>
    <x v="0"/>
    <x v="4"/>
    <n v="39399.49"/>
    <n v="19905.240000000002"/>
    <s v="New York"/>
    <x v="0"/>
    <s v="XL"/>
    <s v="Red"/>
    <n v="3"/>
    <x v="1"/>
    <s v="Wholesale"/>
    <s v="Cash"/>
  </r>
  <r>
    <s v="ORD-202401569"/>
    <x v="96"/>
    <n v="8115"/>
    <s v="04/03/1986"/>
    <x v="1"/>
    <x v="4"/>
    <n v="15820.99"/>
    <n v="9679.2900000000009"/>
    <s v="San Francisco"/>
    <x v="2"/>
    <s v="S"/>
    <s v="Red"/>
    <n v="5"/>
    <x v="1"/>
    <s v="Retail"/>
    <s v="Cash"/>
  </r>
  <r>
    <s v="ORD-202401570"/>
    <x v="266"/>
    <n v="7248"/>
    <s v="02/11/1998"/>
    <x v="1"/>
    <x v="1"/>
    <n v="56983.65"/>
    <n v="34280.61"/>
    <s v="Los Angeles"/>
    <x v="2"/>
    <s v="M"/>
    <s v="White"/>
    <n v="4"/>
    <x v="1"/>
    <s v="Wholesale"/>
    <s v="Cash"/>
  </r>
  <r>
    <s v="ORD-202401571"/>
    <x v="938"/>
    <n v="1040"/>
    <s v="04/07/1984"/>
    <x v="0"/>
    <x v="4"/>
    <n v="53233.79"/>
    <n v="27516.79"/>
    <s v="Los Angeles"/>
    <x v="2"/>
    <s v="S"/>
    <s v="Black"/>
    <n v="2"/>
    <x v="2"/>
    <s v="Wholesale"/>
    <s v="Bank Transfer"/>
  </r>
  <r>
    <s v="ORD-202401572"/>
    <x v="1030"/>
    <n v="3958"/>
    <s v="23/04/1976"/>
    <x v="0"/>
    <x v="2"/>
    <n v="29782.560000000001"/>
    <n v="15193.22"/>
    <s v="Boston"/>
    <x v="0"/>
    <s v="M"/>
    <s v="Blue"/>
    <n v="1"/>
    <x v="1"/>
    <s v="Retail"/>
    <s v="Bank Transfer"/>
  </r>
  <r>
    <s v="ORD-202401573"/>
    <x v="328"/>
    <n v="4243"/>
    <s v="11/01/1996"/>
    <x v="0"/>
    <x v="4"/>
    <n v="24415.8"/>
    <n v="11546.02"/>
    <s v="Boston"/>
    <x v="0"/>
    <s v="XL"/>
    <s v="Yellow"/>
    <n v="5"/>
    <x v="0"/>
    <s v="Wholesale"/>
    <s v="Cash"/>
  </r>
  <r>
    <s v="ORD-202401574"/>
    <x v="1031"/>
    <n v="4995"/>
    <s v="21/10/1982"/>
    <x v="1"/>
    <x v="4"/>
    <n v="23701.72"/>
    <n v="12729.94"/>
    <s v="Seattle"/>
    <x v="2"/>
    <s v="S"/>
    <s v="Yellow"/>
    <n v="2"/>
    <x v="1"/>
    <s v="Retail"/>
    <s v="Bank Transfer"/>
  </r>
  <r>
    <s v="ORD-202401575"/>
    <x v="1032"/>
    <n v="2405"/>
    <s v="28/11/1980"/>
    <x v="1"/>
    <x v="4"/>
    <n v="17970.849999999999"/>
    <n v="8389.9"/>
    <s v="New York"/>
    <x v="0"/>
    <s v="S"/>
    <s v="Red"/>
    <n v="3"/>
    <x v="1"/>
    <s v="Retail"/>
    <s v="Bank Transfer"/>
  </r>
  <r>
    <s v="ORD-202401576"/>
    <x v="1033"/>
    <n v="9991"/>
    <s v="25/06/1973"/>
    <x v="1"/>
    <x v="3"/>
    <n v="3344.83"/>
    <n v="1916.68"/>
    <s v="Los Angeles"/>
    <x v="2"/>
    <s v="XL"/>
    <s v="Black"/>
    <n v="5"/>
    <x v="1"/>
    <s v="Retail"/>
    <s v="Bank Transfer"/>
  </r>
  <r>
    <s v="ORD-202401577"/>
    <x v="1034"/>
    <n v="8009"/>
    <s v="28/05/1976"/>
    <x v="0"/>
    <x v="2"/>
    <n v="17324.64"/>
    <n v="10597.95"/>
    <s v="New York"/>
    <x v="0"/>
    <s v="S"/>
    <s v="Green"/>
    <n v="3"/>
    <x v="1"/>
    <s v="Wholesale"/>
    <s v="Cash"/>
  </r>
  <r>
    <s v="ORD-202401578"/>
    <x v="1035"/>
    <n v="6492"/>
    <s v="14/05/1989"/>
    <x v="1"/>
    <x v="4"/>
    <n v="37501.46"/>
    <n v="17017.16"/>
    <s v="Los Angeles"/>
    <x v="2"/>
    <s v="L"/>
    <s v="Blue"/>
    <n v="2"/>
    <x v="1"/>
    <s v="Retail"/>
    <s v="Bank Transfer"/>
  </r>
  <r>
    <s v="ORD-202401579"/>
    <x v="381"/>
    <n v="2235"/>
    <s v="18/02/1984"/>
    <x v="1"/>
    <x v="2"/>
    <n v="20184.84"/>
    <n v="11460.24"/>
    <s v="New York"/>
    <x v="0"/>
    <s v="M"/>
    <s v="Red"/>
    <n v="1"/>
    <x v="2"/>
    <s v="Retail"/>
    <s v="Cash"/>
  </r>
  <r>
    <s v="ORD-202401580"/>
    <x v="1036"/>
    <n v="1612"/>
    <s v="19/06/1982"/>
    <x v="0"/>
    <x v="1"/>
    <n v="86045.78"/>
    <n v="42714.97"/>
    <s v="Seattle"/>
    <x v="2"/>
    <s v="M"/>
    <s v="Blue"/>
    <n v="2"/>
    <x v="1"/>
    <s v="Retail"/>
    <s v="PayPal"/>
  </r>
  <r>
    <s v="ORD-202401581"/>
    <x v="38"/>
    <n v="4403"/>
    <s v="09/02/1975"/>
    <x v="1"/>
    <x v="0"/>
    <n v="16868.53"/>
    <n v="8296.2000000000007"/>
    <s v="Seattle"/>
    <x v="2"/>
    <s v="S"/>
    <s v="Blue"/>
    <n v="2"/>
    <x v="0"/>
    <s v="Retail"/>
    <s v="PayPal"/>
  </r>
  <r>
    <s v="ORD-202401582"/>
    <x v="1037"/>
    <n v="6497"/>
    <s v="27/05/1981"/>
    <x v="1"/>
    <x v="0"/>
    <n v="13616.48"/>
    <n v="7034.97"/>
    <s v="Los Angeles"/>
    <x v="2"/>
    <s v="M"/>
    <s v="Green"/>
    <n v="2"/>
    <x v="0"/>
    <s v="Retail"/>
    <s v="Bank Transfer"/>
  </r>
  <r>
    <s v="ORD-202401583"/>
    <x v="1038"/>
    <n v="8045"/>
    <s v="19/12/1992"/>
    <x v="1"/>
    <x v="0"/>
    <n v="5357.75"/>
    <n v="2597.3000000000002"/>
    <s v="Miami"/>
    <x v="0"/>
    <s v="S"/>
    <s v="Black"/>
    <n v="5"/>
    <x v="2"/>
    <s v="Retail"/>
    <s v="Bank Transfer"/>
  </r>
  <r>
    <s v="ORD-202401584"/>
    <x v="1022"/>
    <n v="6906"/>
    <s v="31/05/1982"/>
    <x v="0"/>
    <x v="0"/>
    <n v="15645.68"/>
    <n v="9638.92"/>
    <s v="Miami"/>
    <x v="0"/>
    <s v="L"/>
    <s v="White"/>
    <n v="1"/>
    <x v="1"/>
    <s v="Retail"/>
    <s v="Bank Transfer"/>
  </r>
  <r>
    <s v="ORD-202401585"/>
    <x v="1039"/>
    <n v="8994"/>
    <s v="31/12/1981"/>
    <x v="1"/>
    <x v="2"/>
    <n v="29020.92"/>
    <n v="15205.41"/>
    <s v="Minneapolis"/>
    <x v="1"/>
    <s v="M"/>
    <s v="Black"/>
    <n v="5"/>
    <x v="1"/>
    <s v="Wholesale"/>
    <s v="Bank Transfer"/>
  </r>
  <r>
    <s v="ORD-202401586"/>
    <x v="264"/>
    <n v="7624"/>
    <s v="07/03/1981"/>
    <x v="1"/>
    <x v="1"/>
    <n v="35438.31"/>
    <n v="22171.32"/>
    <s v="San Francisco"/>
    <x v="2"/>
    <s v="L"/>
    <s v="White"/>
    <n v="4"/>
    <x v="0"/>
    <s v="Wholesale"/>
    <s v="Bank Transfer"/>
  </r>
  <r>
    <s v="ORD-202401587"/>
    <x v="69"/>
    <n v="6555"/>
    <s v="17/09/1975"/>
    <x v="0"/>
    <x v="0"/>
    <n v="7913.46"/>
    <n v="3881.63"/>
    <s v="Seattle"/>
    <x v="2"/>
    <s v="XL"/>
    <s v="White"/>
    <n v="5"/>
    <x v="1"/>
    <s v="Retail"/>
    <s v="Bank Transfer"/>
  </r>
  <r>
    <s v="ORD-202401588"/>
    <x v="973"/>
    <n v="9962"/>
    <s v="25/10/1978"/>
    <x v="0"/>
    <x v="1"/>
    <n v="49197.9"/>
    <n v="24229.99"/>
    <s v="Seattle"/>
    <x v="2"/>
    <s v="L"/>
    <s v="White"/>
    <n v="5"/>
    <x v="1"/>
    <s v="Wholesale"/>
    <s v="Cash"/>
  </r>
  <r>
    <s v="ORD-202401589"/>
    <x v="893"/>
    <n v="5850"/>
    <s v="07/08/1976"/>
    <x v="1"/>
    <x v="2"/>
    <n v="22506.17"/>
    <n v="11191.71"/>
    <s v="New York"/>
    <x v="0"/>
    <s v="S"/>
    <s v="White"/>
    <n v="1"/>
    <x v="1"/>
    <s v="Retail"/>
    <s v="PayPal"/>
  </r>
  <r>
    <s v="ORD-202401590"/>
    <x v="1040"/>
    <n v="2448"/>
    <s v="20/09/1990"/>
    <x v="0"/>
    <x v="3"/>
    <n v="7673.54"/>
    <n v="4216"/>
    <s v="San Francisco"/>
    <x v="2"/>
    <s v="M"/>
    <s v="White"/>
    <n v="2"/>
    <x v="1"/>
    <s v="Retail"/>
    <s v="Cash"/>
  </r>
  <r>
    <s v="ORD-202401591"/>
    <x v="1041"/>
    <n v="8896"/>
    <s v="01/01/1989"/>
    <x v="0"/>
    <x v="3"/>
    <n v="9449.15"/>
    <n v="4516.58"/>
    <s v="New York"/>
    <x v="0"/>
    <s v="L"/>
    <s v="Yellow"/>
    <n v="2"/>
    <x v="1"/>
    <s v="Wholesale"/>
    <s v="Bank Transfer"/>
  </r>
  <r>
    <s v="ORD-202401592"/>
    <x v="1042"/>
    <n v="4013"/>
    <s v="21/10/1987"/>
    <x v="1"/>
    <x v="1"/>
    <n v="70678.12"/>
    <n v="43655.45"/>
    <s v="Los Angeles"/>
    <x v="2"/>
    <s v="M"/>
    <s v="White"/>
    <n v="3"/>
    <x v="1"/>
    <s v="Retail"/>
    <s v="Cash"/>
  </r>
  <r>
    <s v="ORD-202401593"/>
    <x v="722"/>
    <n v="5924"/>
    <s v="15/04/1998"/>
    <x v="0"/>
    <x v="4"/>
    <n v="19954.46"/>
    <n v="12254.67"/>
    <s v="Miami"/>
    <x v="0"/>
    <s v="L"/>
    <s v="Yellow"/>
    <n v="1"/>
    <x v="2"/>
    <s v="Retail"/>
    <s v="PayPal"/>
  </r>
  <r>
    <s v="ORD-202401594"/>
    <x v="787"/>
    <n v="7717"/>
    <s v="30/10/1997"/>
    <x v="1"/>
    <x v="0"/>
    <n v="24631.39"/>
    <n v="11210.11"/>
    <s v="San Francisco"/>
    <x v="2"/>
    <s v="M"/>
    <s v="Blue"/>
    <n v="3"/>
    <x v="1"/>
    <s v="Retail"/>
    <s v="Cash"/>
  </r>
  <r>
    <s v="ORD-202401595"/>
    <x v="149"/>
    <n v="2861"/>
    <s v="28/03/1971"/>
    <x v="1"/>
    <x v="4"/>
    <n v="34419.949999999997"/>
    <n v="17188.62"/>
    <s v="Chicago"/>
    <x v="1"/>
    <s v="L"/>
    <s v="Black"/>
    <n v="5"/>
    <x v="1"/>
    <s v="Wholesale"/>
    <s v="Cash"/>
  </r>
  <r>
    <s v="ORD-202401596"/>
    <x v="664"/>
    <n v="8897"/>
    <s v="22/10/1988"/>
    <x v="0"/>
    <x v="3"/>
    <n v="14751.72"/>
    <n v="7445.58"/>
    <s v="San Francisco"/>
    <x v="2"/>
    <s v="S"/>
    <s v="Green"/>
    <n v="1"/>
    <x v="2"/>
    <s v="Retail"/>
    <s v="PayPal"/>
  </r>
  <r>
    <s v="ORD-202401597"/>
    <x v="700"/>
    <n v="4547"/>
    <s v="22/02/1992"/>
    <x v="0"/>
    <x v="4"/>
    <n v="9661.32"/>
    <n v="4832.68"/>
    <s v="Seattle"/>
    <x v="2"/>
    <s v="S"/>
    <s v="Red"/>
    <n v="4"/>
    <x v="1"/>
    <s v="Retail"/>
    <s v="PayPal"/>
  </r>
  <r>
    <s v="ORD-202401598"/>
    <x v="886"/>
    <n v="3646"/>
    <s v="23/12/1983"/>
    <x v="0"/>
    <x v="0"/>
    <n v="7103.21"/>
    <n v="3994.59"/>
    <s v="Boston"/>
    <x v="0"/>
    <s v="XL"/>
    <s v="White"/>
    <n v="1"/>
    <x v="1"/>
    <s v="Retail"/>
    <s v="Cash"/>
  </r>
  <r>
    <s v="ORD-202401599"/>
    <x v="120"/>
    <n v="3365"/>
    <s v="05/02/1983"/>
    <x v="0"/>
    <x v="3"/>
    <n v="16599.86"/>
    <n v="10025.35"/>
    <s v="New York"/>
    <x v="0"/>
    <s v="L"/>
    <s v="Yellow"/>
    <n v="3"/>
    <x v="1"/>
    <s v="Retail"/>
    <s v="Cash"/>
  </r>
  <r>
    <s v="ORD-202401600"/>
    <x v="1043"/>
    <n v="2575"/>
    <s v="12/06/1991"/>
    <x v="1"/>
    <x v="2"/>
    <n v="19480.5"/>
    <n v="12382.36"/>
    <s v="Chicago"/>
    <x v="1"/>
    <s v="S"/>
    <s v="Blue"/>
    <n v="5"/>
    <x v="1"/>
    <s v="Retail"/>
    <s v="Bank Transfer"/>
  </r>
  <r>
    <s v="ORD-202401601"/>
    <x v="1044"/>
    <n v="3215"/>
    <s v="13/02/1979"/>
    <x v="0"/>
    <x v="3"/>
    <n v="14680.63"/>
    <n v="7514.83"/>
    <s v="Seattle"/>
    <x v="2"/>
    <s v="S"/>
    <s v="Blue"/>
    <n v="3"/>
    <x v="2"/>
    <s v="Wholesale"/>
    <s v="Cash"/>
  </r>
  <r>
    <s v="ORD-202401602"/>
    <x v="818"/>
    <n v="2953"/>
    <s v="16/02/1974"/>
    <x v="0"/>
    <x v="1"/>
    <n v="101220.16"/>
    <n v="54848.71"/>
    <s v="Seattle"/>
    <x v="2"/>
    <s v="L"/>
    <s v="Green"/>
    <n v="2"/>
    <x v="2"/>
    <s v="Wholesale"/>
    <s v="Cash"/>
  </r>
  <r>
    <s v="ORD-202401603"/>
    <x v="514"/>
    <n v="9042"/>
    <s v="13/07/1986"/>
    <x v="1"/>
    <x v="4"/>
    <n v="18898.87"/>
    <n v="10124.89"/>
    <s v="Boston"/>
    <x v="0"/>
    <s v="S"/>
    <s v="Blue"/>
    <n v="5"/>
    <x v="0"/>
    <s v="Retail"/>
    <s v="PayPal"/>
  </r>
  <r>
    <s v="ORD-202401604"/>
    <x v="27"/>
    <n v="5690"/>
    <s v="24/06/1975"/>
    <x v="0"/>
    <x v="3"/>
    <n v="6461.61"/>
    <n v="3103.84"/>
    <s v="Boston"/>
    <x v="0"/>
    <s v="L"/>
    <s v="Green"/>
    <n v="1"/>
    <x v="1"/>
    <s v="Retail"/>
    <s v="Bank Transfer"/>
  </r>
  <r>
    <s v="ORD-202401605"/>
    <x v="1045"/>
    <n v="7365"/>
    <s v="28/04/1978"/>
    <x v="0"/>
    <x v="2"/>
    <n v="28172.92"/>
    <n v="14104.89"/>
    <s v="Los Angeles"/>
    <x v="2"/>
    <s v="L"/>
    <s v="Green"/>
    <n v="2"/>
    <x v="2"/>
    <s v="Retail"/>
    <s v="PayPal"/>
  </r>
  <r>
    <s v="ORD-202401606"/>
    <x v="1046"/>
    <n v="5636"/>
    <s v="19/04/1986"/>
    <x v="1"/>
    <x v="3"/>
    <n v="8631.2199999999993"/>
    <n v="3996.26"/>
    <s v="Miami"/>
    <x v="0"/>
    <s v="XL"/>
    <s v="Yellow"/>
    <n v="5"/>
    <x v="0"/>
    <s v="Wholesale"/>
    <s v="PayPal"/>
  </r>
  <r>
    <s v="ORD-202401607"/>
    <x v="397"/>
    <n v="4619"/>
    <s v="31/07/1995"/>
    <x v="0"/>
    <x v="1"/>
    <n v="16371.01"/>
    <n v="7713.91"/>
    <s v="Miami"/>
    <x v="0"/>
    <s v="L"/>
    <s v="White"/>
    <n v="4"/>
    <x v="1"/>
    <s v="Wholesale"/>
    <s v="Bank Transfer"/>
  </r>
  <r>
    <s v="ORD-202401608"/>
    <x v="304"/>
    <n v="8344"/>
    <s v="07/04/1978"/>
    <x v="0"/>
    <x v="0"/>
    <n v="12128.91"/>
    <n v="6403.38"/>
    <s v="San Francisco"/>
    <x v="2"/>
    <s v="M"/>
    <s v="Black"/>
    <n v="3"/>
    <x v="1"/>
    <s v="Retail"/>
    <s v="Bank Transfer"/>
  </r>
  <r>
    <s v="ORD-202401609"/>
    <x v="1047"/>
    <n v="5496"/>
    <s v="02/05/1999"/>
    <x v="0"/>
    <x v="4"/>
    <n v="21958.2"/>
    <n v="9903.56"/>
    <s v="Minneapolis"/>
    <x v="1"/>
    <s v="XL"/>
    <s v="Yellow"/>
    <n v="4"/>
    <x v="2"/>
    <s v="Retail"/>
    <s v="PayPal"/>
  </r>
  <r>
    <s v="ORD-202401610"/>
    <x v="910"/>
    <n v="7703"/>
    <s v="22/06/1988"/>
    <x v="0"/>
    <x v="3"/>
    <n v="8177.96"/>
    <n v="5296.5"/>
    <s v="New York"/>
    <x v="0"/>
    <s v="S"/>
    <s v="White"/>
    <n v="2"/>
    <x v="0"/>
    <s v="Retail"/>
    <s v="Bank Transfer"/>
  </r>
  <r>
    <s v="ORD-202401611"/>
    <x v="1048"/>
    <n v="3293"/>
    <s v="28/03/1977"/>
    <x v="0"/>
    <x v="0"/>
    <n v="5682.39"/>
    <n v="2725.37"/>
    <s v="Seattle"/>
    <x v="2"/>
    <s v="M"/>
    <s v="Yellow"/>
    <n v="2"/>
    <x v="1"/>
    <s v="Retail"/>
    <s v="Bank Transfer"/>
  </r>
  <r>
    <s v="ORD-202401612"/>
    <x v="1049"/>
    <n v="5868"/>
    <s v="06/07/1996"/>
    <x v="0"/>
    <x v="1"/>
    <n v="14512.9"/>
    <n v="6798.62"/>
    <s v="Los Angeles"/>
    <x v="2"/>
    <s v="L"/>
    <s v="White"/>
    <n v="5"/>
    <x v="2"/>
    <s v="Retail"/>
    <s v="Cash"/>
  </r>
  <r>
    <s v="ORD-202401613"/>
    <x v="1050"/>
    <n v="6221"/>
    <s v="18/09/1978"/>
    <x v="1"/>
    <x v="2"/>
    <n v="28209.23"/>
    <n v="13623.55"/>
    <s v="New York"/>
    <x v="0"/>
    <s v="M"/>
    <s v="Red"/>
    <n v="4"/>
    <x v="1"/>
    <s v="Wholesale"/>
    <s v="PayPal"/>
  </r>
  <r>
    <s v="ORD-202401614"/>
    <x v="1051"/>
    <n v="4936"/>
    <s v="07/07/1993"/>
    <x v="0"/>
    <x v="1"/>
    <n v="19185.009999999998"/>
    <n v="10706.96"/>
    <s v="San Francisco"/>
    <x v="2"/>
    <s v="S"/>
    <s v="Red"/>
    <n v="3"/>
    <x v="1"/>
    <s v="Retail"/>
    <s v="PayPal"/>
  </r>
  <r>
    <s v="ORD-202401615"/>
    <x v="987"/>
    <n v="2566"/>
    <s v="25/11/1992"/>
    <x v="1"/>
    <x v="2"/>
    <n v="14232.17"/>
    <n v="7986.15"/>
    <s v="Chicago"/>
    <x v="1"/>
    <s v="XL"/>
    <s v="Green"/>
    <n v="2"/>
    <x v="0"/>
    <s v="Retail"/>
    <s v="PayPal"/>
  </r>
  <r>
    <s v="ORD-202401616"/>
    <x v="518"/>
    <n v="6641"/>
    <s v="17/12/1979"/>
    <x v="1"/>
    <x v="3"/>
    <n v="12551.72"/>
    <n v="7052.17"/>
    <s v="Boston"/>
    <x v="0"/>
    <s v="S"/>
    <s v="Black"/>
    <n v="2"/>
    <x v="0"/>
    <s v="Retail"/>
    <s v="Cash"/>
  </r>
  <r>
    <s v="ORD-202401617"/>
    <x v="1052"/>
    <n v="4924"/>
    <s v="29/03/1981"/>
    <x v="1"/>
    <x v="2"/>
    <n v="30678.12"/>
    <n v="13889.46"/>
    <s v="New York"/>
    <x v="0"/>
    <s v="L"/>
    <s v="Yellow"/>
    <n v="3"/>
    <x v="2"/>
    <s v="Wholesale"/>
    <s v="Bank Transfer"/>
  </r>
  <r>
    <s v="ORD-202401618"/>
    <x v="575"/>
    <n v="1010"/>
    <s v="15/05/1978"/>
    <x v="1"/>
    <x v="0"/>
    <n v="9179.83"/>
    <n v="4920.25"/>
    <s v="Miami"/>
    <x v="0"/>
    <s v="S"/>
    <s v="Black"/>
    <n v="3"/>
    <x v="1"/>
    <s v="Retail"/>
    <s v="PayPal"/>
  </r>
  <r>
    <s v="ORD-202401619"/>
    <x v="6"/>
    <n v="6432"/>
    <s v="06/06/1987"/>
    <x v="1"/>
    <x v="4"/>
    <n v="14067.46"/>
    <n v="6987.39"/>
    <s v="Minneapolis"/>
    <x v="1"/>
    <s v="L"/>
    <s v="Green"/>
    <n v="4"/>
    <x v="2"/>
    <s v="Retail"/>
    <s v="Bank Transfer"/>
  </r>
  <r>
    <s v="ORD-202401620"/>
    <x v="1053"/>
    <n v="2132"/>
    <s v="16/02/1995"/>
    <x v="1"/>
    <x v="4"/>
    <n v="30341.53"/>
    <n v="17002.400000000001"/>
    <s v="San Francisco"/>
    <x v="2"/>
    <s v="M"/>
    <s v="Green"/>
    <n v="2"/>
    <x v="0"/>
    <s v="Retail"/>
    <s v="Cash"/>
  </r>
  <r>
    <s v="ORD-202401621"/>
    <x v="1054"/>
    <n v="5845"/>
    <s v="05/11/1987"/>
    <x v="1"/>
    <x v="1"/>
    <n v="28895.29"/>
    <n v="17475.13"/>
    <s v="Miami"/>
    <x v="0"/>
    <s v="XL"/>
    <s v="Blue"/>
    <n v="3"/>
    <x v="2"/>
    <s v="Wholesale"/>
    <s v="PayPal"/>
  </r>
  <r>
    <s v="ORD-202401622"/>
    <x v="64"/>
    <n v="4483"/>
    <s v="23/10/1977"/>
    <x v="1"/>
    <x v="2"/>
    <n v="24383.47"/>
    <n v="14711.97"/>
    <s v="Los Angeles"/>
    <x v="2"/>
    <s v="L"/>
    <s v="Red"/>
    <n v="4"/>
    <x v="0"/>
    <s v="Retail"/>
    <s v="PayPal"/>
  </r>
  <r>
    <s v="ORD-202401623"/>
    <x v="794"/>
    <n v="9758"/>
    <s v="11/09/1984"/>
    <x v="1"/>
    <x v="3"/>
    <n v="7729.88"/>
    <n v="3914.08"/>
    <s v="Los Angeles"/>
    <x v="2"/>
    <s v="S"/>
    <s v="White"/>
    <n v="2"/>
    <x v="2"/>
    <s v="Retail"/>
    <s v="Bank Transfer"/>
  </r>
  <r>
    <s v="ORD-202401624"/>
    <x v="923"/>
    <n v="4631"/>
    <s v="21/07/1979"/>
    <x v="0"/>
    <x v="4"/>
    <n v="42726.95"/>
    <n v="22114.93"/>
    <s v="San Francisco"/>
    <x v="2"/>
    <s v="L"/>
    <s v="Green"/>
    <n v="2"/>
    <x v="2"/>
    <s v="Wholesale"/>
    <s v="Bank Transfer"/>
  </r>
  <r>
    <s v="ORD-202401625"/>
    <x v="1055"/>
    <n v="3290"/>
    <s v="28/11/1970"/>
    <x v="1"/>
    <x v="1"/>
    <n v="34542.83"/>
    <n v="21795.29"/>
    <s v="New York"/>
    <x v="0"/>
    <s v="S"/>
    <s v="White"/>
    <n v="2"/>
    <x v="1"/>
    <s v="Retail"/>
    <s v="Cash"/>
  </r>
  <r>
    <s v="ORD-202401626"/>
    <x v="1051"/>
    <n v="3897"/>
    <s v="18/04/1994"/>
    <x v="0"/>
    <x v="4"/>
    <n v="15967.32"/>
    <n v="7954.08"/>
    <s v="New York"/>
    <x v="0"/>
    <s v="M"/>
    <s v="White"/>
    <n v="4"/>
    <x v="0"/>
    <s v="Retail"/>
    <s v="Cash"/>
  </r>
  <r>
    <s v="ORD-202401627"/>
    <x v="1056"/>
    <n v="4778"/>
    <s v="08/06/1975"/>
    <x v="0"/>
    <x v="3"/>
    <n v="13127.09"/>
    <n v="6700.25"/>
    <s v="Los Angeles"/>
    <x v="2"/>
    <s v="L"/>
    <s v="Red"/>
    <n v="2"/>
    <x v="1"/>
    <s v="Retail"/>
    <s v="PayPal"/>
  </r>
  <r>
    <s v="ORD-202401628"/>
    <x v="1057"/>
    <n v="4697"/>
    <s v="06/10/1986"/>
    <x v="1"/>
    <x v="1"/>
    <n v="64522.2"/>
    <n v="30128.68"/>
    <s v="New York"/>
    <x v="0"/>
    <s v="S"/>
    <s v="Red"/>
    <n v="1"/>
    <x v="0"/>
    <s v="Retail"/>
    <s v="PayPal"/>
  </r>
  <r>
    <s v="ORD-202401629"/>
    <x v="485"/>
    <n v="5600"/>
    <s v="22/11/1986"/>
    <x v="1"/>
    <x v="4"/>
    <n v="8812.5"/>
    <n v="5269.81"/>
    <s v="Miami"/>
    <x v="0"/>
    <s v="L"/>
    <s v="Yellow"/>
    <n v="3"/>
    <x v="1"/>
    <s v="Retail"/>
    <s v="PayPal"/>
  </r>
  <r>
    <s v="ORD-202401630"/>
    <x v="113"/>
    <n v="3239"/>
    <s v="29/09/1979"/>
    <x v="0"/>
    <x v="2"/>
    <n v="7300.38"/>
    <n v="3847.4"/>
    <s v="Chicago"/>
    <x v="1"/>
    <s v="XL"/>
    <s v="White"/>
    <n v="5"/>
    <x v="0"/>
    <s v="Retail"/>
    <s v="Bank Transfer"/>
  </r>
  <r>
    <s v="ORD-202401631"/>
    <x v="600"/>
    <n v="5844"/>
    <s v="22/04/1975"/>
    <x v="1"/>
    <x v="2"/>
    <n v="13731.02"/>
    <n v="7865.89"/>
    <s v="Seattle"/>
    <x v="2"/>
    <s v="S"/>
    <s v="Red"/>
    <n v="4"/>
    <x v="2"/>
    <s v="Retail"/>
    <s v="Bank Transfer"/>
  </r>
  <r>
    <s v="ORD-202401632"/>
    <x v="352"/>
    <n v="7849"/>
    <s v="27/01/1999"/>
    <x v="0"/>
    <x v="4"/>
    <n v="10731.93"/>
    <n v="6511.61"/>
    <s v="Miami"/>
    <x v="0"/>
    <s v="M"/>
    <s v="Yellow"/>
    <n v="1"/>
    <x v="2"/>
    <s v="Wholesale"/>
    <s v="Bank Transfer"/>
  </r>
  <r>
    <s v="ORD-202401633"/>
    <x v="1058"/>
    <n v="3553"/>
    <s v="07/09/1972"/>
    <x v="0"/>
    <x v="0"/>
    <n v="8832.0499999999993"/>
    <n v="5167.05"/>
    <s v="Miami"/>
    <x v="0"/>
    <s v="XL"/>
    <s v="White"/>
    <n v="5"/>
    <x v="0"/>
    <s v="Retail"/>
    <s v="Bank Transfer"/>
  </r>
  <r>
    <s v="ORD-202401634"/>
    <x v="1059"/>
    <n v="3476"/>
    <s v="29/01/1976"/>
    <x v="0"/>
    <x v="0"/>
    <n v="11404.75"/>
    <n v="5412.93"/>
    <s v="Miami"/>
    <x v="0"/>
    <s v="L"/>
    <s v="Yellow"/>
    <n v="2"/>
    <x v="1"/>
    <s v="Retail"/>
    <s v="PayPal"/>
  </r>
  <r>
    <s v="ORD-202401635"/>
    <x v="337"/>
    <n v="2372"/>
    <s v="03/05/1992"/>
    <x v="0"/>
    <x v="0"/>
    <n v="7647.97"/>
    <n v="3674.42"/>
    <s v="Miami"/>
    <x v="0"/>
    <s v="L"/>
    <s v="Blue"/>
    <n v="1"/>
    <x v="1"/>
    <s v="Wholesale"/>
    <s v="Cash"/>
  </r>
  <r>
    <s v="ORD-202401636"/>
    <x v="893"/>
    <n v="3433"/>
    <s v="30/04/1995"/>
    <x v="0"/>
    <x v="0"/>
    <n v="11639.96"/>
    <n v="5408.27"/>
    <s v="Miami"/>
    <x v="0"/>
    <s v="M"/>
    <s v="Green"/>
    <n v="4"/>
    <x v="1"/>
    <s v="Wholesale"/>
    <s v="PayPal"/>
  </r>
  <r>
    <s v="ORD-202401637"/>
    <x v="138"/>
    <n v="5224"/>
    <s v="06/01/1994"/>
    <x v="0"/>
    <x v="1"/>
    <n v="30494.74"/>
    <n v="17099.89"/>
    <s v="Minneapolis"/>
    <x v="1"/>
    <s v="XL"/>
    <s v="White"/>
    <n v="3"/>
    <x v="0"/>
    <s v="Wholesale"/>
    <s v="Bank Transfer"/>
  </r>
  <r>
    <s v="ORD-202401638"/>
    <x v="654"/>
    <n v="1496"/>
    <s v="08/12/1999"/>
    <x v="1"/>
    <x v="4"/>
    <n v="21229.68"/>
    <n v="10248.280000000001"/>
    <s v="Detroit"/>
    <x v="1"/>
    <s v="XL"/>
    <s v="White"/>
    <n v="3"/>
    <x v="1"/>
    <s v="Retail"/>
    <s v="Cash"/>
  </r>
  <r>
    <s v="ORD-202401639"/>
    <x v="1060"/>
    <n v="6176"/>
    <s v="18/07/1982"/>
    <x v="1"/>
    <x v="4"/>
    <n v="10303.58"/>
    <n v="6301.25"/>
    <s v="Minneapolis"/>
    <x v="1"/>
    <s v="M"/>
    <s v="White"/>
    <n v="3"/>
    <x v="0"/>
    <s v="Retail"/>
    <s v="Bank Transfer"/>
  </r>
  <r>
    <s v="ORD-202401640"/>
    <x v="232"/>
    <n v="7977"/>
    <s v="28/05/1996"/>
    <x v="0"/>
    <x v="2"/>
    <n v="12434.66"/>
    <n v="7620.32"/>
    <s v="Miami"/>
    <x v="0"/>
    <s v="L"/>
    <s v="Black"/>
    <n v="3"/>
    <x v="2"/>
    <s v="Retail"/>
    <s v="Bank Transfer"/>
  </r>
  <r>
    <s v="ORD-202401641"/>
    <x v="217"/>
    <n v="7861"/>
    <s v="16/06/1995"/>
    <x v="1"/>
    <x v="4"/>
    <n v="22173.87"/>
    <n v="14097.3"/>
    <s v="Miami"/>
    <x v="0"/>
    <s v="S"/>
    <s v="Blue"/>
    <n v="1"/>
    <x v="2"/>
    <s v="Wholesale"/>
    <s v="Bank Transfer"/>
  </r>
  <r>
    <s v="ORD-202401642"/>
    <x v="1002"/>
    <n v="1356"/>
    <s v="02/05/1984"/>
    <x v="1"/>
    <x v="1"/>
    <n v="47139.42"/>
    <n v="23244.55"/>
    <s v="Detroit"/>
    <x v="1"/>
    <s v="L"/>
    <s v="Blue"/>
    <n v="1"/>
    <x v="1"/>
    <s v="Retail"/>
    <s v="Bank Transfer"/>
  </r>
  <r>
    <s v="ORD-202401643"/>
    <x v="1061"/>
    <n v="5795"/>
    <s v="15/10/1978"/>
    <x v="1"/>
    <x v="2"/>
    <n v="12503.52"/>
    <n v="8087.19"/>
    <s v="Detroit"/>
    <x v="1"/>
    <s v="S"/>
    <s v="Green"/>
    <n v="3"/>
    <x v="2"/>
    <s v="Wholesale"/>
    <s v="Bank Transfer"/>
  </r>
  <r>
    <s v="ORD-202401644"/>
    <x v="99"/>
    <n v="1850"/>
    <s v="27/05/1999"/>
    <x v="1"/>
    <x v="2"/>
    <n v="7312.03"/>
    <n v="3627.03"/>
    <s v="Chicago"/>
    <x v="1"/>
    <s v="M"/>
    <s v="Red"/>
    <n v="3"/>
    <x v="0"/>
    <s v="Wholesale"/>
    <s v="Cash"/>
  </r>
  <r>
    <s v="ORD-202401645"/>
    <x v="92"/>
    <n v="5419"/>
    <s v="08/07/1972"/>
    <x v="1"/>
    <x v="1"/>
    <n v="20842.849999999999"/>
    <n v="13224.91"/>
    <s v="New York"/>
    <x v="0"/>
    <s v="XL"/>
    <s v="White"/>
    <n v="4"/>
    <x v="1"/>
    <s v="Retail"/>
    <s v="PayPal"/>
  </r>
  <r>
    <s v="ORD-202401646"/>
    <x v="593"/>
    <n v="4284"/>
    <s v="15/02/1989"/>
    <x v="0"/>
    <x v="3"/>
    <n v="5865.45"/>
    <n v="3798.98"/>
    <s v="Los Angeles"/>
    <x v="2"/>
    <s v="M"/>
    <s v="Red"/>
    <n v="1"/>
    <x v="2"/>
    <s v="Wholesale"/>
    <s v="PayPal"/>
  </r>
  <r>
    <s v="ORD-202401647"/>
    <x v="1020"/>
    <n v="4352"/>
    <s v="17/02/1979"/>
    <x v="0"/>
    <x v="4"/>
    <n v="35468.71"/>
    <n v="19162.740000000002"/>
    <s v="San Francisco"/>
    <x v="2"/>
    <s v="XL"/>
    <s v="Red"/>
    <n v="5"/>
    <x v="1"/>
    <s v="Wholesale"/>
    <s v="PayPal"/>
  </r>
  <r>
    <s v="ORD-202401648"/>
    <x v="191"/>
    <n v="7245"/>
    <s v="12/04/1979"/>
    <x v="0"/>
    <x v="0"/>
    <n v="18229.12"/>
    <n v="10536.85"/>
    <s v="Miami"/>
    <x v="0"/>
    <s v="L"/>
    <s v="Yellow"/>
    <n v="3"/>
    <x v="2"/>
    <s v="Wholesale"/>
    <s v="PayPal"/>
  </r>
  <r>
    <s v="ORD-202401649"/>
    <x v="332"/>
    <n v="1851"/>
    <s v="29/06/1995"/>
    <x v="0"/>
    <x v="3"/>
    <n v="20007.88"/>
    <n v="9586.06"/>
    <s v="Seattle"/>
    <x v="2"/>
    <s v="L"/>
    <s v="Red"/>
    <n v="5"/>
    <x v="2"/>
    <s v="Retail"/>
    <s v="PayPal"/>
  </r>
  <r>
    <s v="ORD-202401650"/>
    <x v="99"/>
    <n v="2797"/>
    <s v="25/07/1987"/>
    <x v="1"/>
    <x v="4"/>
    <n v="19466.52"/>
    <n v="12262.47"/>
    <s v="Chicago"/>
    <x v="1"/>
    <s v="S"/>
    <s v="Yellow"/>
    <n v="1"/>
    <x v="1"/>
    <s v="Retail"/>
    <s v="PayPal"/>
  </r>
  <r>
    <s v="ORD-202401651"/>
    <x v="1062"/>
    <n v="2003"/>
    <s v="21/01/1973"/>
    <x v="1"/>
    <x v="0"/>
    <n v="4390.82"/>
    <n v="2188.38"/>
    <s v="Boston"/>
    <x v="0"/>
    <s v="L"/>
    <s v="White"/>
    <n v="4"/>
    <x v="2"/>
    <s v="Retail"/>
    <s v="PayPal"/>
  </r>
  <r>
    <s v="ORD-202401652"/>
    <x v="381"/>
    <n v="9438"/>
    <s v="24/04/1982"/>
    <x v="0"/>
    <x v="4"/>
    <n v="35411.54"/>
    <n v="19179.47"/>
    <s v="San Francisco"/>
    <x v="2"/>
    <s v="L"/>
    <s v="Yellow"/>
    <n v="1"/>
    <x v="1"/>
    <s v="Wholesale"/>
    <s v="Cash"/>
  </r>
  <r>
    <s v="ORD-202401653"/>
    <x v="48"/>
    <n v="2802"/>
    <s v="25/01/1990"/>
    <x v="1"/>
    <x v="1"/>
    <n v="88053.64"/>
    <n v="47563.11"/>
    <s v="San Francisco"/>
    <x v="2"/>
    <s v="L"/>
    <s v="Red"/>
    <n v="1"/>
    <x v="2"/>
    <s v="Wholesale"/>
    <s v="Cash"/>
  </r>
  <r>
    <s v="ORD-202401654"/>
    <x v="1063"/>
    <n v="4345"/>
    <s v="24/01/1995"/>
    <x v="1"/>
    <x v="4"/>
    <n v="31841.15"/>
    <n v="17104.63"/>
    <s v="Detroit"/>
    <x v="1"/>
    <s v="S"/>
    <s v="Green"/>
    <n v="5"/>
    <x v="2"/>
    <s v="Retail"/>
    <s v="PayPal"/>
  </r>
  <r>
    <s v="ORD-202401655"/>
    <x v="1064"/>
    <n v="6836"/>
    <s v="03/09/1989"/>
    <x v="0"/>
    <x v="4"/>
    <n v="28089.759999999998"/>
    <n v="13538.32"/>
    <s v="Chicago"/>
    <x v="1"/>
    <s v="S"/>
    <s v="White"/>
    <n v="1"/>
    <x v="0"/>
    <s v="Wholesale"/>
    <s v="Bank Transfer"/>
  </r>
  <r>
    <s v="ORD-202401656"/>
    <x v="1065"/>
    <n v="9832"/>
    <s v="15/11/1998"/>
    <x v="0"/>
    <x v="4"/>
    <n v="18970.919999999998"/>
    <n v="10137.99"/>
    <s v="Detroit"/>
    <x v="1"/>
    <s v="XL"/>
    <s v="Black"/>
    <n v="2"/>
    <x v="0"/>
    <s v="Retail"/>
    <s v="Cash"/>
  </r>
  <r>
    <s v="ORD-202401657"/>
    <x v="587"/>
    <n v="5625"/>
    <s v="26/04/1977"/>
    <x v="0"/>
    <x v="0"/>
    <n v="8554.2199999999993"/>
    <n v="4977.63"/>
    <s v="Detroit"/>
    <x v="1"/>
    <s v="S"/>
    <s v="White"/>
    <n v="4"/>
    <x v="1"/>
    <s v="Retail"/>
    <s v="PayPal"/>
  </r>
  <r>
    <s v="ORD-202401658"/>
    <x v="848"/>
    <n v="4408"/>
    <s v="16/02/1997"/>
    <x v="0"/>
    <x v="3"/>
    <n v="15221.81"/>
    <n v="9213.36"/>
    <s v="San Francisco"/>
    <x v="2"/>
    <s v="S"/>
    <s v="Blue"/>
    <n v="5"/>
    <x v="1"/>
    <s v="Retail"/>
    <s v="Bank Transfer"/>
  </r>
  <r>
    <s v="ORD-202401659"/>
    <x v="878"/>
    <n v="5178"/>
    <s v="16/12/1979"/>
    <x v="1"/>
    <x v="1"/>
    <n v="23574.77"/>
    <n v="12357.78"/>
    <s v="San Francisco"/>
    <x v="2"/>
    <s v="S"/>
    <s v="Blue"/>
    <n v="3"/>
    <x v="1"/>
    <s v="Retail"/>
    <s v="Bank Transfer"/>
  </r>
  <r>
    <s v="ORD-202401660"/>
    <x v="1066"/>
    <n v="9768"/>
    <s v="06/05/1970"/>
    <x v="1"/>
    <x v="4"/>
    <n v="17425.650000000001"/>
    <n v="10358.02"/>
    <s v="Los Angeles"/>
    <x v="2"/>
    <s v="S"/>
    <s v="Black"/>
    <n v="4"/>
    <x v="0"/>
    <s v="Retail"/>
    <s v="PayPal"/>
  </r>
  <r>
    <s v="ORD-202401661"/>
    <x v="1067"/>
    <n v="9212"/>
    <s v="04/06/1975"/>
    <x v="1"/>
    <x v="0"/>
    <n v="4772.2299999999996"/>
    <n v="2269.9299999999998"/>
    <s v="Minneapolis"/>
    <x v="1"/>
    <s v="XL"/>
    <s v="Black"/>
    <n v="5"/>
    <x v="2"/>
    <s v="Retail"/>
    <s v="PayPal"/>
  </r>
  <r>
    <s v="ORD-202401662"/>
    <x v="707"/>
    <n v="5565"/>
    <s v="08/05/1976"/>
    <x v="0"/>
    <x v="3"/>
    <n v="5016.6400000000003"/>
    <n v="2934.87"/>
    <s v="San Francisco"/>
    <x v="2"/>
    <s v="XL"/>
    <s v="Blue"/>
    <n v="1"/>
    <x v="1"/>
    <s v="Wholesale"/>
    <s v="PayPal"/>
  </r>
  <r>
    <s v="ORD-202401663"/>
    <x v="1068"/>
    <n v="2971"/>
    <s v="01/03/1989"/>
    <x v="1"/>
    <x v="4"/>
    <n v="13809.72"/>
    <n v="7221.83"/>
    <s v="Miami"/>
    <x v="0"/>
    <s v="XL"/>
    <s v="Green"/>
    <n v="4"/>
    <x v="1"/>
    <s v="Retail"/>
    <s v="Bank Transfer"/>
  </r>
  <r>
    <s v="ORD-202401664"/>
    <x v="227"/>
    <n v="5711"/>
    <s v="27/09/1978"/>
    <x v="1"/>
    <x v="0"/>
    <n v="4479.75"/>
    <n v="2566.89"/>
    <s v="Seattle"/>
    <x v="2"/>
    <s v="L"/>
    <s v="Blue"/>
    <n v="2"/>
    <x v="2"/>
    <s v="Wholesale"/>
    <s v="Cash"/>
  </r>
  <r>
    <s v="ORD-202401665"/>
    <x v="160"/>
    <n v="4281"/>
    <s v="30/12/1997"/>
    <x v="0"/>
    <x v="0"/>
    <n v="4008.13"/>
    <n v="1874.4"/>
    <s v="Minneapolis"/>
    <x v="1"/>
    <s v="S"/>
    <s v="Green"/>
    <n v="2"/>
    <x v="2"/>
    <s v="Wholesale"/>
    <s v="Bank Transfer"/>
  </r>
  <r>
    <s v="ORD-202401666"/>
    <x v="1069"/>
    <n v="2868"/>
    <s v="31/03/1972"/>
    <x v="1"/>
    <x v="2"/>
    <n v="32104.01"/>
    <n v="18559.580000000002"/>
    <s v="Seattle"/>
    <x v="2"/>
    <s v="S"/>
    <s v="Red"/>
    <n v="3"/>
    <x v="1"/>
    <s v="Wholesale"/>
    <s v="Cash"/>
  </r>
  <r>
    <s v="ORD-202401667"/>
    <x v="494"/>
    <n v="9256"/>
    <s v="19/05/1971"/>
    <x v="0"/>
    <x v="3"/>
    <n v="4265.5200000000004"/>
    <n v="2216.92"/>
    <s v="Seattle"/>
    <x v="2"/>
    <s v="M"/>
    <s v="Black"/>
    <n v="3"/>
    <x v="2"/>
    <s v="Wholesale"/>
    <s v="PayPal"/>
  </r>
  <r>
    <s v="ORD-202401668"/>
    <x v="1070"/>
    <n v="9316"/>
    <s v="19/12/1982"/>
    <x v="0"/>
    <x v="3"/>
    <n v="5930.41"/>
    <n v="3729.55"/>
    <s v="Boston"/>
    <x v="0"/>
    <s v="M"/>
    <s v="Red"/>
    <n v="3"/>
    <x v="0"/>
    <s v="Retail"/>
    <s v="Cash"/>
  </r>
  <r>
    <s v="ORD-202401669"/>
    <x v="20"/>
    <n v="7346"/>
    <s v="14/07/1988"/>
    <x v="1"/>
    <x v="2"/>
    <n v="27562.22"/>
    <n v="13726.34"/>
    <s v="Minneapolis"/>
    <x v="1"/>
    <s v="M"/>
    <s v="Red"/>
    <n v="2"/>
    <x v="1"/>
    <s v="Wholesale"/>
    <s v="Bank Transfer"/>
  </r>
  <r>
    <s v="ORD-202401670"/>
    <x v="491"/>
    <n v="6085"/>
    <s v="15/05/1976"/>
    <x v="1"/>
    <x v="2"/>
    <n v="24777.96"/>
    <n v="12457.71"/>
    <s v="Boston"/>
    <x v="0"/>
    <s v="M"/>
    <s v="Black"/>
    <n v="4"/>
    <x v="0"/>
    <s v="Retail"/>
    <s v="Cash"/>
  </r>
  <r>
    <s v="ORD-202401671"/>
    <x v="590"/>
    <n v="9947"/>
    <s v="07/12/1970"/>
    <x v="1"/>
    <x v="3"/>
    <n v="9315.76"/>
    <n v="4353"/>
    <s v="Detroit"/>
    <x v="1"/>
    <s v="XL"/>
    <s v="Red"/>
    <n v="3"/>
    <x v="1"/>
    <s v="Retail"/>
    <s v="Bank Transfer"/>
  </r>
  <r>
    <s v="ORD-202401672"/>
    <x v="1071"/>
    <n v="1934"/>
    <s v="07/02/1979"/>
    <x v="0"/>
    <x v="1"/>
    <n v="85832.69"/>
    <n v="44122.61"/>
    <s v="Los Angeles"/>
    <x v="2"/>
    <s v="XL"/>
    <s v="Black"/>
    <n v="2"/>
    <x v="1"/>
    <s v="Wholesale"/>
    <s v="Cash"/>
  </r>
  <r>
    <s v="ORD-202401673"/>
    <x v="714"/>
    <n v="1858"/>
    <s v="08/06/1996"/>
    <x v="0"/>
    <x v="3"/>
    <n v="1870.08"/>
    <n v="1007.36"/>
    <s v="Chicago"/>
    <x v="1"/>
    <s v="S"/>
    <s v="Black"/>
    <n v="1"/>
    <x v="2"/>
    <s v="Retail"/>
    <s v="PayPal"/>
  </r>
  <r>
    <s v="ORD-202401674"/>
    <x v="754"/>
    <n v="5565"/>
    <s v="25/01/1985"/>
    <x v="0"/>
    <x v="1"/>
    <n v="34183.61"/>
    <n v="21404.28"/>
    <s v="Chicago"/>
    <x v="1"/>
    <s v="M"/>
    <s v="Yellow"/>
    <n v="1"/>
    <x v="0"/>
    <s v="Retail"/>
    <s v="Bank Transfer"/>
  </r>
  <r>
    <s v="ORD-202401675"/>
    <x v="560"/>
    <n v="7453"/>
    <s v="23/09/1988"/>
    <x v="0"/>
    <x v="1"/>
    <n v="50966.64"/>
    <n v="29486.21"/>
    <s v="Boston"/>
    <x v="0"/>
    <s v="S"/>
    <s v="Blue"/>
    <n v="2"/>
    <x v="0"/>
    <s v="Retail"/>
    <s v="Cash"/>
  </r>
  <r>
    <s v="ORD-202401676"/>
    <x v="191"/>
    <n v="8503"/>
    <s v="03/07/1981"/>
    <x v="0"/>
    <x v="2"/>
    <n v="49362.45"/>
    <n v="31210.5"/>
    <s v="Seattle"/>
    <x v="2"/>
    <s v="M"/>
    <s v="Red"/>
    <n v="1"/>
    <x v="1"/>
    <s v="Retail"/>
    <s v="PayPal"/>
  </r>
  <r>
    <s v="ORD-202401677"/>
    <x v="1054"/>
    <n v="9146"/>
    <s v="29/05/1989"/>
    <x v="0"/>
    <x v="0"/>
    <n v="7820.58"/>
    <n v="4487.03"/>
    <s v="Detroit"/>
    <x v="1"/>
    <s v="L"/>
    <s v="Blue"/>
    <n v="1"/>
    <x v="0"/>
    <s v="Wholesale"/>
    <s v="PayPal"/>
  </r>
  <r>
    <s v="ORD-202401678"/>
    <x v="884"/>
    <n v="1471"/>
    <s v="20/12/1985"/>
    <x v="0"/>
    <x v="1"/>
    <n v="42436.21"/>
    <n v="23219.58"/>
    <s v="Seattle"/>
    <x v="2"/>
    <s v="XL"/>
    <s v="Black"/>
    <n v="1"/>
    <x v="0"/>
    <s v="Retail"/>
    <s v="Cash"/>
  </r>
  <r>
    <s v="ORD-202401679"/>
    <x v="351"/>
    <n v="9925"/>
    <s v="26/05/1989"/>
    <x v="1"/>
    <x v="3"/>
    <n v="2386.11"/>
    <n v="1421.51"/>
    <s v="Boston"/>
    <x v="0"/>
    <s v="XL"/>
    <s v="Black"/>
    <n v="2"/>
    <x v="0"/>
    <s v="Retail"/>
    <s v="PayPal"/>
  </r>
  <r>
    <s v="ORD-202401680"/>
    <x v="171"/>
    <n v="1183"/>
    <s v="04/02/1993"/>
    <x v="0"/>
    <x v="1"/>
    <n v="53605.05"/>
    <n v="28379.39"/>
    <s v="San Francisco"/>
    <x v="2"/>
    <s v="XL"/>
    <s v="Green"/>
    <n v="2"/>
    <x v="1"/>
    <s v="Wholesale"/>
    <s v="PayPal"/>
  </r>
  <r>
    <s v="ORD-202401681"/>
    <x v="961"/>
    <n v="4962"/>
    <s v="27/01/1983"/>
    <x v="1"/>
    <x v="1"/>
    <n v="61282.17"/>
    <n v="28878.27"/>
    <s v="Boston"/>
    <x v="0"/>
    <s v="L"/>
    <s v="Green"/>
    <n v="5"/>
    <x v="0"/>
    <s v="Retail"/>
    <s v="Bank Transfer"/>
  </r>
  <r>
    <s v="ORD-202401682"/>
    <x v="469"/>
    <n v="4079"/>
    <s v="18/08/1994"/>
    <x v="1"/>
    <x v="3"/>
    <n v="17393.88"/>
    <n v="9678.65"/>
    <s v="Seattle"/>
    <x v="2"/>
    <s v="L"/>
    <s v="Red"/>
    <n v="1"/>
    <x v="2"/>
    <s v="Wholesale"/>
    <s v="Bank Transfer"/>
  </r>
  <r>
    <s v="ORD-202401683"/>
    <x v="1072"/>
    <n v="8910"/>
    <s v="15/10/1984"/>
    <x v="0"/>
    <x v="4"/>
    <n v="43726.97"/>
    <n v="28014.97"/>
    <s v="San Francisco"/>
    <x v="2"/>
    <s v="M"/>
    <s v="Yellow"/>
    <n v="3"/>
    <x v="2"/>
    <s v="Retail"/>
    <s v="Cash"/>
  </r>
  <r>
    <s v="ORD-202401684"/>
    <x v="975"/>
    <n v="8021"/>
    <s v="30/07/1993"/>
    <x v="0"/>
    <x v="4"/>
    <n v="8563.7900000000009"/>
    <n v="4969.55"/>
    <s v="Miami"/>
    <x v="0"/>
    <s v="S"/>
    <s v="Red"/>
    <n v="5"/>
    <x v="1"/>
    <s v="Retail"/>
    <s v="PayPal"/>
  </r>
  <r>
    <s v="ORD-202401685"/>
    <x v="1073"/>
    <n v="8586"/>
    <s v="06/09/1985"/>
    <x v="0"/>
    <x v="3"/>
    <n v="11880.35"/>
    <n v="6872.93"/>
    <s v="Boston"/>
    <x v="0"/>
    <s v="M"/>
    <s v="Yellow"/>
    <n v="2"/>
    <x v="1"/>
    <s v="Retail"/>
    <s v="Cash"/>
  </r>
  <r>
    <s v="ORD-202401686"/>
    <x v="329"/>
    <n v="9083"/>
    <s v="15/08/1971"/>
    <x v="1"/>
    <x v="4"/>
    <n v="19766.939999999999"/>
    <n v="11876.91"/>
    <s v="Los Angeles"/>
    <x v="2"/>
    <s v="S"/>
    <s v="White"/>
    <n v="5"/>
    <x v="1"/>
    <s v="Wholesale"/>
    <s v="Cash"/>
  </r>
  <r>
    <s v="ORD-202401687"/>
    <x v="420"/>
    <n v="1256"/>
    <s v="10/06/1998"/>
    <x v="1"/>
    <x v="2"/>
    <n v="12799.87"/>
    <n v="5867.07"/>
    <s v="Los Angeles"/>
    <x v="2"/>
    <s v="XL"/>
    <s v="Black"/>
    <n v="2"/>
    <x v="1"/>
    <s v="Retail"/>
    <s v="Bank Transfer"/>
  </r>
  <r>
    <s v="ORD-202401688"/>
    <x v="1074"/>
    <n v="8392"/>
    <s v="04/10/1995"/>
    <x v="1"/>
    <x v="0"/>
    <n v="6968.66"/>
    <n v="4453.24"/>
    <s v="Miami"/>
    <x v="0"/>
    <s v="L"/>
    <s v="Red"/>
    <n v="3"/>
    <x v="0"/>
    <s v="Wholesale"/>
    <s v="Cash"/>
  </r>
  <r>
    <s v="ORD-202401689"/>
    <x v="903"/>
    <n v="7684"/>
    <s v="26/06/1986"/>
    <x v="1"/>
    <x v="2"/>
    <n v="14473.6"/>
    <n v="8598.36"/>
    <s v="Minneapolis"/>
    <x v="1"/>
    <s v="XL"/>
    <s v="Blue"/>
    <n v="3"/>
    <x v="0"/>
    <s v="Retail"/>
    <s v="Bank Transfer"/>
  </r>
  <r>
    <s v="ORD-202401690"/>
    <x v="1075"/>
    <n v="9994"/>
    <s v="01/04/1989"/>
    <x v="1"/>
    <x v="0"/>
    <n v="10358.48"/>
    <n v="6471.98"/>
    <s v="San Francisco"/>
    <x v="2"/>
    <s v="M"/>
    <s v="Black"/>
    <n v="3"/>
    <x v="0"/>
    <s v="Wholesale"/>
    <s v="PayPal"/>
  </r>
  <r>
    <s v="ORD-202401691"/>
    <x v="178"/>
    <n v="8028"/>
    <s v="16/07/1994"/>
    <x v="0"/>
    <x v="0"/>
    <n v="19866"/>
    <n v="12245.9"/>
    <s v="New York"/>
    <x v="0"/>
    <s v="M"/>
    <s v="White"/>
    <n v="4"/>
    <x v="2"/>
    <s v="Retail"/>
    <s v="Cash"/>
  </r>
  <r>
    <s v="ORD-202401692"/>
    <x v="84"/>
    <n v="1074"/>
    <s v="16/02/1991"/>
    <x v="1"/>
    <x v="3"/>
    <n v="7653.88"/>
    <n v="4627.75"/>
    <s v="Seattle"/>
    <x v="2"/>
    <s v="XL"/>
    <s v="Yellow"/>
    <n v="5"/>
    <x v="1"/>
    <s v="Wholesale"/>
    <s v="Bank Transfer"/>
  </r>
  <r>
    <s v="ORD-202401693"/>
    <x v="875"/>
    <n v="1518"/>
    <s v="09/01/1994"/>
    <x v="1"/>
    <x v="1"/>
    <n v="18955.52"/>
    <n v="11274.97"/>
    <s v="Seattle"/>
    <x v="2"/>
    <s v="L"/>
    <s v="Green"/>
    <n v="1"/>
    <x v="1"/>
    <s v="Wholesale"/>
    <s v="PayPal"/>
  </r>
  <r>
    <s v="ORD-202401694"/>
    <x v="494"/>
    <n v="8501"/>
    <s v="17/04/1972"/>
    <x v="0"/>
    <x v="2"/>
    <n v="16577.05"/>
    <n v="10502.44"/>
    <s v="San Francisco"/>
    <x v="2"/>
    <s v="M"/>
    <s v="Yellow"/>
    <n v="1"/>
    <x v="0"/>
    <s v="Retail"/>
    <s v="PayPal"/>
  </r>
  <r>
    <s v="ORD-202401695"/>
    <x v="882"/>
    <n v="6658"/>
    <s v="25/06/1998"/>
    <x v="0"/>
    <x v="3"/>
    <n v="6349.28"/>
    <n v="4032.27"/>
    <s v="New York"/>
    <x v="0"/>
    <s v="S"/>
    <s v="White"/>
    <n v="2"/>
    <x v="1"/>
    <s v="Wholesale"/>
    <s v="Cash"/>
  </r>
  <r>
    <s v="ORD-202401696"/>
    <x v="605"/>
    <n v="6627"/>
    <s v="15/06/1983"/>
    <x v="0"/>
    <x v="4"/>
    <n v="44634.09"/>
    <n v="28649.919999999998"/>
    <s v="Seattle"/>
    <x v="2"/>
    <s v="S"/>
    <s v="Green"/>
    <n v="2"/>
    <x v="1"/>
    <s v="Wholesale"/>
    <s v="Cash"/>
  </r>
  <r>
    <s v="ORD-202401697"/>
    <x v="230"/>
    <n v="4809"/>
    <s v="15/09/2000"/>
    <x v="0"/>
    <x v="2"/>
    <n v="27401.360000000001"/>
    <n v="15730.79"/>
    <s v="Detroit"/>
    <x v="1"/>
    <s v="L"/>
    <s v="Blue"/>
    <n v="1"/>
    <x v="0"/>
    <s v="Wholesale"/>
    <s v="Cash"/>
  </r>
  <r>
    <s v="ORD-202401698"/>
    <x v="825"/>
    <n v="7571"/>
    <s v="26/06/1977"/>
    <x v="1"/>
    <x v="0"/>
    <n v="8524.86"/>
    <n v="4621.7"/>
    <s v="Los Angeles"/>
    <x v="2"/>
    <s v="L"/>
    <s v="Blue"/>
    <n v="5"/>
    <x v="1"/>
    <s v="Wholesale"/>
    <s v="Cash"/>
  </r>
  <r>
    <s v="ORD-202401699"/>
    <x v="1076"/>
    <n v="4660"/>
    <s v="30/03/1992"/>
    <x v="0"/>
    <x v="4"/>
    <n v="16030.28"/>
    <n v="9383.7999999999993"/>
    <s v="Minneapolis"/>
    <x v="1"/>
    <s v="L"/>
    <s v="Green"/>
    <n v="3"/>
    <x v="2"/>
    <s v="Retail"/>
    <s v="Bank Transfer"/>
  </r>
  <r>
    <s v="ORD-202401700"/>
    <x v="243"/>
    <n v="6311"/>
    <s v="31/05/1980"/>
    <x v="0"/>
    <x v="3"/>
    <n v="3001.42"/>
    <n v="1750.17"/>
    <s v="Detroit"/>
    <x v="1"/>
    <s v="L"/>
    <s v="Green"/>
    <n v="3"/>
    <x v="1"/>
    <s v="Wholesale"/>
    <s v="PayPal"/>
  </r>
  <r>
    <s v="ORD-202401701"/>
    <x v="415"/>
    <n v="9909"/>
    <s v="14/05/1978"/>
    <x v="0"/>
    <x v="3"/>
    <n v="7696.66"/>
    <n v="3771.05"/>
    <s v="New York"/>
    <x v="0"/>
    <s v="XL"/>
    <s v="Green"/>
    <n v="4"/>
    <x v="1"/>
    <s v="Wholesale"/>
    <s v="Cash"/>
  </r>
  <r>
    <s v="ORD-202401702"/>
    <x v="1077"/>
    <n v="5216"/>
    <s v="30/01/1989"/>
    <x v="0"/>
    <x v="2"/>
    <n v="12735.39"/>
    <n v="6811.69"/>
    <s v="Miami"/>
    <x v="0"/>
    <s v="L"/>
    <s v="Yellow"/>
    <n v="1"/>
    <x v="0"/>
    <s v="Wholesale"/>
    <s v="Bank Transfer"/>
  </r>
  <r>
    <s v="ORD-202401703"/>
    <x v="606"/>
    <n v="4834"/>
    <s v="13/08/1995"/>
    <x v="0"/>
    <x v="1"/>
    <n v="84084.05"/>
    <n v="45094.06"/>
    <s v="Los Angeles"/>
    <x v="2"/>
    <s v="S"/>
    <s v="Blue"/>
    <n v="5"/>
    <x v="0"/>
    <s v="Wholesale"/>
    <s v="Bank Transfer"/>
  </r>
  <r>
    <s v="ORD-202401704"/>
    <x v="936"/>
    <n v="9844"/>
    <s v="12/08/1997"/>
    <x v="0"/>
    <x v="2"/>
    <n v="27962.71"/>
    <n v="13282.53"/>
    <s v="New York"/>
    <x v="0"/>
    <s v="XL"/>
    <s v="White"/>
    <n v="2"/>
    <x v="0"/>
    <s v="Retail"/>
    <s v="Cash"/>
  </r>
  <r>
    <s v="ORD-202401705"/>
    <x v="1078"/>
    <n v="9693"/>
    <s v="11/12/1994"/>
    <x v="0"/>
    <x v="2"/>
    <n v="10954.18"/>
    <n v="5683.37"/>
    <s v="Chicago"/>
    <x v="1"/>
    <s v="S"/>
    <s v="Black"/>
    <n v="3"/>
    <x v="0"/>
    <s v="Retail"/>
    <s v="Bank Transfer"/>
  </r>
  <r>
    <s v="ORD-202401706"/>
    <x v="1079"/>
    <n v="3878"/>
    <s v="29/06/1976"/>
    <x v="0"/>
    <x v="2"/>
    <n v="10533.21"/>
    <n v="5277.88"/>
    <s v="New York"/>
    <x v="0"/>
    <s v="XL"/>
    <s v="Green"/>
    <n v="3"/>
    <x v="1"/>
    <s v="Retail"/>
    <s v="PayPal"/>
  </r>
  <r>
    <s v="ORD-202401707"/>
    <x v="469"/>
    <n v="5239"/>
    <s v="18/10/1982"/>
    <x v="0"/>
    <x v="0"/>
    <n v="16481.849999999999"/>
    <n v="9135.35"/>
    <s v="New York"/>
    <x v="0"/>
    <s v="M"/>
    <s v="Black"/>
    <n v="3"/>
    <x v="1"/>
    <s v="Wholesale"/>
    <s v="Bank Transfer"/>
  </r>
  <r>
    <s v="ORD-202401708"/>
    <x v="1080"/>
    <n v="8926"/>
    <s v="22/10/1999"/>
    <x v="1"/>
    <x v="3"/>
    <n v="5497.62"/>
    <n v="3180.39"/>
    <s v="Los Angeles"/>
    <x v="2"/>
    <s v="L"/>
    <s v="Red"/>
    <n v="4"/>
    <x v="1"/>
    <s v="Retail"/>
    <s v="PayPal"/>
  </r>
  <r>
    <s v="ORD-202401709"/>
    <x v="1081"/>
    <n v="8404"/>
    <s v="18/11/1972"/>
    <x v="0"/>
    <x v="4"/>
    <n v="37235.269999999997"/>
    <n v="20548.16"/>
    <s v="Detroit"/>
    <x v="1"/>
    <s v="XL"/>
    <s v="Blue"/>
    <n v="5"/>
    <x v="1"/>
    <s v="Retail"/>
    <s v="PayPal"/>
  </r>
  <r>
    <s v="ORD-202401710"/>
    <x v="279"/>
    <n v="7505"/>
    <s v="16/01/1981"/>
    <x v="0"/>
    <x v="4"/>
    <n v="27834.98"/>
    <n v="14989.99"/>
    <s v="Boston"/>
    <x v="0"/>
    <s v="XL"/>
    <s v="White"/>
    <n v="4"/>
    <x v="1"/>
    <s v="Retail"/>
    <s v="Cash"/>
  </r>
  <r>
    <s v="ORD-202401711"/>
    <x v="1082"/>
    <n v="6673"/>
    <s v="06/02/1983"/>
    <x v="0"/>
    <x v="1"/>
    <n v="29430.52"/>
    <n v="14400.33"/>
    <s v="Boston"/>
    <x v="0"/>
    <s v="L"/>
    <s v="Green"/>
    <n v="3"/>
    <x v="1"/>
    <s v="Wholesale"/>
    <s v="Cash"/>
  </r>
  <r>
    <s v="ORD-202401712"/>
    <x v="1022"/>
    <n v="9099"/>
    <s v="21/02/1995"/>
    <x v="0"/>
    <x v="2"/>
    <n v="54409.19"/>
    <n v="32588.67"/>
    <s v="Seattle"/>
    <x v="2"/>
    <s v="L"/>
    <s v="Black"/>
    <n v="3"/>
    <x v="2"/>
    <s v="Retail"/>
    <s v="Bank Transfer"/>
  </r>
  <r>
    <s v="ORD-202401713"/>
    <x v="1083"/>
    <n v="5459"/>
    <s v="18/02/1972"/>
    <x v="0"/>
    <x v="0"/>
    <n v="9199.8799999999992"/>
    <n v="5462.57"/>
    <s v="Miami"/>
    <x v="0"/>
    <s v="M"/>
    <s v="Green"/>
    <n v="4"/>
    <x v="0"/>
    <s v="Retail"/>
    <s v="Bank Transfer"/>
  </r>
  <r>
    <s v="ORD-202401714"/>
    <x v="1084"/>
    <n v="9875"/>
    <s v="07/01/1989"/>
    <x v="0"/>
    <x v="1"/>
    <n v="22889.56"/>
    <n v="14368.54"/>
    <s v="Los Angeles"/>
    <x v="2"/>
    <s v="M"/>
    <s v="White"/>
    <n v="2"/>
    <x v="1"/>
    <s v="Wholesale"/>
    <s v="Bank Transfer"/>
  </r>
  <r>
    <s v="ORD-202401715"/>
    <x v="1085"/>
    <n v="3616"/>
    <s v="06/12/1983"/>
    <x v="0"/>
    <x v="2"/>
    <n v="6386.78"/>
    <n v="3174.26"/>
    <s v="Los Angeles"/>
    <x v="2"/>
    <s v="M"/>
    <s v="Green"/>
    <n v="2"/>
    <x v="1"/>
    <s v="Wholesale"/>
    <s v="PayPal"/>
  </r>
  <r>
    <s v="ORD-202401716"/>
    <x v="1072"/>
    <n v="2991"/>
    <s v="17/06/1993"/>
    <x v="1"/>
    <x v="4"/>
    <n v="24335.63"/>
    <n v="15044.75"/>
    <s v="Seattle"/>
    <x v="2"/>
    <s v="M"/>
    <s v="Yellow"/>
    <n v="5"/>
    <x v="0"/>
    <s v="Wholesale"/>
    <s v="PayPal"/>
  </r>
  <r>
    <s v="ORD-202401717"/>
    <x v="254"/>
    <n v="8632"/>
    <s v="26/07/1970"/>
    <x v="1"/>
    <x v="3"/>
    <n v="9937.69"/>
    <n v="5323.44"/>
    <s v="Minneapolis"/>
    <x v="1"/>
    <s v="M"/>
    <s v="Red"/>
    <n v="1"/>
    <x v="1"/>
    <s v="Retail"/>
    <s v="Bank Transfer"/>
  </r>
  <r>
    <s v="ORD-202401718"/>
    <x v="239"/>
    <n v="2870"/>
    <s v="28/06/1990"/>
    <x v="1"/>
    <x v="0"/>
    <n v="8751.18"/>
    <n v="4919.26"/>
    <s v="New York"/>
    <x v="0"/>
    <s v="S"/>
    <s v="Black"/>
    <n v="5"/>
    <x v="2"/>
    <s v="Retail"/>
    <s v="Cash"/>
  </r>
  <r>
    <s v="ORD-202401719"/>
    <x v="831"/>
    <n v="2318"/>
    <s v="15/03/1996"/>
    <x v="1"/>
    <x v="1"/>
    <n v="63264.57"/>
    <n v="32314.68"/>
    <s v="Los Angeles"/>
    <x v="2"/>
    <s v="L"/>
    <s v="Green"/>
    <n v="4"/>
    <x v="0"/>
    <s v="Retail"/>
    <s v="Bank Transfer"/>
  </r>
  <r>
    <s v="ORD-202401720"/>
    <x v="129"/>
    <n v="9167"/>
    <s v="10/03/1989"/>
    <x v="0"/>
    <x v="3"/>
    <n v="7526.65"/>
    <n v="4058.59"/>
    <s v="San Francisco"/>
    <x v="2"/>
    <s v="S"/>
    <s v="Black"/>
    <n v="5"/>
    <x v="0"/>
    <s v="Wholesale"/>
    <s v="Bank Transfer"/>
  </r>
  <r>
    <s v="ORD-202401721"/>
    <x v="1086"/>
    <n v="8219"/>
    <s v="14/02/1987"/>
    <x v="0"/>
    <x v="2"/>
    <n v="38778.910000000003"/>
    <n v="20337.64"/>
    <s v="San Francisco"/>
    <x v="2"/>
    <s v="XL"/>
    <s v="Blue"/>
    <n v="4"/>
    <x v="1"/>
    <s v="Retail"/>
    <s v="PayPal"/>
  </r>
  <r>
    <s v="ORD-202401722"/>
    <x v="513"/>
    <n v="5729"/>
    <s v="03/10/1979"/>
    <x v="1"/>
    <x v="3"/>
    <n v="10888.26"/>
    <n v="5557.21"/>
    <s v="Miami"/>
    <x v="0"/>
    <s v="XL"/>
    <s v="White"/>
    <n v="2"/>
    <x v="0"/>
    <s v="Retail"/>
    <s v="Cash"/>
  </r>
  <r>
    <s v="ORD-202401723"/>
    <x v="745"/>
    <n v="5885"/>
    <s v="05/05/1974"/>
    <x v="0"/>
    <x v="4"/>
    <n v="46754.63"/>
    <n v="21995.87"/>
    <s v="Seattle"/>
    <x v="2"/>
    <s v="M"/>
    <s v="Green"/>
    <n v="5"/>
    <x v="1"/>
    <s v="Wholesale"/>
    <s v="PayPal"/>
  </r>
  <r>
    <s v="ORD-202401724"/>
    <x v="823"/>
    <n v="5100"/>
    <s v="22/03/1971"/>
    <x v="1"/>
    <x v="3"/>
    <n v="6414.92"/>
    <n v="3577.79"/>
    <s v="New York"/>
    <x v="0"/>
    <s v="XL"/>
    <s v="Yellow"/>
    <n v="5"/>
    <x v="2"/>
    <s v="Wholesale"/>
    <s v="Cash"/>
  </r>
  <r>
    <s v="ORD-202401725"/>
    <x v="1087"/>
    <n v="9868"/>
    <s v="26/06/1982"/>
    <x v="0"/>
    <x v="0"/>
    <n v="10764.17"/>
    <n v="6142.79"/>
    <s v="Seattle"/>
    <x v="2"/>
    <s v="M"/>
    <s v="White"/>
    <n v="2"/>
    <x v="0"/>
    <s v="Retail"/>
    <s v="Bank Transfer"/>
  </r>
  <r>
    <s v="ORD-202401726"/>
    <x v="1088"/>
    <n v="2861"/>
    <s v="21/08/1996"/>
    <x v="0"/>
    <x v="0"/>
    <n v="8922.48"/>
    <n v="4117.99"/>
    <s v="New York"/>
    <x v="0"/>
    <s v="L"/>
    <s v="Yellow"/>
    <n v="2"/>
    <x v="1"/>
    <s v="Retail"/>
    <s v="Bank Transfer"/>
  </r>
  <r>
    <s v="ORD-202401727"/>
    <x v="695"/>
    <n v="9900"/>
    <s v="04/09/1973"/>
    <x v="1"/>
    <x v="3"/>
    <n v="4721.82"/>
    <n v="2609.81"/>
    <s v="Seattle"/>
    <x v="2"/>
    <s v="L"/>
    <s v="White"/>
    <n v="1"/>
    <x v="0"/>
    <s v="Retail"/>
    <s v="PayPal"/>
  </r>
  <r>
    <s v="ORD-202401728"/>
    <x v="866"/>
    <n v="1875"/>
    <s v="01/04/1999"/>
    <x v="1"/>
    <x v="1"/>
    <n v="54645.91"/>
    <n v="29489.11"/>
    <s v="Seattle"/>
    <x v="2"/>
    <s v="L"/>
    <s v="Yellow"/>
    <n v="4"/>
    <x v="2"/>
    <s v="Retail"/>
    <s v="Bank Transfer"/>
  </r>
  <r>
    <s v="ORD-202401729"/>
    <x v="766"/>
    <n v="9033"/>
    <s v="11/10/1974"/>
    <x v="0"/>
    <x v="2"/>
    <n v="13303.13"/>
    <n v="7439.87"/>
    <s v="New York"/>
    <x v="0"/>
    <s v="XL"/>
    <s v="Green"/>
    <n v="4"/>
    <x v="1"/>
    <s v="Wholesale"/>
    <s v="PayPal"/>
  </r>
  <r>
    <s v="ORD-202401730"/>
    <x v="239"/>
    <n v="2261"/>
    <s v="29/05/1989"/>
    <x v="1"/>
    <x v="4"/>
    <n v="19770.740000000002"/>
    <n v="12063.27"/>
    <s v="Boston"/>
    <x v="0"/>
    <s v="L"/>
    <s v="White"/>
    <n v="2"/>
    <x v="1"/>
    <s v="Retail"/>
    <s v="Cash"/>
  </r>
  <r>
    <s v="ORD-202401731"/>
    <x v="1089"/>
    <n v="3916"/>
    <s v="15/02/1990"/>
    <x v="1"/>
    <x v="3"/>
    <n v="4550.34"/>
    <n v="2590.6799999999998"/>
    <s v="San Francisco"/>
    <x v="2"/>
    <s v="XL"/>
    <s v="Blue"/>
    <n v="4"/>
    <x v="2"/>
    <s v="Retail"/>
    <s v="Cash"/>
  </r>
  <r>
    <s v="ORD-202401732"/>
    <x v="666"/>
    <n v="1877"/>
    <s v="30/01/1999"/>
    <x v="1"/>
    <x v="1"/>
    <n v="58327.19"/>
    <n v="37303.269999999997"/>
    <s v="New York"/>
    <x v="0"/>
    <s v="S"/>
    <s v="Red"/>
    <n v="2"/>
    <x v="0"/>
    <s v="Retail"/>
    <s v="Cash"/>
  </r>
  <r>
    <s v="ORD-202401733"/>
    <x v="33"/>
    <n v="2882"/>
    <s v="14/09/1977"/>
    <x v="1"/>
    <x v="2"/>
    <n v="21479.27"/>
    <n v="13891.37"/>
    <s v="San Francisco"/>
    <x v="2"/>
    <s v="M"/>
    <s v="White"/>
    <n v="1"/>
    <x v="2"/>
    <s v="Retail"/>
    <s v="Bank Transfer"/>
  </r>
  <r>
    <s v="ORD-202401734"/>
    <x v="179"/>
    <n v="1922"/>
    <s v="05/12/1983"/>
    <x v="0"/>
    <x v="2"/>
    <n v="26122.61"/>
    <n v="12608.56"/>
    <s v="Boston"/>
    <x v="0"/>
    <s v="L"/>
    <s v="Black"/>
    <n v="3"/>
    <x v="1"/>
    <s v="Wholesale"/>
    <s v="PayPal"/>
  </r>
  <r>
    <s v="ORD-202401735"/>
    <x v="1090"/>
    <n v="9981"/>
    <s v="04/07/2000"/>
    <x v="0"/>
    <x v="1"/>
    <n v="34769.769999999997"/>
    <n v="21561.51"/>
    <s v="Seattle"/>
    <x v="2"/>
    <s v="M"/>
    <s v="Yellow"/>
    <n v="2"/>
    <x v="1"/>
    <s v="Retail"/>
    <s v="Bank Transfer"/>
  </r>
  <r>
    <s v="ORD-202401736"/>
    <x v="378"/>
    <n v="2093"/>
    <s v="22/06/1984"/>
    <x v="1"/>
    <x v="4"/>
    <n v="53525.57"/>
    <n v="33374.76"/>
    <s v="San Francisco"/>
    <x v="2"/>
    <s v="M"/>
    <s v="Red"/>
    <n v="2"/>
    <x v="0"/>
    <s v="Retail"/>
    <s v="Cash"/>
  </r>
  <r>
    <s v="ORD-202401737"/>
    <x v="1091"/>
    <n v="5230"/>
    <s v="22/01/1986"/>
    <x v="0"/>
    <x v="2"/>
    <n v="47222.06"/>
    <n v="28081.33"/>
    <s v="Seattle"/>
    <x v="2"/>
    <s v="L"/>
    <s v="Green"/>
    <n v="2"/>
    <x v="1"/>
    <s v="Retail"/>
    <s v="Cash"/>
  </r>
  <r>
    <s v="ORD-202401738"/>
    <x v="370"/>
    <n v="9541"/>
    <s v="10/12/1987"/>
    <x v="1"/>
    <x v="3"/>
    <n v="15237.03"/>
    <n v="8751.43"/>
    <s v="New York"/>
    <x v="0"/>
    <s v="XL"/>
    <s v="Black"/>
    <n v="3"/>
    <x v="1"/>
    <s v="Wholesale"/>
    <s v="PayPal"/>
  </r>
  <r>
    <s v="ORD-202401739"/>
    <x v="1092"/>
    <n v="3880"/>
    <s v="03/06/1997"/>
    <x v="0"/>
    <x v="2"/>
    <n v="27762.22"/>
    <n v="16024.64"/>
    <s v="Boston"/>
    <x v="0"/>
    <s v="M"/>
    <s v="Green"/>
    <n v="1"/>
    <x v="1"/>
    <s v="Retail"/>
    <s v="Cash"/>
  </r>
  <r>
    <s v="ORD-202401740"/>
    <x v="943"/>
    <n v="1471"/>
    <s v="25/04/1990"/>
    <x v="1"/>
    <x v="3"/>
    <n v="9621.2999999999993"/>
    <n v="4562.47"/>
    <s v="Chicago"/>
    <x v="1"/>
    <s v="M"/>
    <s v="Black"/>
    <n v="3"/>
    <x v="2"/>
    <s v="Wholesale"/>
    <s v="Cash"/>
  </r>
  <r>
    <s v="ORD-202401741"/>
    <x v="1093"/>
    <n v="9605"/>
    <s v="22/03/1974"/>
    <x v="0"/>
    <x v="4"/>
    <n v="38758.019999999997"/>
    <n v="17916.52"/>
    <s v="Seattle"/>
    <x v="2"/>
    <s v="M"/>
    <s v="Blue"/>
    <n v="2"/>
    <x v="1"/>
    <s v="Retail"/>
    <s v="Cash"/>
  </r>
  <r>
    <s v="ORD-202401742"/>
    <x v="1094"/>
    <n v="3755"/>
    <s v="16/01/1982"/>
    <x v="1"/>
    <x v="4"/>
    <n v="54223.25"/>
    <n v="30394.81"/>
    <s v="Seattle"/>
    <x v="2"/>
    <s v="L"/>
    <s v="Blue"/>
    <n v="1"/>
    <x v="1"/>
    <s v="Retail"/>
    <s v="Bank Transfer"/>
  </r>
  <r>
    <s v="ORD-202401743"/>
    <x v="716"/>
    <n v="2933"/>
    <s v="28/01/1974"/>
    <x v="1"/>
    <x v="2"/>
    <n v="34431.85"/>
    <n v="22242.11"/>
    <s v="Seattle"/>
    <x v="2"/>
    <s v="XL"/>
    <s v="Green"/>
    <n v="1"/>
    <x v="0"/>
    <s v="Retail"/>
    <s v="Cash"/>
  </r>
  <r>
    <s v="ORD-202401744"/>
    <x v="1095"/>
    <n v="4154"/>
    <s v="30/11/1972"/>
    <x v="1"/>
    <x v="4"/>
    <n v="13027.84"/>
    <n v="6672.98"/>
    <s v="San Francisco"/>
    <x v="2"/>
    <s v="M"/>
    <s v="Green"/>
    <n v="3"/>
    <x v="2"/>
    <s v="Wholesale"/>
    <s v="PayPal"/>
  </r>
  <r>
    <s v="ORD-202401745"/>
    <x v="1096"/>
    <n v="4270"/>
    <s v="22/03/1971"/>
    <x v="1"/>
    <x v="2"/>
    <n v="17684.93"/>
    <n v="10138.780000000001"/>
    <s v="Los Angeles"/>
    <x v="2"/>
    <s v="M"/>
    <s v="Black"/>
    <n v="5"/>
    <x v="0"/>
    <s v="Retail"/>
    <s v="PayPal"/>
  </r>
  <r>
    <s v="ORD-202401746"/>
    <x v="188"/>
    <n v="7937"/>
    <s v="27/02/1996"/>
    <x v="0"/>
    <x v="1"/>
    <n v="64314.23"/>
    <n v="36271.26"/>
    <s v="Chicago"/>
    <x v="1"/>
    <s v="M"/>
    <s v="Blue"/>
    <n v="5"/>
    <x v="1"/>
    <s v="Retail"/>
    <s v="Cash"/>
  </r>
  <r>
    <s v="ORD-202401747"/>
    <x v="1097"/>
    <n v="1266"/>
    <s v="24/04/1997"/>
    <x v="0"/>
    <x v="3"/>
    <n v="11524.71"/>
    <n v="5890.38"/>
    <s v="Detroit"/>
    <x v="1"/>
    <s v="L"/>
    <s v="Black"/>
    <n v="2"/>
    <x v="1"/>
    <s v="Retail"/>
    <s v="PayPal"/>
  </r>
  <r>
    <s v="ORD-202401748"/>
    <x v="261"/>
    <n v="9476"/>
    <s v="15/06/1983"/>
    <x v="0"/>
    <x v="4"/>
    <n v="51880.88"/>
    <n v="26016.75"/>
    <s v="Seattle"/>
    <x v="2"/>
    <s v="XL"/>
    <s v="Green"/>
    <n v="1"/>
    <x v="2"/>
    <s v="Wholesale"/>
    <s v="Bank Transfer"/>
  </r>
  <r>
    <s v="ORD-202401749"/>
    <x v="700"/>
    <n v="5718"/>
    <s v="28/03/1986"/>
    <x v="0"/>
    <x v="2"/>
    <n v="14743.08"/>
    <n v="8779.3799999999992"/>
    <s v="Seattle"/>
    <x v="2"/>
    <s v="M"/>
    <s v="White"/>
    <n v="5"/>
    <x v="2"/>
    <s v="Retail"/>
    <s v="Bank Transfer"/>
  </r>
  <r>
    <s v="ORD-202401750"/>
    <x v="134"/>
    <n v="6691"/>
    <s v="29/11/1995"/>
    <x v="0"/>
    <x v="4"/>
    <n v="66061.509999999995"/>
    <n v="40992.019999999997"/>
    <s v="San Francisco"/>
    <x v="2"/>
    <s v="L"/>
    <s v="Yellow"/>
    <n v="3"/>
    <x v="2"/>
    <s v="Wholesale"/>
    <s v="PayPal"/>
  </r>
  <r>
    <s v="ORD-202401751"/>
    <x v="698"/>
    <n v="5642"/>
    <s v="05/12/1988"/>
    <x v="1"/>
    <x v="1"/>
    <n v="25589.66"/>
    <n v="14590.92"/>
    <s v="Chicago"/>
    <x v="1"/>
    <s v="XL"/>
    <s v="White"/>
    <n v="3"/>
    <x v="1"/>
    <s v="Retail"/>
    <s v="PayPal"/>
  </r>
  <r>
    <s v="ORD-202401752"/>
    <x v="565"/>
    <n v="5488"/>
    <s v="06/04/1985"/>
    <x v="0"/>
    <x v="4"/>
    <n v="32622.87"/>
    <n v="20875.64"/>
    <s v="New York"/>
    <x v="0"/>
    <s v="M"/>
    <s v="Green"/>
    <n v="3"/>
    <x v="0"/>
    <s v="Wholesale"/>
    <s v="Bank Transfer"/>
  </r>
  <r>
    <s v="ORD-202401753"/>
    <x v="840"/>
    <n v="5230"/>
    <s v="05/03/1994"/>
    <x v="1"/>
    <x v="3"/>
    <n v="2705.01"/>
    <n v="1596.39"/>
    <s v="Boston"/>
    <x v="0"/>
    <s v="XL"/>
    <s v="Black"/>
    <n v="1"/>
    <x v="2"/>
    <s v="Wholesale"/>
    <s v="Bank Transfer"/>
  </r>
  <r>
    <s v="ORD-202401754"/>
    <x v="931"/>
    <n v="1431"/>
    <s v="16/08/1973"/>
    <x v="0"/>
    <x v="3"/>
    <n v="14352.3"/>
    <n v="7206.89"/>
    <s v="New York"/>
    <x v="0"/>
    <s v="XL"/>
    <s v="Red"/>
    <n v="3"/>
    <x v="1"/>
    <s v="Wholesale"/>
    <s v="Bank Transfer"/>
  </r>
  <r>
    <s v="ORD-202401755"/>
    <x v="822"/>
    <n v="7920"/>
    <s v="29/08/1992"/>
    <x v="0"/>
    <x v="4"/>
    <n v="40068.39"/>
    <n v="21110.91"/>
    <s v="San Francisco"/>
    <x v="2"/>
    <s v="L"/>
    <s v="Green"/>
    <n v="5"/>
    <x v="2"/>
    <s v="Wholesale"/>
    <s v="Cash"/>
  </r>
  <r>
    <s v="ORD-202401756"/>
    <x v="104"/>
    <n v="9472"/>
    <s v="06/07/1989"/>
    <x v="1"/>
    <x v="3"/>
    <n v="3279.7"/>
    <n v="2116.33"/>
    <s v="Los Angeles"/>
    <x v="2"/>
    <s v="L"/>
    <s v="Green"/>
    <n v="1"/>
    <x v="0"/>
    <s v="Wholesale"/>
    <s v="Bank Transfer"/>
  </r>
  <r>
    <s v="ORD-202401757"/>
    <x v="1098"/>
    <n v="1746"/>
    <s v="12/12/1983"/>
    <x v="0"/>
    <x v="0"/>
    <n v="9855.7199999999993"/>
    <n v="5912.23"/>
    <s v="Detroit"/>
    <x v="1"/>
    <s v="L"/>
    <s v="Blue"/>
    <n v="5"/>
    <x v="1"/>
    <s v="Retail"/>
    <s v="PayPal"/>
  </r>
  <r>
    <s v="ORD-202401758"/>
    <x v="404"/>
    <n v="1545"/>
    <s v="28/06/1983"/>
    <x v="0"/>
    <x v="3"/>
    <n v="8288.1"/>
    <n v="5354.67"/>
    <s v="New York"/>
    <x v="0"/>
    <s v="M"/>
    <s v="Yellow"/>
    <n v="3"/>
    <x v="2"/>
    <s v="Wholesale"/>
    <s v="Bank Transfer"/>
  </r>
  <r>
    <s v="ORD-202401759"/>
    <x v="569"/>
    <n v="7738"/>
    <s v="23/03/1998"/>
    <x v="0"/>
    <x v="3"/>
    <n v="8966.27"/>
    <n v="4550.42"/>
    <s v="Miami"/>
    <x v="0"/>
    <s v="M"/>
    <s v="Black"/>
    <n v="4"/>
    <x v="2"/>
    <s v="Wholesale"/>
    <s v="PayPal"/>
  </r>
  <r>
    <s v="ORD-202401760"/>
    <x v="1099"/>
    <n v="2301"/>
    <s v="23/12/1970"/>
    <x v="0"/>
    <x v="1"/>
    <n v="44948.41"/>
    <n v="25423.77"/>
    <s v="San Francisco"/>
    <x v="2"/>
    <s v="L"/>
    <s v="Red"/>
    <n v="5"/>
    <x v="0"/>
    <s v="Retail"/>
    <s v="Bank Transfer"/>
  </r>
  <r>
    <s v="ORD-202401761"/>
    <x v="364"/>
    <n v="8531"/>
    <s v="20/12/1991"/>
    <x v="1"/>
    <x v="3"/>
    <n v="7694.42"/>
    <n v="4630.4799999999996"/>
    <s v="Boston"/>
    <x v="0"/>
    <s v="S"/>
    <s v="Blue"/>
    <n v="4"/>
    <x v="1"/>
    <s v="Retail"/>
    <s v="Cash"/>
  </r>
  <r>
    <s v="ORD-202401762"/>
    <x v="1057"/>
    <n v="5229"/>
    <s v="18/03/1998"/>
    <x v="1"/>
    <x v="2"/>
    <n v="27354.03"/>
    <n v="15579.48"/>
    <s v="New York"/>
    <x v="0"/>
    <s v="M"/>
    <s v="Blue"/>
    <n v="1"/>
    <x v="0"/>
    <s v="Wholesale"/>
    <s v="Cash"/>
  </r>
  <r>
    <s v="ORD-202401763"/>
    <x v="216"/>
    <n v="8348"/>
    <s v="23/02/1972"/>
    <x v="0"/>
    <x v="1"/>
    <n v="87826.19"/>
    <n v="55082.98"/>
    <s v="San Francisco"/>
    <x v="2"/>
    <s v="L"/>
    <s v="Green"/>
    <n v="3"/>
    <x v="0"/>
    <s v="Wholesale"/>
    <s v="Cash"/>
  </r>
  <r>
    <s v="ORD-202401764"/>
    <x v="362"/>
    <n v="6130"/>
    <s v="21/02/1994"/>
    <x v="0"/>
    <x v="2"/>
    <n v="29764.41"/>
    <n v="18761.87"/>
    <s v="New York"/>
    <x v="0"/>
    <s v="XL"/>
    <s v="White"/>
    <n v="3"/>
    <x v="0"/>
    <s v="Wholesale"/>
    <s v="Bank Transfer"/>
  </r>
  <r>
    <s v="ORD-202401765"/>
    <x v="809"/>
    <n v="6476"/>
    <s v="15/07/1992"/>
    <x v="0"/>
    <x v="2"/>
    <n v="22427.5"/>
    <n v="13898.06"/>
    <s v="Boston"/>
    <x v="0"/>
    <s v="XL"/>
    <s v="Black"/>
    <n v="4"/>
    <x v="0"/>
    <s v="Wholesale"/>
    <s v="Cash"/>
  </r>
  <r>
    <s v="ORD-202401766"/>
    <x v="812"/>
    <n v="5610"/>
    <s v="28/04/1991"/>
    <x v="0"/>
    <x v="1"/>
    <n v="27043.78"/>
    <n v="12982.62"/>
    <s v="Chicago"/>
    <x v="1"/>
    <s v="XL"/>
    <s v="White"/>
    <n v="4"/>
    <x v="1"/>
    <s v="Retail"/>
    <s v="Bank Transfer"/>
  </r>
  <r>
    <s v="ORD-202401767"/>
    <x v="97"/>
    <n v="4407"/>
    <s v="26/04/1979"/>
    <x v="0"/>
    <x v="4"/>
    <n v="37216.370000000003"/>
    <n v="17180.48"/>
    <s v="San Francisco"/>
    <x v="2"/>
    <s v="S"/>
    <s v="Black"/>
    <n v="1"/>
    <x v="0"/>
    <s v="Retail"/>
    <s v="Cash"/>
  </r>
  <r>
    <s v="ORD-202401768"/>
    <x v="1100"/>
    <n v="5759"/>
    <s v="11/11/1980"/>
    <x v="1"/>
    <x v="2"/>
    <n v="22915.47"/>
    <n v="12719.62"/>
    <s v="Miami"/>
    <x v="0"/>
    <s v="L"/>
    <s v="Black"/>
    <n v="4"/>
    <x v="1"/>
    <s v="Retail"/>
    <s v="Cash"/>
  </r>
  <r>
    <s v="ORD-202401769"/>
    <x v="1101"/>
    <n v="1220"/>
    <s v="27/04/1998"/>
    <x v="0"/>
    <x v="4"/>
    <n v="13221.34"/>
    <n v="6026.03"/>
    <s v="Detroit"/>
    <x v="1"/>
    <s v="S"/>
    <s v="Red"/>
    <n v="1"/>
    <x v="0"/>
    <s v="Wholesale"/>
    <s v="PayPal"/>
  </r>
  <r>
    <s v="ORD-202401770"/>
    <x v="845"/>
    <n v="9222"/>
    <s v="30/11/1996"/>
    <x v="1"/>
    <x v="2"/>
    <n v="25880.31"/>
    <n v="16789.169999999998"/>
    <s v="Detroit"/>
    <x v="1"/>
    <s v="S"/>
    <s v="Yellow"/>
    <n v="1"/>
    <x v="0"/>
    <s v="Retail"/>
    <s v="Cash"/>
  </r>
  <r>
    <s v="ORD-202401771"/>
    <x v="158"/>
    <n v="6111"/>
    <s v="07/06/1973"/>
    <x v="1"/>
    <x v="0"/>
    <n v="10320.57"/>
    <n v="5521.61"/>
    <s v="Miami"/>
    <x v="0"/>
    <s v="S"/>
    <s v="Yellow"/>
    <n v="4"/>
    <x v="0"/>
    <s v="Wholesale"/>
    <s v="Bank Transfer"/>
  </r>
  <r>
    <s v="ORD-202401772"/>
    <x v="986"/>
    <n v="9971"/>
    <s v="14/03/1987"/>
    <x v="0"/>
    <x v="1"/>
    <n v="63696.39"/>
    <n v="28864.95"/>
    <s v="Boston"/>
    <x v="0"/>
    <s v="L"/>
    <s v="Black"/>
    <n v="2"/>
    <x v="1"/>
    <s v="Retail"/>
    <s v="PayPal"/>
  </r>
  <r>
    <s v="ORD-202401773"/>
    <x v="211"/>
    <n v="4812"/>
    <s v="12/05/1977"/>
    <x v="0"/>
    <x v="1"/>
    <n v="14102.97"/>
    <n v="6855.4"/>
    <s v="New York"/>
    <x v="0"/>
    <s v="M"/>
    <s v="White"/>
    <n v="4"/>
    <x v="2"/>
    <s v="Wholesale"/>
    <s v="Bank Transfer"/>
  </r>
  <r>
    <s v="ORD-202401774"/>
    <x v="388"/>
    <n v="3548"/>
    <s v="02/11/1977"/>
    <x v="0"/>
    <x v="0"/>
    <n v="9900.07"/>
    <n v="5157.05"/>
    <s v="San Francisco"/>
    <x v="2"/>
    <s v="M"/>
    <s v="Red"/>
    <n v="5"/>
    <x v="1"/>
    <s v="Retail"/>
    <s v="Bank Transfer"/>
  </r>
  <r>
    <s v="ORD-202401775"/>
    <x v="941"/>
    <n v="8434"/>
    <s v="13/05/1981"/>
    <x v="1"/>
    <x v="4"/>
    <n v="19600.7"/>
    <n v="10604.79"/>
    <s v="Los Angeles"/>
    <x v="2"/>
    <s v="L"/>
    <s v="Blue"/>
    <n v="1"/>
    <x v="1"/>
    <s v="Wholesale"/>
    <s v="Bank Transfer"/>
  </r>
  <r>
    <s v="ORD-202401776"/>
    <x v="306"/>
    <n v="8878"/>
    <s v="19/08/1992"/>
    <x v="0"/>
    <x v="3"/>
    <n v="13238.36"/>
    <n v="8584.0499999999993"/>
    <s v="Seattle"/>
    <x v="2"/>
    <s v="XL"/>
    <s v="White"/>
    <n v="3"/>
    <x v="2"/>
    <s v="Wholesale"/>
    <s v="Bank Transfer"/>
  </r>
  <r>
    <s v="ORD-202401777"/>
    <x v="1102"/>
    <n v="9281"/>
    <s v="04/06/1973"/>
    <x v="0"/>
    <x v="4"/>
    <n v="8486.93"/>
    <n v="4422.2700000000004"/>
    <s v="Los Angeles"/>
    <x v="2"/>
    <s v="L"/>
    <s v="Blue"/>
    <n v="3"/>
    <x v="2"/>
    <s v="Wholesale"/>
    <s v="Bank Transfer"/>
  </r>
  <r>
    <s v="ORD-202401778"/>
    <x v="1063"/>
    <n v="6974"/>
    <s v="18/02/1994"/>
    <x v="0"/>
    <x v="2"/>
    <n v="37367.870000000003"/>
    <n v="20469.82"/>
    <s v="New York"/>
    <x v="0"/>
    <s v="L"/>
    <s v="Green"/>
    <n v="5"/>
    <x v="2"/>
    <s v="Retail"/>
    <s v="PayPal"/>
  </r>
  <r>
    <s v="ORD-202401779"/>
    <x v="38"/>
    <n v="7145"/>
    <s v="30/08/1977"/>
    <x v="1"/>
    <x v="3"/>
    <n v="8765.7199999999993"/>
    <n v="4854.16"/>
    <s v="Boston"/>
    <x v="0"/>
    <s v="S"/>
    <s v="White"/>
    <n v="4"/>
    <x v="1"/>
    <s v="Wholesale"/>
    <s v="Cash"/>
  </r>
  <r>
    <s v="ORD-202401780"/>
    <x v="493"/>
    <n v="9974"/>
    <s v="11/02/1974"/>
    <x v="0"/>
    <x v="1"/>
    <n v="65460.79"/>
    <n v="42454.63"/>
    <s v="New York"/>
    <x v="0"/>
    <s v="S"/>
    <s v="Green"/>
    <n v="4"/>
    <x v="1"/>
    <s v="Retail"/>
    <s v="PayPal"/>
  </r>
  <r>
    <s v="ORD-202401781"/>
    <x v="457"/>
    <n v="7061"/>
    <s v="14/04/1997"/>
    <x v="1"/>
    <x v="2"/>
    <n v="20126.240000000002"/>
    <n v="10031.57"/>
    <s v="Chicago"/>
    <x v="1"/>
    <s v="S"/>
    <s v="Yellow"/>
    <n v="1"/>
    <x v="1"/>
    <s v="Retail"/>
    <s v="Cash"/>
  </r>
  <r>
    <s v="ORD-202401782"/>
    <x v="911"/>
    <n v="2443"/>
    <s v="06/01/1988"/>
    <x v="0"/>
    <x v="2"/>
    <n v="19040.169999999998"/>
    <n v="9833.64"/>
    <s v="New York"/>
    <x v="0"/>
    <s v="L"/>
    <s v="Green"/>
    <n v="2"/>
    <x v="2"/>
    <s v="Wholesale"/>
    <s v="Bank Transfer"/>
  </r>
  <r>
    <s v="ORD-202401783"/>
    <x v="155"/>
    <n v="8224"/>
    <s v="06/03/1990"/>
    <x v="0"/>
    <x v="4"/>
    <n v="39424.31"/>
    <n v="18527.91"/>
    <s v="Los Angeles"/>
    <x v="2"/>
    <s v="S"/>
    <s v="Yellow"/>
    <n v="4"/>
    <x v="1"/>
    <s v="Retail"/>
    <s v="PayPal"/>
  </r>
  <r>
    <s v="ORD-202401784"/>
    <x v="742"/>
    <n v="4889"/>
    <s v="21/05/1989"/>
    <x v="1"/>
    <x v="1"/>
    <n v="44705.19"/>
    <n v="28042.18"/>
    <s v="Miami"/>
    <x v="0"/>
    <s v="S"/>
    <s v="Yellow"/>
    <n v="2"/>
    <x v="0"/>
    <s v="Retail"/>
    <s v="Bank Transfer"/>
  </r>
  <r>
    <s v="ORD-202401785"/>
    <x v="1103"/>
    <n v="2344"/>
    <s v="06/10/1983"/>
    <x v="0"/>
    <x v="2"/>
    <n v="4944.42"/>
    <n v="3185.89"/>
    <s v="Detroit"/>
    <x v="1"/>
    <s v="XL"/>
    <s v="Black"/>
    <n v="4"/>
    <x v="0"/>
    <s v="Retail"/>
    <s v="Cash"/>
  </r>
  <r>
    <s v="ORD-202401786"/>
    <x v="1104"/>
    <n v="5096"/>
    <s v="17/10/1999"/>
    <x v="0"/>
    <x v="0"/>
    <n v="13024.52"/>
    <n v="6182.73"/>
    <s v="Detroit"/>
    <x v="1"/>
    <s v="M"/>
    <s v="White"/>
    <n v="5"/>
    <x v="2"/>
    <s v="Retail"/>
    <s v="Cash"/>
  </r>
  <r>
    <s v="ORD-202401787"/>
    <x v="627"/>
    <n v="7242"/>
    <s v="05/03/1999"/>
    <x v="1"/>
    <x v="2"/>
    <n v="44277.2"/>
    <n v="20194.63"/>
    <s v="Miami"/>
    <x v="0"/>
    <s v="M"/>
    <s v="Black"/>
    <n v="3"/>
    <x v="0"/>
    <s v="Wholesale"/>
    <s v="PayPal"/>
  </r>
  <r>
    <s v="ORD-202401788"/>
    <x v="1016"/>
    <n v="6762"/>
    <s v="13/09/1999"/>
    <x v="1"/>
    <x v="4"/>
    <n v="17652.59"/>
    <n v="8412.06"/>
    <s v="Los Angeles"/>
    <x v="2"/>
    <s v="XL"/>
    <s v="Red"/>
    <n v="2"/>
    <x v="1"/>
    <s v="Retail"/>
    <s v="PayPal"/>
  </r>
  <r>
    <s v="ORD-202401789"/>
    <x v="671"/>
    <n v="4135"/>
    <s v="25/05/1981"/>
    <x v="1"/>
    <x v="1"/>
    <n v="92652.19"/>
    <n v="44375.73"/>
    <s v="Miami"/>
    <x v="0"/>
    <s v="L"/>
    <s v="Red"/>
    <n v="3"/>
    <x v="1"/>
    <s v="Wholesale"/>
    <s v="Cash"/>
  </r>
  <r>
    <s v="ORD-202401790"/>
    <x v="134"/>
    <n v="9454"/>
    <s v="12/08/1976"/>
    <x v="1"/>
    <x v="3"/>
    <n v="4048.79"/>
    <n v="2129.75"/>
    <s v="Seattle"/>
    <x v="2"/>
    <s v="L"/>
    <s v="Yellow"/>
    <n v="1"/>
    <x v="1"/>
    <s v="Wholesale"/>
    <s v="Cash"/>
  </r>
  <r>
    <s v="ORD-202401791"/>
    <x v="342"/>
    <n v="8391"/>
    <s v="27/10/1981"/>
    <x v="1"/>
    <x v="0"/>
    <n v="20313.830000000002"/>
    <n v="11607.27"/>
    <s v="San Francisco"/>
    <x v="2"/>
    <s v="L"/>
    <s v="Red"/>
    <n v="5"/>
    <x v="1"/>
    <s v="Wholesale"/>
    <s v="PayPal"/>
  </r>
  <r>
    <s v="ORD-202401792"/>
    <x v="597"/>
    <n v="5253"/>
    <s v="08/11/2000"/>
    <x v="0"/>
    <x v="1"/>
    <n v="14575.23"/>
    <n v="9184.09"/>
    <s v="Boston"/>
    <x v="0"/>
    <s v="L"/>
    <s v="Black"/>
    <n v="3"/>
    <x v="1"/>
    <s v="Retail"/>
    <s v="PayPal"/>
  </r>
  <r>
    <s v="ORD-202401793"/>
    <x v="433"/>
    <n v="7972"/>
    <s v="04/08/1985"/>
    <x v="0"/>
    <x v="1"/>
    <n v="20018.080000000002"/>
    <n v="10566.96"/>
    <s v="Boston"/>
    <x v="0"/>
    <s v="S"/>
    <s v="White"/>
    <n v="2"/>
    <x v="2"/>
    <s v="Retail"/>
    <s v="PayPal"/>
  </r>
  <r>
    <s v="ORD-202401794"/>
    <x v="44"/>
    <n v="7261"/>
    <s v="10/12/1994"/>
    <x v="0"/>
    <x v="3"/>
    <n v="21039.47"/>
    <n v="11495.94"/>
    <s v="Los Angeles"/>
    <x v="2"/>
    <s v="L"/>
    <s v="Black"/>
    <n v="4"/>
    <x v="2"/>
    <s v="Retail"/>
    <s v="PayPal"/>
  </r>
  <r>
    <s v="ORD-202401795"/>
    <x v="1025"/>
    <n v="9536"/>
    <s v="02/07/1981"/>
    <x v="1"/>
    <x v="1"/>
    <n v="55487.360000000001"/>
    <n v="31185.22"/>
    <s v="New York"/>
    <x v="0"/>
    <s v="L"/>
    <s v="Green"/>
    <n v="1"/>
    <x v="0"/>
    <s v="Wholesale"/>
    <s v="Bank Transfer"/>
  </r>
  <r>
    <s v="ORD-202401796"/>
    <x v="135"/>
    <n v="8217"/>
    <s v="20/10/1983"/>
    <x v="0"/>
    <x v="0"/>
    <n v="14539.4"/>
    <n v="8254.09"/>
    <s v="Boston"/>
    <x v="0"/>
    <s v="S"/>
    <s v="Black"/>
    <n v="4"/>
    <x v="0"/>
    <s v="Wholesale"/>
    <s v="PayPal"/>
  </r>
  <r>
    <s v="ORD-202401797"/>
    <x v="461"/>
    <n v="5191"/>
    <s v="09/05/1970"/>
    <x v="1"/>
    <x v="4"/>
    <n v="57215.43"/>
    <n v="31797.14"/>
    <s v="Los Angeles"/>
    <x v="2"/>
    <s v="XL"/>
    <s v="Green"/>
    <n v="4"/>
    <x v="0"/>
    <s v="Retail"/>
    <s v="Cash"/>
  </r>
  <r>
    <s v="ORD-202401798"/>
    <x v="391"/>
    <n v="9610"/>
    <s v="15/02/1977"/>
    <x v="0"/>
    <x v="3"/>
    <n v="15816.6"/>
    <n v="9967.84"/>
    <s v="Seattle"/>
    <x v="2"/>
    <s v="S"/>
    <s v="Yellow"/>
    <n v="2"/>
    <x v="1"/>
    <s v="Retail"/>
    <s v="Cash"/>
  </r>
  <r>
    <s v="ORD-202401799"/>
    <x v="390"/>
    <n v="7920"/>
    <s v="27/07/2000"/>
    <x v="1"/>
    <x v="1"/>
    <n v="93822.36"/>
    <n v="54213.16"/>
    <s v="Seattle"/>
    <x v="2"/>
    <s v="S"/>
    <s v="Yellow"/>
    <n v="4"/>
    <x v="1"/>
    <s v="Wholesale"/>
    <s v="Cash"/>
  </r>
  <r>
    <s v="ORD-202401800"/>
    <x v="161"/>
    <n v="6484"/>
    <s v="22/04/1991"/>
    <x v="0"/>
    <x v="0"/>
    <n v="5348.15"/>
    <n v="2788.97"/>
    <s v="Miami"/>
    <x v="0"/>
    <s v="M"/>
    <s v="Red"/>
    <n v="4"/>
    <x v="1"/>
    <s v="Retail"/>
    <s v="PayPal"/>
  </r>
  <r>
    <s v="ORD-202401801"/>
    <x v="298"/>
    <n v="5498"/>
    <s v="01/12/1991"/>
    <x v="1"/>
    <x v="4"/>
    <n v="60331.69"/>
    <n v="28198.86"/>
    <s v="Seattle"/>
    <x v="2"/>
    <s v="S"/>
    <s v="Black"/>
    <n v="3"/>
    <x v="2"/>
    <s v="Retail"/>
    <s v="Cash"/>
  </r>
  <r>
    <s v="ORD-202401802"/>
    <x v="124"/>
    <n v="9077"/>
    <s v="15/04/1975"/>
    <x v="1"/>
    <x v="0"/>
    <n v="10843.49"/>
    <n v="5365.4"/>
    <s v="San Francisco"/>
    <x v="2"/>
    <s v="XL"/>
    <s v="Green"/>
    <n v="3"/>
    <x v="1"/>
    <s v="Retail"/>
    <s v="PayPal"/>
  </r>
  <r>
    <s v="ORD-202401803"/>
    <x v="327"/>
    <n v="4892"/>
    <s v="22/02/1989"/>
    <x v="0"/>
    <x v="1"/>
    <n v="94423.91"/>
    <n v="43431.61"/>
    <s v="Los Angeles"/>
    <x v="2"/>
    <s v="M"/>
    <s v="Green"/>
    <n v="5"/>
    <x v="2"/>
    <s v="Retail"/>
    <s v="Cash"/>
  </r>
  <r>
    <s v="ORD-202401804"/>
    <x v="483"/>
    <n v="8788"/>
    <s v="27/10/1995"/>
    <x v="0"/>
    <x v="3"/>
    <n v="4191.21"/>
    <n v="2121.41"/>
    <s v="Los Angeles"/>
    <x v="2"/>
    <s v="M"/>
    <s v="Yellow"/>
    <n v="3"/>
    <x v="0"/>
    <s v="Wholesale"/>
    <s v="Cash"/>
  </r>
  <r>
    <s v="ORD-202401805"/>
    <x v="331"/>
    <n v="1799"/>
    <s v="27/10/1994"/>
    <x v="1"/>
    <x v="1"/>
    <n v="60471.95"/>
    <n v="35607.79"/>
    <s v="Seattle"/>
    <x v="2"/>
    <s v="S"/>
    <s v="Black"/>
    <n v="5"/>
    <x v="2"/>
    <s v="Retail"/>
    <s v="Cash"/>
  </r>
  <r>
    <s v="ORD-202401806"/>
    <x v="215"/>
    <n v="8186"/>
    <s v="31/10/1979"/>
    <x v="0"/>
    <x v="1"/>
    <n v="35419.629999999997"/>
    <n v="22180.79"/>
    <s v="San Francisco"/>
    <x v="2"/>
    <s v="XL"/>
    <s v="White"/>
    <n v="4"/>
    <x v="1"/>
    <s v="Retail"/>
    <s v="Bank Transfer"/>
  </r>
  <r>
    <s v="ORD-202401807"/>
    <x v="1105"/>
    <n v="8166"/>
    <s v="02/11/1971"/>
    <x v="1"/>
    <x v="2"/>
    <n v="48632.77"/>
    <n v="30944.01"/>
    <s v="Los Angeles"/>
    <x v="2"/>
    <s v="XL"/>
    <s v="Black"/>
    <n v="2"/>
    <x v="0"/>
    <s v="Retail"/>
    <s v="Bank Transfer"/>
  </r>
  <r>
    <s v="ORD-202401808"/>
    <x v="1106"/>
    <n v="2031"/>
    <s v="29/12/1997"/>
    <x v="0"/>
    <x v="3"/>
    <n v="12489.07"/>
    <n v="6002.64"/>
    <s v="Miami"/>
    <x v="0"/>
    <s v="L"/>
    <s v="White"/>
    <n v="4"/>
    <x v="0"/>
    <s v="Wholesale"/>
    <s v="Cash"/>
  </r>
  <r>
    <s v="ORD-202401809"/>
    <x v="1099"/>
    <n v="6258"/>
    <s v="12/01/1986"/>
    <x v="0"/>
    <x v="0"/>
    <n v="7380.78"/>
    <n v="4592.17"/>
    <s v="Minneapolis"/>
    <x v="1"/>
    <s v="XL"/>
    <s v="White"/>
    <n v="3"/>
    <x v="2"/>
    <s v="Retail"/>
    <s v="Cash"/>
  </r>
  <r>
    <s v="ORD-202401810"/>
    <x v="1049"/>
    <n v="7515"/>
    <s v="19/08/1986"/>
    <x v="1"/>
    <x v="4"/>
    <n v="23797.4"/>
    <n v="11979.59"/>
    <s v="Minneapolis"/>
    <x v="1"/>
    <s v="XL"/>
    <s v="Red"/>
    <n v="4"/>
    <x v="0"/>
    <s v="Wholesale"/>
    <s v="Cash"/>
  </r>
  <r>
    <s v="ORD-202401811"/>
    <x v="1107"/>
    <n v="2639"/>
    <s v="19/07/1995"/>
    <x v="0"/>
    <x v="4"/>
    <n v="23320.44"/>
    <n v="12241.57"/>
    <s v="Minneapolis"/>
    <x v="1"/>
    <s v="S"/>
    <s v="Blue"/>
    <n v="5"/>
    <x v="0"/>
    <s v="Retail"/>
    <s v="Cash"/>
  </r>
  <r>
    <s v="ORD-202401812"/>
    <x v="1108"/>
    <n v="8036"/>
    <s v="02/07/1974"/>
    <x v="1"/>
    <x v="0"/>
    <n v="12488.73"/>
    <n v="6064.14"/>
    <s v="Boston"/>
    <x v="0"/>
    <s v="M"/>
    <s v="Yellow"/>
    <n v="3"/>
    <x v="0"/>
    <s v="Retail"/>
    <s v="Bank Transfer"/>
  </r>
  <r>
    <s v="ORD-202401813"/>
    <x v="621"/>
    <n v="1307"/>
    <s v="06/08/1991"/>
    <x v="1"/>
    <x v="2"/>
    <n v="21315.29"/>
    <n v="12683.81"/>
    <s v="San Francisco"/>
    <x v="2"/>
    <s v="L"/>
    <s v="Black"/>
    <n v="2"/>
    <x v="0"/>
    <s v="Retail"/>
    <s v="Bank Transfer"/>
  </r>
  <r>
    <s v="ORD-202401814"/>
    <x v="750"/>
    <n v="3862"/>
    <s v="15/04/1995"/>
    <x v="0"/>
    <x v="1"/>
    <n v="64992.45"/>
    <n v="40036.239999999998"/>
    <s v="Boston"/>
    <x v="0"/>
    <s v="L"/>
    <s v="Yellow"/>
    <n v="1"/>
    <x v="0"/>
    <s v="Wholesale"/>
    <s v="PayPal"/>
  </r>
  <r>
    <s v="ORD-202401815"/>
    <x v="1109"/>
    <n v="3047"/>
    <s v="07/12/1990"/>
    <x v="0"/>
    <x v="2"/>
    <n v="34694.01"/>
    <n v="16374.11"/>
    <s v="Los Angeles"/>
    <x v="2"/>
    <s v="L"/>
    <s v="Black"/>
    <n v="3"/>
    <x v="0"/>
    <s v="Wholesale"/>
    <s v="Bank Transfer"/>
  </r>
  <r>
    <s v="ORD-202401816"/>
    <x v="1110"/>
    <n v="9790"/>
    <s v="09/10/1981"/>
    <x v="1"/>
    <x v="2"/>
    <n v="8553.92"/>
    <n v="4452.1400000000003"/>
    <s v="Miami"/>
    <x v="0"/>
    <s v="L"/>
    <s v="White"/>
    <n v="5"/>
    <x v="1"/>
    <s v="Retail"/>
    <s v="Cash"/>
  </r>
  <r>
    <s v="ORD-202401817"/>
    <x v="459"/>
    <n v="7447"/>
    <s v="10/04/1974"/>
    <x v="1"/>
    <x v="3"/>
    <n v="18553"/>
    <n v="9736.9599999999991"/>
    <s v="Seattle"/>
    <x v="2"/>
    <s v="M"/>
    <s v="Yellow"/>
    <n v="3"/>
    <x v="1"/>
    <s v="Wholesale"/>
    <s v="PayPal"/>
  </r>
  <r>
    <s v="ORD-202401818"/>
    <x v="1111"/>
    <n v="6636"/>
    <s v="10/02/1996"/>
    <x v="1"/>
    <x v="2"/>
    <n v="28481.07"/>
    <n v="14533.39"/>
    <s v="San Francisco"/>
    <x v="2"/>
    <s v="XL"/>
    <s v="Green"/>
    <n v="5"/>
    <x v="1"/>
    <s v="Retail"/>
    <s v="Cash"/>
  </r>
  <r>
    <s v="ORD-202401819"/>
    <x v="104"/>
    <n v="4168"/>
    <s v="11/04/1975"/>
    <x v="1"/>
    <x v="0"/>
    <n v="7117.01"/>
    <n v="3506.42"/>
    <s v="Seattle"/>
    <x v="2"/>
    <s v="L"/>
    <s v="White"/>
    <n v="1"/>
    <x v="1"/>
    <s v="Retail"/>
    <s v="Bank Transfer"/>
  </r>
  <r>
    <s v="ORD-202401820"/>
    <x v="505"/>
    <n v="9072"/>
    <s v="01/06/1981"/>
    <x v="1"/>
    <x v="3"/>
    <n v="13805.46"/>
    <n v="8439.66"/>
    <s v="Seattle"/>
    <x v="2"/>
    <s v="M"/>
    <s v="Green"/>
    <n v="1"/>
    <x v="0"/>
    <s v="Wholesale"/>
    <s v="PayPal"/>
  </r>
  <r>
    <s v="ORD-202401821"/>
    <x v="313"/>
    <n v="7593"/>
    <s v="22/09/1986"/>
    <x v="0"/>
    <x v="1"/>
    <n v="21373.35"/>
    <n v="9726.58"/>
    <s v="Los Angeles"/>
    <x v="2"/>
    <s v="XL"/>
    <s v="Red"/>
    <n v="1"/>
    <x v="1"/>
    <s v="Retail"/>
    <s v="PayPal"/>
  </r>
  <r>
    <s v="ORD-202401822"/>
    <x v="621"/>
    <n v="8536"/>
    <s v="11/03/1987"/>
    <x v="1"/>
    <x v="0"/>
    <n v="14198.46"/>
    <n v="7777.58"/>
    <s v="Los Angeles"/>
    <x v="2"/>
    <s v="XL"/>
    <s v="Black"/>
    <n v="5"/>
    <x v="1"/>
    <s v="Retail"/>
    <s v="Bank Transfer"/>
  </r>
  <r>
    <s v="ORD-202401823"/>
    <x v="953"/>
    <n v="4872"/>
    <s v="10/12/1995"/>
    <x v="1"/>
    <x v="3"/>
    <n v="6854.93"/>
    <n v="4012.68"/>
    <s v="Miami"/>
    <x v="0"/>
    <s v="L"/>
    <s v="Blue"/>
    <n v="4"/>
    <x v="0"/>
    <s v="Retail"/>
    <s v="PayPal"/>
  </r>
  <r>
    <s v="ORD-202401824"/>
    <x v="218"/>
    <n v="8445"/>
    <s v="04/08/1972"/>
    <x v="0"/>
    <x v="1"/>
    <n v="21697.279999999999"/>
    <n v="12099.84"/>
    <s v="Boston"/>
    <x v="0"/>
    <s v="L"/>
    <s v="Red"/>
    <n v="2"/>
    <x v="1"/>
    <s v="Retail"/>
    <s v="Cash"/>
  </r>
  <r>
    <s v="ORD-202401825"/>
    <x v="504"/>
    <n v="8669"/>
    <s v="28/01/1997"/>
    <x v="1"/>
    <x v="4"/>
    <n v="14103.83"/>
    <n v="8138.62"/>
    <s v="Boston"/>
    <x v="0"/>
    <s v="M"/>
    <s v="White"/>
    <n v="4"/>
    <x v="2"/>
    <s v="Wholesale"/>
    <s v="Bank Transfer"/>
  </r>
  <r>
    <s v="ORD-202401826"/>
    <x v="132"/>
    <n v="9522"/>
    <s v="09/01/1982"/>
    <x v="0"/>
    <x v="1"/>
    <n v="26309.26"/>
    <n v="15878.4"/>
    <s v="Boston"/>
    <x v="0"/>
    <s v="S"/>
    <s v="Black"/>
    <n v="1"/>
    <x v="2"/>
    <s v="Wholesale"/>
    <s v="Cash"/>
  </r>
  <r>
    <s v="ORD-202401827"/>
    <x v="281"/>
    <n v="1412"/>
    <s v="28/06/1987"/>
    <x v="0"/>
    <x v="1"/>
    <n v="62343.44"/>
    <n v="32327.63"/>
    <s v="Detroit"/>
    <x v="1"/>
    <s v="XL"/>
    <s v="Blue"/>
    <n v="4"/>
    <x v="2"/>
    <s v="Wholesale"/>
    <s v="PayPal"/>
  </r>
  <r>
    <s v="ORD-202401828"/>
    <x v="873"/>
    <n v="8031"/>
    <s v="06/07/1987"/>
    <x v="0"/>
    <x v="4"/>
    <n v="12964"/>
    <n v="6161.16"/>
    <s v="New York"/>
    <x v="0"/>
    <s v="M"/>
    <s v="Blue"/>
    <n v="2"/>
    <x v="1"/>
    <s v="Wholesale"/>
    <s v="Cash"/>
  </r>
  <r>
    <s v="ORD-202401829"/>
    <x v="375"/>
    <n v="9015"/>
    <s v="08/04/1996"/>
    <x v="0"/>
    <x v="3"/>
    <n v="11732.65"/>
    <n v="7180.41"/>
    <s v="Los Angeles"/>
    <x v="2"/>
    <s v="L"/>
    <s v="White"/>
    <n v="3"/>
    <x v="0"/>
    <s v="Retail"/>
    <s v="PayPal"/>
  </r>
  <r>
    <s v="ORD-202401830"/>
    <x v="1112"/>
    <n v="5590"/>
    <s v="22/03/1984"/>
    <x v="1"/>
    <x v="0"/>
    <n v="17243.86"/>
    <n v="8136.95"/>
    <s v="San Francisco"/>
    <x v="2"/>
    <s v="S"/>
    <s v="Black"/>
    <n v="5"/>
    <x v="0"/>
    <s v="Wholesale"/>
    <s v="PayPal"/>
  </r>
  <r>
    <s v="ORD-202401831"/>
    <x v="1113"/>
    <n v="6539"/>
    <s v="27/10/1970"/>
    <x v="0"/>
    <x v="2"/>
    <n v="12298.53"/>
    <n v="6893.61"/>
    <s v="Los Angeles"/>
    <x v="2"/>
    <s v="S"/>
    <s v="Black"/>
    <n v="5"/>
    <x v="1"/>
    <s v="Wholesale"/>
    <s v="PayPal"/>
  </r>
  <r>
    <s v="ORD-202401832"/>
    <x v="1114"/>
    <n v="2315"/>
    <s v="12/04/1992"/>
    <x v="1"/>
    <x v="0"/>
    <n v="12473.86"/>
    <n v="5948.98"/>
    <s v="San Francisco"/>
    <x v="2"/>
    <s v="S"/>
    <s v="Red"/>
    <n v="3"/>
    <x v="0"/>
    <s v="Retail"/>
    <s v="Cash"/>
  </r>
  <r>
    <s v="ORD-202401833"/>
    <x v="1115"/>
    <n v="9875"/>
    <s v="31/07/1977"/>
    <x v="0"/>
    <x v="3"/>
    <n v="14170.58"/>
    <n v="6409.12"/>
    <s v="Los Angeles"/>
    <x v="2"/>
    <s v="S"/>
    <s v="Yellow"/>
    <n v="4"/>
    <x v="2"/>
    <s v="Retail"/>
    <s v="Bank Transfer"/>
  </r>
  <r>
    <s v="ORD-202401834"/>
    <x v="1069"/>
    <n v="8916"/>
    <s v="02/09/1999"/>
    <x v="1"/>
    <x v="4"/>
    <n v="13812.73"/>
    <n v="7717.07"/>
    <s v="Miami"/>
    <x v="0"/>
    <s v="XL"/>
    <s v="White"/>
    <n v="2"/>
    <x v="0"/>
    <s v="Retail"/>
    <s v="Bank Transfer"/>
  </r>
  <r>
    <s v="ORD-202401835"/>
    <x v="1116"/>
    <n v="2536"/>
    <s v="28/04/1978"/>
    <x v="1"/>
    <x v="0"/>
    <n v="5072.03"/>
    <n v="2568.41"/>
    <s v="San Francisco"/>
    <x v="2"/>
    <s v="XL"/>
    <s v="Yellow"/>
    <n v="1"/>
    <x v="0"/>
    <s v="Retail"/>
    <s v="Bank Transfer"/>
  </r>
  <r>
    <s v="ORD-202401836"/>
    <x v="410"/>
    <n v="7342"/>
    <s v="05/04/1977"/>
    <x v="1"/>
    <x v="4"/>
    <n v="30197.46"/>
    <n v="18395.36"/>
    <s v="Chicago"/>
    <x v="1"/>
    <s v="L"/>
    <s v="Yellow"/>
    <n v="4"/>
    <x v="0"/>
    <s v="Retail"/>
    <s v="PayPal"/>
  </r>
  <r>
    <s v="ORD-202401837"/>
    <x v="754"/>
    <n v="1334"/>
    <s v="30/04/1997"/>
    <x v="1"/>
    <x v="2"/>
    <n v="49339.06"/>
    <n v="24671.23"/>
    <s v="Los Angeles"/>
    <x v="2"/>
    <s v="S"/>
    <s v="Yellow"/>
    <n v="4"/>
    <x v="0"/>
    <s v="Retail"/>
    <s v="Cash"/>
  </r>
  <r>
    <s v="ORD-202401838"/>
    <x v="903"/>
    <n v="1869"/>
    <s v="20/03/1990"/>
    <x v="0"/>
    <x v="3"/>
    <n v="14105.84"/>
    <n v="8427.94"/>
    <s v="Seattle"/>
    <x v="2"/>
    <s v="L"/>
    <s v="Yellow"/>
    <n v="5"/>
    <x v="1"/>
    <s v="Retail"/>
    <s v="PayPal"/>
  </r>
  <r>
    <s v="ORD-202401839"/>
    <x v="1117"/>
    <n v="2931"/>
    <s v="09/11/1977"/>
    <x v="1"/>
    <x v="1"/>
    <n v="71393.37"/>
    <n v="33083.47"/>
    <s v="San Francisco"/>
    <x v="2"/>
    <s v="M"/>
    <s v="Black"/>
    <n v="4"/>
    <x v="0"/>
    <s v="Wholesale"/>
    <s v="Bank Transfer"/>
  </r>
  <r>
    <s v="ORD-202401840"/>
    <x v="497"/>
    <n v="1410"/>
    <s v="29/12/1988"/>
    <x v="1"/>
    <x v="0"/>
    <n v="5622.21"/>
    <n v="2840.73"/>
    <s v="Minneapolis"/>
    <x v="1"/>
    <s v="S"/>
    <s v="Blue"/>
    <n v="5"/>
    <x v="1"/>
    <s v="Wholesale"/>
    <s v="Bank Transfer"/>
  </r>
  <r>
    <s v="ORD-202401841"/>
    <x v="892"/>
    <n v="2354"/>
    <s v="27/08/1998"/>
    <x v="0"/>
    <x v="3"/>
    <n v="6462.69"/>
    <n v="3488.09"/>
    <s v="Boston"/>
    <x v="0"/>
    <s v="L"/>
    <s v="Red"/>
    <n v="4"/>
    <x v="1"/>
    <s v="Wholesale"/>
    <s v="Bank Transfer"/>
  </r>
  <r>
    <s v="ORD-202401842"/>
    <x v="989"/>
    <n v="5984"/>
    <s v="28/08/1973"/>
    <x v="0"/>
    <x v="0"/>
    <n v="14158.04"/>
    <n v="8537.74"/>
    <s v="Boston"/>
    <x v="0"/>
    <s v="M"/>
    <s v="Yellow"/>
    <n v="2"/>
    <x v="1"/>
    <s v="Retail"/>
    <s v="Bank Transfer"/>
  </r>
  <r>
    <s v="ORD-202401843"/>
    <x v="1118"/>
    <n v="4613"/>
    <s v="15/07/1970"/>
    <x v="1"/>
    <x v="1"/>
    <n v="81633.789999999994"/>
    <n v="50814.14"/>
    <s v="Boston"/>
    <x v="0"/>
    <s v="XL"/>
    <s v="Red"/>
    <n v="4"/>
    <x v="2"/>
    <s v="Retail"/>
    <s v="Bank Transfer"/>
  </r>
  <r>
    <s v="ORD-202401844"/>
    <x v="1119"/>
    <n v="5971"/>
    <s v="22/07/1972"/>
    <x v="0"/>
    <x v="4"/>
    <n v="12794.07"/>
    <n v="8086.05"/>
    <s v="New York"/>
    <x v="0"/>
    <s v="XL"/>
    <s v="Red"/>
    <n v="3"/>
    <x v="1"/>
    <s v="Retail"/>
    <s v="PayPal"/>
  </r>
  <r>
    <s v="ORD-202401845"/>
    <x v="312"/>
    <n v="8343"/>
    <s v="21/09/1980"/>
    <x v="1"/>
    <x v="0"/>
    <n v="10004.94"/>
    <n v="4732.9399999999996"/>
    <s v="Detroit"/>
    <x v="1"/>
    <s v="XL"/>
    <s v="White"/>
    <n v="4"/>
    <x v="0"/>
    <s v="Wholesale"/>
    <s v="Cash"/>
  </r>
  <r>
    <s v="ORD-202401846"/>
    <x v="1075"/>
    <n v="8455"/>
    <s v="03/05/1996"/>
    <x v="0"/>
    <x v="2"/>
    <n v="41773.24"/>
    <n v="24137.02"/>
    <s v="San Francisco"/>
    <x v="2"/>
    <s v="XL"/>
    <s v="Blue"/>
    <n v="1"/>
    <x v="1"/>
    <s v="Retail"/>
    <s v="PayPal"/>
  </r>
  <r>
    <s v="ORD-202401847"/>
    <x v="610"/>
    <n v="5325"/>
    <s v="03/06/1992"/>
    <x v="1"/>
    <x v="3"/>
    <n v="4942.3500000000004"/>
    <n v="2224.38"/>
    <s v="Boston"/>
    <x v="0"/>
    <s v="L"/>
    <s v="Yellow"/>
    <n v="1"/>
    <x v="0"/>
    <s v="Wholesale"/>
    <s v="Bank Transfer"/>
  </r>
  <r>
    <s v="ORD-202401848"/>
    <x v="25"/>
    <n v="1320"/>
    <s v="12/05/1987"/>
    <x v="1"/>
    <x v="3"/>
    <n v="15023.68"/>
    <n v="7248.02"/>
    <s v="New York"/>
    <x v="0"/>
    <s v="S"/>
    <s v="White"/>
    <n v="5"/>
    <x v="0"/>
    <s v="Retail"/>
    <s v="Bank Transfer"/>
  </r>
  <r>
    <s v="ORD-202401849"/>
    <x v="75"/>
    <n v="2723"/>
    <s v="07/04/1975"/>
    <x v="0"/>
    <x v="3"/>
    <n v="2944.04"/>
    <n v="1886.17"/>
    <s v="Detroit"/>
    <x v="1"/>
    <s v="XL"/>
    <s v="White"/>
    <n v="3"/>
    <x v="2"/>
    <s v="Retail"/>
    <s v="PayPal"/>
  </r>
  <r>
    <s v="ORD-202401850"/>
    <x v="474"/>
    <n v="3485"/>
    <s v="14/06/1990"/>
    <x v="0"/>
    <x v="2"/>
    <n v="16816.599999999999"/>
    <n v="9506.81"/>
    <s v="Miami"/>
    <x v="0"/>
    <s v="L"/>
    <s v="Yellow"/>
    <n v="3"/>
    <x v="1"/>
    <s v="Wholesale"/>
    <s v="Cash"/>
  </r>
  <r>
    <s v="ORD-202401851"/>
    <x v="1120"/>
    <n v="9657"/>
    <s v="21/01/1987"/>
    <x v="1"/>
    <x v="4"/>
    <n v="40756.910000000003"/>
    <n v="18433.599999999999"/>
    <s v="Boston"/>
    <x v="0"/>
    <s v="XL"/>
    <s v="White"/>
    <n v="5"/>
    <x v="0"/>
    <s v="Retail"/>
    <s v="PayPal"/>
  </r>
  <r>
    <s v="ORD-202401852"/>
    <x v="1121"/>
    <n v="8804"/>
    <s v="30/07/1994"/>
    <x v="0"/>
    <x v="4"/>
    <n v="35785.06"/>
    <n v="22274.78"/>
    <s v="Miami"/>
    <x v="0"/>
    <s v="XL"/>
    <s v="White"/>
    <n v="4"/>
    <x v="0"/>
    <s v="Retail"/>
    <s v="PayPal"/>
  </r>
  <r>
    <s v="ORD-202401853"/>
    <x v="922"/>
    <n v="9142"/>
    <s v="30/12/1979"/>
    <x v="1"/>
    <x v="3"/>
    <n v="11838.89"/>
    <n v="7409.59"/>
    <s v="Seattle"/>
    <x v="2"/>
    <s v="XL"/>
    <s v="Red"/>
    <n v="1"/>
    <x v="1"/>
    <s v="Retail"/>
    <s v="Cash"/>
  </r>
  <r>
    <s v="ORD-202401854"/>
    <x v="1122"/>
    <n v="1532"/>
    <s v="29/05/1978"/>
    <x v="1"/>
    <x v="4"/>
    <n v="24121.24"/>
    <n v="15201.24"/>
    <s v="Chicago"/>
    <x v="1"/>
    <s v="M"/>
    <s v="Green"/>
    <n v="2"/>
    <x v="1"/>
    <s v="Retail"/>
    <s v="Cash"/>
  </r>
  <r>
    <s v="ORD-202401855"/>
    <x v="791"/>
    <n v="5586"/>
    <s v="25/04/1981"/>
    <x v="1"/>
    <x v="4"/>
    <n v="12191.79"/>
    <n v="6464.42"/>
    <s v="Los Angeles"/>
    <x v="2"/>
    <s v="S"/>
    <s v="White"/>
    <n v="5"/>
    <x v="2"/>
    <s v="Retail"/>
    <s v="Cash"/>
  </r>
  <r>
    <s v="ORD-202401856"/>
    <x v="217"/>
    <n v="6587"/>
    <s v="22/07/1978"/>
    <x v="1"/>
    <x v="2"/>
    <n v="24743.63"/>
    <n v="13073.48"/>
    <s v="New York"/>
    <x v="0"/>
    <s v="M"/>
    <s v="Yellow"/>
    <n v="3"/>
    <x v="1"/>
    <s v="Retail"/>
    <s v="Cash"/>
  </r>
  <r>
    <s v="ORD-202401857"/>
    <x v="428"/>
    <n v="9700"/>
    <s v="21/05/1981"/>
    <x v="1"/>
    <x v="4"/>
    <n v="18628.93"/>
    <n v="10167.209999999999"/>
    <s v="New York"/>
    <x v="0"/>
    <s v="L"/>
    <s v="Blue"/>
    <n v="1"/>
    <x v="1"/>
    <s v="Retail"/>
    <s v="PayPal"/>
  </r>
  <r>
    <s v="ORD-202401858"/>
    <x v="1123"/>
    <n v="9673"/>
    <s v="03/06/1976"/>
    <x v="0"/>
    <x v="4"/>
    <n v="19987.39"/>
    <n v="12889.57"/>
    <s v="Miami"/>
    <x v="0"/>
    <s v="XL"/>
    <s v="Green"/>
    <n v="2"/>
    <x v="1"/>
    <s v="Wholesale"/>
    <s v="Bank Transfer"/>
  </r>
  <r>
    <s v="ORD-202401859"/>
    <x v="1124"/>
    <n v="7502"/>
    <s v="02/06/1994"/>
    <x v="0"/>
    <x v="1"/>
    <n v="70779.850000000006"/>
    <n v="32446.1"/>
    <s v="Miami"/>
    <x v="0"/>
    <s v="M"/>
    <s v="Blue"/>
    <n v="1"/>
    <x v="1"/>
    <s v="Retail"/>
    <s v="Bank Transfer"/>
  </r>
  <r>
    <s v="ORD-202401860"/>
    <x v="1125"/>
    <n v="7574"/>
    <s v="17/02/1995"/>
    <x v="1"/>
    <x v="0"/>
    <n v="25314.45"/>
    <n v="16208.44"/>
    <s v="Los Angeles"/>
    <x v="2"/>
    <s v="M"/>
    <s v="Yellow"/>
    <n v="4"/>
    <x v="0"/>
    <s v="Wholesale"/>
    <s v="Cash"/>
  </r>
  <r>
    <s v="ORD-202401861"/>
    <x v="424"/>
    <n v="5122"/>
    <s v="03/06/1973"/>
    <x v="0"/>
    <x v="1"/>
    <n v="66380.91"/>
    <n v="37404.1"/>
    <s v="Detroit"/>
    <x v="1"/>
    <s v="XL"/>
    <s v="Blue"/>
    <n v="5"/>
    <x v="2"/>
    <s v="Retail"/>
    <s v="PayPal"/>
  </r>
  <r>
    <s v="ORD-202401862"/>
    <x v="227"/>
    <n v="3994"/>
    <s v="25/09/1978"/>
    <x v="0"/>
    <x v="2"/>
    <n v="22543.24"/>
    <n v="10231.86"/>
    <s v="Miami"/>
    <x v="0"/>
    <s v="S"/>
    <s v="Black"/>
    <n v="1"/>
    <x v="1"/>
    <s v="Retail"/>
    <s v="Bank Transfer"/>
  </r>
  <r>
    <s v="ORD-202401863"/>
    <x v="1126"/>
    <n v="1059"/>
    <s v="07/06/1999"/>
    <x v="0"/>
    <x v="3"/>
    <n v="9808.56"/>
    <n v="5373.32"/>
    <s v="New York"/>
    <x v="0"/>
    <s v="L"/>
    <s v="Green"/>
    <n v="3"/>
    <x v="1"/>
    <s v="Retail"/>
    <s v="Bank Transfer"/>
  </r>
  <r>
    <s v="ORD-202401864"/>
    <x v="1127"/>
    <n v="7800"/>
    <s v="15/03/1988"/>
    <x v="0"/>
    <x v="3"/>
    <n v="10072.93"/>
    <n v="5176.5600000000004"/>
    <s v="Boston"/>
    <x v="0"/>
    <s v="S"/>
    <s v="Red"/>
    <n v="3"/>
    <x v="1"/>
    <s v="Wholesale"/>
    <s v="PayPal"/>
  </r>
  <r>
    <s v="ORD-202401865"/>
    <x v="1128"/>
    <n v="8885"/>
    <s v="26/06/1972"/>
    <x v="1"/>
    <x v="4"/>
    <n v="16935.41"/>
    <n v="9459.6200000000008"/>
    <s v="San Francisco"/>
    <x v="2"/>
    <s v="M"/>
    <s v="Blue"/>
    <n v="1"/>
    <x v="0"/>
    <s v="Retail"/>
    <s v="Bank Transfer"/>
  </r>
  <r>
    <s v="ORD-202401866"/>
    <x v="1129"/>
    <n v="1171"/>
    <s v="25/11/1998"/>
    <x v="1"/>
    <x v="0"/>
    <n v="4294.33"/>
    <n v="2007.96"/>
    <s v="Los Angeles"/>
    <x v="2"/>
    <s v="L"/>
    <s v="Green"/>
    <n v="4"/>
    <x v="2"/>
    <s v="Retail"/>
    <s v="Cash"/>
  </r>
  <r>
    <s v="ORD-202401867"/>
    <x v="793"/>
    <n v="2633"/>
    <s v="08/06/1992"/>
    <x v="1"/>
    <x v="2"/>
    <n v="9977.2900000000009"/>
    <n v="5218.09"/>
    <s v="Los Angeles"/>
    <x v="2"/>
    <s v="S"/>
    <s v="Yellow"/>
    <n v="4"/>
    <x v="0"/>
    <s v="Wholesale"/>
    <s v="Bank Transfer"/>
  </r>
  <r>
    <s v="ORD-202401868"/>
    <x v="493"/>
    <n v="1757"/>
    <s v="12/11/1975"/>
    <x v="0"/>
    <x v="1"/>
    <n v="73932.160000000003"/>
    <n v="35557.49"/>
    <s v="New York"/>
    <x v="0"/>
    <s v="L"/>
    <s v="Blue"/>
    <n v="2"/>
    <x v="1"/>
    <s v="Retail"/>
    <s v="PayPal"/>
  </r>
  <r>
    <s v="ORD-202401869"/>
    <x v="1130"/>
    <n v="6578"/>
    <s v="19/05/1991"/>
    <x v="0"/>
    <x v="3"/>
    <n v="13685.97"/>
    <n v="6441"/>
    <s v="Los Angeles"/>
    <x v="2"/>
    <s v="L"/>
    <s v="Green"/>
    <n v="1"/>
    <x v="1"/>
    <s v="Wholesale"/>
    <s v="PayPal"/>
  </r>
  <r>
    <s v="ORD-202401870"/>
    <x v="1131"/>
    <n v="6476"/>
    <s v="07/12/1990"/>
    <x v="1"/>
    <x v="2"/>
    <n v="14440.85"/>
    <n v="8979.93"/>
    <s v="New York"/>
    <x v="0"/>
    <s v="L"/>
    <s v="Blue"/>
    <n v="3"/>
    <x v="0"/>
    <s v="Retail"/>
    <s v="Cash"/>
  </r>
  <r>
    <s v="ORD-202401871"/>
    <x v="845"/>
    <n v="9936"/>
    <s v="13/03/1993"/>
    <x v="0"/>
    <x v="2"/>
    <n v="29872.32"/>
    <n v="14504.91"/>
    <s v="New York"/>
    <x v="0"/>
    <s v="XL"/>
    <s v="Black"/>
    <n v="4"/>
    <x v="1"/>
    <s v="Wholesale"/>
    <s v="Bank Transfer"/>
  </r>
  <r>
    <s v="ORD-202401872"/>
    <x v="738"/>
    <n v="4133"/>
    <s v="30/04/1983"/>
    <x v="1"/>
    <x v="1"/>
    <n v="33026.71"/>
    <n v="20696.79"/>
    <s v="Miami"/>
    <x v="0"/>
    <s v="L"/>
    <s v="Yellow"/>
    <n v="4"/>
    <x v="0"/>
    <s v="Retail"/>
    <s v="Bank Transfer"/>
  </r>
  <r>
    <s v="ORD-202401873"/>
    <x v="1132"/>
    <n v="4650"/>
    <s v="16/10/1983"/>
    <x v="0"/>
    <x v="2"/>
    <n v="41462.75"/>
    <n v="23744.75"/>
    <s v="Los Angeles"/>
    <x v="2"/>
    <s v="S"/>
    <s v="Blue"/>
    <n v="3"/>
    <x v="2"/>
    <s v="Wholesale"/>
    <s v="PayPal"/>
  </r>
  <r>
    <s v="ORD-202401874"/>
    <x v="1133"/>
    <n v="1500"/>
    <s v="07/02/1998"/>
    <x v="0"/>
    <x v="1"/>
    <n v="80154.84"/>
    <n v="36221.71"/>
    <s v="San Francisco"/>
    <x v="2"/>
    <s v="S"/>
    <s v="White"/>
    <n v="3"/>
    <x v="0"/>
    <s v="Retail"/>
    <s v="Cash"/>
  </r>
  <r>
    <s v="ORD-202401875"/>
    <x v="263"/>
    <n v="3062"/>
    <s v="17/03/1976"/>
    <x v="1"/>
    <x v="2"/>
    <n v="21577.77"/>
    <n v="10373.68"/>
    <s v="Los Angeles"/>
    <x v="2"/>
    <s v="S"/>
    <s v="Blue"/>
    <n v="4"/>
    <x v="0"/>
    <s v="Retail"/>
    <s v="PayPal"/>
  </r>
  <r>
    <s v="ORD-202401876"/>
    <x v="343"/>
    <n v="2642"/>
    <s v="18/08/1972"/>
    <x v="1"/>
    <x v="3"/>
    <n v="5442.32"/>
    <n v="2712.15"/>
    <s v="Boston"/>
    <x v="0"/>
    <s v="S"/>
    <s v="White"/>
    <n v="2"/>
    <x v="2"/>
    <s v="Retail"/>
    <s v="Cash"/>
  </r>
  <r>
    <s v="ORD-202401877"/>
    <x v="1134"/>
    <n v="2077"/>
    <s v="08/07/1970"/>
    <x v="1"/>
    <x v="1"/>
    <n v="31783.17"/>
    <n v="18182.37"/>
    <s v="San Francisco"/>
    <x v="2"/>
    <s v="M"/>
    <s v="Blue"/>
    <n v="3"/>
    <x v="0"/>
    <s v="Wholesale"/>
    <s v="Bank Transfer"/>
  </r>
  <r>
    <s v="ORD-202401878"/>
    <x v="1135"/>
    <n v="6292"/>
    <s v="14/11/1980"/>
    <x v="1"/>
    <x v="4"/>
    <n v="45985.05"/>
    <n v="29077.21"/>
    <s v="San Francisco"/>
    <x v="2"/>
    <s v="XL"/>
    <s v="White"/>
    <n v="1"/>
    <x v="2"/>
    <s v="Retail"/>
    <s v="PayPal"/>
  </r>
  <r>
    <s v="ORD-202401879"/>
    <x v="902"/>
    <n v="8618"/>
    <s v="06/07/1983"/>
    <x v="0"/>
    <x v="4"/>
    <n v="34348.959999999999"/>
    <n v="15529.84"/>
    <s v="Los Angeles"/>
    <x v="2"/>
    <s v="M"/>
    <s v="Blue"/>
    <n v="5"/>
    <x v="0"/>
    <s v="Retail"/>
    <s v="PayPal"/>
  </r>
  <r>
    <s v="ORD-202401880"/>
    <x v="691"/>
    <n v="6107"/>
    <s v="11/01/1973"/>
    <x v="1"/>
    <x v="1"/>
    <n v="21217.85"/>
    <n v="11683.56"/>
    <s v="Chicago"/>
    <x v="1"/>
    <s v="M"/>
    <s v="Black"/>
    <n v="3"/>
    <x v="1"/>
    <s v="Wholesale"/>
    <s v="Cash"/>
  </r>
  <r>
    <s v="ORD-202401881"/>
    <x v="1086"/>
    <n v="9072"/>
    <s v="11/10/1997"/>
    <x v="0"/>
    <x v="4"/>
    <n v="29573.52"/>
    <n v="17743.669999999998"/>
    <s v="Miami"/>
    <x v="0"/>
    <s v="XL"/>
    <s v="White"/>
    <n v="3"/>
    <x v="2"/>
    <s v="Retail"/>
    <s v="PayPal"/>
  </r>
  <r>
    <s v="ORD-202401882"/>
    <x v="484"/>
    <n v="1314"/>
    <s v="15/12/1987"/>
    <x v="1"/>
    <x v="2"/>
    <n v="17893.18"/>
    <n v="8810.64"/>
    <s v="Los Angeles"/>
    <x v="2"/>
    <s v="M"/>
    <s v="Black"/>
    <n v="3"/>
    <x v="1"/>
    <s v="Retail"/>
    <s v="PayPal"/>
  </r>
  <r>
    <s v="ORD-202401883"/>
    <x v="290"/>
    <n v="4626"/>
    <s v="04/06/1974"/>
    <x v="0"/>
    <x v="4"/>
    <n v="13093.01"/>
    <n v="7152.45"/>
    <s v="San Francisco"/>
    <x v="2"/>
    <s v="L"/>
    <s v="Green"/>
    <n v="2"/>
    <x v="0"/>
    <s v="Wholesale"/>
    <s v="Cash"/>
  </r>
  <r>
    <s v="ORD-202401884"/>
    <x v="1136"/>
    <n v="5802"/>
    <s v="04/11/1976"/>
    <x v="1"/>
    <x v="1"/>
    <n v="81741.31"/>
    <n v="37137.35"/>
    <s v="Los Angeles"/>
    <x v="2"/>
    <s v="L"/>
    <s v="Blue"/>
    <n v="4"/>
    <x v="1"/>
    <s v="Retail"/>
    <s v="Bank Transfer"/>
  </r>
  <r>
    <s v="ORD-202401885"/>
    <x v="65"/>
    <n v="2570"/>
    <s v="26/08/1984"/>
    <x v="0"/>
    <x v="2"/>
    <n v="23548.36"/>
    <n v="11019.57"/>
    <s v="Los Angeles"/>
    <x v="2"/>
    <s v="L"/>
    <s v="Green"/>
    <n v="5"/>
    <x v="2"/>
    <s v="Retail"/>
    <s v="PayPal"/>
  </r>
  <r>
    <s v="ORD-202401886"/>
    <x v="1137"/>
    <n v="3495"/>
    <s v="24/10/1976"/>
    <x v="1"/>
    <x v="0"/>
    <n v="14853.46"/>
    <n v="7852.34"/>
    <s v="Minneapolis"/>
    <x v="1"/>
    <s v="S"/>
    <s v="Red"/>
    <n v="5"/>
    <x v="0"/>
    <s v="Retail"/>
    <s v="Bank Transfer"/>
  </r>
  <r>
    <s v="ORD-202401887"/>
    <x v="957"/>
    <n v="9468"/>
    <s v="25/10/1991"/>
    <x v="0"/>
    <x v="2"/>
    <n v="22727.41"/>
    <n v="14065.91"/>
    <s v="Chicago"/>
    <x v="1"/>
    <s v="L"/>
    <s v="Red"/>
    <n v="3"/>
    <x v="0"/>
    <s v="Retail"/>
    <s v="PayPal"/>
  </r>
  <r>
    <s v="ORD-202401888"/>
    <x v="1138"/>
    <n v="2803"/>
    <s v="07/02/1991"/>
    <x v="1"/>
    <x v="3"/>
    <n v="16725.12"/>
    <n v="10397.41"/>
    <s v="San Francisco"/>
    <x v="2"/>
    <s v="L"/>
    <s v="Green"/>
    <n v="4"/>
    <x v="2"/>
    <s v="Wholesale"/>
    <s v="Bank Transfer"/>
  </r>
  <r>
    <s v="ORD-202401889"/>
    <x v="1139"/>
    <n v="5549"/>
    <s v="24/11/1975"/>
    <x v="1"/>
    <x v="4"/>
    <n v="23602.36"/>
    <n v="14585.77"/>
    <s v="Los Angeles"/>
    <x v="2"/>
    <s v="XL"/>
    <s v="Red"/>
    <n v="4"/>
    <x v="1"/>
    <s v="Wholesale"/>
    <s v="PayPal"/>
  </r>
  <r>
    <s v="ORD-202401890"/>
    <x v="188"/>
    <n v="6176"/>
    <s v="26/08/1980"/>
    <x v="0"/>
    <x v="0"/>
    <n v="4542.8"/>
    <n v="2752.12"/>
    <s v="Boston"/>
    <x v="0"/>
    <s v="XL"/>
    <s v="White"/>
    <n v="1"/>
    <x v="1"/>
    <s v="Retail"/>
    <s v="Cash"/>
  </r>
  <r>
    <s v="ORD-202401891"/>
    <x v="408"/>
    <n v="7881"/>
    <s v="13/12/1999"/>
    <x v="1"/>
    <x v="0"/>
    <n v="14046.19"/>
    <n v="6538.07"/>
    <s v="Seattle"/>
    <x v="2"/>
    <s v="M"/>
    <s v="Black"/>
    <n v="2"/>
    <x v="0"/>
    <s v="Retail"/>
    <s v="PayPal"/>
  </r>
  <r>
    <s v="ORD-202401892"/>
    <x v="1140"/>
    <n v="2573"/>
    <s v="24/09/1988"/>
    <x v="0"/>
    <x v="4"/>
    <n v="31598.23"/>
    <n v="18010.330000000002"/>
    <s v="Seattle"/>
    <x v="2"/>
    <s v="XL"/>
    <s v="Yellow"/>
    <n v="5"/>
    <x v="0"/>
    <s v="Retail"/>
    <s v="PayPal"/>
  </r>
  <r>
    <s v="ORD-202401893"/>
    <x v="749"/>
    <n v="7322"/>
    <s v="21/02/1975"/>
    <x v="0"/>
    <x v="0"/>
    <n v="17318.259999999998"/>
    <n v="8187.66"/>
    <s v="San Francisco"/>
    <x v="2"/>
    <s v="XL"/>
    <s v="Black"/>
    <n v="5"/>
    <x v="0"/>
    <s v="Retail"/>
    <s v="PayPal"/>
  </r>
  <r>
    <s v="ORD-202401894"/>
    <x v="1141"/>
    <n v="1576"/>
    <s v="27/02/1998"/>
    <x v="1"/>
    <x v="3"/>
    <n v="6008.3"/>
    <n v="3184.71"/>
    <s v="San Francisco"/>
    <x v="2"/>
    <s v="M"/>
    <s v="White"/>
    <n v="4"/>
    <x v="1"/>
    <s v="Retail"/>
    <s v="Bank Transfer"/>
  </r>
  <r>
    <s v="ORD-202401895"/>
    <x v="108"/>
    <n v="2839"/>
    <s v="07/11/1994"/>
    <x v="1"/>
    <x v="1"/>
    <n v="41870.89"/>
    <n v="24136.67"/>
    <s v="Detroit"/>
    <x v="1"/>
    <s v="XL"/>
    <s v="Blue"/>
    <n v="3"/>
    <x v="1"/>
    <s v="Retail"/>
    <s v="PayPal"/>
  </r>
  <r>
    <s v="ORD-202401896"/>
    <x v="927"/>
    <n v="1814"/>
    <s v="16/12/1979"/>
    <x v="1"/>
    <x v="0"/>
    <n v="11027.77"/>
    <n v="7062.85"/>
    <s v="Seattle"/>
    <x v="2"/>
    <s v="L"/>
    <s v="Red"/>
    <n v="3"/>
    <x v="1"/>
    <s v="Retail"/>
    <s v="PayPal"/>
  </r>
  <r>
    <s v="ORD-202401897"/>
    <x v="970"/>
    <n v="1578"/>
    <s v="26/10/1981"/>
    <x v="1"/>
    <x v="3"/>
    <n v="8683.77"/>
    <n v="4802.3"/>
    <s v="San Francisco"/>
    <x v="2"/>
    <s v="XL"/>
    <s v="White"/>
    <n v="3"/>
    <x v="1"/>
    <s v="Retail"/>
    <s v="Bank Transfer"/>
  </r>
  <r>
    <s v="ORD-202401898"/>
    <x v="1142"/>
    <n v="6987"/>
    <s v="01/10/1985"/>
    <x v="1"/>
    <x v="1"/>
    <n v="20345.75"/>
    <n v="10391.27"/>
    <s v="Chicago"/>
    <x v="1"/>
    <s v="S"/>
    <s v="Yellow"/>
    <n v="1"/>
    <x v="2"/>
    <s v="Wholesale"/>
    <s v="Cash"/>
  </r>
  <r>
    <s v="ORD-202401899"/>
    <x v="1143"/>
    <n v="6670"/>
    <s v="28/09/1993"/>
    <x v="1"/>
    <x v="4"/>
    <n v="15192.92"/>
    <n v="9240.36"/>
    <s v="New York"/>
    <x v="0"/>
    <s v="M"/>
    <s v="White"/>
    <n v="4"/>
    <x v="0"/>
    <s v="Retail"/>
    <s v="PayPal"/>
  </r>
  <r>
    <s v="ORD-202401900"/>
    <x v="1144"/>
    <n v="3635"/>
    <s v="20/07/1996"/>
    <x v="1"/>
    <x v="1"/>
    <n v="27412.84"/>
    <n v="13888.28"/>
    <s v="San Francisco"/>
    <x v="2"/>
    <s v="XL"/>
    <s v="Black"/>
    <n v="2"/>
    <x v="1"/>
    <s v="Retail"/>
    <s v="Bank Transfer"/>
  </r>
  <r>
    <s v="ORD-202401901"/>
    <x v="1094"/>
    <n v="6263"/>
    <s v="12/02/1985"/>
    <x v="0"/>
    <x v="3"/>
    <n v="13409.13"/>
    <n v="8707.32"/>
    <s v="New York"/>
    <x v="0"/>
    <s v="L"/>
    <s v="Yellow"/>
    <n v="1"/>
    <x v="0"/>
    <s v="Wholesale"/>
    <s v="Cash"/>
  </r>
  <r>
    <s v="ORD-202401902"/>
    <x v="689"/>
    <n v="7577"/>
    <s v="01/04/1992"/>
    <x v="1"/>
    <x v="3"/>
    <n v="6826.59"/>
    <n v="3768.28"/>
    <s v="Boston"/>
    <x v="0"/>
    <s v="M"/>
    <s v="Green"/>
    <n v="4"/>
    <x v="1"/>
    <s v="Retail"/>
    <s v="Cash"/>
  </r>
  <r>
    <s v="ORD-202401903"/>
    <x v="376"/>
    <n v="1450"/>
    <s v="31/08/1972"/>
    <x v="0"/>
    <x v="2"/>
    <n v="22226.38"/>
    <n v="11295.67"/>
    <s v="Miami"/>
    <x v="0"/>
    <s v="L"/>
    <s v="Blue"/>
    <n v="5"/>
    <x v="1"/>
    <s v="Wholesale"/>
    <s v="Cash"/>
  </r>
  <r>
    <s v="ORD-202401904"/>
    <x v="612"/>
    <n v="7762"/>
    <s v="29/05/1995"/>
    <x v="1"/>
    <x v="2"/>
    <n v="39682.199999999997"/>
    <n v="21137.22"/>
    <s v="Boston"/>
    <x v="0"/>
    <s v="XL"/>
    <s v="Blue"/>
    <n v="5"/>
    <x v="0"/>
    <s v="Wholesale"/>
    <s v="Bank Transfer"/>
  </r>
  <r>
    <s v="ORD-202401905"/>
    <x v="1145"/>
    <n v="8411"/>
    <s v="17/12/1976"/>
    <x v="1"/>
    <x v="0"/>
    <n v="12914.86"/>
    <n v="5955.52"/>
    <s v="Seattle"/>
    <x v="2"/>
    <s v="M"/>
    <s v="Blue"/>
    <n v="2"/>
    <x v="1"/>
    <s v="Retail"/>
    <s v="Bank Transfer"/>
  </r>
  <r>
    <s v="ORD-202401906"/>
    <x v="381"/>
    <n v="6888"/>
    <s v="11/04/1978"/>
    <x v="0"/>
    <x v="0"/>
    <n v="18022.5"/>
    <n v="9979.6200000000008"/>
    <s v="San Francisco"/>
    <x v="2"/>
    <s v="S"/>
    <s v="Green"/>
    <n v="1"/>
    <x v="2"/>
    <s v="Wholesale"/>
    <s v="Cash"/>
  </r>
  <r>
    <s v="ORD-202401907"/>
    <x v="1146"/>
    <n v="7595"/>
    <s v="08/07/1988"/>
    <x v="1"/>
    <x v="3"/>
    <n v="2282.29"/>
    <n v="1274.55"/>
    <s v="Boston"/>
    <x v="0"/>
    <s v="S"/>
    <s v="Blue"/>
    <n v="2"/>
    <x v="0"/>
    <s v="Retail"/>
    <s v="PayPal"/>
  </r>
  <r>
    <s v="ORD-202401908"/>
    <x v="801"/>
    <n v="7252"/>
    <s v="24/12/1994"/>
    <x v="0"/>
    <x v="1"/>
    <n v="58496.47"/>
    <n v="30141.89"/>
    <s v="San Francisco"/>
    <x v="2"/>
    <s v="XL"/>
    <s v="White"/>
    <n v="5"/>
    <x v="1"/>
    <s v="Retail"/>
    <s v="Bank Transfer"/>
  </r>
  <r>
    <s v="ORD-202401909"/>
    <x v="41"/>
    <n v="3444"/>
    <s v="29/11/1994"/>
    <x v="1"/>
    <x v="4"/>
    <n v="28414.720000000001"/>
    <n v="17539.79"/>
    <s v="Los Angeles"/>
    <x v="2"/>
    <s v="M"/>
    <s v="Black"/>
    <n v="1"/>
    <x v="1"/>
    <s v="Retail"/>
    <s v="Bank Transfer"/>
  </r>
  <r>
    <s v="ORD-202401910"/>
    <x v="756"/>
    <n v="1517"/>
    <s v="28/11/1993"/>
    <x v="0"/>
    <x v="4"/>
    <n v="33104.379999999997"/>
    <n v="17417.2"/>
    <s v="San Francisco"/>
    <x v="2"/>
    <s v="S"/>
    <s v="Green"/>
    <n v="1"/>
    <x v="0"/>
    <s v="Retail"/>
    <s v="PayPal"/>
  </r>
  <r>
    <s v="ORD-202401911"/>
    <x v="1147"/>
    <n v="3033"/>
    <s v="28/06/1992"/>
    <x v="0"/>
    <x v="4"/>
    <n v="45767.47"/>
    <n v="27956.94"/>
    <s v="San Francisco"/>
    <x v="2"/>
    <s v="M"/>
    <s v="Black"/>
    <n v="3"/>
    <x v="2"/>
    <s v="Retail"/>
    <s v="PayPal"/>
  </r>
  <r>
    <s v="ORD-202401912"/>
    <x v="229"/>
    <n v="4463"/>
    <s v="17/02/1995"/>
    <x v="1"/>
    <x v="3"/>
    <n v="4115.4799999999996"/>
    <n v="1889.22"/>
    <s v="New York"/>
    <x v="0"/>
    <s v="L"/>
    <s v="Red"/>
    <n v="3"/>
    <x v="1"/>
    <s v="Wholesale"/>
    <s v="PayPal"/>
  </r>
  <r>
    <s v="ORD-202401913"/>
    <x v="1148"/>
    <n v="4792"/>
    <s v="08/11/1973"/>
    <x v="0"/>
    <x v="0"/>
    <n v="9678.61"/>
    <n v="4579.62"/>
    <s v="Seattle"/>
    <x v="2"/>
    <s v="S"/>
    <s v="Green"/>
    <n v="3"/>
    <x v="0"/>
    <s v="Retail"/>
    <s v="Bank Transfer"/>
  </r>
  <r>
    <s v="ORD-202401914"/>
    <x v="880"/>
    <n v="2639"/>
    <s v="01/05/1990"/>
    <x v="1"/>
    <x v="2"/>
    <n v="25919.29"/>
    <n v="14272.86"/>
    <s v="Seattle"/>
    <x v="2"/>
    <s v="M"/>
    <s v="Red"/>
    <n v="1"/>
    <x v="1"/>
    <s v="Retail"/>
    <s v="Bank Transfer"/>
  </r>
  <r>
    <s v="ORD-202401915"/>
    <x v="293"/>
    <n v="6375"/>
    <s v="14/07/1990"/>
    <x v="1"/>
    <x v="2"/>
    <n v="30806.47"/>
    <n v="18733.78"/>
    <s v="Miami"/>
    <x v="0"/>
    <s v="XL"/>
    <s v="Black"/>
    <n v="3"/>
    <x v="1"/>
    <s v="Retail"/>
    <s v="Bank Transfer"/>
  </r>
  <r>
    <s v="ORD-202401916"/>
    <x v="84"/>
    <n v="1060"/>
    <s v="06/03/1990"/>
    <x v="0"/>
    <x v="0"/>
    <n v="9771.11"/>
    <n v="4605.21"/>
    <s v="Seattle"/>
    <x v="2"/>
    <s v="M"/>
    <s v="White"/>
    <n v="5"/>
    <x v="1"/>
    <s v="Retail"/>
    <s v="PayPal"/>
  </r>
  <r>
    <s v="ORD-202401917"/>
    <x v="1149"/>
    <n v="3749"/>
    <s v="21/01/1980"/>
    <x v="1"/>
    <x v="4"/>
    <n v="54128.800000000003"/>
    <n v="29239.51"/>
    <s v="San Francisco"/>
    <x v="2"/>
    <s v="M"/>
    <s v="Red"/>
    <n v="5"/>
    <x v="1"/>
    <s v="Retail"/>
    <s v="Bank Transfer"/>
  </r>
  <r>
    <s v="ORD-202401918"/>
    <x v="927"/>
    <n v="7652"/>
    <s v="11/01/1997"/>
    <x v="1"/>
    <x v="3"/>
    <n v="5572.38"/>
    <n v="3384.45"/>
    <s v="Seattle"/>
    <x v="2"/>
    <s v="M"/>
    <s v="Green"/>
    <n v="2"/>
    <x v="1"/>
    <s v="Retail"/>
    <s v="Bank Transfer"/>
  </r>
  <r>
    <s v="ORD-202401919"/>
    <x v="407"/>
    <n v="5920"/>
    <s v="23/10/1990"/>
    <x v="1"/>
    <x v="1"/>
    <n v="102851.27"/>
    <n v="59368.83"/>
    <s v="San Francisco"/>
    <x v="2"/>
    <s v="L"/>
    <s v="Yellow"/>
    <n v="3"/>
    <x v="0"/>
    <s v="Retail"/>
    <s v="PayPal"/>
  </r>
  <r>
    <s v="ORD-202401920"/>
    <x v="1150"/>
    <n v="1064"/>
    <s v="07/01/1991"/>
    <x v="0"/>
    <x v="4"/>
    <n v="22002.38"/>
    <n v="14080.13"/>
    <s v="Los Angeles"/>
    <x v="2"/>
    <s v="M"/>
    <s v="Black"/>
    <n v="4"/>
    <x v="1"/>
    <s v="Wholesale"/>
    <s v="PayPal"/>
  </r>
  <r>
    <s v="ORD-202401921"/>
    <x v="362"/>
    <n v="2691"/>
    <s v="04/09/1993"/>
    <x v="0"/>
    <x v="3"/>
    <n v="21217.08"/>
    <n v="9861.2099999999991"/>
    <s v="Los Angeles"/>
    <x v="2"/>
    <s v="S"/>
    <s v="Yellow"/>
    <n v="4"/>
    <x v="2"/>
    <s v="Wholesale"/>
    <s v="Bank Transfer"/>
  </r>
  <r>
    <s v="ORD-202401922"/>
    <x v="232"/>
    <n v="6843"/>
    <s v="12/11/1973"/>
    <x v="1"/>
    <x v="3"/>
    <n v="13115.1"/>
    <n v="7011"/>
    <s v="New York"/>
    <x v="0"/>
    <s v="L"/>
    <s v="Blue"/>
    <n v="2"/>
    <x v="1"/>
    <s v="Wholesale"/>
    <s v="Bank Transfer"/>
  </r>
  <r>
    <s v="ORD-202401923"/>
    <x v="864"/>
    <n v="3650"/>
    <s v="12/10/1986"/>
    <x v="0"/>
    <x v="2"/>
    <n v="32161.31"/>
    <n v="15173.05"/>
    <s v="Boston"/>
    <x v="0"/>
    <s v="S"/>
    <s v="Blue"/>
    <n v="2"/>
    <x v="1"/>
    <s v="Wholesale"/>
    <s v="Cash"/>
  </r>
  <r>
    <s v="ORD-202401924"/>
    <x v="1012"/>
    <n v="7622"/>
    <s v="07/02/1998"/>
    <x v="1"/>
    <x v="0"/>
    <n v="9120.99"/>
    <n v="4808.43"/>
    <s v="Seattle"/>
    <x v="2"/>
    <s v="S"/>
    <s v="Black"/>
    <n v="5"/>
    <x v="0"/>
    <s v="Wholesale"/>
    <s v="Cash"/>
  </r>
  <r>
    <s v="ORD-202401925"/>
    <x v="1151"/>
    <n v="3535"/>
    <s v="07/03/1989"/>
    <x v="1"/>
    <x v="4"/>
    <n v="36905.300000000003"/>
    <n v="21904.45"/>
    <s v="San Francisco"/>
    <x v="2"/>
    <s v="M"/>
    <s v="Blue"/>
    <n v="5"/>
    <x v="2"/>
    <s v="Wholesale"/>
    <s v="Bank Transfer"/>
  </r>
  <r>
    <s v="ORD-202401926"/>
    <x v="1032"/>
    <n v="7357"/>
    <s v="22/07/1999"/>
    <x v="1"/>
    <x v="2"/>
    <n v="24930.38"/>
    <n v="12518.91"/>
    <s v="Detroit"/>
    <x v="1"/>
    <s v="S"/>
    <s v="Blue"/>
    <n v="3"/>
    <x v="0"/>
    <s v="Wholesale"/>
    <s v="Bank Transfer"/>
  </r>
  <r>
    <s v="ORD-202401927"/>
    <x v="1152"/>
    <n v="6961"/>
    <s v="21/05/1986"/>
    <x v="0"/>
    <x v="1"/>
    <n v="26365.18"/>
    <n v="13071.83"/>
    <s v="Minneapolis"/>
    <x v="1"/>
    <s v="L"/>
    <s v="White"/>
    <n v="5"/>
    <x v="1"/>
    <s v="Wholesale"/>
    <s v="Cash"/>
  </r>
  <r>
    <s v="ORD-202401928"/>
    <x v="637"/>
    <n v="4079"/>
    <s v="31/12/1994"/>
    <x v="1"/>
    <x v="4"/>
    <n v="49340.89"/>
    <n v="26083.02"/>
    <s v="San Francisco"/>
    <x v="2"/>
    <s v="XL"/>
    <s v="Blue"/>
    <n v="5"/>
    <x v="0"/>
    <s v="Retail"/>
    <s v="Cash"/>
  </r>
  <r>
    <s v="ORD-202401929"/>
    <x v="399"/>
    <n v="8962"/>
    <s v="06/03/1986"/>
    <x v="0"/>
    <x v="0"/>
    <n v="21777.57"/>
    <n v="10805.06"/>
    <s v="San Francisco"/>
    <x v="2"/>
    <s v="M"/>
    <s v="Green"/>
    <n v="2"/>
    <x v="0"/>
    <s v="Wholesale"/>
    <s v="Cash"/>
  </r>
  <r>
    <s v="ORD-202401930"/>
    <x v="1153"/>
    <n v="6278"/>
    <s v="30/03/1986"/>
    <x v="0"/>
    <x v="2"/>
    <n v="33678.89"/>
    <n v="20896.03"/>
    <s v="Miami"/>
    <x v="0"/>
    <s v="S"/>
    <s v="Green"/>
    <n v="1"/>
    <x v="0"/>
    <s v="Retail"/>
    <s v="Cash"/>
  </r>
  <r>
    <s v="ORD-202401931"/>
    <x v="756"/>
    <n v="1907"/>
    <s v="06/12/1999"/>
    <x v="0"/>
    <x v="4"/>
    <n v="57397.68"/>
    <n v="30697.8"/>
    <s v="Seattle"/>
    <x v="2"/>
    <s v="XL"/>
    <s v="Red"/>
    <n v="5"/>
    <x v="0"/>
    <s v="Retail"/>
    <s v="Bank Transfer"/>
  </r>
  <r>
    <s v="ORD-202401932"/>
    <x v="1016"/>
    <n v="4784"/>
    <s v="08/12/1973"/>
    <x v="0"/>
    <x v="0"/>
    <n v="3605.03"/>
    <n v="2155.71"/>
    <s v="Detroit"/>
    <x v="1"/>
    <s v="M"/>
    <s v="Black"/>
    <n v="2"/>
    <x v="0"/>
    <s v="Retail"/>
    <s v="Bank Transfer"/>
  </r>
  <r>
    <s v="ORD-202401933"/>
    <x v="1154"/>
    <n v="7633"/>
    <s v="25/02/1995"/>
    <x v="1"/>
    <x v="4"/>
    <n v="10980.23"/>
    <n v="6420.92"/>
    <s v="Detroit"/>
    <x v="1"/>
    <s v="M"/>
    <s v="Red"/>
    <n v="1"/>
    <x v="1"/>
    <s v="Retail"/>
    <s v="Cash"/>
  </r>
  <r>
    <s v="ORD-202401934"/>
    <x v="719"/>
    <n v="6193"/>
    <s v="11/04/1986"/>
    <x v="1"/>
    <x v="3"/>
    <n v="2870.95"/>
    <n v="1371.45"/>
    <s v="Miami"/>
    <x v="0"/>
    <s v="S"/>
    <s v="Yellow"/>
    <n v="5"/>
    <x v="1"/>
    <s v="Retail"/>
    <s v="Bank Transfer"/>
  </r>
  <r>
    <s v="ORD-202401935"/>
    <x v="1155"/>
    <n v="8875"/>
    <s v="15/06/1975"/>
    <x v="1"/>
    <x v="1"/>
    <n v="24912.79"/>
    <n v="14348.24"/>
    <s v="Los Angeles"/>
    <x v="2"/>
    <s v="M"/>
    <s v="Red"/>
    <n v="2"/>
    <x v="1"/>
    <s v="Retail"/>
    <s v="Cash"/>
  </r>
  <r>
    <s v="ORD-202401936"/>
    <x v="1156"/>
    <n v="2083"/>
    <s v="19/03/1984"/>
    <x v="1"/>
    <x v="1"/>
    <n v="73876.02"/>
    <n v="39664.71"/>
    <s v="Miami"/>
    <x v="0"/>
    <s v="S"/>
    <s v="Blue"/>
    <n v="2"/>
    <x v="1"/>
    <s v="Retail"/>
    <s v="Cash"/>
  </r>
  <r>
    <s v="ORD-202401937"/>
    <x v="1098"/>
    <n v="9743"/>
    <s v="11/04/1976"/>
    <x v="0"/>
    <x v="2"/>
    <n v="30788.59"/>
    <n v="17765.41"/>
    <s v="Boston"/>
    <x v="0"/>
    <s v="XL"/>
    <s v="White"/>
    <n v="1"/>
    <x v="1"/>
    <s v="Wholesale"/>
    <s v="Cash"/>
  </r>
  <r>
    <s v="ORD-202401938"/>
    <x v="545"/>
    <n v="4055"/>
    <s v="03/06/1977"/>
    <x v="1"/>
    <x v="1"/>
    <n v="29331.51"/>
    <n v="16806.37"/>
    <s v="Miami"/>
    <x v="0"/>
    <s v="L"/>
    <s v="Green"/>
    <n v="3"/>
    <x v="0"/>
    <s v="Retail"/>
    <s v="Cash"/>
  </r>
  <r>
    <s v="ORD-202401939"/>
    <x v="751"/>
    <n v="9311"/>
    <s v="07/07/1989"/>
    <x v="0"/>
    <x v="0"/>
    <n v="15136.47"/>
    <n v="9486.91"/>
    <s v="Detroit"/>
    <x v="1"/>
    <s v="S"/>
    <s v="Green"/>
    <n v="2"/>
    <x v="1"/>
    <s v="Retail"/>
    <s v="Cash"/>
  </r>
  <r>
    <s v="ORD-202401940"/>
    <x v="1032"/>
    <n v="6471"/>
    <s v="27/10/1973"/>
    <x v="1"/>
    <x v="4"/>
    <n v="39090.550000000003"/>
    <n v="22233.39"/>
    <s v="Boston"/>
    <x v="0"/>
    <s v="S"/>
    <s v="Black"/>
    <n v="4"/>
    <x v="0"/>
    <s v="Retail"/>
    <s v="Bank Transfer"/>
  </r>
  <r>
    <s v="ORD-202401941"/>
    <x v="354"/>
    <n v="3489"/>
    <s v="25/05/1974"/>
    <x v="0"/>
    <x v="4"/>
    <n v="42987.32"/>
    <n v="21635.06"/>
    <s v="Boston"/>
    <x v="0"/>
    <s v="XL"/>
    <s v="Blue"/>
    <n v="4"/>
    <x v="1"/>
    <s v="Retail"/>
    <s v="PayPal"/>
  </r>
  <r>
    <s v="ORD-202401942"/>
    <x v="55"/>
    <n v="9334"/>
    <s v="14/07/1984"/>
    <x v="1"/>
    <x v="0"/>
    <n v="2901.05"/>
    <n v="1767.5"/>
    <s v="Minneapolis"/>
    <x v="1"/>
    <s v="M"/>
    <s v="Yellow"/>
    <n v="3"/>
    <x v="1"/>
    <s v="Wholesale"/>
    <s v="PayPal"/>
  </r>
  <r>
    <s v="ORD-202401943"/>
    <x v="149"/>
    <n v="6881"/>
    <s v="10/10/1978"/>
    <x v="1"/>
    <x v="0"/>
    <n v="14872.84"/>
    <n v="7632.29"/>
    <s v="Minneapolis"/>
    <x v="1"/>
    <s v="L"/>
    <s v="Red"/>
    <n v="5"/>
    <x v="2"/>
    <s v="Wholesale"/>
    <s v="Bank Transfer"/>
  </r>
  <r>
    <s v="ORD-202401944"/>
    <x v="1157"/>
    <n v="4548"/>
    <s v="18/04/2000"/>
    <x v="1"/>
    <x v="0"/>
    <n v="13099.53"/>
    <n v="7089.6"/>
    <s v="Miami"/>
    <x v="0"/>
    <s v="M"/>
    <s v="Black"/>
    <n v="5"/>
    <x v="1"/>
    <s v="Wholesale"/>
    <s v="Bank Transfer"/>
  </r>
  <r>
    <s v="ORD-202401945"/>
    <x v="363"/>
    <n v="5778"/>
    <s v="13/05/1986"/>
    <x v="0"/>
    <x v="3"/>
    <n v="3229.63"/>
    <n v="1473.12"/>
    <s v="Minneapolis"/>
    <x v="1"/>
    <s v="S"/>
    <s v="Yellow"/>
    <n v="1"/>
    <x v="1"/>
    <s v="Wholesale"/>
    <s v="Cash"/>
  </r>
  <r>
    <s v="ORD-202401946"/>
    <x v="832"/>
    <n v="5140"/>
    <s v="08/03/1998"/>
    <x v="0"/>
    <x v="0"/>
    <n v="12550.53"/>
    <n v="6207.92"/>
    <s v="Boston"/>
    <x v="0"/>
    <s v="M"/>
    <s v="Red"/>
    <n v="1"/>
    <x v="2"/>
    <s v="Wholesale"/>
    <s v="PayPal"/>
  </r>
  <r>
    <s v="ORD-202401947"/>
    <x v="158"/>
    <n v="5761"/>
    <s v="03/11/1985"/>
    <x v="1"/>
    <x v="4"/>
    <n v="13525.8"/>
    <n v="6093.83"/>
    <s v="New York"/>
    <x v="0"/>
    <s v="M"/>
    <s v="Red"/>
    <n v="1"/>
    <x v="0"/>
    <s v="Wholesale"/>
    <s v="PayPal"/>
  </r>
  <r>
    <s v="ORD-202401948"/>
    <x v="470"/>
    <n v="3624"/>
    <s v="06/08/1989"/>
    <x v="1"/>
    <x v="1"/>
    <n v="85131.38"/>
    <n v="45628.41"/>
    <s v="Seattle"/>
    <x v="2"/>
    <s v="M"/>
    <s v="Black"/>
    <n v="4"/>
    <x v="1"/>
    <s v="Retail"/>
    <s v="PayPal"/>
  </r>
  <r>
    <s v="ORD-202401949"/>
    <x v="1158"/>
    <n v="6954"/>
    <s v="28/10/1970"/>
    <x v="0"/>
    <x v="2"/>
    <n v="9278.1"/>
    <n v="4388.21"/>
    <s v="Miami"/>
    <x v="0"/>
    <s v="L"/>
    <s v="Black"/>
    <n v="5"/>
    <x v="0"/>
    <s v="Wholesale"/>
    <s v="Cash"/>
  </r>
  <r>
    <s v="ORD-202401950"/>
    <x v="599"/>
    <n v="1175"/>
    <s v="07/10/1988"/>
    <x v="1"/>
    <x v="4"/>
    <n v="11683.52"/>
    <n v="5819.86"/>
    <s v="Los Angeles"/>
    <x v="2"/>
    <s v="S"/>
    <s v="Blue"/>
    <n v="5"/>
    <x v="1"/>
    <s v="Wholesale"/>
    <s v="Cash"/>
  </r>
  <r>
    <s v="ORD-202401951"/>
    <x v="1159"/>
    <n v="8485"/>
    <s v="10/11/1978"/>
    <x v="1"/>
    <x v="4"/>
    <n v="47318.13"/>
    <n v="26728.27"/>
    <s v="Boston"/>
    <x v="0"/>
    <s v="XL"/>
    <s v="Yellow"/>
    <n v="2"/>
    <x v="2"/>
    <s v="Retail"/>
    <s v="PayPal"/>
  </r>
  <r>
    <s v="ORD-202401952"/>
    <x v="974"/>
    <n v="7316"/>
    <s v="14/02/1989"/>
    <x v="1"/>
    <x v="0"/>
    <n v="14320.6"/>
    <n v="7319.4"/>
    <s v="San Francisco"/>
    <x v="2"/>
    <s v="M"/>
    <s v="Blue"/>
    <n v="1"/>
    <x v="1"/>
    <s v="Retail"/>
    <s v="Bank Transfer"/>
  </r>
  <r>
    <s v="ORD-202401953"/>
    <x v="428"/>
    <n v="8607"/>
    <s v="12/01/1996"/>
    <x v="0"/>
    <x v="2"/>
    <n v="9612.85"/>
    <n v="5376.65"/>
    <s v="Los Angeles"/>
    <x v="2"/>
    <s v="L"/>
    <s v="Black"/>
    <n v="3"/>
    <x v="0"/>
    <s v="Retail"/>
    <s v="PayPal"/>
  </r>
  <r>
    <s v="ORD-202401954"/>
    <x v="719"/>
    <n v="9449"/>
    <s v="16/08/1977"/>
    <x v="0"/>
    <x v="2"/>
    <n v="22397.08"/>
    <n v="11403.33"/>
    <s v="Miami"/>
    <x v="0"/>
    <s v="S"/>
    <s v="Green"/>
    <n v="1"/>
    <x v="1"/>
    <s v="Retail"/>
    <s v="PayPal"/>
  </r>
  <r>
    <s v="ORD-202401955"/>
    <x v="885"/>
    <n v="4197"/>
    <s v="06/06/1974"/>
    <x v="0"/>
    <x v="1"/>
    <n v="33827.269999999997"/>
    <n v="16321.17"/>
    <s v="Minneapolis"/>
    <x v="1"/>
    <s v="L"/>
    <s v="Green"/>
    <n v="2"/>
    <x v="0"/>
    <s v="Wholesale"/>
    <s v="Cash"/>
  </r>
  <r>
    <s v="ORD-202401956"/>
    <x v="31"/>
    <n v="8471"/>
    <s v="30/08/1978"/>
    <x v="1"/>
    <x v="3"/>
    <n v="10449.51"/>
    <n v="5193.43"/>
    <s v="Boston"/>
    <x v="0"/>
    <s v="L"/>
    <s v="Black"/>
    <n v="1"/>
    <x v="2"/>
    <s v="Wholesale"/>
    <s v="Bank Transfer"/>
  </r>
  <r>
    <s v="ORD-202401957"/>
    <x v="1160"/>
    <n v="6965"/>
    <s v="26/11/1978"/>
    <x v="0"/>
    <x v="4"/>
    <n v="36548.769999999997"/>
    <n v="17082.45"/>
    <s v="Miami"/>
    <x v="0"/>
    <s v="L"/>
    <s v="Blue"/>
    <n v="3"/>
    <x v="1"/>
    <s v="Wholesale"/>
    <s v="Cash"/>
  </r>
  <r>
    <s v="ORD-202401958"/>
    <x v="824"/>
    <n v="4621"/>
    <s v="24/10/1971"/>
    <x v="0"/>
    <x v="1"/>
    <n v="96337.46"/>
    <n v="48676.63"/>
    <s v="Boston"/>
    <x v="0"/>
    <s v="S"/>
    <s v="Blue"/>
    <n v="1"/>
    <x v="1"/>
    <s v="Wholesale"/>
    <s v="PayPal"/>
  </r>
  <r>
    <s v="ORD-202401959"/>
    <x v="1161"/>
    <n v="9905"/>
    <s v="13/04/1975"/>
    <x v="1"/>
    <x v="4"/>
    <n v="9838.18"/>
    <n v="6176.11"/>
    <s v="Detroit"/>
    <x v="1"/>
    <s v="L"/>
    <s v="Blue"/>
    <n v="2"/>
    <x v="0"/>
    <s v="Wholesale"/>
    <s v="Bank Transfer"/>
  </r>
  <r>
    <s v="ORD-202401960"/>
    <x v="889"/>
    <n v="3966"/>
    <s v="08/05/1986"/>
    <x v="0"/>
    <x v="3"/>
    <n v="6163.89"/>
    <n v="3751.9"/>
    <s v="Minneapolis"/>
    <x v="1"/>
    <s v="XL"/>
    <s v="White"/>
    <n v="3"/>
    <x v="1"/>
    <s v="Retail"/>
    <s v="Cash"/>
  </r>
  <r>
    <s v="ORD-202401961"/>
    <x v="938"/>
    <n v="1300"/>
    <s v="10/01/1980"/>
    <x v="1"/>
    <x v="0"/>
    <n v="21749.47"/>
    <n v="11821.86"/>
    <s v="Los Angeles"/>
    <x v="2"/>
    <s v="M"/>
    <s v="White"/>
    <n v="3"/>
    <x v="1"/>
    <s v="Wholesale"/>
    <s v="Cash"/>
  </r>
  <r>
    <s v="ORD-202401962"/>
    <x v="1162"/>
    <n v="8614"/>
    <s v="20/10/1993"/>
    <x v="0"/>
    <x v="4"/>
    <n v="51785.48"/>
    <n v="24432.7"/>
    <s v="San Francisco"/>
    <x v="2"/>
    <s v="L"/>
    <s v="Black"/>
    <n v="2"/>
    <x v="1"/>
    <s v="Wholesale"/>
    <s v="Cash"/>
  </r>
  <r>
    <s v="ORD-202401963"/>
    <x v="421"/>
    <n v="4207"/>
    <s v="21/01/1993"/>
    <x v="1"/>
    <x v="1"/>
    <n v="54565.16"/>
    <n v="31983.46"/>
    <s v="Seattle"/>
    <x v="2"/>
    <s v="S"/>
    <s v="Blue"/>
    <n v="5"/>
    <x v="0"/>
    <s v="Wholesale"/>
    <s v="PayPal"/>
  </r>
  <r>
    <s v="ORD-202401964"/>
    <x v="909"/>
    <n v="7396"/>
    <s v="06/08/1982"/>
    <x v="0"/>
    <x v="4"/>
    <n v="44246.9"/>
    <n v="26527.8"/>
    <s v="New York"/>
    <x v="0"/>
    <s v="XL"/>
    <s v="Yellow"/>
    <n v="5"/>
    <x v="1"/>
    <s v="Retail"/>
    <s v="Bank Transfer"/>
  </r>
  <r>
    <s v="ORD-202401965"/>
    <x v="264"/>
    <n v="9533"/>
    <s v="24/06/1979"/>
    <x v="1"/>
    <x v="3"/>
    <n v="14815.13"/>
    <n v="9279.98"/>
    <s v="New York"/>
    <x v="0"/>
    <s v="L"/>
    <s v="Blue"/>
    <n v="5"/>
    <x v="1"/>
    <s v="Wholesale"/>
    <s v="PayPal"/>
  </r>
  <r>
    <s v="ORD-202401966"/>
    <x v="826"/>
    <n v="4847"/>
    <s v="01/08/1981"/>
    <x v="1"/>
    <x v="2"/>
    <n v="17306.54"/>
    <n v="8628.0499999999993"/>
    <s v="Detroit"/>
    <x v="1"/>
    <s v="S"/>
    <s v="Black"/>
    <n v="1"/>
    <x v="0"/>
    <s v="Retail"/>
    <s v="Bank Transfer"/>
  </r>
  <r>
    <s v="ORD-202401967"/>
    <x v="1163"/>
    <n v="5533"/>
    <s v="02/05/1983"/>
    <x v="1"/>
    <x v="3"/>
    <n v="10352.42"/>
    <n v="6523.38"/>
    <s v="Boston"/>
    <x v="0"/>
    <s v="L"/>
    <s v="Green"/>
    <n v="3"/>
    <x v="1"/>
    <s v="Wholesale"/>
    <s v="Bank Transfer"/>
  </r>
  <r>
    <s v="ORD-202401968"/>
    <x v="1164"/>
    <n v="5666"/>
    <s v="27/05/1985"/>
    <x v="0"/>
    <x v="0"/>
    <n v="7973.25"/>
    <n v="4308.62"/>
    <s v="Los Angeles"/>
    <x v="2"/>
    <s v="L"/>
    <s v="Yellow"/>
    <n v="1"/>
    <x v="0"/>
    <s v="Retail"/>
    <s v="PayPal"/>
  </r>
  <r>
    <s v="ORD-202401969"/>
    <x v="438"/>
    <n v="9449"/>
    <s v="02/06/1997"/>
    <x v="1"/>
    <x v="1"/>
    <n v="122551.12"/>
    <n v="70756.86"/>
    <s v="San Francisco"/>
    <x v="2"/>
    <s v="S"/>
    <s v="White"/>
    <n v="5"/>
    <x v="0"/>
    <s v="Retail"/>
    <s v="Bank Transfer"/>
  </r>
  <r>
    <s v="ORD-202401970"/>
    <x v="1165"/>
    <n v="6404"/>
    <s v="15/04/1992"/>
    <x v="1"/>
    <x v="1"/>
    <n v="90926.25"/>
    <n v="55417.15"/>
    <s v="San Francisco"/>
    <x v="2"/>
    <s v="S"/>
    <s v="White"/>
    <n v="4"/>
    <x v="0"/>
    <s v="Wholesale"/>
    <s v="Cash"/>
  </r>
  <r>
    <s v="ORD-202401971"/>
    <x v="78"/>
    <n v="1930"/>
    <s v="12/06/1979"/>
    <x v="1"/>
    <x v="4"/>
    <n v="30121.62"/>
    <n v="14144.28"/>
    <s v="Detroit"/>
    <x v="1"/>
    <s v="XL"/>
    <s v="White"/>
    <n v="4"/>
    <x v="1"/>
    <s v="Wholesale"/>
    <s v="PayPal"/>
  </r>
  <r>
    <s v="ORD-202401972"/>
    <x v="1034"/>
    <n v="9320"/>
    <s v="25/01/1992"/>
    <x v="0"/>
    <x v="0"/>
    <n v="7869.98"/>
    <n v="3788.17"/>
    <s v="Minneapolis"/>
    <x v="1"/>
    <s v="M"/>
    <s v="Blue"/>
    <n v="5"/>
    <x v="1"/>
    <s v="Retail"/>
    <s v="Cash"/>
  </r>
  <r>
    <s v="ORD-202401973"/>
    <x v="1166"/>
    <n v="1708"/>
    <s v="09/12/1984"/>
    <x v="0"/>
    <x v="1"/>
    <n v="28934.55"/>
    <n v="17447.41"/>
    <s v="Seattle"/>
    <x v="2"/>
    <s v="M"/>
    <s v="Black"/>
    <n v="4"/>
    <x v="1"/>
    <s v="Retail"/>
    <s v="Cash"/>
  </r>
  <r>
    <s v="ORD-202401974"/>
    <x v="110"/>
    <n v="8380"/>
    <s v="13/12/1997"/>
    <x v="0"/>
    <x v="0"/>
    <n v="10958.98"/>
    <n v="6443.82"/>
    <s v="Seattle"/>
    <x v="2"/>
    <s v="M"/>
    <s v="Blue"/>
    <n v="2"/>
    <x v="1"/>
    <s v="Retail"/>
    <s v="Cash"/>
  </r>
  <r>
    <s v="ORD-202401975"/>
    <x v="1167"/>
    <n v="6143"/>
    <s v="05/01/1986"/>
    <x v="1"/>
    <x v="2"/>
    <n v="16536.89"/>
    <n v="8934.83"/>
    <s v="Seattle"/>
    <x v="2"/>
    <s v="S"/>
    <s v="Blue"/>
    <n v="1"/>
    <x v="1"/>
    <s v="Retail"/>
    <s v="Bank Transfer"/>
  </r>
  <r>
    <s v="ORD-202401976"/>
    <x v="1168"/>
    <n v="5490"/>
    <s v="14/04/1995"/>
    <x v="1"/>
    <x v="3"/>
    <n v="14987.93"/>
    <n v="7077.77"/>
    <s v="San Francisco"/>
    <x v="2"/>
    <s v="M"/>
    <s v="Red"/>
    <n v="5"/>
    <x v="0"/>
    <s v="Wholesale"/>
    <s v="PayPal"/>
  </r>
  <r>
    <s v="ORD-202401977"/>
    <x v="789"/>
    <n v="6323"/>
    <s v="09/10/1988"/>
    <x v="0"/>
    <x v="4"/>
    <n v="33383.83"/>
    <n v="17728.29"/>
    <s v="Seattle"/>
    <x v="2"/>
    <s v="M"/>
    <s v="Blue"/>
    <n v="2"/>
    <x v="2"/>
    <s v="Retail"/>
    <s v="Cash"/>
  </r>
  <r>
    <s v="ORD-202401978"/>
    <x v="800"/>
    <n v="6778"/>
    <s v="21/10/1988"/>
    <x v="0"/>
    <x v="4"/>
    <n v="32834.28"/>
    <n v="20927.32"/>
    <s v="Boston"/>
    <x v="0"/>
    <s v="L"/>
    <s v="Green"/>
    <n v="3"/>
    <x v="2"/>
    <s v="Retail"/>
    <s v="Bank Transfer"/>
  </r>
  <r>
    <s v="ORD-202401979"/>
    <x v="421"/>
    <n v="9166"/>
    <s v="01/06/1992"/>
    <x v="1"/>
    <x v="4"/>
    <n v="43706.32"/>
    <n v="24962.560000000001"/>
    <s v="San Francisco"/>
    <x v="2"/>
    <s v="L"/>
    <s v="Blue"/>
    <n v="2"/>
    <x v="0"/>
    <s v="Retail"/>
    <s v="Cash"/>
  </r>
  <r>
    <s v="ORD-202401980"/>
    <x v="331"/>
    <n v="1478"/>
    <s v="03/08/1971"/>
    <x v="0"/>
    <x v="4"/>
    <n v="38741.65"/>
    <n v="23824.639999999999"/>
    <s v="Boston"/>
    <x v="0"/>
    <s v="XL"/>
    <s v="Yellow"/>
    <n v="4"/>
    <x v="0"/>
    <s v="Wholesale"/>
    <s v="Cash"/>
  </r>
  <r>
    <s v="ORD-202401981"/>
    <x v="378"/>
    <n v="4010"/>
    <s v="03/10/2000"/>
    <x v="0"/>
    <x v="3"/>
    <n v="2825.43"/>
    <n v="1522.41"/>
    <s v="Minneapolis"/>
    <x v="1"/>
    <s v="L"/>
    <s v="Black"/>
    <n v="1"/>
    <x v="1"/>
    <s v="Retail"/>
    <s v="PayPal"/>
  </r>
  <r>
    <s v="ORD-202401982"/>
    <x v="1169"/>
    <n v="2766"/>
    <s v="15/04/1985"/>
    <x v="0"/>
    <x v="3"/>
    <n v="4117.1099999999997"/>
    <n v="2023.32"/>
    <s v="Seattle"/>
    <x v="2"/>
    <s v="M"/>
    <s v="Green"/>
    <n v="3"/>
    <x v="0"/>
    <s v="Retail"/>
    <s v="PayPal"/>
  </r>
  <r>
    <s v="ORD-202401983"/>
    <x v="1170"/>
    <n v="4172"/>
    <s v="23/09/1994"/>
    <x v="0"/>
    <x v="3"/>
    <n v="11936.36"/>
    <n v="7323.91"/>
    <s v="New York"/>
    <x v="0"/>
    <s v="S"/>
    <s v="Black"/>
    <n v="5"/>
    <x v="1"/>
    <s v="Wholesale"/>
    <s v="PayPal"/>
  </r>
  <r>
    <s v="ORD-202401984"/>
    <x v="469"/>
    <n v="2393"/>
    <s v="20/07/1991"/>
    <x v="0"/>
    <x v="4"/>
    <n v="14413.44"/>
    <n v="7690.73"/>
    <s v="New York"/>
    <x v="0"/>
    <s v="S"/>
    <s v="Yellow"/>
    <n v="2"/>
    <x v="2"/>
    <s v="Retail"/>
    <s v="PayPal"/>
  </r>
  <r>
    <s v="ORD-202401985"/>
    <x v="672"/>
    <n v="5687"/>
    <s v="27/02/1984"/>
    <x v="1"/>
    <x v="2"/>
    <n v="26683.279999999999"/>
    <n v="14897.13"/>
    <s v="Boston"/>
    <x v="0"/>
    <s v="XL"/>
    <s v="Blue"/>
    <n v="5"/>
    <x v="2"/>
    <s v="Retail"/>
    <s v="Cash"/>
  </r>
  <r>
    <s v="ORD-202401986"/>
    <x v="651"/>
    <n v="3742"/>
    <s v="20/07/1973"/>
    <x v="1"/>
    <x v="0"/>
    <n v="26478.87"/>
    <n v="14846.21"/>
    <s v="Seattle"/>
    <x v="2"/>
    <s v="L"/>
    <s v="Green"/>
    <n v="4"/>
    <x v="0"/>
    <s v="Retail"/>
    <s v="PayPal"/>
  </r>
  <r>
    <s v="ORD-202401987"/>
    <x v="45"/>
    <n v="7831"/>
    <s v="22/06/1995"/>
    <x v="0"/>
    <x v="3"/>
    <n v="14606.13"/>
    <n v="9161.31"/>
    <s v="Seattle"/>
    <x v="2"/>
    <s v="L"/>
    <s v="White"/>
    <n v="2"/>
    <x v="0"/>
    <s v="Retail"/>
    <s v="Bank Transfer"/>
  </r>
  <r>
    <s v="ORD-202401988"/>
    <x v="263"/>
    <n v="8688"/>
    <s v="29/03/1981"/>
    <x v="1"/>
    <x v="4"/>
    <n v="38993.050000000003"/>
    <n v="21729.599999999999"/>
    <s v="San Francisco"/>
    <x v="2"/>
    <s v="S"/>
    <s v="White"/>
    <n v="1"/>
    <x v="2"/>
    <s v="Wholesale"/>
    <s v="Bank Transfer"/>
  </r>
  <r>
    <s v="ORD-202401989"/>
    <x v="806"/>
    <n v="2415"/>
    <s v="20/06/1989"/>
    <x v="0"/>
    <x v="1"/>
    <n v="117084.57"/>
    <n v="64723.16"/>
    <s v="San Francisco"/>
    <x v="2"/>
    <s v="XL"/>
    <s v="Blue"/>
    <n v="5"/>
    <x v="1"/>
    <s v="Retail"/>
    <s v="Cash"/>
  </r>
  <r>
    <s v="ORD-202401990"/>
    <x v="866"/>
    <n v="2166"/>
    <s v="26/10/2000"/>
    <x v="1"/>
    <x v="1"/>
    <n v="38465.620000000003"/>
    <n v="20675.63"/>
    <s v="New York"/>
    <x v="0"/>
    <s v="S"/>
    <s v="Green"/>
    <n v="2"/>
    <x v="2"/>
    <s v="Retail"/>
    <s v="PayPal"/>
  </r>
  <r>
    <s v="ORD-202401991"/>
    <x v="66"/>
    <n v="9442"/>
    <s v="07/05/1994"/>
    <x v="0"/>
    <x v="2"/>
    <n v="31154.67"/>
    <n v="14482.38"/>
    <s v="Chicago"/>
    <x v="1"/>
    <s v="XL"/>
    <s v="White"/>
    <n v="3"/>
    <x v="2"/>
    <s v="Wholesale"/>
    <s v="PayPal"/>
  </r>
  <r>
    <s v="ORD-202401992"/>
    <x v="84"/>
    <n v="3018"/>
    <s v="25/07/1978"/>
    <x v="0"/>
    <x v="4"/>
    <n v="31184.44"/>
    <n v="20249.36"/>
    <s v="Detroit"/>
    <x v="1"/>
    <s v="M"/>
    <s v="Yellow"/>
    <n v="3"/>
    <x v="1"/>
    <s v="Retail"/>
    <s v="PayPal"/>
  </r>
  <r>
    <s v="ORD-202401993"/>
    <x v="563"/>
    <n v="5287"/>
    <s v="03/11/1973"/>
    <x v="0"/>
    <x v="0"/>
    <n v="9966.01"/>
    <n v="4490.21"/>
    <s v="San Francisco"/>
    <x v="2"/>
    <s v="S"/>
    <s v="White"/>
    <n v="1"/>
    <x v="0"/>
    <s v="Wholesale"/>
    <s v="PayPal"/>
  </r>
  <r>
    <s v="ORD-202401994"/>
    <x v="649"/>
    <n v="2695"/>
    <s v="08/02/1999"/>
    <x v="0"/>
    <x v="2"/>
    <n v="20297.48"/>
    <n v="10291.76"/>
    <s v="Los Angeles"/>
    <x v="2"/>
    <s v="L"/>
    <s v="Blue"/>
    <n v="2"/>
    <x v="1"/>
    <s v="Retail"/>
    <s v="Bank Transfer"/>
  </r>
  <r>
    <s v="ORD-202401995"/>
    <x v="878"/>
    <n v="7754"/>
    <s v="05/03/1983"/>
    <x v="0"/>
    <x v="2"/>
    <n v="33464.769999999997"/>
    <n v="17251.240000000002"/>
    <s v="Boston"/>
    <x v="0"/>
    <s v="S"/>
    <s v="Red"/>
    <n v="1"/>
    <x v="2"/>
    <s v="Retail"/>
    <s v="Cash"/>
  </r>
  <r>
    <s v="ORD-202401996"/>
    <x v="771"/>
    <n v="1460"/>
    <s v="30/03/1986"/>
    <x v="0"/>
    <x v="4"/>
    <n v="8606.11"/>
    <n v="3955.48"/>
    <s v="San Francisco"/>
    <x v="2"/>
    <s v="L"/>
    <s v="Black"/>
    <n v="3"/>
    <x v="0"/>
    <s v="Retail"/>
    <s v="PayPal"/>
  </r>
  <r>
    <s v="ORD-202401997"/>
    <x v="552"/>
    <n v="3820"/>
    <s v="05/04/2000"/>
    <x v="1"/>
    <x v="1"/>
    <n v="34745.97"/>
    <n v="19974.560000000001"/>
    <s v="Seattle"/>
    <x v="2"/>
    <s v="XL"/>
    <s v="Green"/>
    <n v="4"/>
    <x v="0"/>
    <s v="Wholesale"/>
    <s v="Bank Transfer"/>
  </r>
  <r>
    <s v="ORD-202401998"/>
    <x v="307"/>
    <n v="5168"/>
    <s v="15/11/1983"/>
    <x v="0"/>
    <x v="1"/>
    <n v="42892.76"/>
    <n v="22592.28"/>
    <s v="Boston"/>
    <x v="0"/>
    <s v="L"/>
    <s v="Black"/>
    <n v="2"/>
    <x v="1"/>
    <s v="Retail"/>
    <s v="Bank Transfer"/>
  </r>
  <r>
    <s v="ORD-202401999"/>
    <x v="1171"/>
    <n v="2522"/>
    <s v="08/06/1986"/>
    <x v="0"/>
    <x v="4"/>
    <n v="20182.98"/>
    <n v="12866.37"/>
    <s v="Seattle"/>
    <x v="2"/>
    <s v="M"/>
    <s v="White"/>
    <n v="4"/>
    <x v="0"/>
    <s v="Retail"/>
    <s v="PayPal"/>
  </r>
  <r>
    <s v="ORD-202402000"/>
    <x v="1172"/>
    <n v="7172"/>
    <s v="29/04/2000"/>
    <x v="0"/>
    <x v="1"/>
    <n v="73136.23"/>
    <n v="37595.4"/>
    <s v="Boston"/>
    <x v="0"/>
    <s v="XL"/>
    <s v="Red"/>
    <n v="4"/>
    <x v="1"/>
    <s v="Wholesale"/>
    <s v="Bank Transfer"/>
  </r>
  <r>
    <s v="ORD-202402001"/>
    <x v="1173"/>
    <n v="5470"/>
    <s v="04/05/1982"/>
    <x v="0"/>
    <x v="0"/>
    <n v="12621.1"/>
    <n v="6213.21"/>
    <s v="Boston"/>
    <x v="0"/>
    <s v="L"/>
    <s v="Yellow"/>
    <n v="4"/>
    <x v="1"/>
    <s v="Wholesale"/>
    <s v="PayPal"/>
  </r>
  <r>
    <s v="ORD-202402002"/>
    <x v="1174"/>
    <n v="8155"/>
    <s v="28/11/1995"/>
    <x v="0"/>
    <x v="2"/>
    <n v="11724.92"/>
    <n v="6152.97"/>
    <s v="San Francisco"/>
    <x v="2"/>
    <s v="M"/>
    <s v="Green"/>
    <n v="2"/>
    <x v="2"/>
    <s v="Wholesale"/>
    <s v="Cash"/>
  </r>
  <r>
    <s v="ORD-202402003"/>
    <x v="424"/>
    <n v="7093"/>
    <s v="29/03/1993"/>
    <x v="0"/>
    <x v="4"/>
    <n v="65399.87"/>
    <n v="32703.67"/>
    <s v="Los Angeles"/>
    <x v="2"/>
    <s v="XL"/>
    <s v="Yellow"/>
    <n v="5"/>
    <x v="0"/>
    <s v="Wholesale"/>
    <s v="Bank Transfer"/>
  </r>
  <r>
    <s v="ORD-202402004"/>
    <x v="1175"/>
    <n v="2929"/>
    <s v="26/06/1988"/>
    <x v="0"/>
    <x v="4"/>
    <n v="9935.67"/>
    <n v="5780.73"/>
    <s v="New York"/>
    <x v="0"/>
    <s v="M"/>
    <s v="Black"/>
    <n v="3"/>
    <x v="0"/>
    <s v="Wholesale"/>
    <s v="Cash"/>
  </r>
  <r>
    <s v="ORD-202402005"/>
    <x v="1176"/>
    <n v="3537"/>
    <s v="15/11/1981"/>
    <x v="1"/>
    <x v="3"/>
    <n v="6504.09"/>
    <n v="4160.37"/>
    <s v="Chicago"/>
    <x v="1"/>
    <s v="M"/>
    <s v="Red"/>
    <n v="3"/>
    <x v="2"/>
    <s v="Retail"/>
    <s v="Cash"/>
  </r>
  <r>
    <s v="ORD-202402006"/>
    <x v="938"/>
    <n v="3308"/>
    <s v="29/07/1974"/>
    <x v="0"/>
    <x v="3"/>
    <n v="12349.98"/>
    <n v="7544.27"/>
    <s v="Detroit"/>
    <x v="1"/>
    <s v="XL"/>
    <s v="Black"/>
    <n v="3"/>
    <x v="0"/>
    <s v="Retail"/>
    <s v="Bank Transfer"/>
  </r>
  <r>
    <s v="ORD-202402007"/>
    <x v="790"/>
    <n v="8893"/>
    <s v="26/08/1974"/>
    <x v="1"/>
    <x v="2"/>
    <n v="40727.07"/>
    <n v="26363.99"/>
    <s v="Los Angeles"/>
    <x v="2"/>
    <s v="M"/>
    <s v="Red"/>
    <n v="3"/>
    <x v="1"/>
    <s v="Retail"/>
    <s v="Bank Transfer"/>
  </r>
  <r>
    <s v="ORD-202402008"/>
    <x v="116"/>
    <n v="3964"/>
    <s v="17/11/1997"/>
    <x v="1"/>
    <x v="3"/>
    <n v="9690.2099999999991"/>
    <n v="6187.66"/>
    <s v="Los Angeles"/>
    <x v="2"/>
    <s v="XL"/>
    <s v="Yellow"/>
    <n v="5"/>
    <x v="0"/>
    <s v="Wholesale"/>
    <s v="PayPal"/>
  </r>
  <r>
    <s v="ORD-202402009"/>
    <x v="1177"/>
    <n v="6396"/>
    <s v="04/07/1982"/>
    <x v="1"/>
    <x v="1"/>
    <n v="65975.960000000006"/>
    <n v="39697.629999999997"/>
    <s v="Detroit"/>
    <x v="1"/>
    <s v="S"/>
    <s v="Blue"/>
    <n v="3"/>
    <x v="1"/>
    <s v="Wholesale"/>
    <s v="Cash"/>
  </r>
  <r>
    <s v="ORD-202402010"/>
    <x v="885"/>
    <n v="6378"/>
    <s v="23/02/1970"/>
    <x v="1"/>
    <x v="3"/>
    <n v="5968.67"/>
    <n v="3227.47"/>
    <s v="Boston"/>
    <x v="0"/>
    <s v="S"/>
    <s v="Black"/>
    <n v="5"/>
    <x v="1"/>
    <s v="Retail"/>
    <s v="Cash"/>
  </r>
  <r>
    <s v="ORD-202402011"/>
    <x v="19"/>
    <n v="5826"/>
    <s v="05/11/1982"/>
    <x v="1"/>
    <x v="4"/>
    <n v="37936.980000000003"/>
    <n v="20273.009999999998"/>
    <s v="New York"/>
    <x v="0"/>
    <s v="L"/>
    <s v="White"/>
    <n v="1"/>
    <x v="2"/>
    <s v="Retail"/>
    <s v="Bank Transfer"/>
  </r>
  <r>
    <s v="ORD-202402012"/>
    <x v="1178"/>
    <n v="8624"/>
    <s v="14/10/1972"/>
    <x v="0"/>
    <x v="4"/>
    <n v="32963.89"/>
    <n v="17044.23"/>
    <s v="San Francisco"/>
    <x v="2"/>
    <s v="L"/>
    <s v="Yellow"/>
    <n v="1"/>
    <x v="2"/>
    <s v="Wholesale"/>
    <s v="Cash"/>
  </r>
  <r>
    <s v="ORD-202402013"/>
    <x v="1179"/>
    <n v="5064"/>
    <s v="28/10/1980"/>
    <x v="0"/>
    <x v="0"/>
    <n v="7909.33"/>
    <n v="4255.21"/>
    <s v="Los Angeles"/>
    <x v="2"/>
    <s v="M"/>
    <s v="Black"/>
    <n v="4"/>
    <x v="1"/>
    <s v="Retail"/>
    <s v="PayPal"/>
  </r>
  <r>
    <s v="ORD-202402014"/>
    <x v="534"/>
    <n v="2026"/>
    <s v="09/06/1978"/>
    <x v="0"/>
    <x v="1"/>
    <n v="32241.41"/>
    <n v="15001.91"/>
    <s v="San Francisco"/>
    <x v="2"/>
    <s v="S"/>
    <s v="White"/>
    <n v="5"/>
    <x v="2"/>
    <s v="Retail"/>
    <s v="Bank Transfer"/>
  </r>
  <r>
    <s v="ORD-202402015"/>
    <x v="839"/>
    <n v="6680"/>
    <s v="28/05/1983"/>
    <x v="1"/>
    <x v="3"/>
    <n v="8919.99"/>
    <n v="4686.04"/>
    <s v="New York"/>
    <x v="0"/>
    <s v="L"/>
    <s v="White"/>
    <n v="3"/>
    <x v="0"/>
    <s v="Retail"/>
    <s v="PayPal"/>
  </r>
  <r>
    <s v="ORD-202402016"/>
    <x v="873"/>
    <n v="6547"/>
    <s v="23/11/1977"/>
    <x v="0"/>
    <x v="0"/>
    <n v="3969.56"/>
    <n v="1922.34"/>
    <s v="Chicago"/>
    <x v="1"/>
    <s v="XL"/>
    <s v="White"/>
    <n v="5"/>
    <x v="1"/>
    <s v="Wholesale"/>
    <s v="PayPal"/>
  </r>
  <r>
    <s v="ORD-202402017"/>
    <x v="459"/>
    <n v="9795"/>
    <s v="17/11/1977"/>
    <x v="0"/>
    <x v="3"/>
    <n v="20588.490000000002"/>
    <n v="12726.56"/>
    <s v="Seattle"/>
    <x v="2"/>
    <s v="L"/>
    <s v="White"/>
    <n v="1"/>
    <x v="1"/>
    <s v="Retail"/>
    <s v="Cash"/>
  </r>
  <r>
    <s v="ORD-202402018"/>
    <x v="15"/>
    <n v="2493"/>
    <s v="25/08/1990"/>
    <x v="0"/>
    <x v="4"/>
    <n v="18118.830000000002"/>
    <n v="8730.89"/>
    <s v="Boston"/>
    <x v="0"/>
    <s v="S"/>
    <s v="Blue"/>
    <n v="4"/>
    <x v="2"/>
    <s v="Retail"/>
    <s v="Bank Transfer"/>
  </r>
  <r>
    <s v="ORD-202402019"/>
    <x v="564"/>
    <n v="3231"/>
    <s v="17/06/1987"/>
    <x v="1"/>
    <x v="3"/>
    <n v="21463.9"/>
    <n v="12674.1"/>
    <s v="San Francisco"/>
    <x v="2"/>
    <s v="L"/>
    <s v="Blue"/>
    <n v="4"/>
    <x v="1"/>
    <s v="Retail"/>
    <s v="Bank Transfer"/>
  </r>
  <r>
    <s v="ORD-202402020"/>
    <x v="417"/>
    <n v="4710"/>
    <s v="18/02/1990"/>
    <x v="1"/>
    <x v="2"/>
    <n v="12061.04"/>
    <n v="5620.43"/>
    <s v="Detroit"/>
    <x v="1"/>
    <s v="S"/>
    <s v="White"/>
    <n v="2"/>
    <x v="0"/>
    <s v="Retail"/>
    <s v="Cash"/>
  </r>
  <r>
    <s v="ORD-202402021"/>
    <x v="1180"/>
    <n v="8869"/>
    <s v="09/07/1986"/>
    <x v="0"/>
    <x v="2"/>
    <n v="27435.09"/>
    <n v="14679.33"/>
    <s v="Seattle"/>
    <x v="2"/>
    <s v="M"/>
    <s v="Black"/>
    <n v="2"/>
    <x v="2"/>
    <s v="Wholesale"/>
    <s v="Bank Transfer"/>
  </r>
  <r>
    <s v="ORD-202402022"/>
    <x v="887"/>
    <n v="6564"/>
    <s v="22/07/1979"/>
    <x v="1"/>
    <x v="0"/>
    <n v="10299.69"/>
    <n v="5602.65"/>
    <s v="Boston"/>
    <x v="0"/>
    <s v="S"/>
    <s v="Blue"/>
    <n v="4"/>
    <x v="1"/>
    <s v="Wholesale"/>
    <s v="Cash"/>
  </r>
  <r>
    <s v="ORD-202402023"/>
    <x v="134"/>
    <n v="3674"/>
    <s v="02/01/1984"/>
    <x v="1"/>
    <x v="3"/>
    <n v="4532.9799999999996"/>
    <n v="2698.77"/>
    <s v="San Francisco"/>
    <x v="2"/>
    <s v="M"/>
    <s v="Green"/>
    <n v="3"/>
    <x v="1"/>
    <s v="Wholesale"/>
    <s v="PayPal"/>
  </r>
  <r>
    <s v="ORD-202402024"/>
    <x v="1181"/>
    <n v="1633"/>
    <s v="21/07/1990"/>
    <x v="1"/>
    <x v="0"/>
    <n v="6264.73"/>
    <n v="3339.81"/>
    <s v="Boston"/>
    <x v="0"/>
    <s v="S"/>
    <s v="Green"/>
    <n v="5"/>
    <x v="1"/>
    <s v="Wholesale"/>
    <s v="Bank Transfer"/>
  </r>
  <r>
    <s v="ORD-202402025"/>
    <x v="793"/>
    <n v="1166"/>
    <s v="19/01/1987"/>
    <x v="1"/>
    <x v="1"/>
    <n v="113664.25"/>
    <n v="57480.86"/>
    <s v="Seattle"/>
    <x v="2"/>
    <s v="L"/>
    <s v="Black"/>
    <n v="4"/>
    <x v="0"/>
    <s v="Retail"/>
    <s v="Cash"/>
  </r>
  <r>
    <s v="ORD-202402026"/>
    <x v="902"/>
    <n v="9918"/>
    <s v="18/09/1982"/>
    <x v="1"/>
    <x v="3"/>
    <n v="8628.89"/>
    <n v="4685.91"/>
    <s v="Boston"/>
    <x v="0"/>
    <s v="XL"/>
    <s v="Red"/>
    <n v="1"/>
    <x v="0"/>
    <s v="Retail"/>
    <s v="Cash"/>
  </r>
  <r>
    <s v="ORD-202402027"/>
    <x v="1182"/>
    <n v="5571"/>
    <s v="22/05/2000"/>
    <x v="0"/>
    <x v="2"/>
    <n v="25101.13"/>
    <n v="11455.02"/>
    <s v="Seattle"/>
    <x v="2"/>
    <s v="XL"/>
    <s v="Red"/>
    <n v="5"/>
    <x v="0"/>
    <s v="Retail"/>
    <s v="Cash"/>
  </r>
  <r>
    <s v="ORD-202402028"/>
    <x v="1183"/>
    <n v="9382"/>
    <s v="01/11/1995"/>
    <x v="0"/>
    <x v="4"/>
    <n v="50506.400000000001"/>
    <n v="25165.56"/>
    <s v="Seattle"/>
    <x v="2"/>
    <s v="XL"/>
    <s v="Red"/>
    <n v="4"/>
    <x v="1"/>
    <s v="Retail"/>
    <s v="Bank Transfer"/>
  </r>
  <r>
    <s v="ORD-202402029"/>
    <x v="938"/>
    <n v="1625"/>
    <s v="25/05/1973"/>
    <x v="0"/>
    <x v="4"/>
    <n v="64538.84"/>
    <n v="33766.400000000001"/>
    <s v="Seattle"/>
    <x v="2"/>
    <s v="M"/>
    <s v="Blue"/>
    <n v="4"/>
    <x v="1"/>
    <s v="Wholesale"/>
    <s v="Bank Transfer"/>
  </r>
  <r>
    <s v="ORD-202402030"/>
    <x v="1073"/>
    <n v="9380"/>
    <s v="07/06/1977"/>
    <x v="1"/>
    <x v="4"/>
    <n v="14659.02"/>
    <n v="7531.13"/>
    <s v="Los Angeles"/>
    <x v="2"/>
    <s v="XL"/>
    <s v="Green"/>
    <n v="5"/>
    <x v="1"/>
    <s v="Wholesale"/>
    <s v="Bank Transfer"/>
  </r>
  <r>
    <s v="ORD-202402031"/>
    <x v="136"/>
    <n v="6623"/>
    <s v="12/04/1985"/>
    <x v="1"/>
    <x v="0"/>
    <n v="17655.810000000001"/>
    <n v="8034.87"/>
    <s v="Boston"/>
    <x v="0"/>
    <s v="L"/>
    <s v="Green"/>
    <n v="2"/>
    <x v="0"/>
    <s v="Retail"/>
    <s v="PayPal"/>
  </r>
  <r>
    <s v="ORD-202402032"/>
    <x v="393"/>
    <n v="2217"/>
    <s v="03/11/1982"/>
    <x v="0"/>
    <x v="1"/>
    <n v="57571.39"/>
    <n v="36754.26"/>
    <s v="New York"/>
    <x v="0"/>
    <s v="L"/>
    <s v="Blue"/>
    <n v="3"/>
    <x v="1"/>
    <s v="Wholesale"/>
    <s v="Bank Transfer"/>
  </r>
  <r>
    <s v="ORD-202402033"/>
    <x v="1184"/>
    <n v="6133"/>
    <s v="10/09/1987"/>
    <x v="0"/>
    <x v="0"/>
    <n v="13945.04"/>
    <n v="7977.28"/>
    <s v="Detroit"/>
    <x v="1"/>
    <s v="M"/>
    <s v="Red"/>
    <n v="3"/>
    <x v="2"/>
    <s v="Retail"/>
    <s v="Bank Transfer"/>
  </r>
  <r>
    <s v="ORD-202402034"/>
    <x v="1185"/>
    <n v="3220"/>
    <s v="28/10/1999"/>
    <x v="1"/>
    <x v="4"/>
    <n v="39168.720000000001"/>
    <n v="23619.01"/>
    <s v="Miami"/>
    <x v="0"/>
    <s v="L"/>
    <s v="White"/>
    <n v="2"/>
    <x v="1"/>
    <s v="Wholesale"/>
    <s v="PayPal"/>
  </r>
  <r>
    <s v="ORD-202402035"/>
    <x v="694"/>
    <n v="3823"/>
    <s v="08/11/1980"/>
    <x v="0"/>
    <x v="4"/>
    <n v="55610.45"/>
    <n v="33230.879999999997"/>
    <s v="Los Angeles"/>
    <x v="2"/>
    <s v="L"/>
    <s v="Green"/>
    <n v="1"/>
    <x v="0"/>
    <s v="Retail"/>
    <s v="Cash"/>
  </r>
  <r>
    <s v="ORD-202402036"/>
    <x v="1006"/>
    <n v="5104"/>
    <s v="01/11/1995"/>
    <x v="0"/>
    <x v="2"/>
    <n v="11047.68"/>
    <n v="6554.7"/>
    <s v="Minneapolis"/>
    <x v="1"/>
    <s v="S"/>
    <s v="Green"/>
    <n v="2"/>
    <x v="1"/>
    <s v="Retail"/>
    <s v="PayPal"/>
  </r>
  <r>
    <s v="ORD-202402037"/>
    <x v="342"/>
    <n v="5143"/>
    <s v="06/04/1997"/>
    <x v="0"/>
    <x v="4"/>
    <n v="16303.67"/>
    <n v="10306.84"/>
    <s v="Boston"/>
    <x v="0"/>
    <s v="M"/>
    <s v="Blue"/>
    <n v="3"/>
    <x v="1"/>
    <s v="Retail"/>
    <s v="PayPal"/>
  </r>
  <r>
    <s v="ORD-202402038"/>
    <x v="53"/>
    <n v="4821"/>
    <s v="29/07/1983"/>
    <x v="1"/>
    <x v="3"/>
    <n v="11730.99"/>
    <n v="6944.87"/>
    <s v="Chicago"/>
    <x v="1"/>
    <s v="XL"/>
    <s v="Red"/>
    <n v="2"/>
    <x v="1"/>
    <s v="Wholesale"/>
    <s v="PayPal"/>
  </r>
  <r>
    <s v="ORD-202402039"/>
    <x v="977"/>
    <n v="4041"/>
    <s v="29/11/1973"/>
    <x v="1"/>
    <x v="3"/>
    <n v="6588.25"/>
    <n v="4044.38"/>
    <s v="Los Angeles"/>
    <x v="2"/>
    <s v="S"/>
    <s v="Red"/>
    <n v="2"/>
    <x v="1"/>
    <s v="Retail"/>
    <s v="Cash"/>
  </r>
  <r>
    <s v="ORD-202402040"/>
    <x v="582"/>
    <n v="2511"/>
    <s v="09/10/1971"/>
    <x v="1"/>
    <x v="4"/>
    <n v="16822.310000000001"/>
    <n v="8597.26"/>
    <s v="Detroit"/>
    <x v="1"/>
    <s v="S"/>
    <s v="Blue"/>
    <n v="5"/>
    <x v="0"/>
    <s v="Wholesale"/>
    <s v="PayPal"/>
  </r>
  <r>
    <s v="ORD-202402041"/>
    <x v="693"/>
    <n v="5948"/>
    <s v="27/06/1988"/>
    <x v="1"/>
    <x v="0"/>
    <n v="6656.04"/>
    <n v="3150.99"/>
    <s v="Boston"/>
    <x v="0"/>
    <s v="S"/>
    <s v="Black"/>
    <n v="5"/>
    <x v="2"/>
    <s v="Retail"/>
    <s v="Cash"/>
  </r>
  <r>
    <s v="ORD-202402042"/>
    <x v="1027"/>
    <n v="2541"/>
    <s v="13/04/1979"/>
    <x v="1"/>
    <x v="4"/>
    <n v="52184.08"/>
    <n v="25919.88"/>
    <s v="Los Angeles"/>
    <x v="2"/>
    <s v="XL"/>
    <s v="Black"/>
    <n v="4"/>
    <x v="0"/>
    <s v="Wholesale"/>
    <s v="PayPal"/>
  </r>
  <r>
    <s v="ORD-202402043"/>
    <x v="1186"/>
    <n v="9976"/>
    <s v="07/10/1979"/>
    <x v="0"/>
    <x v="3"/>
    <n v="5754.24"/>
    <n v="3611.2"/>
    <s v="Chicago"/>
    <x v="1"/>
    <s v="XL"/>
    <s v="Green"/>
    <n v="1"/>
    <x v="1"/>
    <s v="Wholesale"/>
    <s v="Cash"/>
  </r>
  <r>
    <s v="ORD-202402044"/>
    <x v="1187"/>
    <n v="5317"/>
    <s v="22/03/1982"/>
    <x v="1"/>
    <x v="0"/>
    <n v="8759.64"/>
    <n v="5620.45"/>
    <s v="Los Angeles"/>
    <x v="2"/>
    <s v="S"/>
    <s v="Green"/>
    <n v="5"/>
    <x v="0"/>
    <s v="Retail"/>
    <s v="Cash"/>
  </r>
  <r>
    <s v="ORD-202402045"/>
    <x v="487"/>
    <n v="8524"/>
    <s v="24/01/1986"/>
    <x v="0"/>
    <x v="1"/>
    <n v="26723.279999999999"/>
    <n v="16437.54"/>
    <s v="Minneapolis"/>
    <x v="1"/>
    <s v="M"/>
    <s v="Red"/>
    <n v="4"/>
    <x v="1"/>
    <s v="Retail"/>
    <s v="Bank Transfer"/>
  </r>
  <r>
    <s v="ORD-202402046"/>
    <x v="1188"/>
    <n v="6168"/>
    <s v="17/06/1972"/>
    <x v="1"/>
    <x v="0"/>
    <n v="9933.77"/>
    <n v="6399.42"/>
    <s v="Detroit"/>
    <x v="1"/>
    <s v="M"/>
    <s v="Yellow"/>
    <n v="5"/>
    <x v="1"/>
    <s v="Wholesale"/>
    <s v="Cash"/>
  </r>
  <r>
    <s v="ORD-202402047"/>
    <x v="1189"/>
    <n v="7596"/>
    <s v="08/08/1982"/>
    <x v="1"/>
    <x v="4"/>
    <n v="27236.26"/>
    <n v="15549.7"/>
    <s v="San Francisco"/>
    <x v="2"/>
    <s v="M"/>
    <s v="Blue"/>
    <n v="2"/>
    <x v="0"/>
    <s v="Retail"/>
    <s v="Bank Transfer"/>
  </r>
  <r>
    <s v="ORD-202402048"/>
    <x v="651"/>
    <n v="9117"/>
    <s v="07/01/1996"/>
    <x v="0"/>
    <x v="2"/>
    <n v="24080.240000000002"/>
    <n v="11069.96"/>
    <s v="Seattle"/>
    <x v="2"/>
    <s v="XL"/>
    <s v="Blue"/>
    <n v="2"/>
    <x v="1"/>
    <s v="Retail"/>
    <s v="Cash"/>
  </r>
  <r>
    <s v="ORD-202402049"/>
    <x v="1073"/>
    <n v="5674"/>
    <s v="25/02/1983"/>
    <x v="0"/>
    <x v="2"/>
    <n v="31694.79"/>
    <n v="18389.89"/>
    <s v="Miami"/>
    <x v="0"/>
    <s v="M"/>
    <s v="White"/>
    <n v="3"/>
    <x v="0"/>
    <s v="Retail"/>
    <s v="PayPal"/>
  </r>
  <r>
    <s v="ORD-202402050"/>
    <x v="751"/>
    <n v="7124"/>
    <s v="05/05/1976"/>
    <x v="1"/>
    <x v="1"/>
    <n v="82770.880000000005"/>
    <n v="43141.35"/>
    <s v="New York"/>
    <x v="0"/>
    <s v="S"/>
    <s v="Blue"/>
    <n v="5"/>
    <x v="0"/>
    <s v="Wholesale"/>
    <s v="Bank Transfer"/>
  </r>
  <r>
    <s v="ORD-202402051"/>
    <x v="432"/>
    <n v="8018"/>
    <s v="20/07/1980"/>
    <x v="1"/>
    <x v="3"/>
    <n v="10675.75"/>
    <n v="6744.67"/>
    <s v="New York"/>
    <x v="0"/>
    <s v="XL"/>
    <s v="Blue"/>
    <n v="4"/>
    <x v="2"/>
    <s v="Wholesale"/>
    <s v="Cash"/>
  </r>
  <r>
    <s v="ORD-202402052"/>
    <x v="1015"/>
    <n v="7737"/>
    <s v="23/07/1980"/>
    <x v="1"/>
    <x v="1"/>
    <n v="39640.71"/>
    <n v="21952.09"/>
    <s v="Los Angeles"/>
    <x v="2"/>
    <s v="XL"/>
    <s v="White"/>
    <n v="3"/>
    <x v="0"/>
    <s v="Wholesale"/>
    <s v="PayPal"/>
  </r>
  <r>
    <s v="ORD-202402053"/>
    <x v="506"/>
    <n v="7558"/>
    <s v="25/09/1971"/>
    <x v="0"/>
    <x v="2"/>
    <n v="15729.63"/>
    <n v="8125.66"/>
    <s v="San Francisco"/>
    <x v="2"/>
    <s v="M"/>
    <s v="Yellow"/>
    <n v="4"/>
    <x v="0"/>
    <s v="Retail"/>
    <s v="Bank Transfer"/>
  </r>
  <r>
    <s v="ORD-202402054"/>
    <x v="1190"/>
    <n v="2302"/>
    <s v="09/05/1981"/>
    <x v="1"/>
    <x v="4"/>
    <n v="24743.42"/>
    <n v="13826.87"/>
    <s v="San Francisco"/>
    <x v="2"/>
    <s v="L"/>
    <s v="Black"/>
    <n v="2"/>
    <x v="0"/>
    <s v="Wholesale"/>
    <s v="Cash"/>
  </r>
  <r>
    <s v="ORD-202402055"/>
    <x v="1191"/>
    <n v="7144"/>
    <s v="23/11/1978"/>
    <x v="0"/>
    <x v="4"/>
    <n v="13566.07"/>
    <n v="7753.2"/>
    <s v="San Francisco"/>
    <x v="2"/>
    <s v="XL"/>
    <s v="Black"/>
    <n v="1"/>
    <x v="0"/>
    <s v="Retail"/>
    <s v="PayPal"/>
  </r>
  <r>
    <s v="ORD-202402056"/>
    <x v="1192"/>
    <n v="9204"/>
    <s v="12/11/1987"/>
    <x v="0"/>
    <x v="3"/>
    <n v="9058.98"/>
    <n v="5440.93"/>
    <s v="Miami"/>
    <x v="0"/>
    <s v="M"/>
    <s v="White"/>
    <n v="4"/>
    <x v="1"/>
    <s v="Retail"/>
    <s v="Cash"/>
  </r>
  <r>
    <s v="ORD-202402057"/>
    <x v="1114"/>
    <n v="6802"/>
    <s v="28/02/1985"/>
    <x v="1"/>
    <x v="2"/>
    <n v="45542.3"/>
    <n v="20755.099999999999"/>
    <s v="Seattle"/>
    <x v="2"/>
    <s v="M"/>
    <s v="Red"/>
    <n v="1"/>
    <x v="1"/>
    <s v="Wholesale"/>
    <s v="PayPal"/>
  </r>
  <r>
    <s v="ORD-202402058"/>
    <x v="244"/>
    <n v="7167"/>
    <s v="12/06/1993"/>
    <x v="1"/>
    <x v="1"/>
    <n v="49864.03"/>
    <n v="29290.02"/>
    <s v="Chicago"/>
    <x v="1"/>
    <s v="S"/>
    <s v="Black"/>
    <n v="4"/>
    <x v="0"/>
    <s v="Wholesale"/>
    <s v="Bank Transfer"/>
  </r>
  <r>
    <s v="ORD-202402059"/>
    <x v="175"/>
    <n v="6322"/>
    <s v="22/01/1996"/>
    <x v="1"/>
    <x v="1"/>
    <n v="15602.92"/>
    <n v="9486.5499999999993"/>
    <s v="New York"/>
    <x v="0"/>
    <s v="M"/>
    <s v="Green"/>
    <n v="1"/>
    <x v="0"/>
    <s v="Wholesale"/>
    <s v="Cash"/>
  </r>
  <r>
    <s v="ORD-202402060"/>
    <x v="1193"/>
    <n v="5253"/>
    <s v="22/06/1988"/>
    <x v="0"/>
    <x v="4"/>
    <n v="17238.28"/>
    <n v="10571.36"/>
    <s v="San Francisco"/>
    <x v="2"/>
    <s v="L"/>
    <s v="Yellow"/>
    <n v="3"/>
    <x v="1"/>
    <s v="Wholesale"/>
    <s v="Bank Transfer"/>
  </r>
  <r>
    <s v="ORD-202402061"/>
    <x v="59"/>
    <n v="6418"/>
    <s v="03/08/1995"/>
    <x v="1"/>
    <x v="4"/>
    <n v="30316.57"/>
    <n v="14395"/>
    <s v="Chicago"/>
    <x v="1"/>
    <s v="M"/>
    <s v="Yellow"/>
    <n v="3"/>
    <x v="1"/>
    <s v="Wholesale"/>
    <s v="Bank Transfer"/>
  </r>
  <r>
    <s v="ORD-202402062"/>
    <x v="33"/>
    <n v="6795"/>
    <s v="09/05/1991"/>
    <x v="1"/>
    <x v="2"/>
    <n v="16956.32"/>
    <n v="8792.85"/>
    <s v="San Francisco"/>
    <x v="2"/>
    <s v="S"/>
    <s v="Red"/>
    <n v="1"/>
    <x v="1"/>
    <s v="Wholesale"/>
    <s v="PayPal"/>
  </r>
  <r>
    <s v="ORD-202402063"/>
    <x v="429"/>
    <n v="5662"/>
    <s v="05/09/1990"/>
    <x v="1"/>
    <x v="3"/>
    <n v="6256.07"/>
    <n v="3108.31"/>
    <s v="Detroit"/>
    <x v="1"/>
    <s v="S"/>
    <s v="White"/>
    <n v="2"/>
    <x v="0"/>
    <s v="Wholesale"/>
    <s v="Bank Transfer"/>
  </r>
  <r>
    <s v="ORD-202402064"/>
    <x v="941"/>
    <n v="1756"/>
    <s v="23/10/2000"/>
    <x v="0"/>
    <x v="1"/>
    <n v="25676.71"/>
    <n v="11620.04"/>
    <s v="Seattle"/>
    <x v="2"/>
    <s v="S"/>
    <s v="Blue"/>
    <n v="5"/>
    <x v="1"/>
    <s v="Wholesale"/>
    <s v="Bank Transfer"/>
  </r>
  <r>
    <s v="ORD-202402065"/>
    <x v="1093"/>
    <n v="5943"/>
    <s v="27/05/1995"/>
    <x v="1"/>
    <x v="0"/>
    <n v="4899.0600000000004"/>
    <n v="3106.99"/>
    <s v="Los Angeles"/>
    <x v="2"/>
    <s v="L"/>
    <s v="Blue"/>
    <n v="2"/>
    <x v="1"/>
    <s v="Retail"/>
    <s v="Cash"/>
  </r>
  <r>
    <s v="ORD-202402066"/>
    <x v="515"/>
    <n v="9763"/>
    <s v="04/04/2000"/>
    <x v="1"/>
    <x v="4"/>
    <n v="29222.02"/>
    <n v="18172.849999999999"/>
    <s v="Boston"/>
    <x v="0"/>
    <s v="XL"/>
    <s v="Yellow"/>
    <n v="5"/>
    <x v="1"/>
    <s v="Retail"/>
    <s v="Cash"/>
  </r>
  <r>
    <s v="ORD-202402067"/>
    <x v="1068"/>
    <n v="2570"/>
    <s v="11/03/1991"/>
    <x v="0"/>
    <x v="2"/>
    <n v="25218.799999999999"/>
    <n v="14174.82"/>
    <s v="San Francisco"/>
    <x v="2"/>
    <s v="S"/>
    <s v="Yellow"/>
    <n v="4"/>
    <x v="2"/>
    <s v="Wholesale"/>
    <s v="PayPal"/>
  </r>
  <r>
    <s v="ORD-202402068"/>
    <x v="480"/>
    <n v="2979"/>
    <s v="16/11/1991"/>
    <x v="0"/>
    <x v="4"/>
    <n v="55734.1"/>
    <n v="26409.72"/>
    <s v="Miami"/>
    <x v="0"/>
    <s v="L"/>
    <s v="White"/>
    <n v="3"/>
    <x v="1"/>
    <s v="Wholesale"/>
    <s v="Cash"/>
  </r>
  <r>
    <s v="ORD-202402069"/>
    <x v="1194"/>
    <n v="6951"/>
    <s v="10/07/1990"/>
    <x v="1"/>
    <x v="3"/>
    <n v="2968.06"/>
    <n v="1791.19"/>
    <s v="Detroit"/>
    <x v="1"/>
    <s v="XL"/>
    <s v="Blue"/>
    <n v="5"/>
    <x v="2"/>
    <s v="Wholesale"/>
    <s v="Bank Transfer"/>
  </r>
  <r>
    <s v="ORD-202402070"/>
    <x v="1195"/>
    <n v="5790"/>
    <s v="30/08/1991"/>
    <x v="1"/>
    <x v="2"/>
    <n v="20747.07"/>
    <n v="9570.65"/>
    <s v="Chicago"/>
    <x v="1"/>
    <s v="S"/>
    <s v="Black"/>
    <n v="2"/>
    <x v="1"/>
    <s v="Retail"/>
    <s v="Cash"/>
  </r>
  <r>
    <s v="ORD-202402071"/>
    <x v="73"/>
    <n v="3677"/>
    <s v="13/09/1994"/>
    <x v="0"/>
    <x v="0"/>
    <n v="12957.64"/>
    <n v="7312.65"/>
    <s v="Seattle"/>
    <x v="2"/>
    <s v="S"/>
    <s v="Yellow"/>
    <n v="4"/>
    <x v="0"/>
    <s v="Retail"/>
    <s v="Cash"/>
  </r>
  <r>
    <s v="ORD-202402072"/>
    <x v="53"/>
    <n v="4522"/>
    <s v="22/08/1994"/>
    <x v="1"/>
    <x v="2"/>
    <n v="33239.019999999997"/>
    <n v="17682.28"/>
    <s v="San Francisco"/>
    <x v="2"/>
    <s v="XL"/>
    <s v="Black"/>
    <n v="5"/>
    <x v="1"/>
    <s v="Retail"/>
    <s v="PayPal"/>
  </r>
  <r>
    <s v="ORD-202402073"/>
    <x v="1161"/>
    <n v="1346"/>
    <s v="07/06/1970"/>
    <x v="1"/>
    <x v="4"/>
    <n v="14588.69"/>
    <n v="7282.58"/>
    <s v="Los Angeles"/>
    <x v="2"/>
    <s v="S"/>
    <s v="Yellow"/>
    <n v="5"/>
    <x v="0"/>
    <s v="Retail"/>
    <s v="PayPal"/>
  </r>
  <r>
    <s v="ORD-202402074"/>
    <x v="360"/>
    <n v="1599"/>
    <s v="14/05/1977"/>
    <x v="1"/>
    <x v="0"/>
    <n v="18884.939999999999"/>
    <n v="11498.95"/>
    <s v="Miami"/>
    <x v="0"/>
    <s v="S"/>
    <s v="Yellow"/>
    <n v="5"/>
    <x v="1"/>
    <s v="Retail"/>
    <s v="PayPal"/>
  </r>
  <r>
    <s v="ORD-202402075"/>
    <x v="1151"/>
    <n v="8213"/>
    <s v="05/04/1994"/>
    <x v="1"/>
    <x v="0"/>
    <n v="23516.73"/>
    <n v="11410.33"/>
    <s v="Seattle"/>
    <x v="2"/>
    <s v="XL"/>
    <s v="Green"/>
    <n v="1"/>
    <x v="2"/>
    <s v="Wholesale"/>
    <s v="PayPal"/>
  </r>
  <r>
    <s v="ORD-202402076"/>
    <x v="158"/>
    <n v="7474"/>
    <s v="15/02/1991"/>
    <x v="1"/>
    <x v="2"/>
    <n v="22005.3"/>
    <n v="10297.65"/>
    <s v="Minneapolis"/>
    <x v="1"/>
    <s v="M"/>
    <s v="Yellow"/>
    <n v="1"/>
    <x v="1"/>
    <s v="Retail"/>
    <s v="Bank Transfer"/>
  </r>
  <r>
    <s v="ORD-202402077"/>
    <x v="1185"/>
    <n v="6035"/>
    <s v="11/09/1978"/>
    <x v="1"/>
    <x v="4"/>
    <n v="45368.03"/>
    <n v="27264.34"/>
    <s v="Miami"/>
    <x v="0"/>
    <s v="S"/>
    <s v="Blue"/>
    <n v="4"/>
    <x v="2"/>
    <s v="Retail"/>
    <s v="Cash"/>
  </r>
  <r>
    <s v="ORD-202402078"/>
    <x v="257"/>
    <n v="3815"/>
    <s v="28/06/1985"/>
    <x v="1"/>
    <x v="3"/>
    <n v="17286.7"/>
    <n v="8548.9"/>
    <s v="Los Angeles"/>
    <x v="2"/>
    <s v="S"/>
    <s v="Yellow"/>
    <n v="1"/>
    <x v="2"/>
    <s v="Retail"/>
    <s v="Bank Transfer"/>
  </r>
  <r>
    <s v="ORD-202402079"/>
    <x v="1196"/>
    <n v="9436"/>
    <s v="30/05/1989"/>
    <x v="1"/>
    <x v="0"/>
    <n v="4782.3100000000004"/>
    <n v="2294.06"/>
    <s v="New York"/>
    <x v="0"/>
    <s v="XL"/>
    <s v="White"/>
    <n v="4"/>
    <x v="1"/>
    <s v="Retail"/>
    <s v="PayPal"/>
  </r>
  <r>
    <s v="ORD-202402080"/>
    <x v="632"/>
    <n v="6868"/>
    <s v="10/10/1972"/>
    <x v="0"/>
    <x v="0"/>
    <n v="10685.67"/>
    <n v="6783.58"/>
    <s v="Miami"/>
    <x v="0"/>
    <s v="XL"/>
    <s v="Yellow"/>
    <n v="2"/>
    <x v="1"/>
    <s v="Retail"/>
    <s v="Cash"/>
  </r>
  <r>
    <s v="ORD-202402081"/>
    <x v="22"/>
    <n v="3610"/>
    <s v="15/12/1987"/>
    <x v="0"/>
    <x v="4"/>
    <n v="34800.93"/>
    <n v="21891.24"/>
    <s v="San Francisco"/>
    <x v="2"/>
    <s v="M"/>
    <s v="White"/>
    <n v="2"/>
    <x v="1"/>
    <s v="Wholesale"/>
    <s v="Cash"/>
  </r>
  <r>
    <s v="ORD-202402082"/>
    <x v="358"/>
    <n v="1113"/>
    <s v="21/05/1972"/>
    <x v="1"/>
    <x v="3"/>
    <n v="6423.28"/>
    <n v="3157.19"/>
    <s v="Los Angeles"/>
    <x v="2"/>
    <s v="S"/>
    <s v="Blue"/>
    <n v="4"/>
    <x v="1"/>
    <s v="Retail"/>
    <s v="Cash"/>
  </r>
  <r>
    <s v="ORD-202402083"/>
    <x v="412"/>
    <n v="4449"/>
    <s v="31/01/1993"/>
    <x v="1"/>
    <x v="0"/>
    <n v="7610.22"/>
    <n v="4390.51"/>
    <s v="Chicago"/>
    <x v="1"/>
    <s v="S"/>
    <s v="Blue"/>
    <n v="3"/>
    <x v="0"/>
    <s v="Wholesale"/>
    <s v="PayPal"/>
  </r>
  <r>
    <s v="ORD-202402084"/>
    <x v="1182"/>
    <n v="7089"/>
    <s v="30/06/1993"/>
    <x v="0"/>
    <x v="1"/>
    <n v="35144.14"/>
    <n v="18773.759999999998"/>
    <s v="Minneapolis"/>
    <x v="1"/>
    <s v="XL"/>
    <s v="Yellow"/>
    <n v="1"/>
    <x v="2"/>
    <s v="Wholesale"/>
    <s v="Bank Transfer"/>
  </r>
  <r>
    <s v="ORD-202402085"/>
    <x v="171"/>
    <n v="2570"/>
    <s v="18/06/1976"/>
    <x v="1"/>
    <x v="2"/>
    <n v="27782.92"/>
    <n v="16373.74"/>
    <s v="Seattle"/>
    <x v="2"/>
    <s v="M"/>
    <s v="White"/>
    <n v="5"/>
    <x v="0"/>
    <s v="Retail"/>
    <s v="Cash"/>
  </r>
  <r>
    <s v="ORD-202402086"/>
    <x v="1197"/>
    <n v="8023"/>
    <s v="20/01/1999"/>
    <x v="1"/>
    <x v="4"/>
    <n v="46229.09"/>
    <n v="23235.42"/>
    <s v="Seattle"/>
    <x v="2"/>
    <s v="M"/>
    <s v="Yellow"/>
    <n v="5"/>
    <x v="1"/>
    <s v="Wholesale"/>
    <s v="Cash"/>
  </r>
  <r>
    <s v="ORD-202402087"/>
    <x v="693"/>
    <n v="9484"/>
    <s v="25/02/2000"/>
    <x v="0"/>
    <x v="1"/>
    <n v="84833.47"/>
    <n v="39537.53"/>
    <s v="San Francisco"/>
    <x v="2"/>
    <s v="L"/>
    <s v="Red"/>
    <n v="2"/>
    <x v="1"/>
    <s v="Retail"/>
    <s v="Bank Transfer"/>
  </r>
  <r>
    <s v="ORD-202402088"/>
    <x v="635"/>
    <n v="1489"/>
    <s v="15/08/1973"/>
    <x v="0"/>
    <x v="1"/>
    <n v="36208.39"/>
    <n v="19162.37"/>
    <s v="Boston"/>
    <x v="0"/>
    <s v="XL"/>
    <s v="Black"/>
    <n v="5"/>
    <x v="1"/>
    <s v="Wholesale"/>
    <s v="Cash"/>
  </r>
  <r>
    <s v="ORD-202402089"/>
    <x v="235"/>
    <n v="2533"/>
    <s v="17/02/1991"/>
    <x v="1"/>
    <x v="2"/>
    <n v="41221.99"/>
    <n v="23306.959999999999"/>
    <s v="San Francisco"/>
    <x v="2"/>
    <s v="XL"/>
    <s v="Blue"/>
    <n v="2"/>
    <x v="0"/>
    <s v="Retail"/>
    <s v="PayPal"/>
  </r>
  <r>
    <s v="ORD-202402090"/>
    <x v="378"/>
    <n v="3402"/>
    <s v="04/12/1983"/>
    <x v="1"/>
    <x v="4"/>
    <n v="30500.68"/>
    <n v="14656.82"/>
    <s v="Seattle"/>
    <x v="2"/>
    <s v="L"/>
    <s v="Green"/>
    <n v="5"/>
    <x v="0"/>
    <s v="Retail"/>
    <s v="PayPal"/>
  </r>
  <r>
    <s v="ORD-202402091"/>
    <x v="206"/>
    <n v="5213"/>
    <s v="05/10/1996"/>
    <x v="1"/>
    <x v="1"/>
    <n v="118406.45"/>
    <n v="60127.51"/>
    <s v="Los Angeles"/>
    <x v="2"/>
    <s v="M"/>
    <s v="Yellow"/>
    <n v="5"/>
    <x v="1"/>
    <s v="Wholesale"/>
    <s v="Bank Transfer"/>
  </r>
  <r>
    <s v="ORD-202402092"/>
    <x v="1130"/>
    <n v="8699"/>
    <s v="05/05/1973"/>
    <x v="0"/>
    <x v="0"/>
    <n v="15106.09"/>
    <n v="7453.95"/>
    <s v="San Francisco"/>
    <x v="2"/>
    <s v="S"/>
    <s v="Blue"/>
    <n v="1"/>
    <x v="1"/>
    <s v="Retail"/>
    <s v="Bank Transfer"/>
  </r>
  <r>
    <s v="ORD-202402093"/>
    <x v="1198"/>
    <n v="7398"/>
    <s v="28/09/1985"/>
    <x v="1"/>
    <x v="0"/>
    <n v="4125.18"/>
    <n v="2437.5500000000002"/>
    <s v="Minneapolis"/>
    <x v="1"/>
    <s v="M"/>
    <s v="Blue"/>
    <n v="2"/>
    <x v="1"/>
    <s v="Retail"/>
    <s v="Bank Transfer"/>
  </r>
  <r>
    <s v="ORD-202402094"/>
    <x v="597"/>
    <n v="2573"/>
    <s v="25/03/1970"/>
    <x v="0"/>
    <x v="3"/>
    <n v="2917.32"/>
    <n v="1318.85"/>
    <s v="Boston"/>
    <x v="0"/>
    <s v="XL"/>
    <s v="White"/>
    <n v="1"/>
    <x v="0"/>
    <s v="Retail"/>
    <s v="PayPal"/>
  </r>
  <r>
    <s v="ORD-202402095"/>
    <x v="992"/>
    <n v="4239"/>
    <s v="13/08/1995"/>
    <x v="1"/>
    <x v="2"/>
    <n v="35947.85"/>
    <n v="20591.2"/>
    <s v="San Francisco"/>
    <x v="2"/>
    <s v="L"/>
    <s v="Red"/>
    <n v="4"/>
    <x v="2"/>
    <s v="Wholesale"/>
    <s v="PayPal"/>
  </r>
  <r>
    <s v="ORD-202402096"/>
    <x v="1199"/>
    <n v="6992"/>
    <s v="16/02/1983"/>
    <x v="0"/>
    <x v="4"/>
    <n v="6401.79"/>
    <n v="3329.02"/>
    <s v="Boston"/>
    <x v="0"/>
    <s v="XL"/>
    <s v="Blue"/>
    <n v="3"/>
    <x v="1"/>
    <s v="Wholesale"/>
    <s v="Bank Transfer"/>
  </r>
  <r>
    <s v="ORD-202402097"/>
    <x v="1200"/>
    <n v="8216"/>
    <s v="16/03/1994"/>
    <x v="0"/>
    <x v="0"/>
    <n v="19721.45"/>
    <n v="11976.36"/>
    <s v="San Francisco"/>
    <x v="2"/>
    <s v="L"/>
    <s v="Blue"/>
    <n v="5"/>
    <x v="2"/>
    <s v="Retail"/>
    <s v="Bank Transfer"/>
  </r>
  <r>
    <s v="ORD-202402098"/>
    <x v="1201"/>
    <n v="9885"/>
    <s v="06/11/1989"/>
    <x v="1"/>
    <x v="3"/>
    <n v="10576.69"/>
    <n v="5695.64"/>
    <s v="San Francisco"/>
    <x v="2"/>
    <s v="M"/>
    <s v="White"/>
    <n v="3"/>
    <x v="1"/>
    <s v="Retail"/>
    <s v="Cash"/>
  </r>
  <r>
    <s v="ORD-202402099"/>
    <x v="1202"/>
    <n v="7472"/>
    <s v="27/10/1971"/>
    <x v="0"/>
    <x v="1"/>
    <n v="76502.8"/>
    <n v="35309.99"/>
    <s v="Miami"/>
    <x v="0"/>
    <s v="M"/>
    <s v="Red"/>
    <n v="5"/>
    <x v="2"/>
    <s v="Wholesale"/>
    <s v="PayPal"/>
  </r>
  <r>
    <s v="ORD-202402100"/>
    <x v="816"/>
    <n v="4642"/>
    <s v="24/11/1981"/>
    <x v="1"/>
    <x v="3"/>
    <n v="18272.41"/>
    <n v="9071.1299999999992"/>
    <s v="San Francisco"/>
    <x v="2"/>
    <s v="L"/>
    <s v="Yellow"/>
    <n v="4"/>
    <x v="0"/>
    <s v="Retail"/>
    <s v="Cash"/>
  </r>
  <r>
    <s v="ORD-202402101"/>
    <x v="227"/>
    <n v="8403"/>
    <s v="17/08/1992"/>
    <x v="0"/>
    <x v="0"/>
    <n v="4288.8999999999996"/>
    <n v="2398.27"/>
    <s v="Los Angeles"/>
    <x v="2"/>
    <s v="M"/>
    <s v="Green"/>
    <n v="3"/>
    <x v="1"/>
    <s v="Retail"/>
    <s v="Bank Transfer"/>
  </r>
  <r>
    <s v="ORD-202402102"/>
    <x v="1203"/>
    <n v="5252"/>
    <s v="19/01/1988"/>
    <x v="1"/>
    <x v="1"/>
    <n v="28946.65"/>
    <n v="15517.21"/>
    <s v="San Francisco"/>
    <x v="2"/>
    <s v="S"/>
    <s v="Black"/>
    <n v="1"/>
    <x v="1"/>
    <s v="Retail"/>
    <s v="Cash"/>
  </r>
  <r>
    <s v="ORD-202402103"/>
    <x v="484"/>
    <n v="7636"/>
    <s v="12/07/2000"/>
    <x v="1"/>
    <x v="3"/>
    <n v="9395.43"/>
    <n v="5263.79"/>
    <s v="Chicago"/>
    <x v="1"/>
    <s v="XL"/>
    <s v="Black"/>
    <n v="5"/>
    <x v="0"/>
    <s v="Wholesale"/>
    <s v="PayPal"/>
  </r>
  <r>
    <s v="ORD-202402104"/>
    <x v="319"/>
    <n v="6142"/>
    <s v="03/07/1975"/>
    <x v="0"/>
    <x v="4"/>
    <n v="19937.150000000001"/>
    <n v="10458.26"/>
    <s v="Boston"/>
    <x v="0"/>
    <s v="XL"/>
    <s v="Black"/>
    <n v="4"/>
    <x v="1"/>
    <s v="Wholesale"/>
    <s v="PayPal"/>
  </r>
  <r>
    <s v="ORD-202402105"/>
    <x v="1204"/>
    <n v="6549"/>
    <s v="17/04/1996"/>
    <x v="1"/>
    <x v="4"/>
    <n v="22712.77"/>
    <n v="12576.78"/>
    <s v="Seattle"/>
    <x v="2"/>
    <s v="S"/>
    <s v="Red"/>
    <n v="1"/>
    <x v="1"/>
    <s v="Retail"/>
    <s v="Bank Transfer"/>
  </r>
  <r>
    <s v="ORD-202402106"/>
    <x v="924"/>
    <n v="1897"/>
    <s v="27/01/1995"/>
    <x v="1"/>
    <x v="3"/>
    <n v="6663.33"/>
    <n v="3870.16"/>
    <s v="Chicago"/>
    <x v="1"/>
    <s v="S"/>
    <s v="Yellow"/>
    <n v="3"/>
    <x v="0"/>
    <s v="Wholesale"/>
    <s v="Cash"/>
  </r>
  <r>
    <s v="ORD-202402107"/>
    <x v="603"/>
    <n v="6505"/>
    <s v="24/12/1985"/>
    <x v="0"/>
    <x v="0"/>
    <n v="17769.009999999998"/>
    <n v="10383.65"/>
    <s v="San Francisco"/>
    <x v="2"/>
    <s v="M"/>
    <s v="Yellow"/>
    <n v="4"/>
    <x v="0"/>
    <s v="Retail"/>
    <s v="Bank Transfer"/>
  </r>
  <r>
    <s v="ORD-202402108"/>
    <x v="1205"/>
    <n v="6098"/>
    <s v="19/10/1998"/>
    <x v="0"/>
    <x v="4"/>
    <n v="22579.119999999999"/>
    <n v="11081.87"/>
    <s v="Miami"/>
    <x v="0"/>
    <s v="M"/>
    <s v="Yellow"/>
    <n v="3"/>
    <x v="1"/>
    <s v="Wholesale"/>
    <s v="PayPal"/>
  </r>
  <r>
    <s v="ORD-202402109"/>
    <x v="264"/>
    <n v="3301"/>
    <s v="24/04/1979"/>
    <x v="0"/>
    <x v="4"/>
    <n v="54313.54"/>
    <n v="27476.66"/>
    <s v="San Francisco"/>
    <x v="2"/>
    <s v="L"/>
    <s v="Blue"/>
    <n v="2"/>
    <x v="1"/>
    <s v="Wholesale"/>
    <s v="Bank Transfer"/>
  </r>
  <r>
    <s v="ORD-202402110"/>
    <x v="342"/>
    <n v="2196"/>
    <s v="02/05/2000"/>
    <x v="1"/>
    <x v="3"/>
    <n v="13050.5"/>
    <n v="7235.59"/>
    <s v="Los Angeles"/>
    <x v="2"/>
    <s v="L"/>
    <s v="White"/>
    <n v="2"/>
    <x v="0"/>
    <s v="Retail"/>
    <s v="Cash"/>
  </r>
  <r>
    <s v="ORD-202402111"/>
    <x v="804"/>
    <n v="3151"/>
    <s v="05/08/1988"/>
    <x v="0"/>
    <x v="4"/>
    <n v="48056.49"/>
    <n v="30437.54"/>
    <s v="Los Angeles"/>
    <x v="2"/>
    <s v="XL"/>
    <s v="Yellow"/>
    <n v="3"/>
    <x v="2"/>
    <s v="Retail"/>
    <s v="Bank Transfer"/>
  </r>
  <r>
    <s v="ORD-202402112"/>
    <x v="588"/>
    <n v="2039"/>
    <s v="08/11/1998"/>
    <x v="0"/>
    <x v="4"/>
    <n v="47461.7"/>
    <n v="27691.3"/>
    <s v="New York"/>
    <x v="0"/>
    <s v="M"/>
    <s v="Black"/>
    <n v="2"/>
    <x v="2"/>
    <s v="Wholesale"/>
    <s v="PayPal"/>
  </r>
  <r>
    <s v="ORD-202402113"/>
    <x v="1206"/>
    <n v="9115"/>
    <s v="14/10/1992"/>
    <x v="0"/>
    <x v="4"/>
    <n v="7653"/>
    <n v="4650.01"/>
    <s v="Chicago"/>
    <x v="1"/>
    <s v="M"/>
    <s v="Red"/>
    <n v="3"/>
    <x v="2"/>
    <s v="Retail"/>
    <s v="Bank Transfer"/>
  </r>
  <r>
    <s v="ORD-202402114"/>
    <x v="869"/>
    <n v="7339"/>
    <s v="27/11/1970"/>
    <x v="0"/>
    <x v="1"/>
    <n v="61711.99"/>
    <n v="32763.65"/>
    <s v="Boston"/>
    <x v="0"/>
    <s v="S"/>
    <s v="Green"/>
    <n v="3"/>
    <x v="1"/>
    <s v="Retail"/>
    <s v="Cash"/>
  </r>
  <r>
    <s v="ORD-202402115"/>
    <x v="1207"/>
    <n v="3006"/>
    <s v="11/04/1993"/>
    <x v="1"/>
    <x v="3"/>
    <n v="18487.939999999999"/>
    <n v="11188.81"/>
    <s v="Los Angeles"/>
    <x v="2"/>
    <s v="S"/>
    <s v="Green"/>
    <n v="3"/>
    <x v="0"/>
    <s v="Wholesale"/>
    <s v="Cash"/>
  </r>
  <r>
    <s v="ORD-202402116"/>
    <x v="381"/>
    <n v="1624"/>
    <s v="07/07/1981"/>
    <x v="0"/>
    <x v="4"/>
    <n v="15617.7"/>
    <n v="8789.4"/>
    <s v="Detroit"/>
    <x v="1"/>
    <s v="L"/>
    <s v="Green"/>
    <n v="5"/>
    <x v="2"/>
    <s v="Retail"/>
    <s v="Bank Transfer"/>
  </r>
  <r>
    <s v="ORD-202402117"/>
    <x v="301"/>
    <n v="7782"/>
    <s v="24/07/1971"/>
    <x v="0"/>
    <x v="3"/>
    <n v="16730.830000000002"/>
    <n v="9057.18"/>
    <s v="Seattle"/>
    <x v="2"/>
    <s v="L"/>
    <s v="White"/>
    <n v="4"/>
    <x v="0"/>
    <s v="Retail"/>
    <s v="PayPal"/>
  </r>
  <r>
    <s v="ORD-202402118"/>
    <x v="1208"/>
    <n v="5492"/>
    <s v="09/05/1976"/>
    <x v="0"/>
    <x v="1"/>
    <n v="25701.439999999999"/>
    <n v="14984.74"/>
    <s v="Miami"/>
    <x v="0"/>
    <s v="S"/>
    <s v="Green"/>
    <n v="5"/>
    <x v="1"/>
    <s v="Wholesale"/>
    <s v="PayPal"/>
  </r>
  <r>
    <s v="ORD-202402119"/>
    <x v="435"/>
    <n v="9743"/>
    <s v="17/02/1998"/>
    <x v="1"/>
    <x v="4"/>
    <n v="37204.730000000003"/>
    <n v="22343.3"/>
    <s v="San Francisco"/>
    <x v="2"/>
    <s v="S"/>
    <s v="Yellow"/>
    <n v="3"/>
    <x v="1"/>
    <s v="Retail"/>
    <s v="Bank Transfer"/>
  </r>
  <r>
    <s v="ORD-202402120"/>
    <x v="100"/>
    <n v="7149"/>
    <s v="02/03/1983"/>
    <x v="1"/>
    <x v="3"/>
    <n v="9780.6299999999992"/>
    <n v="4429.3"/>
    <s v="Boston"/>
    <x v="0"/>
    <s v="XL"/>
    <s v="Blue"/>
    <n v="5"/>
    <x v="2"/>
    <s v="Wholesale"/>
    <s v="Cash"/>
  </r>
  <r>
    <s v="ORD-202402121"/>
    <x v="349"/>
    <n v="8133"/>
    <s v="25/11/1987"/>
    <x v="0"/>
    <x v="2"/>
    <n v="48515.69"/>
    <n v="24824.91"/>
    <s v="San Francisco"/>
    <x v="2"/>
    <s v="M"/>
    <s v="Green"/>
    <n v="4"/>
    <x v="2"/>
    <s v="Retail"/>
    <s v="PayPal"/>
  </r>
  <r>
    <s v="ORD-202402122"/>
    <x v="166"/>
    <n v="7055"/>
    <s v="04/10/1987"/>
    <x v="1"/>
    <x v="2"/>
    <n v="10517.53"/>
    <n v="5779.67"/>
    <s v="Detroit"/>
    <x v="1"/>
    <s v="XL"/>
    <s v="Black"/>
    <n v="3"/>
    <x v="1"/>
    <s v="Retail"/>
    <s v="Bank Transfer"/>
  </r>
  <r>
    <s v="ORD-202402123"/>
    <x v="1209"/>
    <n v="3424"/>
    <s v="16/06/1984"/>
    <x v="1"/>
    <x v="3"/>
    <n v="3022.64"/>
    <n v="1482.95"/>
    <s v="Minneapolis"/>
    <x v="1"/>
    <s v="M"/>
    <s v="Green"/>
    <n v="4"/>
    <x v="2"/>
    <s v="Retail"/>
    <s v="Bank Transfer"/>
  </r>
  <r>
    <s v="ORD-202402124"/>
    <x v="777"/>
    <n v="8415"/>
    <s v="21/10/1972"/>
    <x v="0"/>
    <x v="3"/>
    <n v="3850.01"/>
    <n v="2468.46"/>
    <s v="Boston"/>
    <x v="0"/>
    <s v="S"/>
    <s v="Green"/>
    <n v="2"/>
    <x v="1"/>
    <s v="Retail"/>
    <s v="PayPal"/>
  </r>
  <r>
    <s v="ORD-202402125"/>
    <x v="1210"/>
    <n v="5459"/>
    <s v="07/02/1993"/>
    <x v="1"/>
    <x v="4"/>
    <n v="23617.16"/>
    <n v="10706.41"/>
    <s v="Minneapolis"/>
    <x v="1"/>
    <s v="M"/>
    <s v="Green"/>
    <n v="2"/>
    <x v="1"/>
    <s v="Retail"/>
    <s v="PayPal"/>
  </r>
  <r>
    <s v="ORD-202402126"/>
    <x v="633"/>
    <n v="5229"/>
    <s v="24/02/1982"/>
    <x v="0"/>
    <x v="1"/>
    <n v="81205.3"/>
    <n v="49418.79"/>
    <s v="New York"/>
    <x v="0"/>
    <s v="L"/>
    <s v="Black"/>
    <n v="1"/>
    <x v="1"/>
    <s v="Retail"/>
    <s v="PayPal"/>
  </r>
  <r>
    <s v="ORD-202402127"/>
    <x v="1211"/>
    <n v="8628"/>
    <s v="18/07/2000"/>
    <x v="1"/>
    <x v="1"/>
    <n v="41397.81"/>
    <n v="23133.03"/>
    <s v="Minneapolis"/>
    <x v="1"/>
    <s v="L"/>
    <s v="Red"/>
    <n v="2"/>
    <x v="1"/>
    <s v="Retail"/>
    <s v="PayPal"/>
  </r>
  <r>
    <s v="ORD-202402128"/>
    <x v="17"/>
    <n v="9471"/>
    <s v="26/07/2000"/>
    <x v="0"/>
    <x v="4"/>
    <n v="36684.800000000003"/>
    <n v="21300.25"/>
    <s v="Los Angeles"/>
    <x v="2"/>
    <s v="S"/>
    <s v="Black"/>
    <n v="5"/>
    <x v="1"/>
    <s v="Wholesale"/>
    <s v="Cash"/>
  </r>
  <r>
    <s v="ORD-202402129"/>
    <x v="1212"/>
    <n v="4556"/>
    <s v="10/07/1989"/>
    <x v="1"/>
    <x v="3"/>
    <n v="6054.99"/>
    <n v="3298.12"/>
    <s v="Minneapolis"/>
    <x v="1"/>
    <s v="L"/>
    <s v="Green"/>
    <n v="2"/>
    <x v="1"/>
    <s v="Wholesale"/>
    <s v="Bank Transfer"/>
  </r>
  <r>
    <s v="ORD-202402130"/>
    <x v="461"/>
    <n v="3442"/>
    <s v="07/02/1998"/>
    <x v="1"/>
    <x v="4"/>
    <n v="24375.26"/>
    <n v="14614.68"/>
    <s v="Boston"/>
    <x v="0"/>
    <s v="M"/>
    <s v="Black"/>
    <n v="3"/>
    <x v="1"/>
    <s v="Retail"/>
    <s v="Bank Transfer"/>
  </r>
  <r>
    <s v="ORD-202402131"/>
    <x v="365"/>
    <n v="1754"/>
    <s v="08/11/1984"/>
    <x v="0"/>
    <x v="1"/>
    <n v="19366.53"/>
    <n v="10130.719999999999"/>
    <s v="Detroit"/>
    <x v="1"/>
    <s v="M"/>
    <s v="Yellow"/>
    <n v="4"/>
    <x v="1"/>
    <s v="Wholesale"/>
    <s v="Bank Transfer"/>
  </r>
  <r>
    <s v="ORD-202402132"/>
    <x v="1213"/>
    <n v="3105"/>
    <s v="16/11/1993"/>
    <x v="1"/>
    <x v="2"/>
    <n v="20249.43"/>
    <n v="11974.58"/>
    <s v="San Francisco"/>
    <x v="2"/>
    <s v="XL"/>
    <s v="Red"/>
    <n v="2"/>
    <x v="1"/>
    <s v="Retail"/>
    <s v="Cash"/>
  </r>
  <r>
    <s v="ORD-202402133"/>
    <x v="1168"/>
    <n v="4106"/>
    <s v="06/02/1997"/>
    <x v="0"/>
    <x v="0"/>
    <n v="10662.67"/>
    <n v="6397.74"/>
    <s v="Los Angeles"/>
    <x v="2"/>
    <s v="M"/>
    <s v="White"/>
    <n v="2"/>
    <x v="1"/>
    <s v="Wholesale"/>
    <s v="Bank Transfer"/>
  </r>
  <r>
    <s v="ORD-202402134"/>
    <x v="369"/>
    <n v="1062"/>
    <s v="12/11/1979"/>
    <x v="0"/>
    <x v="3"/>
    <n v="1513.3"/>
    <n v="798.32"/>
    <s v="Detroit"/>
    <x v="1"/>
    <s v="L"/>
    <s v="Green"/>
    <n v="3"/>
    <x v="1"/>
    <s v="Wholesale"/>
    <s v="PayPal"/>
  </r>
  <r>
    <s v="ORD-202402135"/>
    <x v="882"/>
    <n v="4498"/>
    <s v="09/03/1979"/>
    <x v="0"/>
    <x v="2"/>
    <n v="36763.550000000003"/>
    <n v="21045.88"/>
    <s v="San Francisco"/>
    <x v="2"/>
    <s v="XL"/>
    <s v="Red"/>
    <n v="1"/>
    <x v="0"/>
    <s v="Retail"/>
    <s v="Cash"/>
  </r>
  <r>
    <s v="ORD-202402136"/>
    <x v="816"/>
    <n v="8080"/>
    <s v="29/11/1997"/>
    <x v="1"/>
    <x v="0"/>
    <n v="3668.54"/>
    <n v="1669.3"/>
    <s v="Minneapolis"/>
    <x v="1"/>
    <s v="S"/>
    <s v="Black"/>
    <n v="2"/>
    <x v="0"/>
    <s v="Retail"/>
    <s v="Bank Transfer"/>
  </r>
  <r>
    <s v="ORD-202402137"/>
    <x v="751"/>
    <n v="7772"/>
    <s v="19/12/1985"/>
    <x v="0"/>
    <x v="1"/>
    <n v="98335.96"/>
    <n v="54546.82"/>
    <s v="Seattle"/>
    <x v="2"/>
    <s v="S"/>
    <s v="White"/>
    <n v="5"/>
    <x v="1"/>
    <s v="Wholesale"/>
    <s v="Cash"/>
  </r>
  <r>
    <s v="ORD-202402138"/>
    <x v="1214"/>
    <n v="8476"/>
    <s v="02/10/1979"/>
    <x v="1"/>
    <x v="1"/>
    <n v="115046.51"/>
    <n v="56823.55"/>
    <s v="Seattle"/>
    <x v="2"/>
    <s v="M"/>
    <s v="White"/>
    <n v="3"/>
    <x v="0"/>
    <s v="Retail"/>
    <s v="Cash"/>
  </r>
  <r>
    <s v="ORD-202402139"/>
    <x v="770"/>
    <n v="5326"/>
    <s v="03/06/1984"/>
    <x v="0"/>
    <x v="4"/>
    <n v="43234.76"/>
    <n v="23251.41"/>
    <s v="Los Angeles"/>
    <x v="2"/>
    <s v="L"/>
    <s v="White"/>
    <n v="2"/>
    <x v="0"/>
    <s v="Wholesale"/>
    <s v="PayPal"/>
  </r>
  <r>
    <s v="ORD-202402140"/>
    <x v="280"/>
    <n v="8591"/>
    <s v="03/12/1994"/>
    <x v="1"/>
    <x v="3"/>
    <n v="7113.81"/>
    <n v="4229.95"/>
    <s v="Detroit"/>
    <x v="1"/>
    <s v="XL"/>
    <s v="Green"/>
    <n v="1"/>
    <x v="0"/>
    <s v="Retail"/>
    <s v="Bank Transfer"/>
  </r>
  <r>
    <s v="ORD-202402141"/>
    <x v="1215"/>
    <n v="3281"/>
    <s v="10/12/1986"/>
    <x v="0"/>
    <x v="2"/>
    <n v="31687.78"/>
    <n v="17742.78"/>
    <s v="San Francisco"/>
    <x v="2"/>
    <s v="M"/>
    <s v="Red"/>
    <n v="2"/>
    <x v="0"/>
    <s v="Wholesale"/>
    <s v="Cash"/>
  </r>
  <r>
    <s v="ORD-202402142"/>
    <x v="412"/>
    <n v="8876"/>
    <s v="27/05/1977"/>
    <x v="1"/>
    <x v="3"/>
    <n v="16604.12"/>
    <n v="7915.73"/>
    <s v="Los Angeles"/>
    <x v="2"/>
    <s v="L"/>
    <s v="Black"/>
    <n v="2"/>
    <x v="0"/>
    <s v="Retail"/>
    <s v="Cash"/>
  </r>
  <r>
    <s v="ORD-202402143"/>
    <x v="573"/>
    <n v="3721"/>
    <s v="26/07/1995"/>
    <x v="0"/>
    <x v="0"/>
    <n v="14276.05"/>
    <n v="7568.84"/>
    <s v="Detroit"/>
    <x v="1"/>
    <s v="XL"/>
    <s v="Red"/>
    <n v="3"/>
    <x v="0"/>
    <s v="Wholesale"/>
    <s v="Cash"/>
  </r>
  <r>
    <s v="ORD-202402144"/>
    <x v="1216"/>
    <n v="5540"/>
    <s v="16/05/1993"/>
    <x v="0"/>
    <x v="0"/>
    <n v="6156.89"/>
    <n v="3411.97"/>
    <s v="San Francisco"/>
    <x v="2"/>
    <s v="L"/>
    <s v="White"/>
    <n v="3"/>
    <x v="1"/>
    <s v="Wholesale"/>
    <s v="Cash"/>
  </r>
  <r>
    <s v="ORD-202402145"/>
    <x v="531"/>
    <n v="8763"/>
    <s v="18/12/1973"/>
    <x v="0"/>
    <x v="0"/>
    <n v="10971.66"/>
    <n v="6495.93"/>
    <s v="San Francisco"/>
    <x v="2"/>
    <s v="M"/>
    <s v="White"/>
    <n v="3"/>
    <x v="0"/>
    <s v="Retail"/>
    <s v="Cash"/>
  </r>
  <r>
    <s v="ORD-202402146"/>
    <x v="635"/>
    <n v="7099"/>
    <s v="13/10/1994"/>
    <x v="1"/>
    <x v="2"/>
    <n v="12508.36"/>
    <n v="7186.47"/>
    <s v="Boston"/>
    <x v="0"/>
    <s v="XL"/>
    <s v="Yellow"/>
    <n v="2"/>
    <x v="2"/>
    <s v="Retail"/>
    <s v="Bank Transfer"/>
  </r>
  <r>
    <s v="ORD-202402147"/>
    <x v="732"/>
    <n v="7549"/>
    <s v="06/12/1991"/>
    <x v="1"/>
    <x v="2"/>
    <n v="29136.080000000002"/>
    <n v="15980.39"/>
    <s v="Seattle"/>
    <x v="2"/>
    <s v="XL"/>
    <s v="Green"/>
    <n v="5"/>
    <x v="1"/>
    <s v="Wholesale"/>
    <s v="Bank Transfer"/>
  </r>
  <r>
    <s v="ORD-202402148"/>
    <x v="1217"/>
    <n v="6669"/>
    <s v="10/04/1973"/>
    <x v="0"/>
    <x v="4"/>
    <n v="43984.68"/>
    <n v="28553.77"/>
    <s v="San Francisco"/>
    <x v="2"/>
    <s v="S"/>
    <s v="Yellow"/>
    <n v="5"/>
    <x v="0"/>
    <s v="Retail"/>
    <s v="Bank Transfer"/>
  </r>
  <r>
    <s v="ORD-202402149"/>
    <x v="302"/>
    <n v="7652"/>
    <s v="25/12/1991"/>
    <x v="0"/>
    <x v="4"/>
    <n v="18494.43"/>
    <n v="8424.4699999999993"/>
    <s v="Chicago"/>
    <x v="1"/>
    <s v="S"/>
    <s v="Red"/>
    <n v="1"/>
    <x v="1"/>
    <s v="Retail"/>
    <s v="Bank Transfer"/>
  </r>
  <r>
    <s v="ORD-202402150"/>
    <x v="1218"/>
    <n v="5114"/>
    <s v="06/07/1988"/>
    <x v="1"/>
    <x v="2"/>
    <n v="23298.21"/>
    <n v="14016.86"/>
    <s v="New York"/>
    <x v="0"/>
    <s v="L"/>
    <s v="Yellow"/>
    <n v="5"/>
    <x v="1"/>
    <s v="Retail"/>
    <s v="PayPal"/>
  </r>
  <r>
    <s v="ORD-202402151"/>
    <x v="394"/>
    <n v="1303"/>
    <s v="25/08/1990"/>
    <x v="1"/>
    <x v="4"/>
    <n v="48815.11"/>
    <n v="31542.080000000002"/>
    <s v="Miami"/>
    <x v="0"/>
    <s v="S"/>
    <s v="Green"/>
    <n v="4"/>
    <x v="1"/>
    <s v="Wholesale"/>
    <s v="Cash"/>
  </r>
  <r>
    <s v="ORD-202402152"/>
    <x v="1219"/>
    <n v="7342"/>
    <s v="15/05/1980"/>
    <x v="1"/>
    <x v="3"/>
    <n v="5722.61"/>
    <n v="2617.0300000000002"/>
    <s v="Seattle"/>
    <x v="2"/>
    <s v="XL"/>
    <s v="Red"/>
    <n v="1"/>
    <x v="2"/>
    <s v="Wholesale"/>
    <s v="Bank Transfer"/>
  </r>
  <r>
    <s v="ORD-202402153"/>
    <x v="953"/>
    <n v="7339"/>
    <s v="30/10/1992"/>
    <x v="1"/>
    <x v="2"/>
    <n v="40157.629999999997"/>
    <n v="25265.62"/>
    <s v="San Francisco"/>
    <x v="2"/>
    <s v="L"/>
    <s v="Yellow"/>
    <n v="4"/>
    <x v="1"/>
    <s v="Wholesale"/>
    <s v="PayPal"/>
  </r>
  <r>
    <s v="ORD-202402154"/>
    <x v="1220"/>
    <n v="1116"/>
    <s v="11/12/1990"/>
    <x v="0"/>
    <x v="1"/>
    <n v="20849.919999999998"/>
    <n v="10782.09"/>
    <s v="Seattle"/>
    <x v="2"/>
    <s v="S"/>
    <s v="White"/>
    <n v="4"/>
    <x v="1"/>
    <s v="Wholesale"/>
    <s v="PayPal"/>
  </r>
  <r>
    <s v="ORD-202402155"/>
    <x v="606"/>
    <n v="6575"/>
    <s v="14/10/1992"/>
    <x v="1"/>
    <x v="4"/>
    <n v="25134.639999999999"/>
    <n v="14768.41"/>
    <s v="Minneapolis"/>
    <x v="1"/>
    <s v="XL"/>
    <s v="Red"/>
    <n v="1"/>
    <x v="2"/>
    <s v="Retail"/>
    <s v="PayPal"/>
  </r>
  <r>
    <s v="ORD-202402156"/>
    <x v="1032"/>
    <n v="5806"/>
    <s v="08/07/1996"/>
    <x v="0"/>
    <x v="3"/>
    <n v="16515.330000000002"/>
    <n v="10456.870000000001"/>
    <s v="New York"/>
    <x v="0"/>
    <s v="XL"/>
    <s v="Green"/>
    <n v="3"/>
    <x v="2"/>
    <s v="Retail"/>
    <s v="Bank Transfer"/>
  </r>
  <r>
    <s v="ORD-202402157"/>
    <x v="617"/>
    <n v="7450"/>
    <s v="24/09/1985"/>
    <x v="1"/>
    <x v="2"/>
    <n v="43147.92"/>
    <n v="23888.78"/>
    <s v="San Francisco"/>
    <x v="2"/>
    <s v="XL"/>
    <s v="White"/>
    <n v="5"/>
    <x v="1"/>
    <s v="Retail"/>
    <s v="Bank Transfer"/>
  </r>
  <r>
    <s v="ORD-202402158"/>
    <x v="398"/>
    <n v="5506"/>
    <s v="14/09/1980"/>
    <x v="1"/>
    <x v="4"/>
    <n v="31172.7"/>
    <n v="19411.45"/>
    <s v="Detroit"/>
    <x v="1"/>
    <s v="S"/>
    <s v="Black"/>
    <n v="2"/>
    <x v="1"/>
    <s v="Wholesale"/>
    <s v="Cash"/>
  </r>
  <r>
    <s v="ORD-202402159"/>
    <x v="851"/>
    <n v="9588"/>
    <s v="20/06/2000"/>
    <x v="1"/>
    <x v="1"/>
    <n v="31483.71"/>
    <n v="15596.97"/>
    <s v="Los Angeles"/>
    <x v="2"/>
    <s v="L"/>
    <s v="Green"/>
    <n v="1"/>
    <x v="1"/>
    <s v="Wholesale"/>
    <s v="Bank Transfer"/>
  </r>
  <r>
    <s v="ORD-202402160"/>
    <x v="1221"/>
    <n v="4761"/>
    <s v="21/10/1986"/>
    <x v="0"/>
    <x v="0"/>
    <n v="8806.42"/>
    <n v="4902.8500000000004"/>
    <s v="Los Angeles"/>
    <x v="2"/>
    <s v="XL"/>
    <s v="Yellow"/>
    <n v="2"/>
    <x v="1"/>
    <s v="Wholesale"/>
    <s v="Cash"/>
  </r>
  <r>
    <s v="ORD-202402161"/>
    <x v="1014"/>
    <n v="1478"/>
    <s v="31/05/1982"/>
    <x v="1"/>
    <x v="2"/>
    <n v="21459.84"/>
    <n v="10554.09"/>
    <s v="San Francisco"/>
    <x v="2"/>
    <s v="L"/>
    <s v="Red"/>
    <n v="3"/>
    <x v="1"/>
    <s v="Wholesale"/>
    <s v="Cash"/>
  </r>
  <r>
    <s v="ORD-202402162"/>
    <x v="1222"/>
    <n v="3312"/>
    <s v="22/01/1972"/>
    <x v="1"/>
    <x v="2"/>
    <n v="17020.64"/>
    <n v="8443.81"/>
    <s v="Seattle"/>
    <x v="2"/>
    <s v="XL"/>
    <s v="Black"/>
    <n v="5"/>
    <x v="1"/>
    <s v="Retail"/>
    <s v="Bank Transfer"/>
  </r>
  <r>
    <s v="ORD-202402163"/>
    <x v="1223"/>
    <n v="8075"/>
    <s v="05/09/1987"/>
    <x v="0"/>
    <x v="2"/>
    <n v="11379.09"/>
    <n v="7056.78"/>
    <s v="Minneapolis"/>
    <x v="1"/>
    <s v="M"/>
    <s v="White"/>
    <n v="2"/>
    <x v="2"/>
    <s v="Retail"/>
    <s v="Bank Transfer"/>
  </r>
  <r>
    <s v="ORD-202402164"/>
    <x v="742"/>
    <n v="5647"/>
    <s v="27/10/1995"/>
    <x v="0"/>
    <x v="1"/>
    <n v="23844.27"/>
    <n v="11153.34"/>
    <s v="San Francisco"/>
    <x v="2"/>
    <s v="M"/>
    <s v="Black"/>
    <n v="4"/>
    <x v="1"/>
    <s v="Retail"/>
    <s v="PayPal"/>
  </r>
  <r>
    <s v="ORD-202402165"/>
    <x v="491"/>
    <n v="8560"/>
    <s v="08/10/1981"/>
    <x v="1"/>
    <x v="2"/>
    <n v="30804.95"/>
    <n v="16753.78"/>
    <s v="Seattle"/>
    <x v="2"/>
    <s v="M"/>
    <s v="Blue"/>
    <n v="1"/>
    <x v="1"/>
    <s v="Retail"/>
    <s v="Cash"/>
  </r>
  <r>
    <s v="ORD-202402166"/>
    <x v="647"/>
    <n v="9652"/>
    <s v="22/03/1991"/>
    <x v="0"/>
    <x v="3"/>
    <n v="9890.75"/>
    <n v="4496.1899999999996"/>
    <s v="Minneapolis"/>
    <x v="1"/>
    <s v="L"/>
    <s v="Black"/>
    <n v="2"/>
    <x v="1"/>
    <s v="Retail"/>
    <s v="Bank Transfer"/>
  </r>
  <r>
    <s v="ORD-202402167"/>
    <x v="1224"/>
    <n v="1990"/>
    <s v="07/02/1991"/>
    <x v="1"/>
    <x v="3"/>
    <n v="4919.6400000000003"/>
    <n v="3046.38"/>
    <s v="San Francisco"/>
    <x v="2"/>
    <s v="S"/>
    <s v="Blue"/>
    <n v="5"/>
    <x v="1"/>
    <s v="Wholesale"/>
    <s v="Bank Transfer"/>
  </r>
  <r>
    <s v="ORD-202402168"/>
    <x v="1225"/>
    <n v="5154"/>
    <s v="17/09/1990"/>
    <x v="1"/>
    <x v="1"/>
    <n v="35489.74"/>
    <n v="20145.75"/>
    <s v="Chicago"/>
    <x v="1"/>
    <s v="L"/>
    <s v="Black"/>
    <n v="1"/>
    <x v="0"/>
    <s v="Wholesale"/>
    <s v="Cash"/>
  </r>
  <r>
    <s v="ORD-202402169"/>
    <x v="925"/>
    <n v="1191"/>
    <s v="27/08/1992"/>
    <x v="1"/>
    <x v="1"/>
    <n v="54250.91"/>
    <n v="32642.71"/>
    <s v="Boston"/>
    <x v="0"/>
    <s v="XL"/>
    <s v="Black"/>
    <n v="3"/>
    <x v="1"/>
    <s v="Retail"/>
    <s v="Bank Transfer"/>
  </r>
  <r>
    <s v="ORD-202402170"/>
    <x v="174"/>
    <n v="5937"/>
    <s v="16/02/1994"/>
    <x v="1"/>
    <x v="4"/>
    <n v="38148.17"/>
    <n v="19218.32"/>
    <s v="San Francisco"/>
    <x v="2"/>
    <s v="M"/>
    <s v="Red"/>
    <n v="2"/>
    <x v="1"/>
    <s v="Wholesale"/>
    <s v="Bank Transfer"/>
  </r>
  <r>
    <s v="ORD-202402171"/>
    <x v="800"/>
    <n v="1118"/>
    <s v="15/12/2000"/>
    <x v="1"/>
    <x v="3"/>
    <n v="13470.51"/>
    <n v="7732.59"/>
    <s v="Miami"/>
    <x v="0"/>
    <s v="XL"/>
    <s v="Blue"/>
    <n v="5"/>
    <x v="1"/>
    <s v="Retail"/>
    <s v="Cash"/>
  </r>
  <r>
    <s v="ORD-202402172"/>
    <x v="250"/>
    <n v="5199"/>
    <s v="30/06/1987"/>
    <x v="0"/>
    <x v="3"/>
    <n v="10127.44"/>
    <n v="4724.87"/>
    <s v="Detroit"/>
    <x v="1"/>
    <s v="XL"/>
    <s v="Black"/>
    <n v="5"/>
    <x v="1"/>
    <s v="Wholesale"/>
    <s v="Bank Transfer"/>
  </r>
  <r>
    <s v="ORD-202402173"/>
    <x v="1226"/>
    <n v="6168"/>
    <s v="07/09/1995"/>
    <x v="0"/>
    <x v="3"/>
    <n v="2414.5100000000002"/>
    <n v="1567.43"/>
    <s v="Minneapolis"/>
    <x v="1"/>
    <s v="S"/>
    <s v="White"/>
    <n v="3"/>
    <x v="1"/>
    <s v="Wholesale"/>
    <s v="Bank Transfer"/>
  </r>
  <r>
    <s v="ORD-202402174"/>
    <x v="1227"/>
    <n v="4386"/>
    <s v="17/02/1977"/>
    <x v="0"/>
    <x v="0"/>
    <n v="14881.07"/>
    <n v="8503.2000000000007"/>
    <s v="Seattle"/>
    <x v="2"/>
    <s v="XL"/>
    <s v="White"/>
    <n v="2"/>
    <x v="1"/>
    <s v="Wholesale"/>
    <s v="Cash"/>
  </r>
  <r>
    <s v="ORD-202402175"/>
    <x v="428"/>
    <n v="5011"/>
    <s v="22/02/1970"/>
    <x v="0"/>
    <x v="3"/>
    <n v="6001.56"/>
    <n v="3472.1"/>
    <s v="Minneapolis"/>
    <x v="1"/>
    <s v="S"/>
    <s v="Green"/>
    <n v="3"/>
    <x v="2"/>
    <s v="Wholesale"/>
    <s v="Cash"/>
  </r>
  <r>
    <s v="ORD-202402176"/>
    <x v="1228"/>
    <n v="6853"/>
    <s v="03/03/1998"/>
    <x v="0"/>
    <x v="3"/>
    <n v="2750.79"/>
    <n v="1775.03"/>
    <s v="New York"/>
    <x v="0"/>
    <s v="L"/>
    <s v="Red"/>
    <n v="1"/>
    <x v="1"/>
    <s v="Retail"/>
    <s v="PayPal"/>
  </r>
  <r>
    <s v="ORD-202402177"/>
    <x v="1229"/>
    <n v="9473"/>
    <s v="01/04/1987"/>
    <x v="0"/>
    <x v="0"/>
    <n v="14261.57"/>
    <n v="6575.91"/>
    <s v="Chicago"/>
    <x v="1"/>
    <s v="S"/>
    <s v="Black"/>
    <n v="1"/>
    <x v="0"/>
    <s v="Wholesale"/>
    <s v="Cash"/>
  </r>
  <r>
    <s v="ORD-202402178"/>
    <x v="1230"/>
    <n v="9457"/>
    <s v="04/10/1979"/>
    <x v="1"/>
    <x v="2"/>
    <n v="16225.76"/>
    <n v="9977.4"/>
    <s v="Minneapolis"/>
    <x v="1"/>
    <s v="XL"/>
    <s v="Blue"/>
    <n v="5"/>
    <x v="2"/>
    <s v="Wholesale"/>
    <s v="Cash"/>
  </r>
  <r>
    <s v="ORD-202402179"/>
    <x v="1231"/>
    <n v="2719"/>
    <s v="10/08/1993"/>
    <x v="1"/>
    <x v="2"/>
    <n v="48734.29"/>
    <n v="27152.639999999999"/>
    <s v="Seattle"/>
    <x v="2"/>
    <s v="XL"/>
    <s v="Blue"/>
    <n v="2"/>
    <x v="0"/>
    <s v="Wholesale"/>
    <s v="Bank Transfer"/>
  </r>
  <r>
    <s v="ORD-202402180"/>
    <x v="678"/>
    <n v="6624"/>
    <s v="17/08/1992"/>
    <x v="0"/>
    <x v="1"/>
    <n v="70846.929999999993"/>
    <n v="37054.78"/>
    <s v="Chicago"/>
    <x v="1"/>
    <s v="XL"/>
    <s v="Black"/>
    <n v="4"/>
    <x v="0"/>
    <s v="Wholesale"/>
    <s v="PayPal"/>
  </r>
  <r>
    <s v="ORD-202402181"/>
    <x v="1232"/>
    <n v="9409"/>
    <s v="28/05/1972"/>
    <x v="0"/>
    <x v="3"/>
    <n v="11143.32"/>
    <n v="6636.81"/>
    <s v="Miami"/>
    <x v="0"/>
    <s v="L"/>
    <s v="Green"/>
    <n v="3"/>
    <x v="0"/>
    <s v="Retail"/>
    <s v="Cash"/>
  </r>
  <r>
    <s v="ORD-202402182"/>
    <x v="904"/>
    <n v="5615"/>
    <s v="27/12/1992"/>
    <x v="0"/>
    <x v="4"/>
    <n v="50920.85"/>
    <n v="31523.13"/>
    <s v="Miami"/>
    <x v="0"/>
    <s v="S"/>
    <s v="Yellow"/>
    <n v="5"/>
    <x v="1"/>
    <s v="Retail"/>
    <s v="Bank Transfer"/>
  </r>
  <r>
    <s v="ORD-202402183"/>
    <x v="1013"/>
    <n v="6916"/>
    <s v="11/07/1988"/>
    <x v="1"/>
    <x v="2"/>
    <n v="32867.19"/>
    <n v="18743.07"/>
    <s v="New York"/>
    <x v="0"/>
    <s v="M"/>
    <s v="Green"/>
    <n v="3"/>
    <x v="0"/>
    <s v="Retail"/>
    <s v="Cash"/>
  </r>
  <r>
    <s v="ORD-202402184"/>
    <x v="879"/>
    <n v="5915"/>
    <s v="16/10/1984"/>
    <x v="1"/>
    <x v="4"/>
    <n v="30942.25"/>
    <n v="16721.349999999999"/>
    <s v="Boston"/>
    <x v="0"/>
    <s v="XL"/>
    <s v="White"/>
    <n v="3"/>
    <x v="1"/>
    <s v="Wholesale"/>
    <s v="Bank Transfer"/>
  </r>
  <r>
    <s v="ORD-202402185"/>
    <x v="1233"/>
    <n v="5726"/>
    <s v="28/08/1976"/>
    <x v="0"/>
    <x v="4"/>
    <n v="26370.59"/>
    <n v="14345.27"/>
    <s v="Seattle"/>
    <x v="2"/>
    <s v="S"/>
    <s v="Red"/>
    <n v="4"/>
    <x v="1"/>
    <s v="Retail"/>
    <s v="Bank Transfer"/>
  </r>
  <r>
    <s v="ORD-202402186"/>
    <x v="459"/>
    <n v="7816"/>
    <s v="14/07/1995"/>
    <x v="1"/>
    <x v="3"/>
    <n v="11820.44"/>
    <n v="7498.94"/>
    <s v="Detroit"/>
    <x v="1"/>
    <s v="S"/>
    <s v="White"/>
    <n v="4"/>
    <x v="1"/>
    <s v="Wholesale"/>
    <s v="Bank Transfer"/>
  </r>
  <r>
    <s v="ORD-202402187"/>
    <x v="1234"/>
    <n v="4620"/>
    <s v="01/05/1986"/>
    <x v="1"/>
    <x v="3"/>
    <n v="11704.9"/>
    <n v="7444.62"/>
    <s v="Boston"/>
    <x v="0"/>
    <s v="XL"/>
    <s v="White"/>
    <n v="4"/>
    <x v="1"/>
    <s v="Wholesale"/>
    <s v="Cash"/>
  </r>
  <r>
    <s v="ORD-202402188"/>
    <x v="487"/>
    <n v="3417"/>
    <s v="07/01/1992"/>
    <x v="1"/>
    <x v="0"/>
    <n v="13891.29"/>
    <n v="6799.35"/>
    <s v="Los Angeles"/>
    <x v="2"/>
    <s v="S"/>
    <s v="Green"/>
    <n v="3"/>
    <x v="2"/>
    <s v="Wholesale"/>
    <s v="Cash"/>
  </r>
  <r>
    <s v="ORD-202402189"/>
    <x v="731"/>
    <n v="6553"/>
    <s v="04/07/1972"/>
    <x v="1"/>
    <x v="3"/>
    <n v="20016.59"/>
    <n v="10354.14"/>
    <s v="San Francisco"/>
    <x v="2"/>
    <s v="M"/>
    <s v="Green"/>
    <n v="3"/>
    <x v="1"/>
    <s v="Wholesale"/>
    <s v="Bank Transfer"/>
  </r>
  <r>
    <s v="ORD-202402190"/>
    <x v="259"/>
    <n v="4517"/>
    <s v="07/10/1999"/>
    <x v="0"/>
    <x v="3"/>
    <n v="5371.99"/>
    <n v="3459.66"/>
    <s v="Chicago"/>
    <x v="1"/>
    <s v="XL"/>
    <s v="Black"/>
    <n v="4"/>
    <x v="1"/>
    <s v="Retail"/>
    <s v="PayPal"/>
  </r>
  <r>
    <s v="ORD-202402191"/>
    <x v="1235"/>
    <n v="1491"/>
    <s v="10/02/1974"/>
    <x v="1"/>
    <x v="2"/>
    <n v="48077.05"/>
    <n v="22123.279999999999"/>
    <s v="Los Angeles"/>
    <x v="2"/>
    <s v="M"/>
    <s v="Red"/>
    <n v="4"/>
    <x v="1"/>
    <s v="Wholesale"/>
    <s v="PayPal"/>
  </r>
  <r>
    <s v="ORD-202402192"/>
    <x v="377"/>
    <n v="4793"/>
    <s v="29/06/1990"/>
    <x v="0"/>
    <x v="0"/>
    <n v="6876.79"/>
    <n v="3622.3"/>
    <s v="Miami"/>
    <x v="0"/>
    <s v="S"/>
    <s v="Yellow"/>
    <n v="2"/>
    <x v="2"/>
    <s v="Wholesale"/>
    <s v="Bank Transfer"/>
  </r>
  <r>
    <s v="ORD-202402193"/>
    <x v="1236"/>
    <n v="6738"/>
    <s v="04/07/1994"/>
    <x v="0"/>
    <x v="3"/>
    <n v="22115.98"/>
    <n v="10099.98"/>
    <s v="Seattle"/>
    <x v="2"/>
    <s v="L"/>
    <s v="Yellow"/>
    <n v="2"/>
    <x v="0"/>
    <s v="Retail"/>
    <s v="Bank Transfer"/>
  </r>
  <r>
    <s v="ORD-202402194"/>
    <x v="504"/>
    <n v="4110"/>
    <s v="25/06/1971"/>
    <x v="0"/>
    <x v="4"/>
    <n v="25636.31"/>
    <n v="16358.18"/>
    <s v="Chicago"/>
    <x v="1"/>
    <s v="XL"/>
    <s v="Blue"/>
    <n v="4"/>
    <x v="0"/>
    <s v="Retail"/>
    <s v="Cash"/>
  </r>
  <r>
    <s v="ORD-202402195"/>
    <x v="1237"/>
    <n v="2028"/>
    <s v="10/08/1977"/>
    <x v="0"/>
    <x v="1"/>
    <n v="58143.51"/>
    <n v="29459.3"/>
    <s v="New York"/>
    <x v="0"/>
    <s v="XL"/>
    <s v="Yellow"/>
    <n v="1"/>
    <x v="0"/>
    <s v="Retail"/>
    <s v="Bank Transfer"/>
  </r>
  <r>
    <s v="ORD-202402196"/>
    <x v="1238"/>
    <n v="9907"/>
    <s v="10/05/1970"/>
    <x v="0"/>
    <x v="0"/>
    <n v="9402.2099999999991"/>
    <n v="5546.1"/>
    <s v="Los Angeles"/>
    <x v="2"/>
    <s v="M"/>
    <s v="Green"/>
    <n v="2"/>
    <x v="0"/>
    <s v="Retail"/>
    <s v="Bank Transfer"/>
  </r>
  <r>
    <s v="ORD-202402197"/>
    <x v="1239"/>
    <n v="5221"/>
    <s v="07/05/1971"/>
    <x v="1"/>
    <x v="0"/>
    <n v="12899.54"/>
    <n v="6305.62"/>
    <s v="New York"/>
    <x v="0"/>
    <s v="M"/>
    <s v="White"/>
    <n v="5"/>
    <x v="2"/>
    <s v="Retail"/>
    <s v="Bank Transfer"/>
  </r>
  <r>
    <s v="ORD-202402198"/>
    <x v="1240"/>
    <n v="8772"/>
    <s v="28/08/1994"/>
    <x v="1"/>
    <x v="2"/>
    <n v="25663.52"/>
    <n v="13100.47"/>
    <s v="Boston"/>
    <x v="0"/>
    <s v="M"/>
    <s v="Green"/>
    <n v="4"/>
    <x v="0"/>
    <s v="Wholesale"/>
    <s v="Bank Transfer"/>
  </r>
  <r>
    <s v="ORD-202402199"/>
    <x v="1241"/>
    <n v="6487"/>
    <s v="29/08/1997"/>
    <x v="0"/>
    <x v="2"/>
    <n v="8651.82"/>
    <n v="4459.21"/>
    <s v="Minneapolis"/>
    <x v="1"/>
    <s v="XL"/>
    <s v="White"/>
    <n v="3"/>
    <x v="0"/>
    <s v="Retail"/>
    <s v="Bank Transfer"/>
  </r>
  <r>
    <s v="ORD-202402200"/>
    <x v="1242"/>
    <n v="7144"/>
    <s v="02/07/1970"/>
    <x v="1"/>
    <x v="0"/>
    <n v="21903.38"/>
    <n v="12437.4"/>
    <s v="Los Angeles"/>
    <x v="2"/>
    <s v="XL"/>
    <s v="White"/>
    <n v="5"/>
    <x v="1"/>
    <s v="Wholesale"/>
    <s v="PayPal"/>
  </r>
  <r>
    <s v="ORD-202402201"/>
    <x v="1243"/>
    <n v="3234"/>
    <s v="25/11/1980"/>
    <x v="1"/>
    <x v="3"/>
    <n v="6293.11"/>
    <n v="3449.44"/>
    <s v="Chicago"/>
    <x v="1"/>
    <s v="M"/>
    <s v="Red"/>
    <n v="2"/>
    <x v="0"/>
    <s v="Retail"/>
    <s v="PayPal"/>
  </r>
  <r>
    <s v="ORD-202402202"/>
    <x v="1132"/>
    <n v="4338"/>
    <s v="19/11/1972"/>
    <x v="1"/>
    <x v="4"/>
    <n v="26201.77"/>
    <n v="13367.1"/>
    <s v="Miami"/>
    <x v="0"/>
    <s v="L"/>
    <s v="White"/>
    <n v="5"/>
    <x v="1"/>
    <s v="Wholesale"/>
    <s v="Bank Transfer"/>
  </r>
  <r>
    <s v="ORD-202402203"/>
    <x v="1125"/>
    <n v="8362"/>
    <s v="24/04/2000"/>
    <x v="1"/>
    <x v="0"/>
    <n v="19425.04"/>
    <n v="11329.01"/>
    <s v="San Francisco"/>
    <x v="2"/>
    <s v="L"/>
    <s v="White"/>
    <n v="5"/>
    <x v="1"/>
    <s v="Wholesale"/>
    <s v="Cash"/>
  </r>
  <r>
    <s v="ORD-202402204"/>
    <x v="1244"/>
    <n v="8847"/>
    <s v="01/08/1998"/>
    <x v="1"/>
    <x v="4"/>
    <n v="16558.23"/>
    <n v="8297.16"/>
    <s v="Minneapolis"/>
    <x v="1"/>
    <s v="L"/>
    <s v="Blue"/>
    <n v="4"/>
    <x v="2"/>
    <s v="Retail"/>
    <s v="Cash"/>
  </r>
  <r>
    <s v="ORD-202402205"/>
    <x v="464"/>
    <n v="5148"/>
    <s v="10/04/1981"/>
    <x v="0"/>
    <x v="2"/>
    <n v="10075.51"/>
    <n v="5122.07"/>
    <s v="Los Angeles"/>
    <x v="2"/>
    <s v="S"/>
    <s v="Black"/>
    <n v="5"/>
    <x v="1"/>
    <s v="Retail"/>
    <s v="PayPal"/>
  </r>
  <r>
    <s v="ORD-202402206"/>
    <x v="1245"/>
    <n v="2518"/>
    <s v="01/05/1998"/>
    <x v="1"/>
    <x v="4"/>
    <n v="33471.08"/>
    <n v="19462.740000000002"/>
    <s v="San Francisco"/>
    <x v="2"/>
    <s v="L"/>
    <s v="White"/>
    <n v="3"/>
    <x v="0"/>
    <s v="Retail"/>
    <s v="Bank Transfer"/>
  </r>
  <r>
    <s v="ORD-202402207"/>
    <x v="329"/>
    <n v="4072"/>
    <s v="20/10/1981"/>
    <x v="0"/>
    <x v="2"/>
    <n v="29745.5"/>
    <n v="17606.79"/>
    <s v="Detroit"/>
    <x v="1"/>
    <s v="XL"/>
    <s v="White"/>
    <n v="4"/>
    <x v="0"/>
    <s v="Retail"/>
    <s v="Bank Transfer"/>
  </r>
  <r>
    <s v="ORD-202402208"/>
    <x v="1246"/>
    <n v="4349"/>
    <s v="18/04/1979"/>
    <x v="0"/>
    <x v="0"/>
    <n v="4403.34"/>
    <n v="2017.22"/>
    <s v="Boston"/>
    <x v="0"/>
    <s v="S"/>
    <s v="Black"/>
    <n v="4"/>
    <x v="1"/>
    <s v="Retail"/>
    <s v="Cash"/>
  </r>
  <r>
    <s v="ORD-202402209"/>
    <x v="1247"/>
    <n v="7658"/>
    <s v="04/04/1983"/>
    <x v="1"/>
    <x v="2"/>
    <n v="31508.21"/>
    <n v="14310.59"/>
    <s v="Boston"/>
    <x v="0"/>
    <s v="M"/>
    <s v="White"/>
    <n v="1"/>
    <x v="0"/>
    <s v="Retail"/>
    <s v="PayPal"/>
  </r>
  <r>
    <s v="ORD-202402210"/>
    <x v="418"/>
    <n v="1733"/>
    <s v="10/09/1978"/>
    <x v="1"/>
    <x v="3"/>
    <n v="14562.75"/>
    <n v="6571.41"/>
    <s v="Los Angeles"/>
    <x v="2"/>
    <s v="XL"/>
    <s v="White"/>
    <n v="3"/>
    <x v="1"/>
    <s v="Retail"/>
    <s v="Cash"/>
  </r>
  <r>
    <s v="ORD-202402211"/>
    <x v="1248"/>
    <n v="8467"/>
    <s v="04/01/1988"/>
    <x v="1"/>
    <x v="3"/>
    <n v="10109.1"/>
    <n v="6441.24"/>
    <s v="Los Angeles"/>
    <x v="2"/>
    <s v="XL"/>
    <s v="Red"/>
    <n v="3"/>
    <x v="2"/>
    <s v="Retail"/>
    <s v="Cash"/>
  </r>
  <r>
    <s v="ORD-202402212"/>
    <x v="1249"/>
    <n v="2425"/>
    <s v="02/03/1981"/>
    <x v="0"/>
    <x v="4"/>
    <n v="23775.599999999999"/>
    <n v="12654.48"/>
    <s v="Los Angeles"/>
    <x v="2"/>
    <s v="XL"/>
    <s v="Red"/>
    <n v="2"/>
    <x v="1"/>
    <s v="Retail"/>
    <s v="Bank Transfer"/>
  </r>
  <r>
    <s v="ORD-202402213"/>
    <x v="304"/>
    <n v="8433"/>
    <s v="28/03/1981"/>
    <x v="1"/>
    <x v="1"/>
    <n v="27163.69"/>
    <n v="13037.44"/>
    <s v="Minneapolis"/>
    <x v="1"/>
    <s v="XL"/>
    <s v="Blue"/>
    <n v="1"/>
    <x v="0"/>
    <s v="Retail"/>
    <s v="Bank Transfer"/>
  </r>
  <r>
    <s v="ORD-202402214"/>
    <x v="421"/>
    <n v="6836"/>
    <s v="07/05/1970"/>
    <x v="1"/>
    <x v="1"/>
    <n v="52139.72"/>
    <n v="23897.4"/>
    <s v="New York"/>
    <x v="0"/>
    <s v="S"/>
    <s v="Green"/>
    <n v="4"/>
    <x v="2"/>
    <s v="Wholesale"/>
    <s v="Cash"/>
  </r>
  <r>
    <s v="ORD-202402215"/>
    <x v="755"/>
    <n v="4319"/>
    <s v="11/11/1996"/>
    <x v="0"/>
    <x v="4"/>
    <n v="52749.64"/>
    <n v="27587.8"/>
    <s v="Seattle"/>
    <x v="2"/>
    <s v="M"/>
    <s v="Yellow"/>
    <n v="2"/>
    <x v="0"/>
    <s v="Wholesale"/>
    <s v="Cash"/>
  </r>
  <r>
    <s v="ORD-202402216"/>
    <x v="1206"/>
    <n v="2341"/>
    <s v="04/05/1984"/>
    <x v="1"/>
    <x v="2"/>
    <n v="17917.95"/>
    <n v="10993.38"/>
    <s v="Miami"/>
    <x v="0"/>
    <s v="XL"/>
    <s v="Yellow"/>
    <n v="3"/>
    <x v="1"/>
    <s v="Wholesale"/>
    <s v="PayPal"/>
  </r>
  <r>
    <s v="ORD-202402217"/>
    <x v="1250"/>
    <n v="7754"/>
    <s v="21/11/1981"/>
    <x v="1"/>
    <x v="4"/>
    <n v="26553.119999999999"/>
    <n v="15581.95"/>
    <s v="New York"/>
    <x v="0"/>
    <s v="S"/>
    <s v="Yellow"/>
    <n v="1"/>
    <x v="1"/>
    <s v="Retail"/>
    <s v="Cash"/>
  </r>
  <r>
    <s v="ORD-202402218"/>
    <x v="1251"/>
    <n v="9264"/>
    <s v="03/06/1994"/>
    <x v="0"/>
    <x v="3"/>
    <n v="9178.67"/>
    <n v="4311.2700000000004"/>
    <s v="Detroit"/>
    <x v="1"/>
    <s v="M"/>
    <s v="Blue"/>
    <n v="3"/>
    <x v="1"/>
    <s v="Retail"/>
    <s v="Cash"/>
  </r>
  <r>
    <s v="ORD-202402219"/>
    <x v="145"/>
    <n v="7034"/>
    <s v="15/08/1991"/>
    <x v="1"/>
    <x v="4"/>
    <n v="15462.98"/>
    <n v="9124.8799999999992"/>
    <s v="San Francisco"/>
    <x v="2"/>
    <s v="S"/>
    <s v="Red"/>
    <n v="5"/>
    <x v="2"/>
    <s v="Wholesale"/>
    <s v="Cash"/>
  </r>
  <r>
    <s v="ORD-202402220"/>
    <x v="1252"/>
    <n v="3403"/>
    <s v="13/09/1998"/>
    <x v="0"/>
    <x v="2"/>
    <n v="49421.34"/>
    <n v="22345.599999999999"/>
    <s v="San Francisco"/>
    <x v="2"/>
    <s v="L"/>
    <s v="White"/>
    <n v="1"/>
    <x v="1"/>
    <s v="Retail"/>
    <s v="PayPal"/>
  </r>
  <r>
    <s v="ORD-202402221"/>
    <x v="683"/>
    <n v="8711"/>
    <s v="09/07/1979"/>
    <x v="0"/>
    <x v="4"/>
    <n v="30769.99"/>
    <n v="19019.349999999999"/>
    <s v="Boston"/>
    <x v="0"/>
    <s v="L"/>
    <s v="White"/>
    <n v="5"/>
    <x v="1"/>
    <s v="Retail"/>
    <s v="Bank Transfer"/>
  </r>
  <r>
    <s v="ORD-202402222"/>
    <x v="1231"/>
    <n v="4915"/>
    <s v="04/12/2000"/>
    <x v="0"/>
    <x v="1"/>
    <n v="93472.34"/>
    <n v="43356.01"/>
    <s v="San Francisco"/>
    <x v="2"/>
    <s v="S"/>
    <s v="Black"/>
    <n v="3"/>
    <x v="0"/>
    <s v="Wholesale"/>
    <s v="PayPal"/>
  </r>
  <r>
    <s v="ORD-202402223"/>
    <x v="120"/>
    <n v="2206"/>
    <s v="07/03/1999"/>
    <x v="1"/>
    <x v="1"/>
    <n v="75881.56"/>
    <n v="49247.519999999997"/>
    <s v="San Francisco"/>
    <x v="2"/>
    <s v="XL"/>
    <s v="Green"/>
    <n v="4"/>
    <x v="1"/>
    <s v="Wholesale"/>
    <s v="Bank Transfer"/>
  </r>
  <r>
    <s v="ORD-202402224"/>
    <x v="343"/>
    <n v="6815"/>
    <s v="12/04/1983"/>
    <x v="0"/>
    <x v="2"/>
    <n v="49138.57"/>
    <n v="25395.29"/>
    <s v="New York"/>
    <x v="0"/>
    <s v="M"/>
    <s v="Green"/>
    <n v="4"/>
    <x v="1"/>
    <s v="Retail"/>
    <s v="Bank Transfer"/>
  </r>
  <r>
    <s v="ORD-202402225"/>
    <x v="696"/>
    <n v="9814"/>
    <s v="14/01/1991"/>
    <x v="1"/>
    <x v="1"/>
    <n v="32289.48"/>
    <n v="18744.39"/>
    <s v="Chicago"/>
    <x v="1"/>
    <s v="M"/>
    <s v="White"/>
    <n v="1"/>
    <x v="0"/>
    <s v="Wholesale"/>
    <s v="Bank Transfer"/>
  </r>
  <r>
    <s v="ORD-202402226"/>
    <x v="749"/>
    <n v="2062"/>
    <s v="08/03/1987"/>
    <x v="0"/>
    <x v="3"/>
    <n v="14270.87"/>
    <n v="7884.75"/>
    <s v="Los Angeles"/>
    <x v="2"/>
    <s v="S"/>
    <s v="Black"/>
    <n v="1"/>
    <x v="1"/>
    <s v="Wholesale"/>
    <s v="Cash"/>
  </r>
  <r>
    <s v="ORD-202402227"/>
    <x v="575"/>
    <n v="1057"/>
    <s v="25/08/1995"/>
    <x v="0"/>
    <x v="1"/>
    <n v="53746.81"/>
    <n v="24712.34"/>
    <s v="Los Angeles"/>
    <x v="2"/>
    <s v="M"/>
    <s v="Blue"/>
    <n v="4"/>
    <x v="0"/>
    <s v="Wholesale"/>
    <s v="PayPal"/>
  </r>
  <r>
    <s v="ORD-202402228"/>
    <x v="128"/>
    <n v="9122"/>
    <s v="09/01/1992"/>
    <x v="0"/>
    <x v="0"/>
    <n v="6523.38"/>
    <n v="3810.99"/>
    <s v="Seattle"/>
    <x v="2"/>
    <s v="XL"/>
    <s v="Blue"/>
    <n v="4"/>
    <x v="0"/>
    <s v="Wholesale"/>
    <s v="Cash"/>
  </r>
  <r>
    <s v="ORD-202402229"/>
    <x v="679"/>
    <n v="6012"/>
    <s v="31/12/1987"/>
    <x v="1"/>
    <x v="1"/>
    <n v="19397.990000000002"/>
    <n v="10633.42"/>
    <s v="San Francisco"/>
    <x v="2"/>
    <s v="M"/>
    <s v="Black"/>
    <n v="3"/>
    <x v="2"/>
    <s v="Retail"/>
    <s v="PayPal"/>
  </r>
  <r>
    <s v="ORD-202402230"/>
    <x v="832"/>
    <n v="1604"/>
    <s v="12/09/1976"/>
    <x v="1"/>
    <x v="4"/>
    <n v="46019.4"/>
    <n v="29006.75"/>
    <s v="Boston"/>
    <x v="0"/>
    <s v="S"/>
    <s v="Blue"/>
    <n v="3"/>
    <x v="1"/>
    <s v="Wholesale"/>
    <s v="PayPal"/>
  </r>
  <r>
    <s v="ORD-202402231"/>
    <x v="1253"/>
    <n v="3862"/>
    <s v="24/01/2000"/>
    <x v="1"/>
    <x v="0"/>
    <n v="3891.39"/>
    <n v="2137.14"/>
    <s v="Detroit"/>
    <x v="1"/>
    <s v="S"/>
    <s v="White"/>
    <n v="4"/>
    <x v="0"/>
    <s v="Wholesale"/>
    <s v="PayPal"/>
  </r>
  <r>
    <s v="ORD-202402232"/>
    <x v="962"/>
    <n v="3141"/>
    <s v="19/09/1994"/>
    <x v="0"/>
    <x v="1"/>
    <n v="47774.7"/>
    <n v="26243.96"/>
    <s v="Boston"/>
    <x v="0"/>
    <s v="XL"/>
    <s v="Green"/>
    <n v="4"/>
    <x v="0"/>
    <s v="Retail"/>
    <s v="PayPal"/>
  </r>
  <r>
    <s v="ORD-202402233"/>
    <x v="553"/>
    <n v="4541"/>
    <s v="08/10/1983"/>
    <x v="0"/>
    <x v="0"/>
    <n v="6679.68"/>
    <n v="3813.31"/>
    <s v="Detroit"/>
    <x v="1"/>
    <s v="XL"/>
    <s v="Red"/>
    <n v="2"/>
    <x v="1"/>
    <s v="Wholesale"/>
    <s v="Cash"/>
  </r>
  <r>
    <s v="ORD-202402234"/>
    <x v="905"/>
    <n v="3016"/>
    <s v="23/09/1998"/>
    <x v="0"/>
    <x v="0"/>
    <n v="11290.12"/>
    <n v="6189.02"/>
    <s v="New York"/>
    <x v="0"/>
    <s v="S"/>
    <s v="Yellow"/>
    <n v="4"/>
    <x v="2"/>
    <s v="Retail"/>
    <s v="Cash"/>
  </r>
  <r>
    <s v="ORD-202402235"/>
    <x v="639"/>
    <n v="8837"/>
    <s v="25/11/1994"/>
    <x v="0"/>
    <x v="4"/>
    <n v="13062.26"/>
    <n v="7553.63"/>
    <s v="Seattle"/>
    <x v="2"/>
    <s v="M"/>
    <s v="Yellow"/>
    <n v="4"/>
    <x v="1"/>
    <s v="Retail"/>
    <s v="Bank Transfer"/>
  </r>
  <r>
    <s v="ORD-202402236"/>
    <x v="1254"/>
    <n v="9992"/>
    <s v="01/06/1982"/>
    <x v="1"/>
    <x v="4"/>
    <n v="17730.150000000001"/>
    <n v="9766.41"/>
    <s v="Seattle"/>
    <x v="2"/>
    <s v="S"/>
    <s v="Blue"/>
    <n v="5"/>
    <x v="1"/>
    <s v="Retail"/>
    <s v="PayPal"/>
  </r>
  <r>
    <s v="ORD-202402237"/>
    <x v="305"/>
    <n v="3706"/>
    <s v="06/08/1995"/>
    <x v="0"/>
    <x v="0"/>
    <n v="4669.01"/>
    <n v="2307.4499999999998"/>
    <s v="Miami"/>
    <x v="0"/>
    <s v="XL"/>
    <s v="Black"/>
    <n v="4"/>
    <x v="0"/>
    <s v="Retail"/>
    <s v="Cash"/>
  </r>
  <r>
    <s v="ORD-202402238"/>
    <x v="224"/>
    <n v="1908"/>
    <s v="03/10/1986"/>
    <x v="1"/>
    <x v="0"/>
    <n v="9455.33"/>
    <n v="5167.0600000000004"/>
    <s v="Boston"/>
    <x v="0"/>
    <s v="XL"/>
    <s v="Black"/>
    <n v="4"/>
    <x v="0"/>
    <s v="Retail"/>
    <s v="Bank Transfer"/>
  </r>
  <r>
    <s v="ORD-202402239"/>
    <x v="1057"/>
    <n v="6230"/>
    <s v="16/07/1983"/>
    <x v="0"/>
    <x v="3"/>
    <n v="9483.0499999999993"/>
    <n v="5221.1899999999996"/>
    <s v="Los Angeles"/>
    <x v="2"/>
    <s v="S"/>
    <s v="Red"/>
    <n v="3"/>
    <x v="0"/>
    <s v="Retail"/>
    <s v="PayPal"/>
  </r>
  <r>
    <s v="ORD-202402240"/>
    <x v="898"/>
    <n v="4081"/>
    <s v="22/07/1971"/>
    <x v="1"/>
    <x v="4"/>
    <n v="41243.22"/>
    <n v="25609.1"/>
    <s v="San Francisco"/>
    <x v="2"/>
    <s v="XL"/>
    <s v="Black"/>
    <n v="3"/>
    <x v="2"/>
    <s v="Retail"/>
    <s v="PayPal"/>
  </r>
  <r>
    <s v="ORD-202402241"/>
    <x v="1255"/>
    <n v="1078"/>
    <s v="30/08/1990"/>
    <x v="1"/>
    <x v="1"/>
    <n v="42827.35"/>
    <n v="22696.23"/>
    <s v="Los Angeles"/>
    <x v="2"/>
    <s v="L"/>
    <s v="Blue"/>
    <n v="5"/>
    <x v="0"/>
    <s v="Retail"/>
    <s v="Cash"/>
  </r>
  <r>
    <s v="ORD-202402242"/>
    <x v="59"/>
    <n v="8765"/>
    <s v="07/08/1996"/>
    <x v="1"/>
    <x v="4"/>
    <n v="37227.18"/>
    <n v="19349.259999999998"/>
    <s v="Seattle"/>
    <x v="2"/>
    <s v="M"/>
    <s v="Red"/>
    <n v="1"/>
    <x v="1"/>
    <s v="Retail"/>
    <s v="Cash"/>
  </r>
  <r>
    <s v="ORD-202402243"/>
    <x v="298"/>
    <n v="2861"/>
    <s v="11/10/1998"/>
    <x v="0"/>
    <x v="1"/>
    <n v="94340.39"/>
    <n v="56843.12"/>
    <s v="Boston"/>
    <x v="0"/>
    <s v="M"/>
    <s v="Green"/>
    <n v="4"/>
    <x v="2"/>
    <s v="Retail"/>
    <s v="PayPal"/>
  </r>
  <r>
    <s v="ORD-202402244"/>
    <x v="942"/>
    <n v="9183"/>
    <s v="29/07/1984"/>
    <x v="0"/>
    <x v="3"/>
    <n v="11869.78"/>
    <n v="6052.56"/>
    <s v="Seattle"/>
    <x v="2"/>
    <s v="L"/>
    <s v="White"/>
    <n v="1"/>
    <x v="0"/>
    <s v="Wholesale"/>
    <s v="Bank Transfer"/>
  </r>
  <r>
    <s v="ORD-202402245"/>
    <x v="1256"/>
    <n v="5650"/>
    <s v="03/07/1984"/>
    <x v="1"/>
    <x v="4"/>
    <n v="45490.25"/>
    <n v="20500.150000000001"/>
    <s v="Seattle"/>
    <x v="2"/>
    <s v="M"/>
    <s v="Red"/>
    <n v="2"/>
    <x v="1"/>
    <s v="Retail"/>
    <s v="Bank Transfer"/>
  </r>
  <r>
    <s v="ORD-202402246"/>
    <x v="1241"/>
    <n v="1064"/>
    <s v="06/10/1982"/>
    <x v="1"/>
    <x v="4"/>
    <n v="44794.5"/>
    <n v="20904.34"/>
    <s v="Boston"/>
    <x v="0"/>
    <s v="XL"/>
    <s v="Blue"/>
    <n v="3"/>
    <x v="1"/>
    <s v="Retail"/>
    <s v="Cash"/>
  </r>
  <r>
    <s v="ORD-202402247"/>
    <x v="738"/>
    <n v="1812"/>
    <s v="09/03/1991"/>
    <x v="0"/>
    <x v="3"/>
    <n v="7231.88"/>
    <n v="4405.82"/>
    <s v="Detroit"/>
    <x v="1"/>
    <s v="M"/>
    <s v="Yellow"/>
    <n v="5"/>
    <x v="2"/>
    <s v="Retail"/>
    <s v="Bank Transfer"/>
  </r>
  <r>
    <s v="ORD-202402248"/>
    <x v="169"/>
    <n v="5255"/>
    <s v="06/05/1973"/>
    <x v="0"/>
    <x v="4"/>
    <n v="30079.69"/>
    <n v="13538.6"/>
    <s v="Miami"/>
    <x v="0"/>
    <s v="M"/>
    <s v="Blue"/>
    <n v="3"/>
    <x v="0"/>
    <s v="Retail"/>
    <s v="Bank Transfer"/>
  </r>
  <r>
    <s v="ORD-202402249"/>
    <x v="1011"/>
    <n v="2407"/>
    <s v="09/05/1981"/>
    <x v="1"/>
    <x v="4"/>
    <n v="24816.63"/>
    <n v="12119.18"/>
    <s v="Seattle"/>
    <x v="2"/>
    <s v="M"/>
    <s v="White"/>
    <n v="4"/>
    <x v="1"/>
    <s v="Wholesale"/>
    <s v="Cash"/>
  </r>
  <r>
    <s v="ORD-202402250"/>
    <x v="82"/>
    <n v="2909"/>
    <s v="01/05/1984"/>
    <x v="1"/>
    <x v="3"/>
    <n v="7938.72"/>
    <n v="3729.46"/>
    <s v="Boston"/>
    <x v="0"/>
    <s v="L"/>
    <s v="Black"/>
    <n v="4"/>
    <x v="0"/>
    <s v="Retail"/>
    <s v="PayPal"/>
  </r>
  <r>
    <s v="ORD-202402251"/>
    <x v="627"/>
    <n v="2902"/>
    <s v="04/11/1973"/>
    <x v="0"/>
    <x v="3"/>
    <n v="14669.57"/>
    <n v="7070.83"/>
    <s v="Seattle"/>
    <x v="2"/>
    <s v="L"/>
    <s v="Yellow"/>
    <n v="1"/>
    <x v="1"/>
    <s v="Retail"/>
    <s v="Cash"/>
  </r>
  <r>
    <s v="ORD-202402252"/>
    <x v="289"/>
    <n v="4105"/>
    <s v="23/11/1995"/>
    <x v="0"/>
    <x v="3"/>
    <n v="8357.7900000000009"/>
    <n v="4042.51"/>
    <s v="Seattle"/>
    <x v="2"/>
    <s v="L"/>
    <s v="Blue"/>
    <n v="1"/>
    <x v="2"/>
    <s v="Wholesale"/>
    <s v="PayPal"/>
  </r>
  <r>
    <s v="ORD-202402253"/>
    <x v="1257"/>
    <n v="9291"/>
    <s v="12/10/1997"/>
    <x v="1"/>
    <x v="2"/>
    <n v="27144.67"/>
    <n v="14581.25"/>
    <s v="San Francisco"/>
    <x v="2"/>
    <s v="XL"/>
    <s v="White"/>
    <n v="3"/>
    <x v="0"/>
    <s v="Retail"/>
    <s v="PayPal"/>
  </r>
  <r>
    <s v="ORD-202402254"/>
    <x v="404"/>
    <n v="7317"/>
    <s v="03/02/1981"/>
    <x v="1"/>
    <x v="4"/>
    <n v="51019.83"/>
    <n v="26295.1"/>
    <s v="Miami"/>
    <x v="0"/>
    <s v="S"/>
    <s v="White"/>
    <n v="3"/>
    <x v="2"/>
    <s v="Wholesale"/>
    <s v="PayPal"/>
  </r>
  <r>
    <s v="ORD-202402255"/>
    <x v="1258"/>
    <n v="1416"/>
    <s v="09/02/1995"/>
    <x v="0"/>
    <x v="4"/>
    <n v="11872.63"/>
    <n v="5489.04"/>
    <s v="San Francisco"/>
    <x v="2"/>
    <s v="L"/>
    <s v="Blue"/>
    <n v="2"/>
    <x v="1"/>
    <s v="Retail"/>
    <s v="PayPal"/>
  </r>
  <r>
    <s v="ORD-202402256"/>
    <x v="45"/>
    <n v="3417"/>
    <s v="17/08/1975"/>
    <x v="1"/>
    <x v="2"/>
    <n v="23022.639999999999"/>
    <n v="14700.74"/>
    <s v="New York"/>
    <x v="0"/>
    <s v="XL"/>
    <s v="Red"/>
    <n v="2"/>
    <x v="2"/>
    <s v="Retail"/>
    <s v="Cash"/>
  </r>
  <r>
    <s v="ORD-202402257"/>
    <x v="322"/>
    <n v="8343"/>
    <s v="07/10/1971"/>
    <x v="1"/>
    <x v="4"/>
    <n v="30691.21"/>
    <n v="15719.65"/>
    <s v="San Francisco"/>
    <x v="2"/>
    <s v="M"/>
    <s v="Yellow"/>
    <n v="2"/>
    <x v="0"/>
    <s v="Wholesale"/>
    <s v="PayPal"/>
  </r>
  <r>
    <s v="ORD-202402258"/>
    <x v="905"/>
    <n v="8696"/>
    <s v="22/09/1987"/>
    <x v="1"/>
    <x v="1"/>
    <n v="19727.57"/>
    <n v="11004.36"/>
    <s v="Boston"/>
    <x v="0"/>
    <s v="XL"/>
    <s v="White"/>
    <n v="2"/>
    <x v="1"/>
    <s v="Retail"/>
    <s v="Bank Transfer"/>
  </r>
  <r>
    <s v="ORD-202402259"/>
    <x v="1259"/>
    <n v="1586"/>
    <s v="23/10/1979"/>
    <x v="1"/>
    <x v="3"/>
    <n v="11862.83"/>
    <n v="5382.57"/>
    <s v="San Francisco"/>
    <x v="2"/>
    <s v="XL"/>
    <s v="Blue"/>
    <n v="3"/>
    <x v="0"/>
    <s v="Wholesale"/>
    <s v="Cash"/>
  </r>
  <r>
    <s v="ORD-202402260"/>
    <x v="1039"/>
    <n v="9713"/>
    <s v="06/08/1989"/>
    <x v="0"/>
    <x v="1"/>
    <n v="66393.039999999994"/>
    <n v="36322.25"/>
    <s v="Los Angeles"/>
    <x v="2"/>
    <s v="XL"/>
    <s v="Black"/>
    <n v="2"/>
    <x v="0"/>
    <s v="Retail"/>
    <s v="Cash"/>
  </r>
  <r>
    <s v="ORD-202402261"/>
    <x v="1113"/>
    <n v="4124"/>
    <s v="12/11/1995"/>
    <x v="1"/>
    <x v="4"/>
    <n v="44132.2"/>
    <n v="28423.31"/>
    <s v="Seattle"/>
    <x v="2"/>
    <s v="M"/>
    <s v="White"/>
    <n v="5"/>
    <x v="0"/>
    <s v="Retail"/>
    <s v="Bank Transfer"/>
  </r>
  <r>
    <s v="ORD-202402262"/>
    <x v="986"/>
    <n v="6771"/>
    <s v="02/06/1980"/>
    <x v="1"/>
    <x v="3"/>
    <n v="9124.43"/>
    <n v="4527.51"/>
    <s v="Detroit"/>
    <x v="1"/>
    <s v="L"/>
    <s v="Yellow"/>
    <n v="2"/>
    <x v="1"/>
    <s v="Retail"/>
    <s v="Bank Transfer"/>
  </r>
  <r>
    <s v="ORD-202402263"/>
    <x v="1201"/>
    <n v="5086"/>
    <s v="19/04/1984"/>
    <x v="1"/>
    <x v="4"/>
    <n v="25622.27"/>
    <n v="15219.19"/>
    <s v="Boston"/>
    <x v="0"/>
    <s v="L"/>
    <s v="Red"/>
    <n v="4"/>
    <x v="2"/>
    <s v="Wholesale"/>
    <s v="Cash"/>
  </r>
  <r>
    <s v="ORD-202402264"/>
    <x v="702"/>
    <n v="5629"/>
    <s v="28/05/1995"/>
    <x v="1"/>
    <x v="4"/>
    <n v="17617.23"/>
    <n v="9148.64"/>
    <s v="Miami"/>
    <x v="0"/>
    <s v="XL"/>
    <s v="Yellow"/>
    <n v="4"/>
    <x v="0"/>
    <s v="Retail"/>
    <s v="Cash"/>
  </r>
  <r>
    <s v="ORD-202402265"/>
    <x v="1260"/>
    <n v="5214"/>
    <s v="10/04/1973"/>
    <x v="1"/>
    <x v="3"/>
    <n v="17622.150000000001"/>
    <n v="8909.42"/>
    <s v="Los Angeles"/>
    <x v="2"/>
    <s v="M"/>
    <s v="Blue"/>
    <n v="3"/>
    <x v="0"/>
    <s v="Retail"/>
    <s v="Cash"/>
  </r>
  <r>
    <s v="ORD-202402266"/>
    <x v="966"/>
    <n v="6751"/>
    <s v="07/01/1973"/>
    <x v="1"/>
    <x v="0"/>
    <n v="4589.8900000000003"/>
    <n v="2445.0100000000002"/>
    <s v="Chicago"/>
    <x v="1"/>
    <s v="L"/>
    <s v="Red"/>
    <n v="1"/>
    <x v="1"/>
    <s v="Retail"/>
    <s v="Bank Transfer"/>
  </r>
  <r>
    <s v="ORD-202402267"/>
    <x v="798"/>
    <n v="7584"/>
    <s v="16/04/1980"/>
    <x v="1"/>
    <x v="2"/>
    <n v="46839.66"/>
    <n v="21169.81"/>
    <s v="Seattle"/>
    <x v="2"/>
    <s v="L"/>
    <s v="Black"/>
    <n v="1"/>
    <x v="1"/>
    <s v="Retail"/>
    <s v="Bank Transfer"/>
  </r>
  <r>
    <s v="ORD-202402268"/>
    <x v="212"/>
    <n v="9230"/>
    <s v="03/11/1991"/>
    <x v="1"/>
    <x v="4"/>
    <n v="30097.41"/>
    <n v="19309.22"/>
    <s v="Chicago"/>
    <x v="1"/>
    <s v="M"/>
    <s v="Black"/>
    <n v="2"/>
    <x v="1"/>
    <s v="Wholesale"/>
    <s v="Cash"/>
  </r>
  <r>
    <s v="ORD-202402269"/>
    <x v="1063"/>
    <n v="4769"/>
    <s v="27/11/1997"/>
    <x v="1"/>
    <x v="1"/>
    <n v="121426.47"/>
    <n v="62102.53"/>
    <s v="Los Angeles"/>
    <x v="2"/>
    <s v="XL"/>
    <s v="Black"/>
    <n v="3"/>
    <x v="2"/>
    <s v="Wholesale"/>
    <s v="Cash"/>
  </r>
  <r>
    <s v="ORD-202402270"/>
    <x v="1261"/>
    <n v="5000"/>
    <s v="24/12/1988"/>
    <x v="1"/>
    <x v="1"/>
    <n v="92464.55"/>
    <n v="45630.47"/>
    <s v="Los Angeles"/>
    <x v="2"/>
    <s v="S"/>
    <s v="Green"/>
    <n v="5"/>
    <x v="2"/>
    <s v="Retail"/>
    <s v="Cash"/>
  </r>
  <r>
    <s v="ORD-202402271"/>
    <x v="1262"/>
    <n v="8077"/>
    <s v="01/06/1972"/>
    <x v="1"/>
    <x v="1"/>
    <n v="44017.64"/>
    <n v="24926.880000000001"/>
    <s v="Detroit"/>
    <x v="1"/>
    <s v="L"/>
    <s v="Black"/>
    <n v="1"/>
    <x v="1"/>
    <s v="Wholesale"/>
    <s v="PayPal"/>
  </r>
  <r>
    <s v="ORD-202402272"/>
    <x v="31"/>
    <n v="2518"/>
    <s v="12/09/1986"/>
    <x v="0"/>
    <x v="2"/>
    <n v="44740.73"/>
    <n v="21287.54"/>
    <s v="Los Angeles"/>
    <x v="2"/>
    <s v="M"/>
    <s v="Green"/>
    <n v="1"/>
    <x v="0"/>
    <s v="Retail"/>
    <s v="Cash"/>
  </r>
  <r>
    <s v="ORD-202402273"/>
    <x v="1263"/>
    <n v="8710"/>
    <s v="17/01/1989"/>
    <x v="1"/>
    <x v="1"/>
    <n v="88247.48"/>
    <n v="50871.78"/>
    <s v="Los Angeles"/>
    <x v="2"/>
    <s v="M"/>
    <s v="Red"/>
    <n v="3"/>
    <x v="0"/>
    <s v="Retail"/>
    <s v="Cash"/>
  </r>
  <r>
    <s v="ORD-202402274"/>
    <x v="1264"/>
    <n v="9119"/>
    <s v="20/12/1983"/>
    <x v="1"/>
    <x v="3"/>
    <n v="6195.68"/>
    <n v="3041.99"/>
    <s v="Los Angeles"/>
    <x v="2"/>
    <s v="L"/>
    <s v="Blue"/>
    <n v="1"/>
    <x v="1"/>
    <s v="Retail"/>
    <s v="Cash"/>
  </r>
  <r>
    <s v="ORD-202402275"/>
    <x v="552"/>
    <n v="5788"/>
    <s v="20/03/1998"/>
    <x v="0"/>
    <x v="3"/>
    <n v="2807.42"/>
    <n v="1394.96"/>
    <s v="Minneapolis"/>
    <x v="1"/>
    <s v="L"/>
    <s v="Green"/>
    <n v="4"/>
    <x v="0"/>
    <s v="Retail"/>
    <s v="PayPal"/>
  </r>
  <r>
    <s v="ORD-202402276"/>
    <x v="305"/>
    <n v="6854"/>
    <s v="08/10/1996"/>
    <x v="1"/>
    <x v="0"/>
    <n v="12280.63"/>
    <n v="7971.42"/>
    <s v="New York"/>
    <x v="0"/>
    <s v="XL"/>
    <s v="Blue"/>
    <n v="1"/>
    <x v="0"/>
    <s v="Wholesale"/>
    <s v="Cash"/>
  </r>
  <r>
    <s v="ORD-202402277"/>
    <x v="801"/>
    <n v="9139"/>
    <s v="12/11/1994"/>
    <x v="1"/>
    <x v="3"/>
    <n v="9934.66"/>
    <n v="5416.62"/>
    <s v="Boston"/>
    <x v="0"/>
    <s v="XL"/>
    <s v="Green"/>
    <n v="1"/>
    <x v="1"/>
    <s v="Retail"/>
    <s v="PayPal"/>
  </r>
  <r>
    <s v="ORD-202402278"/>
    <x v="624"/>
    <n v="8478"/>
    <s v="06/01/1980"/>
    <x v="0"/>
    <x v="1"/>
    <n v="13540.99"/>
    <n v="7465.63"/>
    <s v="Los Angeles"/>
    <x v="2"/>
    <s v="M"/>
    <s v="Red"/>
    <n v="3"/>
    <x v="1"/>
    <s v="Retail"/>
    <s v="Bank Transfer"/>
  </r>
  <r>
    <s v="ORD-202402279"/>
    <x v="245"/>
    <n v="8475"/>
    <s v="10/12/1998"/>
    <x v="0"/>
    <x v="2"/>
    <n v="22436.22"/>
    <n v="12512.91"/>
    <s v="Seattle"/>
    <x v="2"/>
    <s v="S"/>
    <s v="White"/>
    <n v="5"/>
    <x v="0"/>
    <s v="Wholesale"/>
    <s v="PayPal"/>
  </r>
  <r>
    <s v="ORD-202402280"/>
    <x v="1265"/>
    <n v="6226"/>
    <s v="25/09/1991"/>
    <x v="1"/>
    <x v="0"/>
    <n v="15609.17"/>
    <n v="9856.17"/>
    <s v="New York"/>
    <x v="0"/>
    <s v="S"/>
    <s v="Yellow"/>
    <n v="3"/>
    <x v="1"/>
    <s v="Retail"/>
    <s v="Cash"/>
  </r>
  <r>
    <s v="ORD-202402281"/>
    <x v="1266"/>
    <n v="3993"/>
    <s v="05/03/1996"/>
    <x v="1"/>
    <x v="3"/>
    <n v="4849.84"/>
    <n v="2729.04"/>
    <s v="San Francisco"/>
    <x v="2"/>
    <s v="L"/>
    <s v="Red"/>
    <n v="4"/>
    <x v="1"/>
    <s v="Retail"/>
    <s v="Bank Transfer"/>
  </r>
  <r>
    <s v="ORD-202402282"/>
    <x v="649"/>
    <n v="2223"/>
    <s v="24/06/1998"/>
    <x v="1"/>
    <x v="4"/>
    <n v="8604.64"/>
    <n v="4833.95"/>
    <s v="Chicago"/>
    <x v="1"/>
    <s v="L"/>
    <s v="Blue"/>
    <n v="1"/>
    <x v="0"/>
    <s v="Retail"/>
    <s v="PayPal"/>
  </r>
  <r>
    <s v="ORD-202402283"/>
    <x v="1070"/>
    <n v="5627"/>
    <s v="23/12/1981"/>
    <x v="0"/>
    <x v="2"/>
    <n v="18577.43"/>
    <n v="11848.92"/>
    <s v="Boston"/>
    <x v="0"/>
    <s v="XL"/>
    <s v="White"/>
    <n v="4"/>
    <x v="0"/>
    <s v="Retail"/>
    <s v="PayPal"/>
  </r>
  <r>
    <s v="ORD-202402284"/>
    <x v="1036"/>
    <n v="1512"/>
    <s v="01/10/1974"/>
    <x v="0"/>
    <x v="3"/>
    <n v="6965.03"/>
    <n v="3329.06"/>
    <s v="Boston"/>
    <x v="0"/>
    <s v="S"/>
    <s v="Green"/>
    <n v="1"/>
    <x v="0"/>
    <s v="Wholesale"/>
    <s v="Bank Transfer"/>
  </r>
  <r>
    <s v="ORD-202402285"/>
    <x v="911"/>
    <n v="2730"/>
    <s v="22/01/1988"/>
    <x v="1"/>
    <x v="3"/>
    <n v="8860.33"/>
    <n v="4858.62"/>
    <s v="New York"/>
    <x v="0"/>
    <s v="S"/>
    <s v="Green"/>
    <n v="1"/>
    <x v="2"/>
    <s v="Retail"/>
    <s v="PayPal"/>
  </r>
  <r>
    <s v="ORD-202402286"/>
    <x v="873"/>
    <n v="5212"/>
    <s v="08/10/1988"/>
    <x v="1"/>
    <x v="1"/>
    <n v="19727.310000000001"/>
    <n v="10587.27"/>
    <s v="Detroit"/>
    <x v="1"/>
    <s v="L"/>
    <s v="Green"/>
    <n v="4"/>
    <x v="1"/>
    <s v="Retail"/>
    <s v="PayPal"/>
  </r>
  <r>
    <s v="ORD-202402287"/>
    <x v="1210"/>
    <n v="8588"/>
    <s v="10/07/1992"/>
    <x v="1"/>
    <x v="4"/>
    <n v="33126.99"/>
    <n v="16437.150000000001"/>
    <s v="Los Angeles"/>
    <x v="2"/>
    <s v="M"/>
    <s v="Green"/>
    <n v="4"/>
    <x v="0"/>
    <s v="Wholesale"/>
    <s v="PayPal"/>
  </r>
  <r>
    <s v="ORD-202402288"/>
    <x v="1267"/>
    <n v="7932"/>
    <s v="31/07/1999"/>
    <x v="1"/>
    <x v="1"/>
    <n v="61180.21"/>
    <n v="30668.01"/>
    <s v="Los Angeles"/>
    <x v="2"/>
    <s v="S"/>
    <s v="Blue"/>
    <n v="1"/>
    <x v="1"/>
    <s v="Wholesale"/>
    <s v="PayPal"/>
  </r>
  <r>
    <s v="ORD-202402289"/>
    <x v="814"/>
    <n v="3338"/>
    <s v="17/06/1996"/>
    <x v="1"/>
    <x v="1"/>
    <n v="35783.279999999999"/>
    <n v="20207.61"/>
    <s v="Minneapolis"/>
    <x v="1"/>
    <s v="L"/>
    <s v="White"/>
    <n v="1"/>
    <x v="1"/>
    <s v="Retail"/>
    <s v="Cash"/>
  </r>
  <r>
    <s v="ORD-202402290"/>
    <x v="1268"/>
    <n v="5015"/>
    <s v="09/12/1982"/>
    <x v="0"/>
    <x v="4"/>
    <n v="9650.27"/>
    <n v="5913.82"/>
    <s v="Detroit"/>
    <x v="1"/>
    <s v="L"/>
    <s v="Black"/>
    <n v="4"/>
    <x v="2"/>
    <s v="Retail"/>
    <s v="Cash"/>
  </r>
  <r>
    <s v="ORD-202402291"/>
    <x v="265"/>
    <n v="1353"/>
    <s v="20/07/1972"/>
    <x v="0"/>
    <x v="1"/>
    <n v="47699.38"/>
    <n v="30084.27"/>
    <s v="San Francisco"/>
    <x v="2"/>
    <s v="XL"/>
    <s v="Green"/>
    <n v="2"/>
    <x v="0"/>
    <s v="Retail"/>
    <s v="Bank Transfer"/>
  </r>
  <r>
    <s v="ORD-202402292"/>
    <x v="991"/>
    <n v="4440"/>
    <s v="30/10/1984"/>
    <x v="1"/>
    <x v="2"/>
    <n v="10834.11"/>
    <n v="5073.42"/>
    <s v="Minneapolis"/>
    <x v="1"/>
    <s v="M"/>
    <s v="Blue"/>
    <n v="1"/>
    <x v="1"/>
    <s v="Retail"/>
    <s v="Cash"/>
  </r>
  <r>
    <s v="ORD-202402293"/>
    <x v="651"/>
    <n v="3252"/>
    <s v="18/09/1998"/>
    <x v="0"/>
    <x v="1"/>
    <n v="49600.25"/>
    <n v="27169.040000000001"/>
    <s v="New York"/>
    <x v="0"/>
    <s v="M"/>
    <s v="Black"/>
    <n v="4"/>
    <x v="0"/>
    <s v="Retail"/>
    <s v="Cash"/>
  </r>
  <r>
    <s v="ORD-202402294"/>
    <x v="1269"/>
    <n v="3686"/>
    <s v="17/11/1981"/>
    <x v="1"/>
    <x v="4"/>
    <n v="55521.760000000002"/>
    <n v="29845.599999999999"/>
    <s v="Los Angeles"/>
    <x v="2"/>
    <s v="M"/>
    <s v="Black"/>
    <n v="3"/>
    <x v="2"/>
    <s v="Retail"/>
    <s v="PayPal"/>
  </r>
  <r>
    <s v="ORD-202402295"/>
    <x v="1248"/>
    <n v="6122"/>
    <s v="29/09/2000"/>
    <x v="1"/>
    <x v="4"/>
    <n v="26992.47"/>
    <n v="12911.41"/>
    <s v="San Francisco"/>
    <x v="2"/>
    <s v="S"/>
    <s v="Yellow"/>
    <n v="3"/>
    <x v="2"/>
    <s v="Retail"/>
    <s v="Cash"/>
  </r>
  <r>
    <s v="ORD-202402296"/>
    <x v="1078"/>
    <n v="7041"/>
    <s v="16/09/1975"/>
    <x v="0"/>
    <x v="1"/>
    <n v="51991.03"/>
    <n v="26200.48"/>
    <s v="San Francisco"/>
    <x v="2"/>
    <s v="L"/>
    <s v="Red"/>
    <n v="2"/>
    <x v="0"/>
    <s v="Retail"/>
    <s v="Bank Transfer"/>
  </r>
  <r>
    <s v="ORD-202402297"/>
    <x v="1270"/>
    <n v="6460"/>
    <s v="03/04/1979"/>
    <x v="0"/>
    <x v="2"/>
    <n v="23763.45"/>
    <n v="10837.37"/>
    <s v="Boston"/>
    <x v="0"/>
    <s v="S"/>
    <s v="White"/>
    <n v="3"/>
    <x v="1"/>
    <s v="Retail"/>
    <s v="PayPal"/>
  </r>
  <r>
    <s v="ORD-202402298"/>
    <x v="1181"/>
    <n v="6909"/>
    <s v="03/07/1979"/>
    <x v="1"/>
    <x v="0"/>
    <n v="18664.07"/>
    <n v="11468.86"/>
    <s v="Boston"/>
    <x v="0"/>
    <s v="M"/>
    <s v="Green"/>
    <n v="2"/>
    <x v="1"/>
    <s v="Wholesale"/>
    <s v="Bank Transfer"/>
  </r>
  <r>
    <s v="ORD-202402299"/>
    <x v="446"/>
    <n v="5334"/>
    <s v="09/07/1987"/>
    <x v="0"/>
    <x v="2"/>
    <n v="10149.36"/>
    <n v="5434.25"/>
    <s v="Miami"/>
    <x v="0"/>
    <s v="S"/>
    <s v="Red"/>
    <n v="4"/>
    <x v="1"/>
    <s v="Retail"/>
    <s v="PayPal"/>
  </r>
  <r>
    <s v="ORD-202402300"/>
    <x v="366"/>
    <n v="6966"/>
    <s v="10/07/1990"/>
    <x v="1"/>
    <x v="2"/>
    <n v="25107.59"/>
    <n v="13793.3"/>
    <s v="Minneapolis"/>
    <x v="1"/>
    <s v="M"/>
    <s v="Yellow"/>
    <n v="3"/>
    <x v="2"/>
    <s v="Wholesale"/>
    <s v="PayPal"/>
  </r>
  <r>
    <s v="ORD-202402301"/>
    <x v="1271"/>
    <n v="1399"/>
    <s v="27/05/1981"/>
    <x v="1"/>
    <x v="1"/>
    <n v="14963.83"/>
    <n v="7812.5"/>
    <s v="Chicago"/>
    <x v="1"/>
    <s v="L"/>
    <s v="Black"/>
    <n v="2"/>
    <x v="0"/>
    <s v="Retail"/>
    <s v="Bank Transfer"/>
  </r>
  <r>
    <s v="ORD-202402302"/>
    <x v="1272"/>
    <n v="5143"/>
    <s v="12/05/1998"/>
    <x v="1"/>
    <x v="3"/>
    <n v="4332.79"/>
    <n v="2438.21"/>
    <s v="Seattle"/>
    <x v="2"/>
    <s v="XL"/>
    <s v="Blue"/>
    <n v="3"/>
    <x v="0"/>
    <s v="Wholesale"/>
    <s v="Cash"/>
  </r>
  <r>
    <s v="ORD-202402303"/>
    <x v="16"/>
    <n v="3157"/>
    <s v="06/10/1979"/>
    <x v="1"/>
    <x v="4"/>
    <n v="11698.43"/>
    <n v="7195.08"/>
    <s v="Miami"/>
    <x v="0"/>
    <s v="L"/>
    <s v="Blue"/>
    <n v="5"/>
    <x v="0"/>
    <s v="Retail"/>
    <s v="Bank Transfer"/>
  </r>
  <r>
    <s v="ORD-202402304"/>
    <x v="1273"/>
    <n v="8002"/>
    <s v="21/11/1980"/>
    <x v="0"/>
    <x v="1"/>
    <n v="52053.11"/>
    <n v="28622.71"/>
    <s v="Minneapolis"/>
    <x v="1"/>
    <s v="L"/>
    <s v="Yellow"/>
    <n v="4"/>
    <x v="0"/>
    <s v="Retail"/>
    <s v="Bank Transfer"/>
  </r>
  <r>
    <s v="ORD-202402305"/>
    <x v="968"/>
    <n v="9307"/>
    <s v="22/06/1990"/>
    <x v="0"/>
    <x v="3"/>
    <n v="5832.82"/>
    <n v="3470.69"/>
    <s v="Boston"/>
    <x v="0"/>
    <s v="S"/>
    <s v="White"/>
    <n v="3"/>
    <x v="0"/>
    <s v="Wholesale"/>
    <s v="Cash"/>
  </r>
  <r>
    <s v="ORD-202402306"/>
    <x v="311"/>
    <n v="5585"/>
    <s v="17/08/2000"/>
    <x v="0"/>
    <x v="1"/>
    <n v="24257.95"/>
    <n v="13825.58"/>
    <s v="Los Angeles"/>
    <x v="2"/>
    <s v="M"/>
    <s v="White"/>
    <n v="2"/>
    <x v="0"/>
    <s v="Retail"/>
    <s v="Bank Transfer"/>
  </r>
  <r>
    <s v="ORD-202402307"/>
    <x v="868"/>
    <n v="5557"/>
    <s v="25/10/1971"/>
    <x v="1"/>
    <x v="0"/>
    <n v="7853.6"/>
    <n v="4109.92"/>
    <s v="Minneapolis"/>
    <x v="1"/>
    <s v="S"/>
    <s v="Blue"/>
    <n v="5"/>
    <x v="1"/>
    <s v="Retail"/>
    <s v="Cash"/>
  </r>
  <r>
    <s v="ORD-202402308"/>
    <x v="65"/>
    <n v="3653"/>
    <s v="10/11/1993"/>
    <x v="0"/>
    <x v="4"/>
    <n v="16347.18"/>
    <n v="9480.8700000000008"/>
    <s v="Minneapolis"/>
    <x v="1"/>
    <s v="L"/>
    <s v="Yellow"/>
    <n v="3"/>
    <x v="1"/>
    <s v="Wholesale"/>
    <s v="PayPal"/>
  </r>
  <r>
    <s v="ORD-202402309"/>
    <x v="1274"/>
    <n v="8889"/>
    <s v="31/12/1991"/>
    <x v="1"/>
    <x v="1"/>
    <n v="23743.98"/>
    <n v="13652.55"/>
    <s v="Chicago"/>
    <x v="1"/>
    <s v="L"/>
    <s v="Black"/>
    <n v="3"/>
    <x v="1"/>
    <s v="Wholesale"/>
    <s v="PayPal"/>
  </r>
  <r>
    <s v="ORD-202402310"/>
    <x v="1275"/>
    <n v="4538"/>
    <s v="30/04/1993"/>
    <x v="1"/>
    <x v="4"/>
    <n v="34200.239999999998"/>
    <n v="19346.86"/>
    <s v="Minneapolis"/>
    <x v="1"/>
    <s v="S"/>
    <s v="Green"/>
    <n v="1"/>
    <x v="1"/>
    <s v="Retail"/>
    <s v="Cash"/>
  </r>
  <r>
    <s v="ORD-202402311"/>
    <x v="1276"/>
    <n v="5118"/>
    <s v="09/02/1998"/>
    <x v="1"/>
    <x v="4"/>
    <n v="36879.199999999997"/>
    <n v="20794.34"/>
    <s v="New York"/>
    <x v="0"/>
    <s v="XL"/>
    <s v="Green"/>
    <n v="2"/>
    <x v="2"/>
    <s v="Retail"/>
    <s v="Bank Transfer"/>
  </r>
  <r>
    <s v="ORD-202402312"/>
    <x v="1277"/>
    <n v="4187"/>
    <s v="19/02/1995"/>
    <x v="0"/>
    <x v="3"/>
    <n v="9451.42"/>
    <n v="4672.75"/>
    <s v="New York"/>
    <x v="0"/>
    <s v="L"/>
    <s v="Red"/>
    <n v="4"/>
    <x v="0"/>
    <s v="Wholesale"/>
    <s v="Bank Transfer"/>
  </r>
  <r>
    <s v="ORD-202402313"/>
    <x v="1278"/>
    <n v="5508"/>
    <s v="25/08/1978"/>
    <x v="0"/>
    <x v="4"/>
    <n v="36165.980000000003"/>
    <n v="20015.66"/>
    <s v="Los Angeles"/>
    <x v="2"/>
    <s v="S"/>
    <s v="Blue"/>
    <n v="4"/>
    <x v="0"/>
    <s v="Wholesale"/>
    <s v="PayPal"/>
  </r>
  <r>
    <s v="ORD-202402314"/>
    <x v="1279"/>
    <n v="1004"/>
    <s v="31/10/1970"/>
    <x v="0"/>
    <x v="4"/>
    <n v="21646.560000000001"/>
    <n v="10489.15"/>
    <s v="Boston"/>
    <x v="0"/>
    <s v="XL"/>
    <s v="Red"/>
    <n v="2"/>
    <x v="2"/>
    <s v="Retail"/>
    <s v="PayPal"/>
  </r>
  <r>
    <s v="ORD-202402315"/>
    <x v="799"/>
    <n v="7775"/>
    <s v="03/07/1984"/>
    <x v="0"/>
    <x v="2"/>
    <n v="7226.93"/>
    <n v="3555.22"/>
    <s v="Minneapolis"/>
    <x v="1"/>
    <s v="L"/>
    <s v="Yellow"/>
    <n v="5"/>
    <x v="0"/>
    <s v="Retail"/>
    <s v="Bank Transfer"/>
  </r>
  <r>
    <s v="ORD-202402316"/>
    <x v="1130"/>
    <n v="4221"/>
    <s v="04/07/1977"/>
    <x v="0"/>
    <x v="1"/>
    <n v="99071.23"/>
    <n v="55495.71"/>
    <s v="San Francisco"/>
    <x v="2"/>
    <s v="S"/>
    <s v="White"/>
    <n v="1"/>
    <x v="2"/>
    <s v="Retail"/>
    <s v="Cash"/>
  </r>
  <r>
    <s v="ORD-202402317"/>
    <x v="332"/>
    <n v="4621"/>
    <s v="18/06/1975"/>
    <x v="0"/>
    <x v="4"/>
    <n v="12177.42"/>
    <n v="6729.82"/>
    <s v="New York"/>
    <x v="0"/>
    <s v="XL"/>
    <s v="White"/>
    <n v="3"/>
    <x v="0"/>
    <s v="Wholesale"/>
    <s v="Bank Transfer"/>
  </r>
  <r>
    <s v="ORD-202402318"/>
    <x v="62"/>
    <n v="2588"/>
    <s v="13/03/1985"/>
    <x v="1"/>
    <x v="2"/>
    <n v="27095.27"/>
    <n v="13800.57"/>
    <s v="Seattle"/>
    <x v="2"/>
    <s v="XL"/>
    <s v="Blue"/>
    <n v="2"/>
    <x v="1"/>
    <s v="Wholesale"/>
    <s v="PayPal"/>
  </r>
  <r>
    <s v="ORD-202402319"/>
    <x v="13"/>
    <n v="9850"/>
    <s v="07/09/1974"/>
    <x v="0"/>
    <x v="4"/>
    <n v="22388.65"/>
    <n v="13163.62"/>
    <s v="San Francisco"/>
    <x v="2"/>
    <s v="S"/>
    <s v="Green"/>
    <n v="2"/>
    <x v="0"/>
    <s v="Retail"/>
    <s v="PayPal"/>
  </r>
  <r>
    <s v="ORD-202402320"/>
    <x v="824"/>
    <n v="2737"/>
    <s v="23/07/1976"/>
    <x v="1"/>
    <x v="0"/>
    <n v="22373.599999999999"/>
    <n v="11235.08"/>
    <s v="Los Angeles"/>
    <x v="2"/>
    <s v="M"/>
    <s v="Green"/>
    <n v="5"/>
    <x v="2"/>
    <s v="Wholesale"/>
    <s v="Bank Transfer"/>
  </r>
  <r>
    <s v="ORD-202402321"/>
    <x v="1280"/>
    <n v="8235"/>
    <s v="04/07/1971"/>
    <x v="1"/>
    <x v="0"/>
    <n v="14007.33"/>
    <n v="8364.5499999999993"/>
    <s v="Seattle"/>
    <x v="2"/>
    <s v="L"/>
    <s v="Yellow"/>
    <n v="3"/>
    <x v="1"/>
    <s v="Wholesale"/>
    <s v="Cash"/>
  </r>
  <r>
    <s v="ORD-202402322"/>
    <x v="660"/>
    <n v="8025"/>
    <s v="13/10/1976"/>
    <x v="1"/>
    <x v="3"/>
    <n v="17244.259999999998"/>
    <n v="9498.15"/>
    <s v="Seattle"/>
    <x v="2"/>
    <s v="M"/>
    <s v="Black"/>
    <n v="5"/>
    <x v="0"/>
    <s v="Wholesale"/>
    <s v="Bank Transfer"/>
  </r>
  <r>
    <s v="ORD-202402323"/>
    <x v="982"/>
    <n v="4485"/>
    <s v="17/10/1995"/>
    <x v="0"/>
    <x v="4"/>
    <n v="35929.39"/>
    <n v="18079.45"/>
    <s v="San Francisco"/>
    <x v="2"/>
    <s v="M"/>
    <s v="Green"/>
    <n v="2"/>
    <x v="2"/>
    <s v="Retail"/>
    <s v="Cash"/>
  </r>
  <r>
    <s v="ORD-202402324"/>
    <x v="565"/>
    <n v="7373"/>
    <s v="05/01/1979"/>
    <x v="1"/>
    <x v="2"/>
    <n v="12769.12"/>
    <n v="7045.9"/>
    <s v="Los Angeles"/>
    <x v="2"/>
    <s v="XL"/>
    <s v="Green"/>
    <n v="4"/>
    <x v="0"/>
    <s v="Retail"/>
    <s v="Bank Transfer"/>
  </r>
  <r>
    <s v="ORD-202402325"/>
    <x v="1281"/>
    <n v="3605"/>
    <s v="23/12/1999"/>
    <x v="1"/>
    <x v="4"/>
    <n v="24330.76"/>
    <n v="15639.33"/>
    <s v="Detroit"/>
    <x v="1"/>
    <s v="XL"/>
    <s v="Red"/>
    <n v="2"/>
    <x v="1"/>
    <s v="Wholesale"/>
    <s v="Cash"/>
  </r>
  <r>
    <s v="ORD-202402326"/>
    <x v="1282"/>
    <n v="8501"/>
    <s v="25/04/1985"/>
    <x v="1"/>
    <x v="3"/>
    <n v="6944.57"/>
    <n v="3284.97"/>
    <s v="Chicago"/>
    <x v="1"/>
    <s v="M"/>
    <s v="Blue"/>
    <n v="3"/>
    <x v="1"/>
    <s v="Wholesale"/>
    <s v="Bank Transfer"/>
  </r>
  <r>
    <s v="ORD-202402327"/>
    <x v="181"/>
    <n v="9046"/>
    <s v="19/12/1984"/>
    <x v="0"/>
    <x v="1"/>
    <n v="62595.45"/>
    <n v="35751.379999999997"/>
    <s v="Seattle"/>
    <x v="2"/>
    <s v="M"/>
    <s v="Red"/>
    <n v="2"/>
    <x v="2"/>
    <s v="Retail"/>
    <s v="Cash"/>
  </r>
  <r>
    <s v="ORD-202402328"/>
    <x v="1"/>
    <n v="6294"/>
    <s v="16/02/1993"/>
    <x v="1"/>
    <x v="2"/>
    <n v="19867.759999999998"/>
    <n v="11070.74"/>
    <s v="Minneapolis"/>
    <x v="1"/>
    <s v="XL"/>
    <s v="Black"/>
    <n v="4"/>
    <x v="2"/>
    <s v="Retail"/>
    <s v="Bank Transfer"/>
  </r>
  <r>
    <s v="ORD-202402329"/>
    <x v="1283"/>
    <n v="5554"/>
    <s v="16/06/1974"/>
    <x v="0"/>
    <x v="4"/>
    <n v="14799"/>
    <n v="7977.07"/>
    <s v="Minneapolis"/>
    <x v="1"/>
    <s v="S"/>
    <s v="Green"/>
    <n v="5"/>
    <x v="1"/>
    <s v="Wholesale"/>
    <s v="Bank Transfer"/>
  </r>
  <r>
    <s v="ORD-202402330"/>
    <x v="931"/>
    <n v="7251"/>
    <s v="15/08/1999"/>
    <x v="0"/>
    <x v="4"/>
    <n v="22975.41"/>
    <n v="13567.14"/>
    <s v="Minneapolis"/>
    <x v="1"/>
    <s v="XL"/>
    <s v="Blue"/>
    <n v="1"/>
    <x v="2"/>
    <s v="Wholesale"/>
    <s v="PayPal"/>
  </r>
  <r>
    <s v="ORD-202402331"/>
    <x v="863"/>
    <n v="9218"/>
    <s v="22/10/1986"/>
    <x v="1"/>
    <x v="3"/>
    <n v="9829.41"/>
    <n v="5452.42"/>
    <s v="Miami"/>
    <x v="0"/>
    <s v="L"/>
    <s v="Yellow"/>
    <n v="4"/>
    <x v="1"/>
    <s v="Retail"/>
    <s v="Bank Transfer"/>
  </r>
  <r>
    <s v="ORD-202402332"/>
    <x v="1284"/>
    <n v="9201"/>
    <s v="27/07/1992"/>
    <x v="1"/>
    <x v="0"/>
    <n v="6010.25"/>
    <n v="2953.73"/>
    <s v="New York"/>
    <x v="0"/>
    <s v="L"/>
    <s v="Black"/>
    <n v="5"/>
    <x v="1"/>
    <s v="Wholesale"/>
    <s v="Cash"/>
  </r>
  <r>
    <s v="ORD-202402333"/>
    <x v="84"/>
    <n v="3009"/>
    <s v="21/02/1977"/>
    <x v="1"/>
    <x v="1"/>
    <n v="73295.45"/>
    <n v="33331.99"/>
    <s v="Los Angeles"/>
    <x v="2"/>
    <s v="XL"/>
    <s v="Black"/>
    <n v="1"/>
    <x v="1"/>
    <s v="Wholesale"/>
    <s v="PayPal"/>
  </r>
  <r>
    <s v="ORD-202402334"/>
    <x v="738"/>
    <n v="7879"/>
    <s v="01/10/1985"/>
    <x v="1"/>
    <x v="0"/>
    <n v="21116.36"/>
    <n v="11542.11"/>
    <s v="Miami"/>
    <x v="0"/>
    <s v="L"/>
    <s v="Black"/>
    <n v="3"/>
    <x v="1"/>
    <s v="Wholesale"/>
    <s v="PayPal"/>
  </r>
  <r>
    <s v="ORD-202402335"/>
    <x v="31"/>
    <n v="4779"/>
    <s v="04/06/1996"/>
    <x v="0"/>
    <x v="4"/>
    <n v="41001.89"/>
    <n v="21746.33"/>
    <s v="Miami"/>
    <x v="0"/>
    <s v="L"/>
    <s v="Green"/>
    <n v="4"/>
    <x v="0"/>
    <s v="Retail"/>
    <s v="PayPal"/>
  </r>
  <r>
    <s v="ORD-202402336"/>
    <x v="188"/>
    <n v="7567"/>
    <s v="07/04/1987"/>
    <x v="1"/>
    <x v="3"/>
    <n v="7976.46"/>
    <n v="4218.03"/>
    <s v="Minneapolis"/>
    <x v="1"/>
    <s v="L"/>
    <s v="Blue"/>
    <n v="1"/>
    <x v="0"/>
    <s v="Wholesale"/>
    <s v="Bank Transfer"/>
  </r>
  <r>
    <s v="ORD-202402337"/>
    <x v="1285"/>
    <n v="2156"/>
    <s v="20/04/1978"/>
    <x v="1"/>
    <x v="1"/>
    <n v="28915.68"/>
    <n v="14674.81"/>
    <s v="Chicago"/>
    <x v="1"/>
    <s v="XL"/>
    <s v="Yellow"/>
    <n v="2"/>
    <x v="0"/>
    <s v="Retail"/>
    <s v="Cash"/>
  </r>
  <r>
    <s v="ORD-202402338"/>
    <x v="1286"/>
    <n v="2261"/>
    <s v="04/05/1989"/>
    <x v="1"/>
    <x v="0"/>
    <n v="11508.11"/>
    <n v="6131.88"/>
    <s v="Miami"/>
    <x v="0"/>
    <s v="M"/>
    <s v="Yellow"/>
    <n v="5"/>
    <x v="0"/>
    <s v="Wholesale"/>
    <s v="PayPal"/>
  </r>
  <r>
    <s v="ORD-202402339"/>
    <x v="1157"/>
    <n v="6001"/>
    <s v="07/04/1976"/>
    <x v="1"/>
    <x v="2"/>
    <n v="26555.8"/>
    <n v="14243.43"/>
    <s v="Boston"/>
    <x v="0"/>
    <s v="S"/>
    <s v="Blue"/>
    <n v="2"/>
    <x v="2"/>
    <s v="Retail"/>
    <s v="Cash"/>
  </r>
  <r>
    <s v="ORD-202402340"/>
    <x v="9"/>
    <n v="4961"/>
    <s v="21/09/1980"/>
    <x v="0"/>
    <x v="1"/>
    <n v="79018.539999999994"/>
    <n v="37272.949999999997"/>
    <s v="Los Angeles"/>
    <x v="2"/>
    <s v="S"/>
    <s v="Yellow"/>
    <n v="3"/>
    <x v="0"/>
    <s v="Retail"/>
    <s v="Bank Transfer"/>
  </r>
  <r>
    <s v="ORD-202402341"/>
    <x v="655"/>
    <n v="5743"/>
    <s v="27/12/1975"/>
    <x v="1"/>
    <x v="2"/>
    <n v="13874.55"/>
    <n v="7333.24"/>
    <s v="Miami"/>
    <x v="0"/>
    <s v="L"/>
    <s v="Red"/>
    <n v="3"/>
    <x v="1"/>
    <s v="Wholesale"/>
    <s v="Bank Transfer"/>
  </r>
  <r>
    <s v="ORD-202402342"/>
    <x v="107"/>
    <n v="9949"/>
    <s v="29/04/1990"/>
    <x v="0"/>
    <x v="3"/>
    <n v="10839.63"/>
    <n v="5867.01"/>
    <s v="Seattle"/>
    <x v="2"/>
    <s v="S"/>
    <s v="Black"/>
    <n v="2"/>
    <x v="1"/>
    <s v="Wholesale"/>
    <s v="Bank Transfer"/>
  </r>
  <r>
    <s v="ORD-202402343"/>
    <x v="468"/>
    <n v="6822"/>
    <s v="05/05/1994"/>
    <x v="1"/>
    <x v="3"/>
    <n v="6887.35"/>
    <n v="3193.38"/>
    <s v="Minneapolis"/>
    <x v="1"/>
    <s v="M"/>
    <s v="Green"/>
    <n v="4"/>
    <x v="2"/>
    <s v="Wholesale"/>
    <s v="PayPal"/>
  </r>
  <r>
    <s v="ORD-202402344"/>
    <x v="188"/>
    <n v="5321"/>
    <s v="14/10/1975"/>
    <x v="1"/>
    <x v="3"/>
    <n v="17722.990000000002"/>
    <n v="9061.83"/>
    <s v="Boston"/>
    <x v="0"/>
    <s v="XL"/>
    <s v="White"/>
    <n v="2"/>
    <x v="0"/>
    <s v="Retail"/>
    <s v="PayPal"/>
  </r>
  <r>
    <s v="ORD-202402345"/>
    <x v="105"/>
    <n v="8950"/>
    <s v="31/03/1975"/>
    <x v="1"/>
    <x v="4"/>
    <n v="13002.92"/>
    <n v="7103.2"/>
    <s v="Minneapolis"/>
    <x v="1"/>
    <s v="S"/>
    <s v="Red"/>
    <n v="1"/>
    <x v="1"/>
    <s v="Wholesale"/>
    <s v="Bank Transfer"/>
  </r>
  <r>
    <s v="ORD-202402346"/>
    <x v="834"/>
    <n v="3084"/>
    <s v="13/01/1984"/>
    <x v="0"/>
    <x v="0"/>
    <n v="5368.33"/>
    <n v="3441.21"/>
    <s v="Detroit"/>
    <x v="1"/>
    <s v="XL"/>
    <s v="Blue"/>
    <n v="1"/>
    <x v="2"/>
    <s v="Retail"/>
    <s v="Bank Transfer"/>
  </r>
  <r>
    <s v="ORD-202402347"/>
    <x v="1089"/>
    <n v="3810"/>
    <s v="03/03/1987"/>
    <x v="1"/>
    <x v="4"/>
    <n v="38173.85"/>
    <n v="22699.14"/>
    <s v="Boston"/>
    <x v="0"/>
    <s v="XL"/>
    <s v="Black"/>
    <n v="2"/>
    <x v="1"/>
    <s v="Retail"/>
    <s v="Bank Transfer"/>
  </r>
  <r>
    <s v="ORD-202402348"/>
    <x v="525"/>
    <n v="6780"/>
    <s v="02/06/2000"/>
    <x v="0"/>
    <x v="0"/>
    <n v="11289.25"/>
    <n v="5730.31"/>
    <s v="Los Angeles"/>
    <x v="2"/>
    <s v="M"/>
    <s v="White"/>
    <n v="2"/>
    <x v="1"/>
    <s v="Wholesale"/>
    <s v="Cash"/>
  </r>
  <r>
    <s v="ORD-202402349"/>
    <x v="1287"/>
    <n v="9635"/>
    <s v="22/01/1984"/>
    <x v="1"/>
    <x v="2"/>
    <n v="7903.1"/>
    <n v="3988.94"/>
    <s v="Chicago"/>
    <x v="1"/>
    <s v="M"/>
    <s v="Red"/>
    <n v="2"/>
    <x v="2"/>
    <s v="Retail"/>
    <s v="Cash"/>
  </r>
  <r>
    <s v="ORD-202402350"/>
    <x v="537"/>
    <n v="4479"/>
    <s v="04/12/1996"/>
    <x v="0"/>
    <x v="4"/>
    <n v="42841.46"/>
    <n v="23695.54"/>
    <s v="Miami"/>
    <x v="0"/>
    <s v="XL"/>
    <s v="Red"/>
    <n v="2"/>
    <x v="1"/>
    <s v="Retail"/>
    <s v="Cash"/>
  </r>
  <r>
    <s v="ORD-202402351"/>
    <x v="1288"/>
    <n v="3849"/>
    <s v="31/12/1994"/>
    <x v="0"/>
    <x v="4"/>
    <n v="45642.26"/>
    <n v="26952.71"/>
    <s v="Seattle"/>
    <x v="2"/>
    <s v="M"/>
    <s v="Blue"/>
    <n v="4"/>
    <x v="0"/>
    <s v="Wholesale"/>
    <s v="Bank Transfer"/>
  </r>
  <r>
    <s v="ORD-202402352"/>
    <x v="498"/>
    <n v="8271"/>
    <s v="17/09/1975"/>
    <x v="1"/>
    <x v="2"/>
    <n v="27242.28"/>
    <n v="13486.25"/>
    <s v="San Francisco"/>
    <x v="2"/>
    <s v="L"/>
    <s v="Green"/>
    <n v="5"/>
    <x v="2"/>
    <s v="Retail"/>
    <s v="Cash"/>
  </r>
  <r>
    <s v="ORD-202402353"/>
    <x v="1250"/>
    <n v="4557"/>
    <s v="30/01/1981"/>
    <x v="0"/>
    <x v="2"/>
    <n v="27578.91"/>
    <n v="13399.11"/>
    <s v="San Francisco"/>
    <x v="2"/>
    <s v="S"/>
    <s v="Blue"/>
    <n v="1"/>
    <x v="1"/>
    <s v="Wholesale"/>
    <s v="Cash"/>
  </r>
  <r>
    <s v="ORD-202402354"/>
    <x v="1289"/>
    <n v="1828"/>
    <s v="17/07/1995"/>
    <x v="1"/>
    <x v="3"/>
    <n v="4559.37"/>
    <n v="2615.92"/>
    <s v="San Francisco"/>
    <x v="2"/>
    <s v="L"/>
    <s v="Yellow"/>
    <n v="2"/>
    <x v="2"/>
    <s v="Wholesale"/>
    <s v="Bank Transfer"/>
  </r>
  <r>
    <s v="ORD-202402355"/>
    <x v="870"/>
    <n v="1711"/>
    <s v="18/01/1997"/>
    <x v="0"/>
    <x v="3"/>
    <n v="11211.16"/>
    <n v="5295.98"/>
    <s v="Seattle"/>
    <x v="2"/>
    <s v="S"/>
    <s v="Blue"/>
    <n v="4"/>
    <x v="1"/>
    <s v="Retail"/>
    <s v="PayPal"/>
  </r>
  <r>
    <s v="ORD-202402356"/>
    <x v="1155"/>
    <n v="2380"/>
    <s v="09/02/1978"/>
    <x v="0"/>
    <x v="1"/>
    <n v="53454.8"/>
    <n v="31253.32"/>
    <s v="Miami"/>
    <x v="0"/>
    <s v="M"/>
    <s v="Red"/>
    <n v="4"/>
    <x v="2"/>
    <s v="Wholesale"/>
    <s v="Bank Transfer"/>
  </r>
  <r>
    <s v="ORD-202402357"/>
    <x v="43"/>
    <n v="7453"/>
    <s v="04/07/1978"/>
    <x v="1"/>
    <x v="4"/>
    <n v="40432.44"/>
    <n v="21366.89"/>
    <s v="New York"/>
    <x v="0"/>
    <s v="L"/>
    <s v="Green"/>
    <n v="2"/>
    <x v="2"/>
    <s v="Wholesale"/>
    <s v="PayPal"/>
  </r>
  <r>
    <s v="ORD-202402358"/>
    <x v="1290"/>
    <n v="1122"/>
    <s v="14/12/2000"/>
    <x v="0"/>
    <x v="1"/>
    <n v="34370.519999999997"/>
    <n v="16499.54"/>
    <s v="Minneapolis"/>
    <x v="1"/>
    <s v="XL"/>
    <s v="White"/>
    <n v="5"/>
    <x v="1"/>
    <s v="Retail"/>
    <s v="PayPal"/>
  </r>
  <r>
    <s v="ORD-202402359"/>
    <x v="196"/>
    <n v="6236"/>
    <s v="19/06/1994"/>
    <x v="1"/>
    <x v="1"/>
    <n v="29653.38"/>
    <n v="16911.830000000002"/>
    <s v="Seattle"/>
    <x v="2"/>
    <s v="M"/>
    <s v="Blue"/>
    <n v="5"/>
    <x v="0"/>
    <s v="Retail"/>
    <s v="Cash"/>
  </r>
  <r>
    <s v="ORD-202402360"/>
    <x v="1057"/>
    <n v="3302"/>
    <s v="12/06/1998"/>
    <x v="1"/>
    <x v="3"/>
    <n v="12324.76"/>
    <n v="7667.15"/>
    <s v="Los Angeles"/>
    <x v="2"/>
    <s v="XL"/>
    <s v="White"/>
    <n v="3"/>
    <x v="1"/>
    <s v="Retail"/>
    <s v="Bank Transfer"/>
  </r>
  <r>
    <s v="ORD-202402361"/>
    <x v="1291"/>
    <n v="1455"/>
    <s v="07/05/1999"/>
    <x v="0"/>
    <x v="1"/>
    <n v="39742.230000000003"/>
    <n v="24269.99"/>
    <s v="Los Angeles"/>
    <x v="2"/>
    <s v="M"/>
    <s v="Blue"/>
    <n v="2"/>
    <x v="0"/>
    <s v="Wholesale"/>
    <s v="Bank Transfer"/>
  </r>
  <r>
    <s v="ORD-202402362"/>
    <x v="110"/>
    <n v="6475"/>
    <s v="01/12/1972"/>
    <x v="1"/>
    <x v="2"/>
    <n v="39628.28"/>
    <n v="23656.87"/>
    <s v="Boston"/>
    <x v="0"/>
    <s v="L"/>
    <s v="Red"/>
    <n v="4"/>
    <x v="1"/>
    <s v="Retail"/>
    <s v="Cash"/>
  </r>
  <r>
    <s v="ORD-202402363"/>
    <x v="1292"/>
    <n v="7334"/>
    <s v="05/10/1987"/>
    <x v="1"/>
    <x v="2"/>
    <n v="28331.23"/>
    <n v="15957.96"/>
    <s v="Detroit"/>
    <x v="1"/>
    <s v="XL"/>
    <s v="Green"/>
    <n v="4"/>
    <x v="1"/>
    <s v="Wholesale"/>
    <s v="PayPal"/>
  </r>
  <r>
    <s v="ORD-202402364"/>
    <x v="288"/>
    <n v="3987"/>
    <s v="19/11/1976"/>
    <x v="1"/>
    <x v="0"/>
    <n v="10637.3"/>
    <n v="5884.21"/>
    <s v="Chicago"/>
    <x v="1"/>
    <s v="M"/>
    <s v="Red"/>
    <n v="1"/>
    <x v="0"/>
    <s v="Retail"/>
    <s v="Cash"/>
  </r>
  <r>
    <s v="ORD-202402365"/>
    <x v="760"/>
    <n v="7033"/>
    <s v="08/06/1998"/>
    <x v="0"/>
    <x v="2"/>
    <n v="26345.1"/>
    <n v="12542.7"/>
    <s v="Seattle"/>
    <x v="2"/>
    <s v="XL"/>
    <s v="White"/>
    <n v="4"/>
    <x v="1"/>
    <s v="Retail"/>
    <s v="Cash"/>
  </r>
  <r>
    <s v="ORD-202402366"/>
    <x v="352"/>
    <n v="9931"/>
    <s v="28/01/1972"/>
    <x v="0"/>
    <x v="4"/>
    <n v="10305.27"/>
    <n v="5640.47"/>
    <s v="Minneapolis"/>
    <x v="1"/>
    <s v="M"/>
    <s v="Yellow"/>
    <n v="5"/>
    <x v="1"/>
    <s v="Retail"/>
    <s v="Cash"/>
  </r>
  <r>
    <s v="ORD-202402367"/>
    <x v="1293"/>
    <n v="3503"/>
    <s v="10/03/1997"/>
    <x v="0"/>
    <x v="2"/>
    <n v="40564.1"/>
    <n v="21249.75"/>
    <s v="Los Angeles"/>
    <x v="2"/>
    <s v="S"/>
    <s v="Black"/>
    <n v="3"/>
    <x v="0"/>
    <s v="Wholesale"/>
    <s v="PayPal"/>
  </r>
  <r>
    <s v="ORD-202402368"/>
    <x v="781"/>
    <n v="6380"/>
    <s v="16/07/1996"/>
    <x v="0"/>
    <x v="3"/>
    <n v="13859.64"/>
    <n v="8790.19"/>
    <s v="San Francisco"/>
    <x v="2"/>
    <s v="XL"/>
    <s v="Yellow"/>
    <n v="2"/>
    <x v="0"/>
    <s v="Wholesale"/>
    <s v="Bank Transfer"/>
  </r>
  <r>
    <s v="ORD-202402369"/>
    <x v="1294"/>
    <n v="3553"/>
    <s v="08/09/1992"/>
    <x v="1"/>
    <x v="0"/>
    <n v="7110"/>
    <n v="3812.3"/>
    <s v="Seattle"/>
    <x v="2"/>
    <s v="XL"/>
    <s v="White"/>
    <n v="5"/>
    <x v="1"/>
    <s v="Retail"/>
    <s v="Bank Transfer"/>
  </r>
  <r>
    <s v="ORD-202402370"/>
    <x v="459"/>
    <n v="9487"/>
    <s v="09/06/1979"/>
    <x v="1"/>
    <x v="0"/>
    <n v="9341.4"/>
    <n v="5845.47"/>
    <s v="Chicago"/>
    <x v="1"/>
    <s v="L"/>
    <s v="Black"/>
    <n v="1"/>
    <x v="0"/>
    <s v="Retail"/>
    <s v="Cash"/>
  </r>
  <r>
    <s v="ORD-202402371"/>
    <x v="378"/>
    <n v="7231"/>
    <s v="29/11/1986"/>
    <x v="0"/>
    <x v="1"/>
    <n v="37787.440000000002"/>
    <n v="23905.119999999999"/>
    <s v="Seattle"/>
    <x v="2"/>
    <s v="M"/>
    <s v="Green"/>
    <n v="4"/>
    <x v="0"/>
    <s v="Retail"/>
    <s v="Cash"/>
  </r>
  <r>
    <s v="ORD-202402372"/>
    <x v="349"/>
    <n v="3713"/>
    <s v="04/03/1997"/>
    <x v="1"/>
    <x v="0"/>
    <n v="21792.1"/>
    <n v="12977.87"/>
    <s v="Miami"/>
    <x v="0"/>
    <s v="L"/>
    <s v="White"/>
    <n v="2"/>
    <x v="1"/>
    <s v="Wholesale"/>
    <s v="Cash"/>
  </r>
  <r>
    <s v="ORD-202402373"/>
    <x v="745"/>
    <n v="2726"/>
    <s v="04/11/1987"/>
    <x v="0"/>
    <x v="3"/>
    <n v="10376.959999999999"/>
    <n v="6614.98"/>
    <s v="San Francisco"/>
    <x v="2"/>
    <s v="L"/>
    <s v="Yellow"/>
    <n v="4"/>
    <x v="1"/>
    <s v="Retail"/>
    <s v="Bank Transfer"/>
  </r>
  <r>
    <s v="ORD-202402374"/>
    <x v="278"/>
    <n v="9548"/>
    <s v="28/04/1993"/>
    <x v="1"/>
    <x v="4"/>
    <n v="40198.050000000003"/>
    <n v="23042.12"/>
    <s v="Minneapolis"/>
    <x v="1"/>
    <s v="M"/>
    <s v="Green"/>
    <n v="3"/>
    <x v="0"/>
    <s v="Wholesale"/>
    <s v="Cash"/>
  </r>
  <r>
    <s v="ORD-202402375"/>
    <x v="1295"/>
    <n v="6901"/>
    <s v="07/12/1997"/>
    <x v="0"/>
    <x v="3"/>
    <n v="11252.21"/>
    <n v="6024.98"/>
    <s v="Boston"/>
    <x v="0"/>
    <s v="L"/>
    <s v="White"/>
    <n v="1"/>
    <x v="1"/>
    <s v="Retail"/>
    <s v="Cash"/>
  </r>
  <r>
    <s v="ORD-202402376"/>
    <x v="205"/>
    <n v="5056"/>
    <s v="04/06/1994"/>
    <x v="0"/>
    <x v="2"/>
    <n v="9490.15"/>
    <n v="5370.1"/>
    <s v="Detroit"/>
    <x v="1"/>
    <s v="M"/>
    <s v="Green"/>
    <n v="4"/>
    <x v="1"/>
    <s v="Retail"/>
    <s v="Cash"/>
  </r>
  <r>
    <s v="ORD-202402377"/>
    <x v="120"/>
    <n v="1038"/>
    <s v="02/05/1998"/>
    <x v="0"/>
    <x v="1"/>
    <n v="78936.44"/>
    <n v="49361.45"/>
    <s v="New York"/>
    <x v="0"/>
    <s v="M"/>
    <s v="Red"/>
    <n v="1"/>
    <x v="1"/>
    <s v="Retail"/>
    <s v="Bank Transfer"/>
  </r>
  <r>
    <s v="ORD-202402378"/>
    <x v="1296"/>
    <n v="3488"/>
    <s v="27/04/1986"/>
    <x v="0"/>
    <x v="0"/>
    <n v="4652.57"/>
    <n v="2274.96"/>
    <s v="Los Angeles"/>
    <x v="2"/>
    <s v="XL"/>
    <s v="Black"/>
    <n v="2"/>
    <x v="0"/>
    <s v="Retail"/>
    <s v="Cash"/>
  </r>
  <r>
    <s v="ORD-202402379"/>
    <x v="643"/>
    <n v="3002"/>
    <s v="18/12/1980"/>
    <x v="1"/>
    <x v="4"/>
    <n v="29790.22"/>
    <n v="13613.92"/>
    <s v="New York"/>
    <x v="0"/>
    <s v="S"/>
    <s v="Blue"/>
    <n v="5"/>
    <x v="1"/>
    <s v="Retail"/>
    <s v="Cash"/>
  </r>
  <r>
    <s v="ORD-202402380"/>
    <x v="1297"/>
    <n v="1225"/>
    <s v="01/12/2000"/>
    <x v="0"/>
    <x v="1"/>
    <n v="75646.09"/>
    <n v="44483.86"/>
    <s v="San Francisco"/>
    <x v="2"/>
    <s v="S"/>
    <s v="White"/>
    <n v="4"/>
    <x v="2"/>
    <s v="Wholesale"/>
    <s v="Cash"/>
  </r>
  <r>
    <s v="ORD-202402381"/>
    <x v="1253"/>
    <n v="5213"/>
    <s v="11/09/1980"/>
    <x v="0"/>
    <x v="3"/>
    <n v="11533.1"/>
    <n v="6366.99"/>
    <s v="Chicago"/>
    <x v="1"/>
    <s v="XL"/>
    <s v="Red"/>
    <n v="3"/>
    <x v="2"/>
    <s v="Retail"/>
    <s v="PayPal"/>
  </r>
  <r>
    <s v="ORD-202402382"/>
    <x v="1298"/>
    <n v="8408"/>
    <s v="17/08/1972"/>
    <x v="0"/>
    <x v="1"/>
    <n v="18475.88"/>
    <n v="8833.7999999999993"/>
    <s v="Miami"/>
    <x v="0"/>
    <s v="M"/>
    <s v="Red"/>
    <n v="3"/>
    <x v="1"/>
    <s v="Wholesale"/>
    <s v="PayPal"/>
  </r>
  <r>
    <s v="ORD-202402383"/>
    <x v="564"/>
    <n v="5637"/>
    <s v="25/01/1979"/>
    <x v="0"/>
    <x v="1"/>
    <n v="23481.23"/>
    <n v="11528.79"/>
    <s v="Detroit"/>
    <x v="1"/>
    <s v="S"/>
    <s v="White"/>
    <n v="1"/>
    <x v="1"/>
    <s v="Wholesale"/>
    <s v="PayPal"/>
  </r>
  <r>
    <s v="ORD-202402384"/>
    <x v="1016"/>
    <n v="6739"/>
    <s v="25/08/2000"/>
    <x v="0"/>
    <x v="0"/>
    <n v="19065.09"/>
    <n v="10044.94"/>
    <s v="San Francisco"/>
    <x v="2"/>
    <s v="L"/>
    <s v="Blue"/>
    <n v="1"/>
    <x v="2"/>
    <s v="Retail"/>
    <s v="Cash"/>
  </r>
  <r>
    <s v="ORD-202402385"/>
    <x v="816"/>
    <n v="4524"/>
    <s v="26/09/1993"/>
    <x v="0"/>
    <x v="1"/>
    <n v="115513.84"/>
    <n v="63396.480000000003"/>
    <s v="San Francisco"/>
    <x v="2"/>
    <s v="S"/>
    <s v="Red"/>
    <n v="1"/>
    <x v="1"/>
    <s v="Retail"/>
    <s v="Cash"/>
  </r>
  <r>
    <s v="ORD-202402386"/>
    <x v="372"/>
    <n v="1115"/>
    <s v="02/02/1976"/>
    <x v="0"/>
    <x v="0"/>
    <n v="7629.33"/>
    <n v="3941.45"/>
    <s v="Minneapolis"/>
    <x v="1"/>
    <s v="XL"/>
    <s v="Green"/>
    <n v="2"/>
    <x v="1"/>
    <s v="Retail"/>
    <s v="Cash"/>
  </r>
  <r>
    <s v="ORD-202402387"/>
    <x v="551"/>
    <n v="6537"/>
    <s v="05/10/2000"/>
    <x v="0"/>
    <x v="1"/>
    <n v="70526.759999999995"/>
    <n v="32063.66"/>
    <s v="Los Angeles"/>
    <x v="2"/>
    <s v="S"/>
    <s v="Green"/>
    <n v="2"/>
    <x v="1"/>
    <s v="Retail"/>
    <s v="Cash"/>
  </r>
  <r>
    <s v="ORD-202402388"/>
    <x v="839"/>
    <n v="9644"/>
    <s v="13/02/1970"/>
    <x v="1"/>
    <x v="4"/>
    <n v="31879.95"/>
    <n v="15390.47"/>
    <s v="San Francisco"/>
    <x v="2"/>
    <s v="L"/>
    <s v="White"/>
    <n v="4"/>
    <x v="1"/>
    <s v="Retail"/>
    <s v="Bank Transfer"/>
  </r>
  <r>
    <s v="ORD-202402389"/>
    <x v="1221"/>
    <n v="4722"/>
    <s v="30/01/1995"/>
    <x v="0"/>
    <x v="1"/>
    <n v="68402.05"/>
    <n v="36153.269999999997"/>
    <s v="Miami"/>
    <x v="0"/>
    <s v="L"/>
    <s v="Red"/>
    <n v="3"/>
    <x v="2"/>
    <s v="Retail"/>
    <s v="Bank Transfer"/>
  </r>
  <r>
    <s v="ORD-202402390"/>
    <x v="1299"/>
    <n v="8447"/>
    <s v="29/06/1977"/>
    <x v="1"/>
    <x v="4"/>
    <n v="21209.83"/>
    <n v="12620.21"/>
    <s v="New York"/>
    <x v="0"/>
    <s v="M"/>
    <s v="Yellow"/>
    <n v="1"/>
    <x v="1"/>
    <s v="Wholesale"/>
    <s v="Cash"/>
  </r>
  <r>
    <s v="ORD-202402391"/>
    <x v="1263"/>
    <n v="5188"/>
    <s v="02/09/1978"/>
    <x v="0"/>
    <x v="4"/>
    <n v="35708.36"/>
    <n v="17464.580000000002"/>
    <s v="San Francisco"/>
    <x v="2"/>
    <s v="XL"/>
    <s v="Yellow"/>
    <n v="1"/>
    <x v="1"/>
    <s v="Wholesale"/>
    <s v="Cash"/>
  </r>
  <r>
    <s v="ORD-202402392"/>
    <x v="132"/>
    <n v="8685"/>
    <s v="19/12/1972"/>
    <x v="1"/>
    <x v="2"/>
    <n v="42292.1"/>
    <n v="23045.97"/>
    <s v="Los Angeles"/>
    <x v="2"/>
    <s v="S"/>
    <s v="Black"/>
    <n v="1"/>
    <x v="0"/>
    <s v="Wholesale"/>
    <s v="Bank Transfer"/>
  </r>
  <r>
    <s v="ORD-202402393"/>
    <x v="1300"/>
    <n v="4198"/>
    <s v="11/03/1988"/>
    <x v="0"/>
    <x v="1"/>
    <n v="29921.89"/>
    <n v="19181.89"/>
    <s v="Miami"/>
    <x v="0"/>
    <s v="L"/>
    <s v="Red"/>
    <n v="4"/>
    <x v="0"/>
    <s v="Wholesale"/>
    <s v="Bank Transfer"/>
  </r>
  <r>
    <s v="ORD-202402394"/>
    <x v="751"/>
    <n v="9539"/>
    <s v="02/07/1999"/>
    <x v="0"/>
    <x v="0"/>
    <n v="14843.08"/>
    <n v="9392.4500000000007"/>
    <s v="Boston"/>
    <x v="0"/>
    <s v="S"/>
    <s v="Green"/>
    <n v="3"/>
    <x v="0"/>
    <s v="Retail"/>
    <s v="PayPal"/>
  </r>
  <r>
    <s v="ORD-202402395"/>
    <x v="1301"/>
    <n v="5390"/>
    <s v="19/10/1975"/>
    <x v="1"/>
    <x v="2"/>
    <n v="28212.47"/>
    <n v="13239.74"/>
    <s v="San Francisco"/>
    <x v="2"/>
    <s v="S"/>
    <s v="Yellow"/>
    <n v="2"/>
    <x v="0"/>
    <s v="Retail"/>
    <s v="Bank Transfer"/>
  </r>
  <r>
    <s v="ORD-202402396"/>
    <x v="359"/>
    <n v="3499"/>
    <s v="14/10/1975"/>
    <x v="0"/>
    <x v="3"/>
    <n v="13025.8"/>
    <n v="6517.02"/>
    <s v="San Francisco"/>
    <x v="2"/>
    <s v="L"/>
    <s v="Blue"/>
    <n v="3"/>
    <x v="0"/>
    <s v="Wholesale"/>
    <s v="Bank Transfer"/>
  </r>
  <r>
    <s v="ORD-202402397"/>
    <x v="1302"/>
    <n v="6788"/>
    <s v="29/08/1972"/>
    <x v="0"/>
    <x v="2"/>
    <n v="20875.84"/>
    <n v="11582.48"/>
    <s v="New York"/>
    <x v="0"/>
    <s v="XL"/>
    <s v="Blue"/>
    <n v="3"/>
    <x v="0"/>
    <s v="Retail"/>
    <s v="Bank Transfer"/>
  </r>
  <r>
    <s v="ORD-202402398"/>
    <x v="1056"/>
    <n v="6561"/>
    <s v="14/03/1998"/>
    <x v="1"/>
    <x v="1"/>
    <n v="72279.08"/>
    <n v="41589.61"/>
    <s v="Detroit"/>
    <x v="1"/>
    <s v="M"/>
    <s v="Black"/>
    <n v="3"/>
    <x v="1"/>
    <s v="Wholesale"/>
    <s v="Cash"/>
  </r>
  <r>
    <s v="ORD-202402399"/>
    <x v="699"/>
    <n v="6051"/>
    <s v="16/09/1993"/>
    <x v="1"/>
    <x v="0"/>
    <n v="6502.19"/>
    <n v="3297.91"/>
    <s v="Miami"/>
    <x v="0"/>
    <s v="M"/>
    <s v="Black"/>
    <n v="4"/>
    <x v="1"/>
    <s v="Retail"/>
    <s v="Bank Transfer"/>
  </r>
  <r>
    <s v="ORD-202402400"/>
    <x v="1303"/>
    <n v="2268"/>
    <s v="03/10/1980"/>
    <x v="1"/>
    <x v="0"/>
    <n v="13091.94"/>
    <n v="6952.5"/>
    <s v="Miami"/>
    <x v="0"/>
    <s v="M"/>
    <s v="White"/>
    <n v="2"/>
    <x v="1"/>
    <s v="Wholesale"/>
    <s v="Cash"/>
  </r>
  <r>
    <s v="ORD-202402401"/>
    <x v="343"/>
    <n v="1926"/>
    <s v="02/02/1977"/>
    <x v="0"/>
    <x v="3"/>
    <n v="7160.29"/>
    <n v="3500.57"/>
    <s v="Minneapolis"/>
    <x v="1"/>
    <s v="L"/>
    <s v="Red"/>
    <n v="1"/>
    <x v="1"/>
    <s v="Wholesale"/>
    <s v="Cash"/>
  </r>
  <r>
    <s v="ORD-202402402"/>
    <x v="864"/>
    <n v="7809"/>
    <s v="10/12/1977"/>
    <x v="0"/>
    <x v="4"/>
    <n v="34263.910000000003"/>
    <n v="20899"/>
    <s v="Seattle"/>
    <x v="2"/>
    <s v="XL"/>
    <s v="Blue"/>
    <n v="2"/>
    <x v="1"/>
    <s v="Retail"/>
    <s v="Bank Transfer"/>
  </r>
  <r>
    <s v="ORD-202402403"/>
    <x v="1163"/>
    <n v="4332"/>
    <s v="01/10/1983"/>
    <x v="1"/>
    <x v="2"/>
    <n v="53627.51"/>
    <n v="34150.160000000003"/>
    <s v="San Francisco"/>
    <x v="2"/>
    <s v="S"/>
    <s v="Red"/>
    <n v="1"/>
    <x v="0"/>
    <s v="Retail"/>
    <s v="PayPal"/>
  </r>
  <r>
    <s v="ORD-202402404"/>
    <x v="832"/>
    <n v="9707"/>
    <s v="20/08/1973"/>
    <x v="1"/>
    <x v="2"/>
    <n v="17840.43"/>
    <n v="10259.89"/>
    <s v="Seattle"/>
    <x v="2"/>
    <s v="L"/>
    <s v="White"/>
    <n v="2"/>
    <x v="0"/>
    <s v="Wholesale"/>
    <s v="Cash"/>
  </r>
  <r>
    <s v="ORD-202402405"/>
    <x v="1304"/>
    <n v="3844"/>
    <s v="12/01/1992"/>
    <x v="1"/>
    <x v="4"/>
    <n v="48664.83"/>
    <n v="24704.93"/>
    <s v="Los Angeles"/>
    <x v="2"/>
    <s v="XL"/>
    <s v="Blue"/>
    <n v="3"/>
    <x v="1"/>
    <s v="Retail"/>
    <s v="Cash"/>
  </r>
  <r>
    <s v="ORD-202402406"/>
    <x v="193"/>
    <n v="2937"/>
    <s v="10/12/1998"/>
    <x v="1"/>
    <x v="1"/>
    <n v="36887.72"/>
    <n v="16614.97"/>
    <s v="Boston"/>
    <x v="0"/>
    <s v="XL"/>
    <s v="Green"/>
    <n v="1"/>
    <x v="1"/>
    <s v="Wholesale"/>
    <s v="PayPal"/>
  </r>
  <r>
    <s v="ORD-202402407"/>
    <x v="1305"/>
    <n v="4843"/>
    <s v="16/12/1977"/>
    <x v="0"/>
    <x v="2"/>
    <n v="21848.33"/>
    <n v="11865.99"/>
    <s v="Seattle"/>
    <x v="2"/>
    <s v="M"/>
    <s v="Green"/>
    <n v="3"/>
    <x v="0"/>
    <s v="Wholesale"/>
    <s v="Cash"/>
  </r>
  <r>
    <s v="ORD-202402408"/>
    <x v="1179"/>
    <n v="8838"/>
    <s v="14/09/1980"/>
    <x v="1"/>
    <x v="4"/>
    <n v="42771.48"/>
    <n v="21886.5"/>
    <s v="New York"/>
    <x v="0"/>
    <s v="S"/>
    <s v="Black"/>
    <n v="1"/>
    <x v="2"/>
    <s v="Wholesale"/>
    <s v="Cash"/>
  </r>
  <r>
    <s v="ORD-202402409"/>
    <x v="520"/>
    <n v="7770"/>
    <s v="09/12/1986"/>
    <x v="0"/>
    <x v="0"/>
    <n v="17249.16"/>
    <n v="10912.28"/>
    <s v="Seattle"/>
    <x v="2"/>
    <s v="S"/>
    <s v="Blue"/>
    <n v="1"/>
    <x v="0"/>
    <s v="Retail"/>
    <s v="PayPal"/>
  </r>
  <r>
    <s v="ORD-202402410"/>
    <x v="821"/>
    <n v="2368"/>
    <s v="21/08/1989"/>
    <x v="1"/>
    <x v="2"/>
    <n v="26183.17"/>
    <n v="12318.53"/>
    <s v="Miami"/>
    <x v="0"/>
    <s v="M"/>
    <s v="Green"/>
    <n v="1"/>
    <x v="1"/>
    <s v="Wholesale"/>
    <s v="Cash"/>
  </r>
  <r>
    <s v="ORD-202402411"/>
    <x v="984"/>
    <n v="3704"/>
    <s v="24/07/1991"/>
    <x v="1"/>
    <x v="3"/>
    <n v="18547.55"/>
    <n v="11915.84"/>
    <s v="Los Angeles"/>
    <x v="2"/>
    <s v="M"/>
    <s v="Black"/>
    <n v="2"/>
    <x v="1"/>
    <s v="Retail"/>
    <s v="PayPal"/>
  </r>
  <r>
    <s v="ORD-202402412"/>
    <x v="938"/>
    <n v="3310"/>
    <s v="02/04/1983"/>
    <x v="1"/>
    <x v="2"/>
    <n v="12315.97"/>
    <n v="6680.41"/>
    <s v="Los Angeles"/>
    <x v="2"/>
    <s v="XL"/>
    <s v="White"/>
    <n v="5"/>
    <x v="0"/>
    <s v="Wholesale"/>
    <s v="Bank Transfer"/>
  </r>
  <r>
    <s v="ORD-202402413"/>
    <x v="210"/>
    <n v="5684"/>
    <s v="10/01/1973"/>
    <x v="0"/>
    <x v="4"/>
    <n v="22869.74"/>
    <n v="11524.91"/>
    <s v="Miami"/>
    <x v="0"/>
    <s v="L"/>
    <s v="White"/>
    <n v="1"/>
    <x v="0"/>
    <s v="Retail"/>
    <s v="Bank Transfer"/>
  </r>
  <r>
    <s v="ORD-202402414"/>
    <x v="299"/>
    <n v="7032"/>
    <s v="17/11/1985"/>
    <x v="0"/>
    <x v="3"/>
    <n v="13477.86"/>
    <n v="8562.77"/>
    <s v="Seattle"/>
    <x v="2"/>
    <s v="L"/>
    <s v="Black"/>
    <n v="5"/>
    <x v="0"/>
    <s v="Retail"/>
    <s v="Bank Transfer"/>
  </r>
  <r>
    <s v="ORD-202402415"/>
    <x v="218"/>
    <n v="9254"/>
    <s v="23/04/1997"/>
    <x v="0"/>
    <x v="1"/>
    <n v="41468.58"/>
    <n v="18899.009999999998"/>
    <s v="Detroit"/>
    <x v="1"/>
    <s v="L"/>
    <s v="White"/>
    <n v="4"/>
    <x v="0"/>
    <s v="Wholesale"/>
    <s v="PayPal"/>
  </r>
  <r>
    <s v="ORD-202402416"/>
    <x v="100"/>
    <n v="2633"/>
    <s v="28/12/1983"/>
    <x v="0"/>
    <x v="2"/>
    <n v="19176.07"/>
    <n v="9466.91"/>
    <s v="New York"/>
    <x v="0"/>
    <s v="L"/>
    <s v="Black"/>
    <n v="5"/>
    <x v="1"/>
    <s v="Retail"/>
    <s v="Bank Transfer"/>
  </r>
  <r>
    <s v="ORD-202402417"/>
    <x v="1306"/>
    <n v="1416"/>
    <s v="14/06/1989"/>
    <x v="0"/>
    <x v="1"/>
    <n v="47572.45"/>
    <n v="28709.96"/>
    <s v="Chicago"/>
    <x v="1"/>
    <s v="XL"/>
    <s v="Yellow"/>
    <n v="4"/>
    <x v="1"/>
    <s v="Retail"/>
    <s v="PayPal"/>
  </r>
  <r>
    <s v="ORD-202402418"/>
    <x v="1105"/>
    <n v="8965"/>
    <s v="08/10/1970"/>
    <x v="1"/>
    <x v="2"/>
    <n v="48153.16"/>
    <n v="29346.45"/>
    <s v="San Francisco"/>
    <x v="2"/>
    <s v="S"/>
    <s v="Red"/>
    <n v="1"/>
    <x v="0"/>
    <s v="Retail"/>
    <s v="Cash"/>
  </r>
  <r>
    <s v="ORD-202402419"/>
    <x v="869"/>
    <n v="1382"/>
    <s v="12/08/1993"/>
    <x v="0"/>
    <x v="2"/>
    <n v="40482.269999999997"/>
    <n v="21012.18"/>
    <s v="Miami"/>
    <x v="0"/>
    <s v="L"/>
    <s v="Red"/>
    <n v="5"/>
    <x v="1"/>
    <s v="Wholesale"/>
    <s v="PayPal"/>
  </r>
  <r>
    <s v="ORD-202402420"/>
    <x v="1307"/>
    <n v="5000"/>
    <s v="01/10/1998"/>
    <x v="1"/>
    <x v="2"/>
    <n v="39006.15"/>
    <n v="23511.23"/>
    <s v="San Francisco"/>
    <x v="2"/>
    <s v="L"/>
    <s v="Red"/>
    <n v="4"/>
    <x v="0"/>
    <s v="Retail"/>
    <s v="PayPal"/>
  </r>
  <r>
    <s v="ORD-202402421"/>
    <x v="930"/>
    <n v="6777"/>
    <s v="16/02/1995"/>
    <x v="0"/>
    <x v="1"/>
    <n v="23019.38"/>
    <n v="11143.51"/>
    <s v="Minneapolis"/>
    <x v="1"/>
    <s v="L"/>
    <s v="Black"/>
    <n v="5"/>
    <x v="2"/>
    <s v="Retail"/>
    <s v="PayPal"/>
  </r>
  <r>
    <s v="ORD-202402422"/>
    <x v="434"/>
    <n v="3585"/>
    <s v="15/08/1977"/>
    <x v="1"/>
    <x v="4"/>
    <n v="25696.1"/>
    <n v="14824.27"/>
    <s v="Chicago"/>
    <x v="1"/>
    <s v="M"/>
    <s v="Yellow"/>
    <n v="3"/>
    <x v="0"/>
    <s v="Wholesale"/>
    <s v="Bank Transfer"/>
  </r>
  <r>
    <s v="ORD-202402423"/>
    <x v="1308"/>
    <n v="1864"/>
    <s v="06/06/1981"/>
    <x v="0"/>
    <x v="4"/>
    <n v="14114.86"/>
    <n v="6984.23"/>
    <s v="Los Angeles"/>
    <x v="2"/>
    <s v="L"/>
    <s v="Green"/>
    <n v="1"/>
    <x v="1"/>
    <s v="Retail"/>
    <s v="Bank Transfer"/>
  </r>
  <r>
    <s v="ORD-202402424"/>
    <x v="1309"/>
    <n v="3351"/>
    <s v="09/09/1982"/>
    <x v="1"/>
    <x v="1"/>
    <n v="39891.699999999997"/>
    <n v="20503.37"/>
    <s v="Miami"/>
    <x v="0"/>
    <s v="L"/>
    <s v="Blue"/>
    <n v="5"/>
    <x v="1"/>
    <s v="Wholesale"/>
    <s v="Cash"/>
  </r>
  <r>
    <s v="ORD-202402425"/>
    <x v="1310"/>
    <n v="3638"/>
    <s v="20/12/1984"/>
    <x v="1"/>
    <x v="3"/>
    <n v="7715.38"/>
    <n v="3953.81"/>
    <s v="Boston"/>
    <x v="0"/>
    <s v="XL"/>
    <s v="Black"/>
    <n v="2"/>
    <x v="1"/>
    <s v="Retail"/>
    <s v="Bank Transfer"/>
  </r>
  <r>
    <s v="ORD-202402426"/>
    <x v="884"/>
    <n v="2129"/>
    <s v="02/06/1973"/>
    <x v="1"/>
    <x v="0"/>
    <n v="11343.28"/>
    <n v="5532.92"/>
    <s v="San Francisco"/>
    <x v="2"/>
    <s v="M"/>
    <s v="Yellow"/>
    <n v="2"/>
    <x v="0"/>
    <s v="Wholesale"/>
    <s v="PayPal"/>
  </r>
  <r>
    <s v="ORD-202402427"/>
    <x v="779"/>
    <n v="2677"/>
    <s v="13/11/1982"/>
    <x v="0"/>
    <x v="0"/>
    <n v="9033.7999999999993"/>
    <n v="5518.66"/>
    <s v="Chicago"/>
    <x v="1"/>
    <s v="XL"/>
    <s v="Red"/>
    <n v="2"/>
    <x v="1"/>
    <s v="Wholesale"/>
    <s v="PayPal"/>
  </r>
  <r>
    <s v="ORD-202402428"/>
    <x v="867"/>
    <n v="5937"/>
    <s v="26/09/1993"/>
    <x v="0"/>
    <x v="3"/>
    <n v="9294.59"/>
    <n v="5677.77"/>
    <s v="Seattle"/>
    <x v="2"/>
    <s v="XL"/>
    <s v="Red"/>
    <n v="2"/>
    <x v="0"/>
    <s v="Wholesale"/>
    <s v="Cash"/>
  </r>
  <r>
    <s v="ORD-202402429"/>
    <x v="1104"/>
    <n v="2094"/>
    <s v="09/09/2000"/>
    <x v="0"/>
    <x v="3"/>
    <n v="13461.07"/>
    <n v="8560.7000000000007"/>
    <s v="San Francisco"/>
    <x v="2"/>
    <s v="XL"/>
    <s v="Black"/>
    <n v="4"/>
    <x v="0"/>
    <s v="Retail"/>
    <s v="Bank Transfer"/>
  </r>
  <r>
    <s v="ORD-202402430"/>
    <x v="539"/>
    <n v="6850"/>
    <s v="16/12/1983"/>
    <x v="1"/>
    <x v="2"/>
    <n v="21075.3"/>
    <n v="12086.6"/>
    <s v="Miami"/>
    <x v="0"/>
    <s v="S"/>
    <s v="Blue"/>
    <n v="3"/>
    <x v="2"/>
    <s v="Retail"/>
    <s v="PayPal"/>
  </r>
  <r>
    <s v="ORD-202402431"/>
    <x v="500"/>
    <n v="1827"/>
    <s v="03/11/1974"/>
    <x v="0"/>
    <x v="2"/>
    <n v="23520.02"/>
    <n v="11545.13"/>
    <s v="Seattle"/>
    <x v="2"/>
    <s v="L"/>
    <s v="Green"/>
    <n v="2"/>
    <x v="1"/>
    <s v="Retail"/>
    <s v="PayPal"/>
  </r>
  <r>
    <s v="ORD-202402432"/>
    <x v="1311"/>
    <n v="4371"/>
    <s v="09/09/1973"/>
    <x v="1"/>
    <x v="4"/>
    <n v="28145.59"/>
    <n v="18201.18"/>
    <s v="New York"/>
    <x v="0"/>
    <s v="L"/>
    <s v="Black"/>
    <n v="5"/>
    <x v="1"/>
    <s v="Wholesale"/>
    <s v="Cash"/>
  </r>
  <r>
    <s v="ORD-202402433"/>
    <x v="846"/>
    <n v="1232"/>
    <s v="15/12/1988"/>
    <x v="1"/>
    <x v="2"/>
    <n v="16140.41"/>
    <n v="9578.69"/>
    <s v="New York"/>
    <x v="0"/>
    <s v="L"/>
    <s v="Black"/>
    <n v="1"/>
    <x v="0"/>
    <s v="Retail"/>
    <s v="PayPal"/>
  </r>
  <r>
    <s v="ORD-202402434"/>
    <x v="1274"/>
    <n v="5008"/>
    <s v="25/10/1982"/>
    <x v="1"/>
    <x v="4"/>
    <n v="40566.74"/>
    <n v="21931.73"/>
    <s v="New York"/>
    <x v="0"/>
    <s v="XL"/>
    <s v="Blue"/>
    <n v="1"/>
    <x v="1"/>
    <s v="Retail"/>
    <s v="Bank Transfer"/>
  </r>
  <r>
    <s v="ORD-202402435"/>
    <x v="1219"/>
    <n v="3583"/>
    <s v="05/07/1971"/>
    <x v="0"/>
    <x v="3"/>
    <n v="11756.59"/>
    <n v="7112.7"/>
    <s v="Miami"/>
    <x v="0"/>
    <s v="L"/>
    <s v="Yellow"/>
    <n v="5"/>
    <x v="1"/>
    <s v="Retail"/>
    <s v="Cash"/>
  </r>
  <r>
    <s v="ORD-202402436"/>
    <x v="1024"/>
    <n v="2386"/>
    <s v="11/01/1997"/>
    <x v="1"/>
    <x v="4"/>
    <n v="46458.720000000001"/>
    <n v="24235.07"/>
    <s v="Seattle"/>
    <x v="2"/>
    <s v="S"/>
    <s v="White"/>
    <n v="3"/>
    <x v="0"/>
    <s v="Retail"/>
    <s v="PayPal"/>
  </r>
  <r>
    <s v="ORD-202402437"/>
    <x v="749"/>
    <n v="5891"/>
    <s v="25/02/1983"/>
    <x v="1"/>
    <x v="2"/>
    <n v="19121.13"/>
    <n v="9833.73"/>
    <s v="Miami"/>
    <x v="0"/>
    <s v="M"/>
    <s v="Yellow"/>
    <n v="1"/>
    <x v="1"/>
    <s v="Retail"/>
    <s v="Bank Transfer"/>
  </r>
  <r>
    <s v="ORD-202402438"/>
    <x v="1063"/>
    <n v="9118"/>
    <s v="08/11/1986"/>
    <x v="1"/>
    <x v="3"/>
    <n v="9941.8799999999992"/>
    <n v="5455.53"/>
    <s v="Los Angeles"/>
    <x v="2"/>
    <s v="S"/>
    <s v="Red"/>
    <n v="5"/>
    <x v="0"/>
    <s v="Wholesale"/>
    <s v="PayPal"/>
  </r>
  <r>
    <s v="ORD-202402439"/>
    <x v="567"/>
    <n v="1712"/>
    <s v="02/04/1990"/>
    <x v="0"/>
    <x v="4"/>
    <n v="27220.74"/>
    <n v="13029.22"/>
    <s v="New York"/>
    <x v="0"/>
    <s v="L"/>
    <s v="Red"/>
    <n v="2"/>
    <x v="2"/>
    <s v="Wholesale"/>
    <s v="Cash"/>
  </r>
  <r>
    <s v="ORD-202402440"/>
    <x v="1068"/>
    <n v="9114"/>
    <s v="16/06/1971"/>
    <x v="0"/>
    <x v="0"/>
    <n v="8524.74"/>
    <n v="5286.39"/>
    <s v="Miami"/>
    <x v="0"/>
    <s v="S"/>
    <s v="Black"/>
    <n v="2"/>
    <x v="1"/>
    <s v="Retail"/>
    <s v="PayPal"/>
  </r>
  <r>
    <s v="ORD-202402441"/>
    <x v="1120"/>
    <n v="7313"/>
    <s v="09/12/1973"/>
    <x v="1"/>
    <x v="1"/>
    <n v="51824.06"/>
    <n v="26675.02"/>
    <s v="Seattle"/>
    <x v="2"/>
    <s v="M"/>
    <s v="White"/>
    <n v="3"/>
    <x v="1"/>
    <s v="Retail"/>
    <s v="PayPal"/>
  </r>
  <r>
    <s v="ORD-202402442"/>
    <x v="1092"/>
    <n v="9026"/>
    <s v="05/12/1987"/>
    <x v="1"/>
    <x v="3"/>
    <n v="17506.66"/>
    <n v="11237.43"/>
    <s v="Boston"/>
    <x v="0"/>
    <s v="S"/>
    <s v="White"/>
    <n v="4"/>
    <x v="0"/>
    <s v="Retail"/>
    <s v="Bank Transfer"/>
  </r>
  <r>
    <s v="ORD-202402443"/>
    <x v="977"/>
    <n v="7822"/>
    <s v="20/05/2000"/>
    <x v="0"/>
    <x v="4"/>
    <n v="47766.43"/>
    <n v="25455.52"/>
    <s v="San Francisco"/>
    <x v="2"/>
    <s v="L"/>
    <s v="Red"/>
    <n v="5"/>
    <x v="1"/>
    <s v="Wholesale"/>
    <s v="Cash"/>
  </r>
  <r>
    <s v="ORD-202402444"/>
    <x v="1312"/>
    <n v="2956"/>
    <s v="25/01/1984"/>
    <x v="1"/>
    <x v="0"/>
    <n v="6228.27"/>
    <n v="3931.92"/>
    <s v="San Francisco"/>
    <x v="2"/>
    <s v="M"/>
    <s v="Blue"/>
    <n v="5"/>
    <x v="1"/>
    <s v="Wholesale"/>
    <s v="Cash"/>
  </r>
  <r>
    <s v="ORD-202402445"/>
    <x v="473"/>
    <n v="7620"/>
    <s v="19/09/1987"/>
    <x v="0"/>
    <x v="3"/>
    <n v="13687.17"/>
    <n v="6382.39"/>
    <s v="San Francisco"/>
    <x v="2"/>
    <s v="M"/>
    <s v="Black"/>
    <n v="4"/>
    <x v="2"/>
    <s v="Retail"/>
    <s v="PayPal"/>
  </r>
  <r>
    <s v="ORD-202402446"/>
    <x v="811"/>
    <n v="8964"/>
    <s v="03/01/1996"/>
    <x v="1"/>
    <x v="3"/>
    <n v="7822.82"/>
    <n v="4413.74"/>
    <s v="Detroit"/>
    <x v="1"/>
    <s v="XL"/>
    <s v="Black"/>
    <n v="2"/>
    <x v="1"/>
    <s v="Retail"/>
    <s v="Cash"/>
  </r>
  <r>
    <s v="ORD-202402447"/>
    <x v="1313"/>
    <n v="7368"/>
    <s v="11/03/1979"/>
    <x v="0"/>
    <x v="1"/>
    <n v="22654.31"/>
    <n v="11769.12"/>
    <s v="Los Angeles"/>
    <x v="2"/>
    <s v="S"/>
    <s v="White"/>
    <n v="3"/>
    <x v="1"/>
    <s v="Retail"/>
    <s v="Cash"/>
  </r>
  <r>
    <s v="ORD-202402448"/>
    <x v="1314"/>
    <n v="8993"/>
    <s v="18/12/1974"/>
    <x v="1"/>
    <x v="2"/>
    <n v="20588.080000000002"/>
    <n v="9709.01"/>
    <s v="San Francisco"/>
    <x v="2"/>
    <s v="S"/>
    <s v="Yellow"/>
    <n v="5"/>
    <x v="2"/>
    <s v="Retail"/>
    <s v="PayPal"/>
  </r>
  <r>
    <s v="ORD-202402449"/>
    <x v="1315"/>
    <n v="7882"/>
    <s v="14/03/1970"/>
    <x v="0"/>
    <x v="2"/>
    <n v="12734.63"/>
    <n v="5761.33"/>
    <s v="Boston"/>
    <x v="0"/>
    <s v="M"/>
    <s v="Green"/>
    <n v="4"/>
    <x v="0"/>
    <s v="Wholesale"/>
    <s v="Bank Transfer"/>
  </r>
  <r>
    <s v="ORD-202402450"/>
    <x v="1204"/>
    <n v="9533"/>
    <s v="10/04/1997"/>
    <x v="1"/>
    <x v="2"/>
    <n v="41765.99"/>
    <n v="18810.29"/>
    <s v="Miami"/>
    <x v="0"/>
    <s v="L"/>
    <s v="Red"/>
    <n v="1"/>
    <x v="1"/>
    <s v="Wholesale"/>
    <s v="Bank Transfer"/>
  </r>
  <r>
    <s v="ORD-202402451"/>
    <x v="1316"/>
    <n v="8282"/>
    <s v="23/10/1977"/>
    <x v="1"/>
    <x v="0"/>
    <n v="19248.8"/>
    <n v="12461.51"/>
    <s v="Los Angeles"/>
    <x v="2"/>
    <s v="M"/>
    <s v="Black"/>
    <n v="3"/>
    <x v="1"/>
    <s v="Wholesale"/>
    <s v="Bank Transfer"/>
  </r>
  <r>
    <s v="ORD-202402452"/>
    <x v="601"/>
    <n v="4978"/>
    <s v="30/07/1970"/>
    <x v="0"/>
    <x v="4"/>
    <n v="28815.35"/>
    <n v="15440.81"/>
    <s v="Chicago"/>
    <x v="1"/>
    <s v="L"/>
    <s v="Yellow"/>
    <n v="4"/>
    <x v="2"/>
    <s v="Wholesale"/>
    <s v="PayPal"/>
  </r>
  <r>
    <s v="ORD-202402453"/>
    <x v="1317"/>
    <n v="2538"/>
    <s v="15/08/1974"/>
    <x v="0"/>
    <x v="3"/>
    <n v="13172.19"/>
    <n v="6134.56"/>
    <s v="Seattle"/>
    <x v="2"/>
    <s v="XL"/>
    <s v="Yellow"/>
    <n v="1"/>
    <x v="2"/>
    <s v="Retail"/>
    <s v="Bank Transfer"/>
  </r>
  <r>
    <s v="ORD-202402454"/>
    <x v="1212"/>
    <n v="8866"/>
    <s v="17/08/1983"/>
    <x v="0"/>
    <x v="2"/>
    <n v="32754.16"/>
    <n v="18997.7"/>
    <s v="San Francisco"/>
    <x v="2"/>
    <s v="M"/>
    <s v="White"/>
    <n v="3"/>
    <x v="0"/>
    <s v="Retail"/>
    <s v="Cash"/>
  </r>
  <r>
    <s v="ORD-202402455"/>
    <x v="1318"/>
    <n v="5556"/>
    <s v="16/12/1999"/>
    <x v="0"/>
    <x v="1"/>
    <n v="65502.02"/>
    <n v="35902.550000000003"/>
    <s v="Seattle"/>
    <x v="2"/>
    <s v="M"/>
    <s v="Green"/>
    <n v="2"/>
    <x v="0"/>
    <s v="Retail"/>
    <s v="Cash"/>
  </r>
  <r>
    <s v="ORD-202402456"/>
    <x v="457"/>
    <n v="6407"/>
    <s v="08/02/1990"/>
    <x v="1"/>
    <x v="0"/>
    <n v="10249.58"/>
    <n v="4813.5"/>
    <s v="San Francisco"/>
    <x v="2"/>
    <s v="L"/>
    <s v="Red"/>
    <n v="2"/>
    <x v="1"/>
    <s v="Retail"/>
    <s v="Bank Transfer"/>
  </r>
  <r>
    <s v="ORD-202402457"/>
    <x v="706"/>
    <n v="3486"/>
    <s v="16/10/1984"/>
    <x v="1"/>
    <x v="0"/>
    <n v="13441.58"/>
    <n v="7722.42"/>
    <s v="Miami"/>
    <x v="0"/>
    <s v="S"/>
    <s v="Yellow"/>
    <n v="3"/>
    <x v="1"/>
    <s v="Wholesale"/>
    <s v="PayPal"/>
  </r>
  <r>
    <s v="ORD-202402458"/>
    <x v="1005"/>
    <n v="6374"/>
    <s v="24/04/1973"/>
    <x v="0"/>
    <x v="3"/>
    <n v="8935.07"/>
    <n v="4854.97"/>
    <s v="Seattle"/>
    <x v="2"/>
    <s v="XL"/>
    <s v="White"/>
    <n v="3"/>
    <x v="0"/>
    <s v="Retail"/>
    <s v="PayPal"/>
  </r>
  <r>
    <s v="ORD-202402459"/>
    <x v="783"/>
    <n v="3728"/>
    <s v="17/10/1992"/>
    <x v="0"/>
    <x v="1"/>
    <n v="94993.64"/>
    <n v="58040.29"/>
    <s v="San Francisco"/>
    <x v="2"/>
    <s v="XL"/>
    <s v="Red"/>
    <n v="5"/>
    <x v="0"/>
    <s v="Wholesale"/>
    <s v="PayPal"/>
  </r>
  <r>
    <s v="ORD-202402460"/>
    <x v="999"/>
    <n v="5995"/>
    <s v="30/03/1995"/>
    <x v="1"/>
    <x v="3"/>
    <n v="9145.33"/>
    <n v="4657.72"/>
    <s v="Detroit"/>
    <x v="1"/>
    <s v="L"/>
    <s v="Black"/>
    <n v="3"/>
    <x v="0"/>
    <s v="Wholesale"/>
    <s v="Bank Transfer"/>
  </r>
  <r>
    <s v="ORD-202402461"/>
    <x v="465"/>
    <n v="8158"/>
    <s v="17/01/1994"/>
    <x v="1"/>
    <x v="0"/>
    <n v="8011.68"/>
    <n v="3631.62"/>
    <s v="Chicago"/>
    <x v="1"/>
    <s v="S"/>
    <s v="Black"/>
    <n v="5"/>
    <x v="2"/>
    <s v="Wholesale"/>
    <s v="PayPal"/>
  </r>
  <r>
    <s v="ORD-202402462"/>
    <x v="590"/>
    <n v="6973"/>
    <s v="06/05/1979"/>
    <x v="0"/>
    <x v="0"/>
    <n v="12506.3"/>
    <n v="5666.02"/>
    <s v="San Francisco"/>
    <x v="2"/>
    <s v="S"/>
    <s v="Yellow"/>
    <n v="3"/>
    <x v="1"/>
    <s v="Wholesale"/>
    <s v="Cash"/>
  </r>
  <r>
    <s v="ORD-202402463"/>
    <x v="967"/>
    <n v="1562"/>
    <s v="19/05/1988"/>
    <x v="1"/>
    <x v="1"/>
    <n v="61257.94"/>
    <n v="39759.42"/>
    <s v="Los Angeles"/>
    <x v="2"/>
    <s v="XL"/>
    <s v="Blue"/>
    <n v="1"/>
    <x v="0"/>
    <s v="Retail"/>
    <s v="Cash"/>
  </r>
  <r>
    <s v="ORD-202402464"/>
    <x v="123"/>
    <n v="3587"/>
    <s v="28/12/1972"/>
    <x v="0"/>
    <x v="4"/>
    <n v="33805.33"/>
    <n v="19119.21"/>
    <s v="Detroit"/>
    <x v="1"/>
    <s v="XL"/>
    <s v="White"/>
    <n v="4"/>
    <x v="1"/>
    <s v="Retail"/>
    <s v="Cash"/>
  </r>
  <r>
    <s v="ORD-202402465"/>
    <x v="64"/>
    <n v="4666"/>
    <s v="29/07/1992"/>
    <x v="1"/>
    <x v="0"/>
    <n v="5573.76"/>
    <n v="3046.63"/>
    <s v="Chicago"/>
    <x v="1"/>
    <s v="XL"/>
    <s v="Black"/>
    <n v="1"/>
    <x v="0"/>
    <s v="Wholesale"/>
    <s v="Bank Transfer"/>
  </r>
  <r>
    <s v="ORD-202402466"/>
    <x v="1319"/>
    <n v="7685"/>
    <s v="02/06/1996"/>
    <x v="1"/>
    <x v="1"/>
    <n v="56300.5"/>
    <n v="28911.96"/>
    <s v="San Francisco"/>
    <x v="2"/>
    <s v="XL"/>
    <s v="White"/>
    <n v="2"/>
    <x v="0"/>
    <s v="Retail"/>
    <s v="Bank Transfer"/>
  </r>
  <r>
    <s v="ORD-202402467"/>
    <x v="1306"/>
    <n v="7974"/>
    <s v="19/02/1982"/>
    <x v="1"/>
    <x v="1"/>
    <n v="83096.570000000007"/>
    <n v="41400.15"/>
    <s v="New York"/>
    <x v="0"/>
    <s v="S"/>
    <s v="Green"/>
    <n v="5"/>
    <x v="2"/>
    <s v="Retail"/>
    <s v="Cash"/>
  </r>
  <r>
    <s v="ORD-202402468"/>
    <x v="766"/>
    <n v="3885"/>
    <s v="16/06/1996"/>
    <x v="1"/>
    <x v="2"/>
    <n v="52036.45"/>
    <n v="27783.02"/>
    <s v="Los Angeles"/>
    <x v="2"/>
    <s v="L"/>
    <s v="Green"/>
    <n v="4"/>
    <x v="0"/>
    <s v="Wholesale"/>
    <s v="PayPal"/>
  </r>
  <r>
    <s v="ORD-202402469"/>
    <x v="668"/>
    <n v="7325"/>
    <s v="08/03/1983"/>
    <x v="0"/>
    <x v="1"/>
    <n v="87281.69"/>
    <n v="49897.13"/>
    <s v="San Francisco"/>
    <x v="2"/>
    <s v="XL"/>
    <s v="Black"/>
    <n v="1"/>
    <x v="1"/>
    <s v="Retail"/>
    <s v="PayPal"/>
  </r>
  <r>
    <s v="ORD-202402470"/>
    <x v="1320"/>
    <n v="7430"/>
    <s v="23/07/1981"/>
    <x v="1"/>
    <x v="1"/>
    <n v="90838.8"/>
    <n v="53760.11"/>
    <s v="New York"/>
    <x v="0"/>
    <s v="L"/>
    <s v="Black"/>
    <n v="4"/>
    <x v="1"/>
    <s v="Wholesale"/>
    <s v="PayPal"/>
  </r>
  <r>
    <s v="ORD-202402471"/>
    <x v="563"/>
    <n v="2714"/>
    <s v="24/05/1982"/>
    <x v="0"/>
    <x v="0"/>
    <n v="4550.43"/>
    <n v="2531.0700000000002"/>
    <s v="Seattle"/>
    <x v="2"/>
    <s v="XL"/>
    <s v="White"/>
    <n v="1"/>
    <x v="0"/>
    <s v="Retail"/>
    <s v="Cash"/>
  </r>
  <r>
    <s v="ORD-202402472"/>
    <x v="751"/>
    <n v="5147"/>
    <s v="05/08/1998"/>
    <x v="0"/>
    <x v="2"/>
    <n v="17652.41"/>
    <n v="8182.82"/>
    <s v="Minneapolis"/>
    <x v="1"/>
    <s v="S"/>
    <s v="Yellow"/>
    <n v="1"/>
    <x v="1"/>
    <s v="Retail"/>
    <s v="Bank Transfer"/>
  </r>
  <r>
    <s v="ORD-202402473"/>
    <x v="1194"/>
    <n v="2033"/>
    <s v="06/09/1982"/>
    <x v="0"/>
    <x v="1"/>
    <n v="22240.14"/>
    <n v="12002.92"/>
    <s v="Chicago"/>
    <x v="1"/>
    <s v="S"/>
    <s v="Black"/>
    <n v="2"/>
    <x v="0"/>
    <s v="Retail"/>
    <s v="PayPal"/>
  </r>
  <r>
    <s v="ORD-202402474"/>
    <x v="1321"/>
    <n v="1594"/>
    <s v="19/04/1989"/>
    <x v="1"/>
    <x v="0"/>
    <n v="19443.96"/>
    <n v="12022.37"/>
    <s v="Miami"/>
    <x v="0"/>
    <s v="L"/>
    <s v="Red"/>
    <n v="2"/>
    <x v="0"/>
    <s v="Wholesale"/>
    <s v="Cash"/>
  </r>
  <r>
    <s v="ORD-202402475"/>
    <x v="246"/>
    <n v="9745"/>
    <s v="10/10/1979"/>
    <x v="1"/>
    <x v="1"/>
    <n v="41167.769999999997"/>
    <n v="24034.74"/>
    <s v="Boston"/>
    <x v="0"/>
    <s v="M"/>
    <s v="Red"/>
    <n v="5"/>
    <x v="1"/>
    <s v="Retail"/>
    <s v="Cash"/>
  </r>
  <r>
    <s v="ORD-202402476"/>
    <x v="1120"/>
    <n v="1139"/>
    <s v="31/01/1990"/>
    <x v="0"/>
    <x v="0"/>
    <n v="12530.42"/>
    <n v="6595.71"/>
    <s v="Seattle"/>
    <x v="2"/>
    <s v="M"/>
    <s v="Red"/>
    <n v="4"/>
    <x v="1"/>
    <s v="Wholesale"/>
    <s v="PayPal"/>
  </r>
  <r>
    <s v="ORD-202402477"/>
    <x v="1322"/>
    <n v="8698"/>
    <s v="26/06/1973"/>
    <x v="1"/>
    <x v="4"/>
    <n v="10291.57"/>
    <n v="5532.16"/>
    <s v="San Francisco"/>
    <x v="2"/>
    <s v="XL"/>
    <s v="White"/>
    <n v="4"/>
    <x v="0"/>
    <s v="Retail"/>
    <s v="PayPal"/>
  </r>
  <r>
    <s v="ORD-202402478"/>
    <x v="566"/>
    <n v="1967"/>
    <s v="19/03/1980"/>
    <x v="0"/>
    <x v="1"/>
    <n v="58349.42"/>
    <n v="37723.67"/>
    <s v="Boston"/>
    <x v="0"/>
    <s v="XL"/>
    <s v="Green"/>
    <n v="4"/>
    <x v="1"/>
    <s v="Retail"/>
    <s v="PayPal"/>
  </r>
  <r>
    <s v="ORD-202402479"/>
    <x v="438"/>
    <n v="1212"/>
    <s v="25/09/1988"/>
    <x v="1"/>
    <x v="2"/>
    <n v="26813.63"/>
    <n v="14907.65"/>
    <s v="New York"/>
    <x v="0"/>
    <s v="S"/>
    <s v="Yellow"/>
    <n v="2"/>
    <x v="1"/>
    <s v="Retail"/>
    <s v="PayPal"/>
  </r>
  <r>
    <s v="ORD-202402480"/>
    <x v="37"/>
    <n v="4102"/>
    <s v="16/11/1972"/>
    <x v="1"/>
    <x v="2"/>
    <n v="15280.81"/>
    <n v="9448.2099999999991"/>
    <s v="Minneapolis"/>
    <x v="1"/>
    <s v="XL"/>
    <s v="Green"/>
    <n v="3"/>
    <x v="1"/>
    <s v="Wholesale"/>
    <s v="Bank Transfer"/>
  </r>
  <r>
    <s v="ORD-202402481"/>
    <x v="1179"/>
    <n v="9490"/>
    <s v="01/05/1983"/>
    <x v="0"/>
    <x v="0"/>
    <n v="21305.91"/>
    <n v="10964.61"/>
    <s v="San Francisco"/>
    <x v="2"/>
    <s v="XL"/>
    <s v="Black"/>
    <n v="5"/>
    <x v="0"/>
    <s v="Retail"/>
    <s v="Cash"/>
  </r>
  <r>
    <s v="ORD-202402482"/>
    <x v="489"/>
    <n v="6155"/>
    <s v="13/01/1975"/>
    <x v="1"/>
    <x v="3"/>
    <n v="7925.66"/>
    <n v="3962.28"/>
    <s v="Minneapolis"/>
    <x v="1"/>
    <s v="M"/>
    <s v="Yellow"/>
    <n v="3"/>
    <x v="1"/>
    <s v="Retail"/>
    <s v="Bank Transfer"/>
  </r>
  <r>
    <s v="ORD-202402483"/>
    <x v="1323"/>
    <n v="7778"/>
    <s v="27/08/1999"/>
    <x v="0"/>
    <x v="3"/>
    <n v="16826.73"/>
    <n v="9404.7800000000007"/>
    <s v="Miami"/>
    <x v="0"/>
    <s v="M"/>
    <s v="Red"/>
    <n v="5"/>
    <x v="1"/>
    <s v="Retail"/>
    <s v="PayPal"/>
  </r>
  <r>
    <s v="ORD-202402484"/>
    <x v="36"/>
    <n v="5902"/>
    <s v="25/02/1981"/>
    <x v="1"/>
    <x v="2"/>
    <n v="29152.71"/>
    <n v="17131.009999999998"/>
    <s v="San Francisco"/>
    <x v="2"/>
    <s v="M"/>
    <s v="Yellow"/>
    <n v="5"/>
    <x v="1"/>
    <s v="Retail"/>
    <s v="Bank Transfer"/>
  </r>
  <r>
    <s v="ORD-202402485"/>
    <x v="57"/>
    <n v="8708"/>
    <s v="16/02/1985"/>
    <x v="0"/>
    <x v="1"/>
    <n v="49652.74"/>
    <n v="27660.69"/>
    <s v="San Francisco"/>
    <x v="2"/>
    <s v="S"/>
    <s v="Black"/>
    <n v="2"/>
    <x v="2"/>
    <s v="Wholesale"/>
    <s v="PayPal"/>
  </r>
  <r>
    <s v="ORD-202402486"/>
    <x v="486"/>
    <n v="7384"/>
    <s v="26/07/1993"/>
    <x v="0"/>
    <x v="1"/>
    <n v="64213.73"/>
    <n v="37732.25"/>
    <s v="New York"/>
    <x v="0"/>
    <s v="XL"/>
    <s v="Yellow"/>
    <n v="4"/>
    <x v="2"/>
    <s v="Retail"/>
    <s v="Bank Transfer"/>
  </r>
  <r>
    <s v="ORD-202402487"/>
    <x v="1324"/>
    <n v="1402"/>
    <s v="21/01/1991"/>
    <x v="0"/>
    <x v="3"/>
    <n v="13820.78"/>
    <n v="7171.72"/>
    <s v="New York"/>
    <x v="0"/>
    <s v="L"/>
    <s v="White"/>
    <n v="5"/>
    <x v="0"/>
    <s v="Wholesale"/>
    <s v="PayPal"/>
  </r>
  <r>
    <s v="ORD-202402488"/>
    <x v="380"/>
    <n v="3539"/>
    <s v="06/07/1975"/>
    <x v="0"/>
    <x v="4"/>
    <n v="52176.67"/>
    <n v="33407.910000000003"/>
    <s v="Seattle"/>
    <x v="2"/>
    <s v="S"/>
    <s v="Black"/>
    <n v="2"/>
    <x v="2"/>
    <s v="Wholesale"/>
    <s v="Cash"/>
  </r>
  <r>
    <s v="ORD-202402489"/>
    <x v="1325"/>
    <n v="6710"/>
    <s v="27/04/1978"/>
    <x v="0"/>
    <x v="4"/>
    <n v="41690.639999999999"/>
    <n v="20851.21"/>
    <s v="Boston"/>
    <x v="0"/>
    <s v="S"/>
    <s v="Yellow"/>
    <n v="3"/>
    <x v="1"/>
    <s v="Retail"/>
    <s v="Cash"/>
  </r>
  <r>
    <s v="ORD-202402490"/>
    <x v="1326"/>
    <n v="2401"/>
    <s v="21/09/1980"/>
    <x v="1"/>
    <x v="4"/>
    <n v="31339.31"/>
    <n v="14423.39"/>
    <s v="Detroit"/>
    <x v="1"/>
    <s v="M"/>
    <s v="Green"/>
    <n v="4"/>
    <x v="1"/>
    <s v="Retail"/>
    <s v="Cash"/>
  </r>
  <r>
    <s v="ORD-202402491"/>
    <x v="1327"/>
    <n v="1148"/>
    <s v="21/06/1997"/>
    <x v="1"/>
    <x v="1"/>
    <n v="83821.34"/>
    <n v="47435.7"/>
    <s v="Miami"/>
    <x v="0"/>
    <s v="XL"/>
    <s v="Green"/>
    <n v="4"/>
    <x v="1"/>
    <s v="Wholesale"/>
    <s v="PayPal"/>
  </r>
  <r>
    <s v="ORD-202402492"/>
    <x v="1061"/>
    <n v="1977"/>
    <s v="13/06/1986"/>
    <x v="1"/>
    <x v="0"/>
    <n v="4502.2299999999996"/>
    <n v="2512.15"/>
    <s v="Miami"/>
    <x v="0"/>
    <s v="L"/>
    <s v="White"/>
    <n v="3"/>
    <x v="2"/>
    <s v="Retail"/>
    <s v="Bank Transfer"/>
  </r>
  <r>
    <s v="ORD-202402493"/>
    <x v="549"/>
    <n v="4455"/>
    <s v="04/11/1977"/>
    <x v="0"/>
    <x v="0"/>
    <n v="17791.48"/>
    <n v="11034.41"/>
    <s v="Seattle"/>
    <x v="2"/>
    <s v="XL"/>
    <s v="Blue"/>
    <n v="5"/>
    <x v="0"/>
    <s v="Wholesale"/>
    <s v="Bank Transfer"/>
  </r>
  <r>
    <s v="ORD-202402494"/>
    <x v="706"/>
    <n v="4999"/>
    <s v="29/01/1979"/>
    <x v="0"/>
    <x v="4"/>
    <n v="40311.839999999997"/>
    <n v="20506.740000000002"/>
    <s v="Seattle"/>
    <x v="2"/>
    <s v="S"/>
    <s v="Red"/>
    <n v="4"/>
    <x v="1"/>
    <s v="Retail"/>
    <s v="Cash"/>
  </r>
  <r>
    <s v="ORD-202402495"/>
    <x v="776"/>
    <n v="1804"/>
    <s v="24/12/1983"/>
    <x v="1"/>
    <x v="2"/>
    <n v="27910.05"/>
    <n v="16285.46"/>
    <s v="New York"/>
    <x v="0"/>
    <s v="L"/>
    <s v="Yellow"/>
    <n v="1"/>
    <x v="0"/>
    <s v="Retail"/>
    <s v="Cash"/>
  </r>
  <r>
    <s v="ORD-202402496"/>
    <x v="1328"/>
    <n v="4747"/>
    <s v="21/07/1971"/>
    <x v="0"/>
    <x v="0"/>
    <n v="6578.12"/>
    <n v="4210.9799999999996"/>
    <s v="Seattle"/>
    <x v="2"/>
    <s v="S"/>
    <s v="White"/>
    <n v="4"/>
    <x v="1"/>
    <s v="Retail"/>
    <s v="Cash"/>
  </r>
  <r>
    <s v="ORD-202402497"/>
    <x v="57"/>
    <n v="2185"/>
    <s v="23/09/1983"/>
    <x v="1"/>
    <x v="1"/>
    <n v="50069.64"/>
    <n v="27872.99"/>
    <s v="Chicago"/>
    <x v="1"/>
    <s v="L"/>
    <s v="White"/>
    <n v="5"/>
    <x v="2"/>
    <s v="Wholesale"/>
    <s v="Bank Transfer"/>
  </r>
  <r>
    <s v="ORD-202402498"/>
    <x v="220"/>
    <n v="1030"/>
    <s v="08/06/1998"/>
    <x v="1"/>
    <x v="2"/>
    <n v="36588.910000000003"/>
    <n v="17048.96"/>
    <s v="Seattle"/>
    <x v="2"/>
    <s v="XL"/>
    <s v="Black"/>
    <n v="4"/>
    <x v="0"/>
    <s v="Wholesale"/>
    <s v="Cash"/>
  </r>
  <r>
    <s v="ORD-202402499"/>
    <x v="1329"/>
    <n v="2702"/>
    <s v="16/10/1970"/>
    <x v="1"/>
    <x v="3"/>
    <n v="6927.7"/>
    <n v="4032.09"/>
    <s v="San Francisco"/>
    <x v="2"/>
    <s v="M"/>
    <s v="Yellow"/>
    <n v="5"/>
    <x v="1"/>
    <s v="Wholesale"/>
    <s v="Bank Transfer"/>
  </r>
  <r>
    <s v="ORD-202402500"/>
    <x v="469"/>
    <n v="7371"/>
    <s v="05/09/1988"/>
    <x v="1"/>
    <x v="3"/>
    <n v="6990.83"/>
    <n v="3548.39"/>
    <s v="Chicago"/>
    <x v="1"/>
    <s v="XL"/>
    <s v="Blue"/>
    <n v="2"/>
    <x v="2"/>
    <s v="Retail"/>
    <s v="Cash"/>
  </r>
  <r>
    <s v="ORD-202402501"/>
    <x v="320"/>
    <n v="4195"/>
    <s v="02/09/1995"/>
    <x v="1"/>
    <x v="2"/>
    <n v="14794.25"/>
    <n v="7409.68"/>
    <s v="Detroit"/>
    <x v="1"/>
    <s v="S"/>
    <s v="White"/>
    <n v="1"/>
    <x v="2"/>
    <s v="Wholesale"/>
    <s v="Cash"/>
  </r>
  <r>
    <s v="ORD-202402502"/>
    <x v="1330"/>
    <n v="1418"/>
    <s v="09/12/1980"/>
    <x v="1"/>
    <x v="1"/>
    <n v="58624.66"/>
    <n v="35163.410000000003"/>
    <s v="New York"/>
    <x v="0"/>
    <s v="XL"/>
    <s v="White"/>
    <n v="4"/>
    <x v="1"/>
    <s v="Retail"/>
    <s v="Cash"/>
  </r>
  <r>
    <s v="ORD-202402503"/>
    <x v="1331"/>
    <n v="8456"/>
    <s v="05/06/1981"/>
    <x v="1"/>
    <x v="4"/>
    <n v="13516.77"/>
    <n v="8070.98"/>
    <s v="Detroit"/>
    <x v="1"/>
    <s v="S"/>
    <s v="Blue"/>
    <n v="5"/>
    <x v="2"/>
    <s v="Wholesale"/>
    <s v="PayPal"/>
  </r>
  <r>
    <s v="ORD-202402504"/>
    <x v="544"/>
    <n v="9992"/>
    <s v="09/10/1992"/>
    <x v="0"/>
    <x v="4"/>
    <n v="19072.71"/>
    <n v="11075.81"/>
    <s v="Seattle"/>
    <x v="2"/>
    <s v="S"/>
    <s v="Yellow"/>
    <n v="5"/>
    <x v="2"/>
    <s v="Wholesale"/>
    <s v="Cash"/>
  </r>
  <r>
    <s v="ORD-202402505"/>
    <x v="550"/>
    <n v="7833"/>
    <s v="31/01/1977"/>
    <x v="1"/>
    <x v="3"/>
    <n v="6317.72"/>
    <n v="4062.12"/>
    <s v="San Francisco"/>
    <x v="2"/>
    <s v="L"/>
    <s v="Red"/>
    <n v="4"/>
    <x v="0"/>
    <s v="Wholesale"/>
    <s v="Cash"/>
  </r>
  <r>
    <s v="ORD-202402506"/>
    <x v="911"/>
    <n v="1887"/>
    <s v="14/09/1980"/>
    <x v="0"/>
    <x v="4"/>
    <n v="57417.63"/>
    <n v="33738.589999999997"/>
    <s v="Seattle"/>
    <x v="2"/>
    <s v="M"/>
    <s v="Green"/>
    <n v="1"/>
    <x v="0"/>
    <s v="Retail"/>
    <s v="Bank Transfer"/>
  </r>
  <r>
    <s v="ORD-202402507"/>
    <x v="139"/>
    <n v="5615"/>
    <s v="09/09/1992"/>
    <x v="1"/>
    <x v="0"/>
    <n v="3557.64"/>
    <n v="2250.27"/>
    <s v="New York"/>
    <x v="0"/>
    <s v="M"/>
    <s v="White"/>
    <n v="4"/>
    <x v="1"/>
    <s v="Retail"/>
    <s v="PayPal"/>
  </r>
  <r>
    <s v="ORD-202402508"/>
    <x v="1162"/>
    <n v="1313"/>
    <s v="13/07/1993"/>
    <x v="0"/>
    <x v="3"/>
    <n v="6105.99"/>
    <n v="2779.81"/>
    <s v="New York"/>
    <x v="0"/>
    <s v="XL"/>
    <s v="Black"/>
    <n v="3"/>
    <x v="2"/>
    <s v="Retail"/>
    <s v="Bank Transfer"/>
  </r>
  <r>
    <s v="ORD-202402509"/>
    <x v="1332"/>
    <n v="6450"/>
    <s v="30/11/1970"/>
    <x v="0"/>
    <x v="1"/>
    <n v="50278.7"/>
    <n v="25364.42"/>
    <s v="New York"/>
    <x v="0"/>
    <s v="XL"/>
    <s v="Black"/>
    <n v="1"/>
    <x v="1"/>
    <s v="Retail"/>
    <s v="Bank Transfer"/>
  </r>
  <r>
    <s v="ORD-202402510"/>
    <x v="627"/>
    <n v="1972"/>
    <s v="13/09/1974"/>
    <x v="0"/>
    <x v="3"/>
    <n v="11786.97"/>
    <n v="5985.28"/>
    <s v="Los Angeles"/>
    <x v="2"/>
    <s v="XL"/>
    <s v="Yellow"/>
    <n v="2"/>
    <x v="0"/>
    <s v="Wholesale"/>
    <s v="Bank Transfer"/>
  </r>
  <r>
    <s v="ORD-202402511"/>
    <x v="1333"/>
    <n v="6841"/>
    <s v="29/06/1981"/>
    <x v="1"/>
    <x v="3"/>
    <n v="8188.57"/>
    <n v="5141.87"/>
    <s v="San Francisco"/>
    <x v="2"/>
    <s v="L"/>
    <s v="Yellow"/>
    <n v="4"/>
    <x v="1"/>
    <s v="Wholesale"/>
    <s v="Cash"/>
  </r>
  <r>
    <s v="ORD-202402512"/>
    <x v="1277"/>
    <n v="3213"/>
    <s v="06/11/1989"/>
    <x v="0"/>
    <x v="1"/>
    <n v="40744.339999999997"/>
    <n v="24280.46"/>
    <s v="Miami"/>
    <x v="0"/>
    <s v="L"/>
    <s v="White"/>
    <n v="3"/>
    <x v="1"/>
    <s v="Retail"/>
    <s v="Cash"/>
  </r>
  <r>
    <s v="ORD-202402513"/>
    <x v="814"/>
    <n v="3520"/>
    <s v="07/09/1998"/>
    <x v="1"/>
    <x v="1"/>
    <n v="84334.29"/>
    <n v="40189.65"/>
    <s v="New York"/>
    <x v="0"/>
    <s v="L"/>
    <s v="Red"/>
    <n v="3"/>
    <x v="1"/>
    <s v="Retail"/>
    <s v="Bank Transfer"/>
  </r>
  <r>
    <s v="ORD-202402514"/>
    <x v="1154"/>
    <n v="8915"/>
    <s v="27/09/1984"/>
    <x v="1"/>
    <x v="4"/>
    <n v="30109.25"/>
    <n v="17703.88"/>
    <s v="Los Angeles"/>
    <x v="2"/>
    <s v="XL"/>
    <s v="White"/>
    <n v="5"/>
    <x v="1"/>
    <s v="Retail"/>
    <s v="Cash"/>
  </r>
  <r>
    <s v="ORD-202402515"/>
    <x v="403"/>
    <n v="2138"/>
    <s v="21/06/1993"/>
    <x v="1"/>
    <x v="4"/>
    <n v="20051.830000000002"/>
    <n v="10072.530000000001"/>
    <s v="Seattle"/>
    <x v="2"/>
    <s v="S"/>
    <s v="Blue"/>
    <n v="3"/>
    <x v="1"/>
    <s v="Retail"/>
    <s v="Bank Transfer"/>
  </r>
  <r>
    <s v="ORD-202402516"/>
    <x v="226"/>
    <n v="6863"/>
    <s v="21/05/1979"/>
    <x v="0"/>
    <x v="2"/>
    <n v="36957.39"/>
    <n v="17633.47"/>
    <s v="Seattle"/>
    <x v="2"/>
    <s v="XL"/>
    <s v="Red"/>
    <n v="5"/>
    <x v="0"/>
    <s v="Wholesale"/>
    <s v="Cash"/>
  </r>
  <r>
    <s v="ORD-202402517"/>
    <x v="1094"/>
    <n v="2523"/>
    <s v="10/05/1971"/>
    <x v="0"/>
    <x v="3"/>
    <n v="8511.73"/>
    <n v="5208.63"/>
    <s v="Seattle"/>
    <x v="2"/>
    <s v="XL"/>
    <s v="Black"/>
    <n v="3"/>
    <x v="0"/>
    <s v="Retail"/>
    <s v="PayPal"/>
  </r>
  <r>
    <s v="ORD-202402518"/>
    <x v="1109"/>
    <n v="5513"/>
    <s v="29/08/1971"/>
    <x v="0"/>
    <x v="3"/>
    <n v="9699.0400000000009"/>
    <n v="5173.49"/>
    <s v="Boston"/>
    <x v="0"/>
    <s v="S"/>
    <s v="Yellow"/>
    <n v="3"/>
    <x v="1"/>
    <s v="Wholesale"/>
    <s v="Bank Transfer"/>
  </r>
  <r>
    <s v="ORD-202402519"/>
    <x v="1101"/>
    <n v="4286"/>
    <s v="03/10/1999"/>
    <x v="1"/>
    <x v="2"/>
    <n v="7700.82"/>
    <n v="4189.46"/>
    <s v="Miami"/>
    <x v="0"/>
    <s v="XL"/>
    <s v="Yellow"/>
    <n v="5"/>
    <x v="1"/>
    <s v="Retail"/>
    <s v="PayPal"/>
  </r>
  <r>
    <s v="ORD-202402520"/>
    <x v="1287"/>
    <n v="5553"/>
    <s v="04/04/1989"/>
    <x v="0"/>
    <x v="0"/>
    <n v="5464.26"/>
    <n v="3393.84"/>
    <s v="Los Angeles"/>
    <x v="2"/>
    <s v="M"/>
    <s v="Red"/>
    <n v="5"/>
    <x v="0"/>
    <s v="Retail"/>
    <s v="PayPal"/>
  </r>
  <r>
    <s v="ORD-202402521"/>
    <x v="1175"/>
    <n v="2652"/>
    <s v="20/05/1996"/>
    <x v="1"/>
    <x v="0"/>
    <n v="8143.98"/>
    <n v="4418.26"/>
    <s v="New York"/>
    <x v="0"/>
    <s v="M"/>
    <s v="White"/>
    <n v="2"/>
    <x v="1"/>
    <s v="Retail"/>
    <s v="Cash"/>
  </r>
  <r>
    <s v="ORD-202402522"/>
    <x v="973"/>
    <n v="2808"/>
    <s v="25/02/1990"/>
    <x v="0"/>
    <x v="1"/>
    <n v="55348.44"/>
    <n v="33864.58"/>
    <s v="San Francisco"/>
    <x v="2"/>
    <s v="M"/>
    <s v="Yellow"/>
    <n v="1"/>
    <x v="0"/>
    <s v="Retail"/>
    <s v="PayPal"/>
  </r>
  <r>
    <s v="ORD-202402523"/>
    <x v="1058"/>
    <n v="9749"/>
    <s v="08/10/1998"/>
    <x v="1"/>
    <x v="3"/>
    <n v="13028.86"/>
    <n v="6291.91"/>
    <s v="Chicago"/>
    <x v="1"/>
    <s v="S"/>
    <s v="Yellow"/>
    <n v="4"/>
    <x v="1"/>
    <s v="Retail"/>
    <s v="Cash"/>
  </r>
  <r>
    <s v="ORD-202402524"/>
    <x v="1334"/>
    <n v="4167"/>
    <s v="03/07/1986"/>
    <x v="1"/>
    <x v="0"/>
    <n v="15918.65"/>
    <n v="7359.87"/>
    <s v="Miami"/>
    <x v="0"/>
    <s v="L"/>
    <s v="Blue"/>
    <n v="4"/>
    <x v="2"/>
    <s v="Retail"/>
    <s v="PayPal"/>
  </r>
  <r>
    <s v="ORD-202402525"/>
    <x v="384"/>
    <n v="8130"/>
    <s v="13/07/1975"/>
    <x v="1"/>
    <x v="2"/>
    <n v="21284.95"/>
    <n v="12600.63"/>
    <s v="Seattle"/>
    <x v="2"/>
    <s v="S"/>
    <s v="Green"/>
    <n v="3"/>
    <x v="1"/>
    <s v="Retail"/>
    <s v="PayPal"/>
  </r>
  <r>
    <s v="ORD-202402526"/>
    <x v="746"/>
    <n v="1834"/>
    <s v="09/07/1975"/>
    <x v="1"/>
    <x v="2"/>
    <n v="15576.75"/>
    <n v="9425.5"/>
    <s v="San Francisco"/>
    <x v="2"/>
    <s v="XL"/>
    <s v="Yellow"/>
    <n v="4"/>
    <x v="1"/>
    <s v="Retail"/>
    <s v="PayPal"/>
  </r>
  <r>
    <s v="ORD-202402527"/>
    <x v="447"/>
    <n v="3520"/>
    <s v="15/09/1983"/>
    <x v="1"/>
    <x v="1"/>
    <n v="109636.81"/>
    <n v="65620.72"/>
    <s v="Seattle"/>
    <x v="2"/>
    <s v="L"/>
    <s v="Yellow"/>
    <n v="4"/>
    <x v="0"/>
    <s v="Wholesale"/>
    <s v="Cash"/>
  </r>
  <r>
    <s v="ORD-202402528"/>
    <x v="903"/>
    <n v="4193"/>
    <s v="21/07/1991"/>
    <x v="1"/>
    <x v="4"/>
    <n v="21647.83"/>
    <n v="13309.13"/>
    <s v="Minneapolis"/>
    <x v="1"/>
    <s v="L"/>
    <s v="Green"/>
    <n v="4"/>
    <x v="0"/>
    <s v="Retail"/>
    <s v="Bank Transfer"/>
  </r>
  <r>
    <s v="ORD-202402529"/>
    <x v="1232"/>
    <n v="8935"/>
    <s v="30/11/1999"/>
    <x v="0"/>
    <x v="3"/>
    <n v="11969.98"/>
    <n v="7396.27"/>
    <s v="Detroit"/>
    <x v="1"/>
    <s v="L"/>
    <s v="Blue"/>
    <n v="5"/>
    <x v="0"/>
    <s v="Retail"/>
    <s v="PayPal"/>
  </r>
  <r>
    <s v="ORD-202402530"/>
    <x v="1335"/>
    <n v="2972"/>
    <s v="13/08/1990"/>
    <x v="1"/>
    <x v="0"/>
    <n v="7277.28"/>
    <n v="3858.85"/>
    <s v="New York"/>
    <x v="0"/>
    <s v="S"/>
    <s v="White"/>
    <n v="3"/>
    <x v="2"/>
    <s v="Wholesale"/>
    <s v="Bank Transfer"/>
  </r>
  <r>
    <s v="ORD-202402531"/>
    <x v="519"/>
    <n v="5808"/>
    <s v="05/02/1972"/>
    <x v="0"/>
    <x v="2"/>
    <n v="20448.419999999998"/>
    <n v="9609.1299999999992"/>
    <s v="Los Angeles"/>
    <x v="2"/>
    <s v="XL"/>
    <s v="White"/>
    <n v="4"/>
    <x v="1"/>
    <s v="Retail"/>
    <s v="Cash"/>
  </r>
  <r>
    <s v="ORD-202402532"/>
    <x v="1095"/>
    <n v="8679"/>
    <s v="19/11/2000"/>
    <x v="0"/>
    <x v="3"/>
    <n v="11024.11"/>
    <n v="5430.46"/>
    <s v="Los Angeles"/>
    <x v="2"/>
    <s v="L"/>
    <s v="Red"/>
    <n v="4"/>
    <x v="2"/>
    <s v="Wholesale"/>
    <s v="Cash"/>
  </r>
  <r>
    <s v="ORD-202402533"/>
    <x v="686"/>
    <n v="5818"/>
    <s v="03/11/2000"/>
    <x v="0"/>
    <x v="4"/>
    <n v="25250.32"/>
    <n v="14539.51"/>
    <s v="Minneapolis"/>
    <x v="1"/>
    <s v="XL"/>
    <s v="Black"/>
    <n v="4"/>
    <x v="0"/>
    <s v="Retail"/>
    <s v="Cash"/>
  </r>
  <r>
    <s v="ORD-202402534"/>
    <x v="1336"/>
    <n v="2177"/>
    <s v="22/01/1981"/>
    <x v="1"/>
    <x v="4"/>
    <n v="29712.13"/>
    <n v="19261.28"/>
    <s v="Minneapolis"/>
    <x v="1"/>
    <s v="S"/>
    <s v="Green"/>
    <n v="5"/>
    <x v="1"/>
    <s v="Retail"/>
    <s v="Bank Transfer"/>
  </r>
  <r>
    <s v="ORD-202402535"/>
    <x v="532"/>
    <n v="3581"/>
    <s v="25/12/1992"/>
    <x v="0"/>
    <x v="4"/>
    <n v="39883.17"/>
    <n v="21423.94"/>
    <s v="San Francisco"/>
    <x v="2"/>
    <s v="S"/>
    <s v="White"/>
    <n v="1"/>
    <x v="1"/>
    <s v="Wholesale"/>
    <s v="Bank Transfer"/>
  </r>
  <r>
    <s v="ORD-202402536"/>
    <x v="1337"/>
    <n v="8721"/>
    <s v="29/04/1971"/>
    <x v="0"/>
    <x v="2"/>
    <n v="9079.82"/>
    <n v="4331.1899999999996"/>
    <s v="Los Angeles"/>
    <x v="2"/>
    <s v="S"/>
    <s v="Black"/>
    <n v="4"/>
    <x v="1"/>
    <s v="Retail"/>
    <s v="Bank Transfer"/>
  </r>
  <r>
    <s v="ORD-202402537"/>
    <x v="142"/>
    <n v="3568"/>
    <s v="17/06/1982"/>
    <x v="0"/>
    <x v="2"/>
    <n v="44734.5"/>
    <n v="23815.52"/>
    <s v="Los Angeles"/>
    <x v="2"/>
    <s v="L"/>
    <s v="Blue"/>
    <n v="3"/>
    <x v="1"/>
    <s v="Retail"/>
    <s v="PayPal"/>
  </r>
  <r>
    <s v="ORD-202402538"/>
    <x v="1338"/>
    <n v="2110"/>
    <s v="08/11/1994"/>
    <x v="0"/>
    <x v="1"/>
    <n v="95735.01"/>
    <n v="53023.68"/>
    <s v="New York"/>
    <x v="0"/>
    <s v="L"/>
    <s v="White"/>
    <n v="2"/>
    <x v="1"/>
    <s v="Retail"/>
    <s v="Bank Transfer"/>
  </r>
  <r>
    <s v="ORD-202402539"/>
    <x v="1339"/>
    <n v="3185"/>
    <s v="13/09/1986"/>
    <x v="1"/>
    <x v="1"/>
    <n v="15034.19"/>
    <n v="7123.63"/>
    <s v="Detroit"/>
    <x v="1"/>
    <s v="XL"/>
    <s v="Red"/>
    <n v="3"/>
    <x v="0"/>
    <s v="Wholesale"/>
    <s v="Cash"/>
  </r>
  <r>
    <s v="ORD-202402540"/>
    <x v="1027"/>
    <n v="9709"/>
    <s v="16/11/1987"/>
    <x v="1"/>
    <x v="0"/>
    <n v="19677.02"/>
    <n v="9905.16"/>
    <s v="Los Angeles"/>
    <x v="2"/>
    <s v="S"/>
    <s v="Blue"/>
    <n v="2"/>
    <x v="1"/>
    <s v="Wholesale"/>
    <s v="PayPal"/>
  </r>
  <r>
    <s v="ORD-202402541"/>
    <x v="1340"/>
    <n v="7506"/>
    <s v="06/04/1984"/>
    <x v="0"/>
    <x v="1"/>
    <n v="56865.52"/>
    <n v="28393.06"/>
    <s v="Detroit"/>
    <x v="1"/>
    <s v="XL"/>
    <s v="Red"/>
    <n v="1"/>
    <x v="1"/>
    <s v="Retail"/>
    <s v="PayPal"/>
  </r>
  <r>
    <s v="ORD-202402542"/>
    <x v="62"/>
    <n v="6951"/>
    <s v="15/01/1990"/>
    <x v="0"/>
    <x v="4"/>
    <n v="60062.95"/>
    <n v="29439.93"/>
    <s v="San Francisco"/>
    <x v="2"/>
    <s v="L"/>
    <s v="Yellow"/>
    <n v="3"/>
    <x v="1"/>
    <s v="Wholesale"/>
    <s v="Cash"/>
  </r>
  <r>
    <s v="ORD-202402543"/>
    <x v="1341"/>
    <n v="1325"/>
    <s v="09/10/1993"/>
    <x v="0"/>
    <x v="2"/>
    <n v="34507.01"/>
    <n v="18927.18"/>
    <s v="New York"/>
    <x v="0"/>
    <s v="M"/>
    <s v="Red"/>
    <n v="2"/>
    <x v="2"/>
    <s v="Retail"/>
    <s v="Cash"/>
  </r>
  <r>
    <s v="ORD-202402544"/>
    <x v="1342"/>
    <n v="6494"/>
    <s v="11/05/1989"/>
    <x v="0"/>
    <x v="2"/>
    <n v="14386.27"/>
    <n v="6879.91"/>
    <s v="Seattle"/>
    <x v="2"/>
    <s v="L"/>
    <s v="White"/>
    <n v="1"/>
    <x v="0"/>
    <s v="Retail"/>
    <s v="Cash"/>
  </r>
  <r>
    <s v="ORD-202402545"/>
    <x v="1115"/>
    <n v="9769"/>
    <s v="30/03/1973"/>
    <x v="1"/>
    <x v="0"/>
    <n v="4214.26"/>
    <n v="2604.4699999999998"/>
    <s v="Seattle"/>
    <x v="2"/>
    <s v="L"/>
    <s v="Blue"/>
    <n v="4"/>
    <x v="0"/>
    <s v="Wholesale"/>
    <s v="PayPal"/>
  </r>
  <r>
    <s v="ORD-202402546"/>
    <x v="1343"/>
    <n v="7583"/>
    <s v="03/02/1976"/>
    <x v="0"/>
    <x v="0"/>
    <n v="13211.55"/>
    <n v="8391.85"/>
    <s v="Boston"/>
    <x v="0"/>
    <s v="M"/>
    <s v="Red"/>
    <n v="1"/>
    <x v="0"/>
    <s v="Retail"/>
    <s v="PayPal"/>
  </r>
  <r>
    <s v="ORD-202402547"/>
    <x v="1186"/>
    <n v="1684"/>
    <s v="12/10/1992"/>
    <x v="0"/>
    <x v="1"/>
    <n v="23660.45"/>
    <n v="11558.56"/>
    <s v="Boston"/>
    <x v="0"/>
    <s v="L"/>
    <s v="Black"/>
    <n v="1"/>
    <x v="1"/>
    <s v="Retail"/>
    <s v="PayPal"/>
  </r>
  <r>
    <s v="ORD-202402548"/>
    <x v="1303"/>
    <n v="6591"/>
    <s v="06/12/1979"/>
    <x v="1"/>
    <x v="3"/>
    <n v="15155.38"/>
    <n v="8612.2199999999993"/>
    <s v="Seattle"/>
    <x v="2"/>
    <s v="S"/>
    <s v="Black"/>
    <n v="2"/>
    <x v="2"/>
    <s v="Wholesale"/>
    <s v="Cash"/>
  </r>
  <r>
    <s v="ORD-202402549"/>
    <x v="623"/>
    <n v="2230"/>
    <s v="25/02/1976"/>
    <x v="0"/>
    <x v="2"/>
    <n v="44538.57"/>
    <n v="27882.02"/>
    <s v="Seattle"/>
    <x v="2"/>
    <s v="XL"/>
    <s v="White"/>
    <n v="4"/>
    <x v="0"/>
    <s v="Retail"/>
    <s v="Cash"/>
  </r>
  <r>
    <s v="ORD-202402550"/>
    <x v="1316"/>
    <n v="7496"/>
    <s v="13/07/1978"/>
    <x v="0"/>
    <x v="0"/>
    <n v="5097.3999999999996"/>
    <n v="3128.02"/>
    <s v="Seattle"/>
    <x v="2"/>
    <s v="L"/>
    <s v="Yellow"/>
    <n v="5"/>
    <x v="2"/>
    <s v="Wholesale"/>
    <s v="Bank Transfer"/>
  </r>
  <r>
    <s v="ORD-202402551"/>
    <x v="1122"/>
    <n v="1073"/>
    <s v="10/06/1987"/>
    <x v="0"/>
    <x v="0"/>
    <n v="4033.13"/>
    <n v="1995.67"/>
    <s v="Boston"/>
    <x v="0"/>
    <s v="L"/>
    <s v="Black"/>
    <n v="4"/>
    <x v="1"/>
    <s v="Wholesale"/>
    <s v="Bank Transfer"/>
  </r>
  <r>
    <s v="ORD-202402552"/>
    <x v="1344"/>
    <n v="2581"/>
    <s v="24/12/1992"/>
    <x v="0"/>
    <x v="0"/>
    <n v="3829.14"/>
    <n v="2473.6"/>
    <s v="New York"/>
    <x v="0"/>
    <s v="L"/>
    <s v="Red"/>
    <n v="3"/>
    <x v="1"/>
    <s v="Retail"/>
    <s v="PayPal"/>
  </r>
  <r>
    <s v="ORD-202402553"/>
    <x v="1089"/>
    <n v="9656"/>
    <s v="09/10/1971"/>
    <x v="1"/>
    <x v="0"/>
    <n v="5590.44"/>
    <n v="3325.32"/>
    <s v="Miami"/>
    <x v="0"/>
    <s v="L"/>
    <s v="Blue"/>
    <n v="2"/>
    <x v="0"/>
    <s v="Wholesale"/>
    <s v="Cash"/>
  </r>
  <r>
    <s v="ORD-202402554"/>
    <x v="1345"/>
    <n v="7316"/>
    <s v="12/12/1991"/>
    <x v="1"/>
    <x v="3"/>
    <n v="4594.1400000000003"/>
    <n v="2238.59"/>
    <s v="New York"/>
    <x v="0"/>
    <s v="S"/>
    <s v="Blue"/>
    <n v="5"/>
    <x v="1"/>
    <s v="Wholesale"/>
    <s v="Bank Transfer"/>
  </r>
  <r>
    <s v="ORD-202402555"/>
    <x v="600"/>
    <n v="6290"/>
    <s v="08/11/2000"/>
    <x v="0"/>
    <x v="1"/>
    <n v="45978.57"/>
    <n v="23562.11"/>
    <s v="Miami"/>
    <x v="0"/>
    <s v="S"/>
    <s v="Yellow"/>
    <n v="2"/>
    <x v="1"/>
    <s v="Wholesale"/>
    <s v="Bank Transfer"/>
  </r>
  <r>
    <s v="ORD-202402556"/>
    <x v="387"/>
    <n v="9941"/>
    <s v="30/04/1995"/>
    <x v="0"/>
    <x v="0"/>
    <n v="10391.32"/>
    <n v="4707.6400000000003"/>
    <s v="Detroit"/>
    <x v="1"/>
    <s v="XL"/>
    <s v="Green"/>
    <n v="4"/>
    <x v="0"/>
    <s v="Retail"/>
    <s v="PayPal"/>
  </r>
  <r>
    <s v="ORD-202402557"/>
    <x v="102"/>
    <n v="3674"/>
    <s v="16/11/2000"/>
    <x v="0"/>
    <x v="3"/>
    <n v="5156.16"/>
    <n v="2875.97"/>
    <s v="Minneapolis"/>
    <x v="1"/>
    <s v="S"/>
    <s v="Blue"/>
    <n v="4"/>
    <x v="1"/>
    <s v="Wholesale"/>
    <s v="Cash"/>
  </r>
  <r>
    <s v="ORD-202402558"/>
    <x v="833"/>
    <n v="8705"/>
    <s v="20/03/1985"/>
    <x v="0"/>
    <x v="0"/>
    <n v="7293.11"/>
    <n v="4684.95"/>
    <s v="Boston"/>
    <x v="0"/>
    <s v="M"/>
    <s v="Yellow"/>
    <n v="1"/>
    <x v="1"/>
    <s v="Retail"/>
    <s v="Cash"/>
  </r>
  <r>
    <s v="ORD-202402559"/>
    <x v="105"/>
    <n v="3187"/>
    <s v="18/10/1970"/>
    <x v="1"/>
    <x v="1"/>
    <n v="69252.350000000006"/>
    <n v="39077.599999999999"/>
    <s v="New York"/>
    <x v="0"/>
    <s v="L"/>
    <s v="White"/>
    <n v="2"/>
    <x v="0"/>
    <s v="Wholesale"/>
    <s v="Bank Transfer"/>
  </r>
  <r>
    <s v="ORD-202402560"/>
    <x v="107"/>
    <n v="4554"/>
    <s v="18/05/1971"/>
    <x v="0"/>
    <x v="2"/>
    <n v="39109.61"/>
    <n v="23355.91"/>
    <s v="Seattle"/>
    <x v="2"/>
    <s v="S"/>
    <s v="Yellow"/>
    <n v="4"/>
    <x v="2"/>
    <s v="Wholesale"/>
    <s v="Bank Transfer"/>
  </r>
  <r>
    <s v="ORD-202402561"/>
    <x v="104"/>
    <n v="5210"/>
    <s v="26/10/1991"/>
    <x v="1"/>
    <x v="4"/>
    <n v="19377.45"/>
    <n v="11179.82"/>
    <s v="Detroit"/>
    <x v="1"/>
    <s v="S"/>
    <s v="Black"/>
    <n v="1"/>
    <x v="1"/>
    <s v="Wholesale"/>
    <s v="Bank Transfer"/>
  </r>
  <r>
    <s v="ORD-202402562"/>
    <x v="1346"/>
    <n v="3841"/>
    <s v="09/01/1995"/>
    <x v="1"/>
    <x v="1"/>
    <n v="13568.64"/>
    <n v="6336.37"/>
    <s v="Los Angeles"/>
    <x v="2"/>
    <s v="XL"/>
    <s v="White"/>
    <n v="4"/>
    <x v="0"/>
    <s v="Wholesale"/>
    <s v="PayPal"/>
  </r>
  <r>
    <s v="ORD-202402563"/>
    <x v="1347"/>
    <n v="4702"/>
    <s v="02/07/1979"/>
    <x v="0"/>
    <x v="3"/>
    <n v="4257.6400000000003"/>
    <n v="2025.06"/>
    <s v="Seattle"/>
    <x v="2"/>
    <s v="XL"/>
    <s v="White"/>
    <n v="4"/>
    <x v="0"/>
    <s v="Retail"/>
    <s v="Bank Transfer"/>
  </r>
  <r>
    <s v="ORD-202402564"/>
    <x v="1348"/>
    <n v="9538"/>
    <s v="14/07/1999"/>
    <x v="1"/>
    <x v="2"/>
    <n v="13424.37"/>
    <n v="6308.94"/>
    <s v="Seattle"/>
    <x v="2"/>
    <s v="L"/>
    <s v="Yellow"/>
    <n v="3"/>
    <x v="1"/>
    <s v="Retail"/>
    <s v="PayPal"/>
  </r>
  <r>
    <s v="ORD-202402565"/>
    <x v="1021"/>
    <n v="9014"/>
    <s v="18/12/1993"/>
    <x v="1"/>
    <x v="2"/>
    <n v="19229.13"/>
    <n v="11667.35"/>
    <s v="Seattle"/>
    <x v="2"/>
    <s v="L"/>
    <s v="White"/>
    <n v="3"/>
    <x v="2"/>
    <s v="Wholesale"/>
    <s v="PayPal"/>
  </r>
  <r>
    <s v="ORD-202402566"/>
    <x v="321"/>
    <n v="8324"/>
    <s v="15/12/1983"/>
    <x v="1"/>
    <x v="2"/>
    <n v="10174.35"/>
    <n v="5358.46"/>
    <s v="New York"/>
    <x v="0"/>
    <s v="M"/>
    <s v="Black"/>
    <n v="5"/>
    <x v="1"/>
    <s v="Retail"/>
    <s v="Cash"/>
  </r>
  <r>
    <s v="ORD-202402567"/>
    <x v="546"/>
    <n v="7673"/>
    <s v="06/12/1983"/>
    <x v="0"/>
    <x v="4"/>
    <n v="49413.05"/>
    <n v="29279.09"/>
    <s v="New York"/>
    <x v="0"/>
    <s v="XL"/>
    <s v="Yellow"/>
    <n v="3"/>
    <x v="1"/>
    <s v="Wholesale"/>
    <s v="PayPal"/>
  </r>
  <r>
    <s v="ORD-202402568"/>
    <x v="1241"/>
    <n v="8119"/>
    <s v="07/03/1993"/>
    <x v="0"/>
    <x v="0"/>
    <n v="15990.64"/>
    <n v="9582.5300000000007"/>
    <s v="Boston"/>
    <x v="0"/>
    <s v="S"/>
    <s v="Blue"/>
    <n v="5"/>
    <x v="1"/>
    <s v="Wholesale"/>
    <s v="PayPal"/>
  </r>
  <r>
    <s v="ORD-202402569"/>
    <x v="253"/>
    <n v="6493"/>
    <s v="18/02/1995"/>
    <x v="1"/>
    <x v="4"/>
    <n v="21596.87"/>
    <n v="13834.33"/>
    <s v="Seattle"/>
    <x v="2"/>
    <s v="L"/>
    <s v="Black"/>
    <n v="1"/>
    <x v="1"/>
    <s v="Retail"/>
    <s v="Cash"/>
  </r>
  <r>
    <s v="ORD-202402570"/>
    <x v="1211"/>
    <n v="7210"/>
    <s v="29/08/1992"/>
    <x v="1"/>
    <x v="1"/>
    <n v="33320.36"/>
    <n v="21391.25"/>
    <s v="Boston"/>
    <x v="0"/>
    <s v="XL"/>
    <s v="Black"/>
    <n v="4"/>
    <x v="0"/>
    <s v="Wholesale"/>
    <s v="PayPal"/>
  </r>
  <r>
    <s v="ORD-202402571"/>
    <x v="449"/>
    <n v="3020"/>
    <s v="22/12/1971"/>
    <x v="0"/>
    <x v="3"/>
    <n v="15453.04"/>
    <n v="7254.95"/>
    <s v="New York"/>
    <x v="0"/>
    <s v="L"/>
    <s v="Blue"/>
    <n v="5"/>
    <x v="2"/>
    <s v="Wholesale"/>
    <s v="PayPal"/>
  </r>
  <r>
    <s v="ORD-202402572"/>
    <x v="309"/>
    <n v="6573"/>
    <s v="17/04/1996"/>
    <x v="0"/>
    <x v="2"/>
    <n v="18432.98"/>
    <n v="10442.99"/>
    <s v="Los Angeles"/>
    <x v="2"/>
    <s v="S"/>
    <s v="Yellow"/>
    <n v="4"/>
    <x v="1"/>
    <s v="Wholesale"/>
    <s v="PayPal"/>
  </r>
  <r>
    <s v="ORD-202402573"/>
    <x v="1349"/>
    <n v="6784"/>
    <s v="23/11/1981"/>
    <x v="1"/>
    <x v="0"/>
    <n v="9311.09"/>
    <n v="4698.18"/>
    <s v="Chicago"/>
    <x v="1"/>
    <s v="M"/>
    <s v="White"/>
    <n v="3"/>
    <x v="2"/>
    <s v="Wholesale"/>
    <s v="PayPal"/>
  </r>
  <r>
    <s v="ORD-202402574"/>
    <x v="834"/>
    <n v="9458"/>
    <s v="05/05/1983"/>
    <x v="0"/>
    <x v="2"/>
    <n v="30329.7"/>
    <n v="19410.099999999999"/>
    <s v="Minneapolis"/>
    <x v="1"/>
    <s v="L"/>
    <s v="Red"/>
    <n v="4"/>
    <x v="1"/>
    <s v="Retail"/>
    <s v="PayPal"/>
  </r>
  <r>
    <s v="ORD-202402575"/>
    <x v="680"/>
    <n v="4850"/>
    <s v="24/03/1979"/>
    <x v="1"/>
    <x v="0"/>
    <n v="10296.299999999999"/>
    <n v="5522.98"/>
    <s v="Los Angeles"/>
    <x v="2"/>
    <s v="L"/>
    <s v="Black"/>
    <n v="4"/>
    <x v="0"/>
    <s v="Retail"/>
    <s v="Cash"/>
  </r>
  <r>
    <s v="ORD-202402576"/>
    <x v="1256"/>
    <n v="8898"/>
    <s v="12/11/1993"/>
    <x v="1"/>
    <x v="0"/>
    <n v="4281.22"/>
    <n v="2496.48"/>
    <s v="Seattle"/>
    <x v="2"/>
    <s v="S"/>
    <s v="Green"/>
    <n v="5"/>
    <x v="1"/>
    <s v="Retail"/>
    <s v="Cash"/>
  </r>
  <r>
    <s v="ORD-202402577"/>
    <x v="817"/>
    <n v="9355"/>
    <s v="07/03/1978"/>
    <x v="0"/>
    <x v="4"/>
    <n v="54195.16"/>
    <n v="28863.65"/>
    <s v="Miami"/>
    <x v="0"/>
    <s v="S"/>
    <s v="White"/>
    <n v="3"/>
    <x v="2"/>
    <s v="Retail"/>
    <s v="PayPal"/>
  </r>
  <r>
    <s v="ORD-202402578"/>
    <x v="1304"/>
    <n v="3483"/>
    <s v="16/04/1991"/>
    <x v="0"/>
    <x v="0"/>
    <n v="9527.08"/>
    <n v="5717.58"/>
    <s v="Detroit"/>
    <x v="1"/>
    <s v="M"/>
    <s v="Green"/>
    <n v="2"/>
    <x v="1"/>
    <s v="Retail"/>
    <s v="PayPal"/>
  </r>
  <r>
    <s v="ORD-202402579"/>
    <x v="717"/>
    <n v="7090"/>
    <s v="10/05/1987"/>
    <x v="0"/>
    <x v="4"/>
    <n v="25941.38"/>
    <n v="13364.61"/>
    <s v="Detroit"/>
    <x v="1"/>
    <s v="XL"/>
    <s v="Black"/>
    <n v="4"/>
    <x v="0"/>
    <s v="Retail"/>
    <s v="Cash"/>
  </r>
  <r>
    <s v="ORD-202402580"/>
    <x v="889"/>
    <n v="3881"/>
    <s v="24/05/1992"/>
    <x v="0"/>
    <x v="0"/>
    <n v="16200.81"/>
    <n v="8254.43"/>
    <s v="Boston"/>
    <x v="0"/>
    <s v="XL"/>
    <s v="White"/>
    <n v="3"/>
    <x v="2"/>
    <s v="Retail"/>
    <s v="PayPal"/>
  </r>
  <r>
    <s v="ORD-202402581"/>
    <x v="701"/>
    <n v="4352"/>
    <s v="03/05/1997"/>
    <x v="1"/>
    <x v="4"/>
    <n v="24597.48"/>
    <n v="12232.5"/>
    <s v="Chicago"/>
    <x v="1"/>
    <s v="XL"/>
    <s v="Blue"/>
    <n v="4"/>
    <x v="1"/>
    <s v="Wholesale"/>
    <s v="Bank Transfer"/>
  </r>
  <r>
    <s v="ORD-202402582"/>
    <x v="563"/>
    <n v="7442"/>
    <s v="10/02/1985"/>
    <x v="1"/>
    <x v="1"/>
    <n v="25103.68"/>
    <n v="11379.55"/>
    <s v="Los Angeles"/>
    <x v="2"/>
    <s v="XL"/>
    <s v="Blue"/>
    <n v="4"/>
    <x v="1"/>
    <s v="Wholesale"/>
    <s v="Cash"/>
  </r>
  <r>
    <s v="ORD-202402583"/>
    <x v="1350"/>
    <n v="1908"/>
    <s v="27/09/1990"/>
    <x v="1"/>
    <x v="2"/>
    <n v="31226.49"/>
    <n v="17183.5"/>
    <s v="Los Angeles"/>
    <x v="2"/>
    <s v="S"/>
    <s v="Blue"/>
    <n v="3"/>
    <x v="0"/>
    <s v="Wholesale"/>
    <s v="Cash"/>
  </r>
  <r>
    <s v="ORD-202402584"/>
    <x v="410"/>
    <n v="5036"/>
    <s v="22/04/1998"/>
    <x v="1"/>
    <x v="0"/>
    <n v="8241.48"/>
    <n v="3972.54"/>
    <s v="Detroit"/>
    <x v="1"/>
    <s v="M"/>
    <s v="Yellow"/>
    <n v="3"/>
    <x v="0"/>
    <s v="Retail"/>
    <s v="Bank Transfer"/>
  </r>
  <r>
    <s v="ORD-202402585"/>
    <x v="1351"/>
    <n v="1605"/>
    <s v="03/08/1996"/>
    <x v="1"/>
    <x v="4"/>
    <n v="11299.36"/>
    <n v="5496.34"/>
    <s v="Boston"/>
    <x v="0"/>
    <s v="XL"/>
    <s v="Yellow"/>
    <n v="5"/>
    <x v="2"/>
    <s v="Retail"/>
    <s v="PayPal"/>
  </r>
  <r>
    <s v="ORD-202402586"/>
    <x v="83"/>
    <n v="4553"/>
    <s v="03/02/1981"/>
    <x v="0"/>
    <x v="4"/>
    <n v="18226.759999999998"/>
    <n v="8671.17"/>
    <s v="Miami"/>
    <x v="0"/>
    <s v="M"/>
    <s v="White"/>
    <n v="3"/>
    <x v="1"/>
    <s v="Retail"/>
    <s v="Cash"/>
  </r>
  <r>
    <s v="ORD-202402587"/>
    <x v="1168"/>
    <n v="8897"/>
    <s v="01/06/1992"/>
    <x v="0"/>
    <x v="3"/>
    <n v="13397.83"/>
    <n v="8016.86"/>
    <s v="Seattle"/>
    <x v="2"/>
    <s v="S"/>
    <s v="Yellow"/>
    <n v="3"/>
    <x v="1"/>
    <s v="Wholesale"/>
    <s v="Bank Transfer"/>
  </r>
  <r>
    <s v="ORD-202402588"/>
    <x v="1352"/>
    <n v="8139"/>
    <s v="20/03/1991"/>
    <x v="1"/>
    <x v="2"/>
    <n v="21705.46"/>
    <n v="12372.26"/>
    <s v="Seattle"/>
    <x v="2"/>
    <s v="M"/>
    <s v="Blue"/>
    <n v="3"/>
    <x v="1"/>
    <s v="Retail"/>
    <s v="PayPal"/>
  </r>
  <r>
    <s v="ORD-202402589"/>
    <x v="102"/>
    <n v="1094"/>
    <s v="30/09/1978"/>
    <x v="0"/>
    <x v="0"/>
    <n v="21949.19"/>
    <n v="12278.1"/>
    <s v="San Francisco"/>
    <x v="2"/>
    <s v="M"/>
    <s v="Yellow"/>
    <n v="2"/>
    <x v="0"/>
    <s v="Retail"/>
    <s v="Cash"/>
  </r>
  <r>
    <s v="ORD-202402590"/>
    <x v="473"/>
    <n v="6746"/>
    <s v="12/09/1978"/>
    <x v="1"/>
    <x v="1"/>
    <n v="39011.93"/>
    <n v="24914.74"/>
    <s v="Miami"/>
    <x v="0"/>
    <s v="XL"/>
    <s v="Yellow"/>
    <n v="3"/>
    <x v="2"/>
    <s v="Retail"/>
    <s v="Bank Transfer"/>
  </r>
  <r>
    <s v="ORD-202402591"/>
    <x v="601"/>
    <n v="5020"/>
    <s v="28/04/1993"/>
    <x v="0"/>
    <x v="2"/>
    <n v="44188.02"/>
    <n v="28044.38"/>
    <s v="San Francisco"/>
    <x v="2"/>
    <s v="S"/>
    <s v="Yellow"/>
    <n v="3"/>
    <x v="0"/>
    <s v="Retail"/>
    <s v="PayPal"/>
  </r>
  <r>
    <s v="ORD-202402592"/>
    <x v="526"/>
    <n v="1418"/>
    <s v="23/09/1985"/>
    <x v="1"/>
    <x v="1"/>
    <n v="61961.25"/>
    <n v="35943.85"/>
    <s v="Seattle"/>
    <x v="2"/>
    <s v="L"/>
    <s v="Yellow"/>
    <n v="1"/>
    <x v="1"/>
    <s v="Retail"/>
    <s v="PayPal"/>
  </r>
  <r>
    <s v="ORD-202402593"/>
    <x v="1073"/>
    <n v="5155"/>
    <s v="30/08/1981"/>
    <x v="1"/>
    <x v="3"/>
    <n v="9131.6"/>
    <n v="5183.59"/>
    <s v="Boston"/>
    <x v="0"/>
    <s v="XL"/>
    <s v="Yellow"/>
    <n v="5"/>
    <x v="2"/>
    <s v="Retail"/>
    <s v="Bank Transfer"/>
  </r>
  <r>
    <s v="ORD-202402594"/>
    <x v="337"/>
    <n v="5920"/>
    <s v="30/06/1980"/>
    <x v="1"/>
    <x v="2"/>
    <n v="21608.63"/>
    <n v="12938.18"/>
    <s v="Miami"/>
    <x v="0"/>
    <s v="XL"/>
    <s v="Blue"/>
    <n v="2"/>
    <x v="2"/>
    <s v="Retail"/>
    <s v="Cash"/>
  </r>
  <r>
    <s v="ORD-202402595"/>
    <x v="830"/>
    <n v="2216"/>
    <s v="19/02/1975"/>
    <x v="1"/>
    <x v="1"/>
    <n v="18056.78"/>
    <n v="8914.91"/>
    <s v="Seattle"/>
    <x v="2"/>
    <s v="L"/>
    <s v="Blue"/>
    <n v="5"/>
    <x v="2"/>
    <s v="Retail"/>
    <s v="Bank Transfer"/>
  </r>
  <r>
    <s v="ORD-202402596"/>
    <x v="1353"/>
    <n v="1142"/>
    <s v="31/12/1982"/>
    <x v="1"/>
    <x v="2"/>
    <n v="23570.52"/>
    <n v="10625.14"/>
    <s v="Chicago"/>
    <x v="1"/>
    <s v="XL"/>
    <s v="Blue"/>
    <n v="4"/>
    <x v="1"/>
    <s v="Retail"/>
    <s v="PayPal"/>
  </r>
  <r>
    <s v="ORD-202402597"/>
    <x v="760"/>
    <n v="8387"/>
    <s v="02/11/1991"/>
    <x v="0"/>
    <x v="1"/>
    <n v="83284.990000000005"/>
    <n v="44302.45"/>
    <s v="New York"/>
    <x v="0"/>
    <s v="S"/>
    <s v="Yellow"/>
    <n v="5"/>
    <x v="0"/>
    <s v="Wholesale"/>
    <s v="PayPal"/>
  </r>
  <r>
    <s v="ORD-202402598"/>
    <x v="872"/>
    <n v="7371"/>
    <s v="26/05/1980"/>
    <x v="1"/>
    <x v="4"/>
    <n v="32248.55"/>
    <n v="18471.95"/>
    <s v="Seattle"/>
    <x v="2"/>
    <s v="L"/>
    <s v="Yellow"/>
    <n v="4"/>
    <x v="2"/>
    <s v="Retail"/>
    <s v="PayPal"/>
  </r>
  <r>
    <s v="ORD-202402599"/>
    <x v="157"/>
    <n v="5009"/>
    <s v="24/03/1975"/>
    <x v="0"/>
    <x v="3"/>
    <n v="15621.7"/>
    <n v="8942.09"/>
    <s v="Miami"/>
    <x v="0"/>
    <s v="L"/>
    <s v="Green"/>
    <n v="3"/>
    <x v="2"/>
    <s v="Wholesale"/>
    <s v="Bank Transfer"/>
  </r>
  <r>
    <s v="ORD-202402600"/>
    <x v="502"/>
    <n v="8846"/>
    <s v="16/03/1985"/>
    <x v="1"/>
    <x v="2"/>
    <n v="31404.06"/>
    <n v="17167.8"/>
    <s v="San Francisco"/>
    <x v="2"/>
    <s v="M"/>
    <s v="White"/>
    <n v="2"/>
    <x v="1"/>
    <s v="Retail"/>
    <s v="Bank Transfer"/>
  </r>
  <r>
    <s v="ORD-202402601"/>
    <x v="1354"/>
    <n v="2333"/>
    <s v="06/11/1997"/>
    <x v="1"/>
    <x v="2"/>
    <n v="22449.54"/>
    <n v="12314.81"/>
    <s v="Miami"/>
    <x v="0"/>
    <s v="M"/>
    <s v="Blue"/>
    <n v="2"/>
    <x v="2"/>
    <s v="Retail"/>
    <s v="Cash"/>
  </r>
  <r>
    <s v="ORD-202402602"/>
    <x v="296"/>
    <n v="8178"/>
    <s v="31/01/1975"/>
    <x v="0"/>
    <x v="1"/>
    <n v="29793.18"/>
    <n v="16687.330000000002"/>
    <s v="Minneapolis"/>
    <x v="1"/>
    <s v="L"/>
    <s v="Red"/>
    <n v="3"/>
    <x v="0"/>
    <s v="Retail"/>
    <s v="Cash"/>
  </r>
  <r>
    <s v="ORD-202402603"/>
    <x v="338"/>
    <n v="2689"/>
    <s v="20/01/1991"/>
    <x v="0"/>
    <x v="2"/>
    <n v="13483.02"/>
    <n v="6699.15"/>
    <s v="Los Angeles"/>
    <x v="2"/>
    <s v="S"/>
    <s v="White"/>
    <n v="3"/>
    <x v="1"/>
    <s v="Retail"/>
    <s v="Cash"/>
  </r>
  <r>
    <s v="ORD-202402604"/>
    <x v="243"/>
    <n v="9875"/>
    <s v="30/01/2000"/>
    <x v="0"/>
    <x v="1"/>
    <n v="46258.879999999997"/>
    <n v="30045.439999999999"/>
    <s v="Minneapolis"/>
    <x v="1"/>
    <s v="M"/>
    <s v="Yellow"/>
    <n v="2"/>
    <x v="0"/>
    <s v="Retail"/>
    <s v="Bank Transfer"/>
  </r>
  <r>
    <s v="ORD-202402605"/>
    <x v="268"/>
    <n v="8711"/>
    <s v="03/08/1984"/>
    <x v="0"/>
    <x v="1"/>
    <n v="59351.67"/>
    <n v="36047.46"/>
    <s v="Detroit"/>
    <x v="1"/>
    <s v="M"/>
    <s v="White"/>
    <n v="4"/>
    <x v="1"/>
    <s v="Retail"/>
    <s v="Bank Transfer"/>
  </r>
  <r>
    <s v="ORD-202402606"/>
    <x v="120"/>
    <n v="7304"/>
    <s v="14/08/1989"/>
    <x v="1"/>
    <x v="0"/>
    <n v="4478.9799999999996"/>
    <n v="2463.0100000000002"/>
    <s v="Boston"/>
    <x v="0"/>
    <s v="XL"/>
    <s v="Yellow"/>
    <n v="3"/>
    <x v="2"/>
    <s v="Wholesale"/>
    <s v="Cash"/>
  </r>
  <r>
    <s v="ORD-202402607"/>
    <x v="1142"/>
    <n v="3301"/>
    <s v="26/11/1989"/>
    <x v="1"/>
    <x v="2"/>
    <n v="12183.58"/>
    <n v="6968.51"/>
    <s v="Miami"/>
    <x v="0"/>
    <s v="S"/>
    <s v="Black"/>
    <n v="1"/>
    <x v="1"/>
    <s v="Retail"/>
    <s v="Cash"/>
  </r>
  <r>
    <s v="ORD-202402608"/>
    <x v="511"/>
    <n v="9467"/>
    <s v="15/02/1990"/>
    <x v="0"/>
    <x v="3"/>
    <n v="6820.4"/>
    <n v="3595.46"/>
    <s v="Boston"/>
    <x v="0"/>
    <s v="S"/>
    <s v="Green"/>
    <n v="5"/>
    <x v="1"/>
    <s v="Retail"/>
    <s v="Bank Transfer"/>
  </r>
  <r>
    <s v="ORD-202402609"/>
    <x v="1355"/>
    <n v="8246"/>
    <s v="14/03/1996"/>
    <x v="0"/>
    <x v="4"/>
    <n v="21941.46"/>
    <n v="12671.23"/>
    <s v="Los Angeles"/>
    <x v="2"/>
    <s v="S"/>
    <s v="Black"/>
    <n v="5"/>
    <x v="0"/>
    <s v="Wholesale"/>
    <s v="Bank Transfer"/>
  </r>
  <r>
    <s v="ORD-202402610"/>
    <x v="136"/>
    <n v="6167"/>
    <s v="09/10/1984"/>
    <x v="0"/>
    <x v="0"/>
    <n v="13514.9"/>
    <n v="8261.43"/>
    <s v="Boston"/>
    <x v="0"/>
    <s v="L"/>
    <s v="Blue"/>
    <n v="4"/>
    <x v="1"/>
    <s v="Wholesale"/>
    <s v="Cash"/>
  </r>
  <r>
    <s v="ORD-202402611"/>
    <x v="929"/>
    <n v="1393"/>
    <s v="05/05/1990"/>
    <x v="1"/>
    <x v="3"/>
    <n v="5288.84"/>
    <n v="2580.83"/>
    <s v="Los Angeles"/>
    <x v="2"/>
    <s v="S"/>
    <s v="White"/>
    <n v="5"/>
    <x v="1"/>
    <s v="Retail"/>
    <s v="Cash"/>
  </r>
  <r>
    <s v="ORD-202402612"/>
    <x v="184"/>
    <n v="4000"/>
    <s v="06/04/1971"/>
    <x v="1"/>
    <x v="2"/>
    <n v="30214.720000000001"/>
    <n v="16743.150000000001"/>
    <s v="Miami"/>
    <x v="0"/>
    <s v="L"/>
    <s v="Blue"/>
    <n v="4"/>
    <x v="0"/>
    <s v="Wholesale"/>
    <s v="Cash"/>
  </r>
  <r>
    <s v="ORD-202402613"/>
    <x v="638"/>
    <n v="2694"/>
    <s v="23/03/1991"/>
    <x v="1"/>
    <x v="1"/>
    <n v="35540.839999999997"/>
    <n v="22183.14"/>
    <s v="Seattle"/>
    <x v="2"/>
    <s v="XL"/>
    <s v="Black"/>
    <n v="2"/>
    <x v="0"/>
    <s v="Wholesale"/>
    <s v="PayPal"/>
  </r>
  <r>
    <s v="ORD-202402614"/>
    <x v="531"/>
    <n v="4345"/>
    <s v="06/07/1992"/>
    <x v="1"/>
    <x v="4"/>
    <n v="50783.25"/>
    <n v="30601.57"/>
    <s v="Los Angeles"/>
    <x v="2"/>
    <s v="S"/>
    <s v="White"/>
    <n v="4"/>
    <x v="1"/>
    <s v="Retail"/>
    <s v="Bank Transfer"/>
  </r>
  <r>
    <s v="ORD-202402615"/>
    <x v="970"/>
    <n v="6732"/>
    <s v="29/08/1986"/>
    <x v="1"/>
    <x v="4"/>
    <n v="29531.27"/>
    <n v="14727.33"/>
    <s v="San Francisco"/>
    <x v="2"/>
    <s v="L"/>
    <s v="Green"/>
    <n v="1"/>
    <x v="2"/>
    <s v="Retail"/>
    <s v="PayPal"/>
  </r>
  <r>
    <s v="ORD-202402616"/>
    <x v="1226"/>
    <n v="6796"/>
    <s v="14/11/1975"/>
    <x v="0"/>
    <x v="3"/>
    <n v="7096.42"/>
    <n v="3447.21"/>
    <s v="Boston"/>
    <x v="0"/>
    <s v="S"/>
    <s v="Red"/>
    <n v="5"/>
    <x v="2"/>
    <s v="Wholesale"/>
    <s v="PayPal"/>
  </r>
  <r>
    <s v="ORD-202402617"/>
    <x v="379"/>
    <n v="3440"/>
    <s v="15/03/1991"/>
    <x v="0"/>
    <x v="2"/>
    <n v="33632.019999999997"/>
    <n v="16162.98"/>
    <s v="Los Angeles"/>
    <x v="2"/>
    <s v="S"/>
    <s v="Red"/>
    <n v="3"/>
    <x v="1"/>
    <s v="Retail"/>
    <s v="Bank Transfer"/>
  </r>
  <r>
    <s v="ORD-202402618"/>
    <x v="472"/>
    <n v="9568"/>
    <s v="14/08/1970"/>
    <x v="0"/>
    <x v="1"/>
    <n v="36764.980000000003"/>
    <n v="21548.19"/>
    <s v="Miami"/>
    <x v="0"/>
    <s v="S"/>
    <s v="Red"/>
    <n v="3"/>
    <x v="0"/>
    <s v="Wholesale"/>
    <s v="Bank Transfer"/>
  </r>
  <r>
    <s v="ORD-202402619"/>
    <x v="1275"/>
    <n v="6837"/>
    <s v="07/10/1999"/>
    <x v="0"/>
    <x v="2"/>
    <n v="12583.56"/>
    <n v="7856.37"/>
    <s v="Seattle"/>
    <x v="2"/>
    <s v="L"/>
    <s v="Green"/>
    <n v="5"/>
    <x v="1"/>
    <s v="Wholesale"/>
    <s v="PayPal"/>
  </r>
  <r>
    <s v="ORD-202402620"/>
    <x v="405"/>
    <n v="1608"/>
    <s v="11/12/1997"/>
    <x v="1"/>
    <x v="0"/>
    <n v="5998.09"/>
    <n v="3646.4"/>
    <s v="New York"/>
    <x v="0"/>
    <s v="M"/>
    <s v="Green"/>
    <n v="4"/>
    <x v="0"/>
    <s v="Wholesale"/>
    <s v="PayPal"/>
  </r>
  <r>
    <s v="ORD-202402621"/>
    <x v="1356"/>
    <n v="4459"/>
    <s v="31/08/1987"/>
    <x v="0"/>
    <x v="3"/>
    <n v="4808.74"/>
    <n v="2632.53"/>
    <s v="Chicago"/>
    <x v="1"/>
    <s v="M"/>
    <s v="Green"/>
    <n v="3"/>
    <x v="1"/>
    <s v="Retail"/>
    <s v="PayPal"/>
  </r>
  <r>
    <s v="ORD-202402622"/>
    <x v="430"/>
    <n v="5862"/>
    <s v="24/11/1972"/>
    <x v="0"/>
    <x v="1"/>
    <n v="31646.86"/>
    <n v="18335.580000000002"/>
    <s v="Los Angeles"/>
    <x v="2"/>
    <s v="XL"/>
    <s v="White"/>
    <n v="2"/>
    <x v="0"/>
    <s v="Retail"/>
    <s v="Cash"/>
  </r>
  <r>
    <s v="ORD-202402623"/>
    <x v="368"/>
    <n v="1297"/>
    <s v="14/08/1994"/>
    <x v="1"/>
    <x v="2"/>
    <n v="34671.01"/>
    <n v="21655.4"/>
    <s v="Miami"/>
    <x v="0"/>
    <s v="XL"/>
    <s v="White"/>
    <n v="2"/>
    <x v="2"/>
    <s v="Retail"/>
    <s v="Cash"/>
  </r>
  <r>
    <s v="ORD-202402624"/>
    <x v="86"/>
    <n v="9224"/>
    <s v="31/12/1995"/>
    <x v="1"/>
    <x v="4"/>
    <n v="15798"/>
    <n v="8682"/>
    <s v="Miami"/>
    <x v="0"/>
    <s v="S"/>
    <s v="Yellow"/>
    <n v="5"/>
    <x v="2"/>
    <s v="Wholesale"/>
    <s v="Bank Transfer"/>
  </r>
  <r>
    <s v="ORD-202402625"/>
    <x v="1357"/>
    <n v="9938"/>
    <s v="10/02/1998"/>
    <x v="1"/>
    <x v="4"/>
    <n v="20671.810000000001"/>
    <n v="9751.23"/>
    <s v="Detroit"/>
    <x v="1"/>
    <s v="M"/>
    <s v="Yellow"/>
    <n v="1"/>
    <x v="1"/>
    <s v="Retail"/>
    <s v="Bank Transfer"/>
  </r>
  <r>
    <s v="ORD-202402626"/>
    <x v="879"/>
    <n v="2830"/>
    <s v="23/05/1980"/>
    <x v="0"/>
    <x v="2"/>
    <n v="36292.29"/>
    <n v="17921.39"/>
    <s v="San Francisco"/>
    <x v="2"/>
    <s v="S"/>
    <s v="Blue"/>
    <n v="4"/>
    <x v="1"/>
    <s v="Retail"/>
    <s v="Bank Transfer"/>
  </r>
  <r>
    <s v="ORD-202402627"/>
    <x v="413"/>
    <n v="9162"/>
    <s v="28/11/1985"/>
    <x v="1"/>
    <x v="0"/>
    <n v="15870.14"/>
    <n v="8296.4599999999991"/>
    <s v="Los Angeles"/>
    <x v="2"/>
    <s v="S"/>
    <s v="Black"/>
    <n v="5"/>
    <x v="0"/>
    <s v="Wholesale"/>
    <s v="Bank Transfer"/>
  </r>
  <r>
    <s v="ORD-202402628"/>
    <x v="1358"/>
    <n v="2540"/>
    <s v="02/04/1992"/>
    <x v="1"/>
    <x v="0"/>
    <n v="3630.54"/>
    <n v="1835.42"/>
    <s v="Los Angeles"/>
    <x v="2"/>
    <s v="XL"/>
    <s v="Red"/>
    <n v="3"/>
    <x v="2"/>
    <s v="Wholesale"/>
    <s v="Bank Transfer"/>
  </r>
  <r>
    <s v="ORD-202402629"/>
    <x v="571"/>
    <n v="7061"/>
    <s v="13/09/1974"/>
    <x v="0"/>
    <x v="2"/>
    <n v="31791.95"/>
    <n v="16111.71"/>
    <s v="San Francisco"/>
    <x v="2"/>
    <s v="L"/>
    <s v="Black"/>
    <n v="5"/>
    <x v="0"/>
    <s v="Retail"/>
    <s v="Bank Transfer"/>
  </r>
  <r>
    <s v="ORD-202402630"/>
    <x v="867"/>
    <n v="2876"/>
    <s v="08/08/1999"/>
    <x v="0"/>
    <x v="0"/>
    <n v="17014.39"/>
    <n v="10439.35"/>
    <s v="Miami"/>
    <x v="0"/>
    <s v="S"/>
    <s v="Green"/>
    <n v="5"/>
    <x v="0"/>
    <s v="Wholesale"/>
    <s v="Cash"/>
  </r>
  <r>
    <s v="ORD-202402631"/>
    <x v="362"/>
    <n v="7425"/>
    <s v="22/01/1981"/>
    <x v="1"/>
    <x v="3"/>
    <n v="17548.93"/>
    <n v="8993.68"/>
    <s v="Los Angeles"/>
    <x v="2"/>
    <s v="M"/>
    <s v="White"/>
    <n v="4"/>
    <x v="1"/>
    <s v="Wholesale"/>
    <s v="Bank Transfer"/>
  </r>
  <r>
    <s v="ORD-202402632"/>
    <x v="1359"/>
    <n v="3791"/>
    <s v="25/02/1970"/>
    <x v="1"/>
    <x v="2"/>
    <n v="29895.11"/>
    <n v="14590.82"/>
    <s v="New York"/>
    <x v="0"/>
    <s v="M"/>
    <s v="Green"/>
    <n v="2"/>
    <x v="1"/>
    <s v="Retail"/>
    <s v="Cash"/>
  </r>
  <r>
    <s v="ORD-202402633"/>
    <x v="281"/>
    <n v="4404"/>
    <s v="17/12/1973"/>
    <x v="1"/>
    <x v="3"/>
    <n v="14235.68"/>
    <n v="8863.39"/>
    <s v="New York"/>
    <x v="0"/>
    <s v="L"/>
    <s v="Green"/>
    <n v="1"/>
    <x v="2"/>
    <s v="Retail"/>
    <s v="Bank Transfer"/>
  </r>
  <r>
    <s v="ORD-202402634"/>
    <x v="590"/>
    <n v="6558"/>
    <s v="03/08/1991"/>
    <x v="0"/>
    <x v="3"/>
    <n v="9794.4"/>
    <n v="6175.6"/>
    <s v="Los Angeles"/>
    <x v="2"/>
    <s v="S"/>
    <s v="Yellow"/>
    <n v="3"/>
    <x v="0"/>
    <s v="Retail"/>
    <s v="Cash"/>
  </r>
  <r>
    <s v="ORD-202402635"/>
    <x v="1360"/>
    <n v="4367"/>
    <s v="10/06/1978"/>
    <x v="1"/>
    <x v="4"/>
    <n v="6905.18"/>
    <n v="4024.28"/>
    <s v="Miami"/>
    <x v="0"/>
    <s v="M"/>
    <s v="White"/>
    <n v="5"/>
    <x v="2"/>
    <s v="Wholesale"/>
    <s v="Cash"/>
  </r>
  <r>
    <s v="ORD-202402636"/>
    <x v="1361"/>
    <n v="3054"/>
    <s v="14/05/1988"/>
    <x v="1"/>
    <x v="4"/>
    <n v="25035.7"/>
    <n v="14876.22"/>
    <s v="San Francisco"/>
    <x v="2"/>
    <s v="XL"/>
    <s v="Green"/>
    <n v="4"/>
    <x v="2"/>
    <s v="Retail"/>
    <s v="PayPal"/>
  </r>
  <r>
    <s v="ORD-202402637"/>
    <x v="278"/>
    <n v="8312"/>
    <s v="09/02/1994"/>
    <x v="1"/>
    <x v="1"/>
    <n v="83671.39"/>
    <n v="47417.75"/>
    <s v="New York"/>
    <x v="0"/>
    <s v="M"/>
    <s v="Yellow"/>
    <n v="3"/>
    <x v="1"/>
    <s v="Wholesale"/>
    <s v="Cash"/>
  </r>
  <r>
    <s v="ORD-202402638"/>
    <x v="199"/>
    <n v="7698"/>
    <s v="03/02/1988"/>
    <x v="1"/>
    <x v="2"/>
    <n v="45611.18"/>
    <n v="26030.65"/>
    <s v="San Francisco"/>
    <x v="2"/>
    <s v="S"/>
    <s v="Black"/>
    <n v="3"/>
    <x v="1"/>
    <s v="Wholesale"/>
    <s v="Bank Transfer"/>
  </r>
  <r>
    <s v="ORD-202402639"/>
    <x v="1362"/>
    <n v="3022"/>
    <s v="20/10/1987"/>
    <x v="0"/>
    <x v="0"/>
    <n v="12132.96"/>
    <n v="6633.49"/>
    <s v="New York"/>
    <x v="0"/>
    <s v="S"/>
    <s v="Green"/>
    <n v="2"/>
    <x v="1"/>
    <s v="Wholesale"/>
    <s v="PayPal"/>
  </r>
  <r>
    <s v="ORD-202402640"/>
    <x v="1070"/>
    <n v="2570"/>
    <s v="27/10/1999"/>
    <x v="0"/>
    <x v="4"/>
    <n v="10114.84"/>
    <n v="5366.56"/>
    <s v="New York"/>
    <x v="0"/>
    <s v="S"/>
    <s v="Blue"/>
    <n v="2"/>
    <x v="1"/>
    <s v="Retail"/>
    <s v="Cash"/>
  </r>
  <r>
    <s v="ORD-202402641"/>
    <x v="1029"/>
    <n v="6986"/>
    <s v="28/11/1998"/>
    <x v="0"/>
    <x v="1"/>
    <n v="16174.95"/>
    <n v="8422.66"/>
    <s v="Chicago"/>
    <x v="1"/>
    <s v="M"/>
    <s v="Yellow"/>
    <n v="4"/>
    <x v="0"/>
    <s v="Retail"/>
    <s v="Bank Transfer"/>
  </r>
  <r>
    <s v="ORD-202402642"/>
    <x v="245"/>
    <n v="7186"/>
    <s v="19/12/1970"/>
    <x v="1"/>
    <x v="3"/>
    <n v="3662.38"/>
    <n v="1955.89"/>
    <s v="Los Angeles"/>
    <x v="2"/>
    <s v="M"/>
    <s v="Blue"/>
    <n v="4"/>
    <x v="1"/>
    <s v="Retail"/>
    <s v="Cash"/>
  </r>
  <r>
    <s v="ORD-202402643"/>
    <x v="1363"/>
    <n v="9101"/>
    <s v="13/12/1983"/>
    <x v="0"/>
    <x v="3"/>
    <n v="3715.3"/>
    <n v="2358.1999999999998"/>
    <s v="Minneapolis"/>
    <x v="1"/>
    <s v="L"/>
    <s v="Red"/>
    <n v="5"/>
    <x v="2"/>
    <s v="Retail"/>
    <s v="Bank Transfer"/>
  </r>
  <r>
    <s v="ORD-202402644"/>
    <x v="586"/>
    <n v="7812"/>
    <s v="08/12/1971"/>
    <x v="0"/>
    <x v="3"/>
    <n v="3106.17"/>
    <n v="1726.64"/>
    <s v="Chicago"/>
    <x v="1"/>
    <s v="S"/>
    <s v="Red"/>
    <n v="3"/>
    <x v="2"/>
    <s v="Wholesale"/>
    <s v="PayPal"/>
  </r>
  <r>
    <s v="ORD-202402645"/>
    <x v="1364"/>
    <n v="2053"/>
    <s v="25/06/1993"/>
    <x v="0"/>
    <x v="4"/>
    <n v="24548.22"/>
    <n v="14050.35"/>
    <s v="Boston"/>
    <x v="0"/>
    <s v="L"/>
    <s v="Blue"/>
    <n v="4"/>
    <x v="0"/>
    <s v="Retail"/>
    <s v="Bank Transfer"/>
  </r>
  <r>
    <s v="ORD-202402646"/>
    <x v="456"/>
    <n v="3686"/>
    <s v="29/12/1994"/>
    <x v="0"/>
    <x v="4"/>
    <n v="25893.9"/>
    <n v="13943.99"/>
    <s v="Seattle"/>
    <x v="2"/>
    <s v="M"/>
    <s v="White"/>
    <n v="2"/>
    <x v="1"/>
    <s v="Wholesale"/>
    <s v="Bank Transfer"/>
  </r>
  <r>
    <s v="ORD-202402647"/>
    <x v="247"/>
    <n v="1164"/>
    <s v="09/10/1997"/>
    <x v="0"/>
    <x v="0"/>
    <n v="5353.58"/>
    <n v="2464.84"/>
    <s v="San Francisco"/>
    <x v="2"/>
    <s v="XL"/>
    <s v="Blue"/>
    <n v="4"/>
    <x v="0"/>
    <s v="Retail"/>
    <s v="PayPal"/>
  </r>
  <r>
    <s v="ORD-202402648"/>
    <x v="1365"/>
    <n v="8354"/>
    <s v="22/08/1984"/>
    <x v="0"/>
    <x v="3"/>
    <n v="4538.66"/>
    <n v="2195.11"/>
    <s v="Seattle"/>
    <x v="2"/>
    <s v="M"/>
    <s v="Yellow"/>
    <n v="1"/>
    <x v="2"/>
    <s v="Wholesale"/>
    <s v="Cash"/>
  </r>
  <r>
    <s v="ORD-202402649"/>
    <x v="838"/>
    <n v="3861"/>
    <s v="16/06/2000"/>
    <x v="1"/>
    <x v="4"/>
    <n v="20089.490000000002"/>
    <n v="9490.81"/>
    <s v="New York"/>
    <x v="0"/>
    <s v="M"/>
    <s v="Yellow"/>
    <n v="3"/>
    <x v="0"/>
    <s v="Wholesale"/>
    <s v="Bank Transfer"/>
  </r>
  <r>
    <s v="ORD-202402650"/>
    <x v="1123"/>
    <n v="5395"/>
    <s v="12/03/1986"/>
    <x v="1"/>
    <x v="1"/>
    <n v="62236.45"/>
    <n v="28721.26"/>
    <s v="Los Angeles"/>
    <x v="2"/>
    <s v="M"/>
    <s v="Black"/>
    <n v="3"/>
    <x v="0"/>
    <s v="Retail"/>
    <s v="Bank Transfer"/>
  </r>
  <r>
    <s v="ORD-202402651"/>
    <x v="448"/>
    <n v="6988"/>
    <s v="23/08/1998"/>
    <x v="0"/>
    <x v="2"/>
    <n v="15229.42"/>
    <n v="9649.7099999999991"/>
    <s v="Detroit"/>
    <x v="1"/>
    <s v="M"/>
    <s v="Yellow"/>
    <n v="4"/>
    <x v="1"/>
    <s v="Retail"/>
    <s v="PayPal"/>
  </r>
  <r>
    <s v="ORD-202402652"/>
    <x v="672"/>
    <n v="2893"/>
    <s v="12/06/1978"/>
    <x v="1"/>
    <x v="3"/>
    <n v="14224.7"/>
    <n v="6671.36"/>
    <s v="Miami"/>
    <x v="0"/>
    <s v="S"/>
    <s v="Blue"/>
    <n v="3"/>
    <x v="2"/>
    <s v="Wholesale"/>
    <s v="Cash"/>
  </r>
  <r>
    <s v="ORD-202402653"/>
    <x v="193"/>
    <n v="7891"/>
    <s v="15/03/2000"/>
    <x v="1"/>
    <x v="2"/>
    <n v="23599.78"/>
    <n v="11165.21"/>
    <s v="Los Angeles"/>
    <x v="2"/>
    <s v="S"/>
    <s v="Green"/>
    <n v="4"/>
    <x v="1"/>
    <s v="Wholesale"/>
    <s v="PayPal"/>
  </r>
  <r>
    <s v="ORD-202402654"/>
    <x v="700"/>
    <n v="3853"/>
    <s v="18/06/1977"/>
    <x v="1"/>
    <x v="2"/>
    <n v="7920.39"/>
    <n v="4462.42"/>
    <s v="Los Angeles"/>
    <x v="2"/>
    <s v="S"/>
    <s v="White"/>
    <n v="3"/>
    <x v="1"/>
    <s v="Retail"/>
    <s v="Cash"/>
  </r>
  <r>
    <s v="ORD-202402655"/>
    <x v="279"/>
    <n v="4117"/>
    <s v="02/01/1977"/>
    <x v="0"/>
    <x v="4"/>
    <n v="7459.79"/>
    <n v="4066.12"/>
    <s v="San Francisco"/>
    <x v="2"/>
    <s v="XL"/>
    <s v="Red"/>
    <n v="5"/>
    <x v="0"/>
    <s v="Retail"/>
    <s v="Bank Transfer"/>
  </r>
  <r>
    <s v="ORD-202402656"/>
    <x v="698"/>
    <n v="6930"/>
    <s v="14/11/1999"/>
    <x v="0"/>
    <x v="4"/>
    <n v="26719.64"/>
    <n v="15219.6"/>
    <s v="Minneapolis"/>
    <x v="1"/>
    <s v="S"/>
    <s v="Red"/>
    <n v="3"/>
    <x v="1"/>
    <s v="Retail"/>
    <s v="Cash"/>
  </r>
  <r>
    <s v="ORD-202402657"/>
    <x v="228"/>
    <n v="7047"/>
    <s v="30/10/1996"/>
    <x v="0"/>
    <x v="3"/>
    <n v="10497.54"/>
    <n v="5631.3"/>
    <s v="New York"/>
    <x v="0"/>
    <s v="L"/>
    <s v="Blue"/>
    <n v="3"/>
    <x v="1"/>
    <s v="Wholesale"/>
    <s v="Cash"/>
  </r>
  <r>
    <s v="ORD-202402658"/>
    <x v="1366"/>
    <n v="2602"/>
    <s v="26/06/1991"/>
    <x v="0"/>
    <x v="3"/>
    <n v="11190.98"/>
    <n v="5766.79"/>
    <s v="Los Angeles"/>
    <x v="2"/>
    <s v="XL"/>
    <s v="Red"/>
    <n v="2"/>
    <x v="1"/>
    <s v="Retail"/>
    <s v="Cash"/>
  </r>
  <r>
    <s v="ORD-202402659"/>
    <x v="486"/>
    <n v="1718"/>
    <s v="03/07/1983"/>
    <x v="1"/>
    <x v="1"/>
    <n v="55643.72"/>
    <n v="30585.97"/>
    <s v="San Francisco"/>
    <x v="2"/>
    <s v="M"/>
    <s v="Blue"/>
    <n v="2"/>
    <x v="0"/>
    <s v="Wholesale"/>
    <s v="PayPal"/>
  </r>
  <r>
    <s v="ORD-202402660"/>
    <x v="1367"/>
    <n v="7451"/>
    <s v="28/04/1977"/>
    <x v="0"/>
    <x v="0"/>
    <n v="6969.58"/>
    <n v="3783.91"/>
    <s v="Minneapolis"/>
    <x v="1"/>
    <s v="S"/>
    <s v="White"/>
    <n v="5"/>
    <x v="2"/>
    <s v="Retail"/>
    <s v="Cash"/>
  </r>
  <r>
    <s v="ORD-202402661"/>
    <x v="282"/>
    <n v="3575"/>
    <s v="16/03/1975"/>
    <x v="1"/>
    <x v="4"/>
    <n v="40756.31"/>
    <n v="22422.09"/>
    <s v="Los Angeles"/>
    <x v="2"/>
    <s v="L"/>
    <s v="Green"/>
    <n v="4"/>
    <x v="1"/>
    <s v="Retail"/>
    <s v="PayPal"/>
  </r>
  <r>
    <s v="ORD-202402662"/>
    <x v="1005"/>
    <n v="2514"/>
    <s v="30/10/1981"/>
    <x v="0"/>
    <x v="4"/>
    <n v="31170.51"/>
    <n v="16534.63"/>
    <s v="Minneapolis"/>
    <x v="1"/>
    <s v="L"/>
    <s v="Green"/>
    <n v="3"/>
    <x v="0"/>
    <s v="Retail"/>
    <s v="Bank Transfer"/>
  </r>
  <r>
    <s v="ORD-202402663"/>
    <x v="1368"/>
    <n v="2487"/>
    <s v="19/02/1999"/>
    <x v="1"/>
    <x v="4"/>
    <n v="17192.05"/>
    <n v="10852.85"/>
    <s v="New York"/>
    <x v="0"/>
    <s v="XL"/>
    <s v="Red"/>
    <n v="4"/>
    <x v="1"/>
    <s v="Wholesale"/>
    <s v="Cash"/>
  </r>
  <r>
    <s v="ORD-202402664"/>
    <x v="1369"/>
    <n v="9558"/>
    <s v="22/01/1974"/>
    <x v="0"/>
    <x v="4"/>
    <n v="25334.61"/>
    <n v="11550.62"/>
    <s v="Seattle"/>
    <x v="2"/>
    <s v="M"/>
    <s v="Green"/>
    <n v="4"/>
    <x v="0"/>
    <s v="Retail"/>
    <s v="Bank Transfer"/>
  </r>
  <r>
    <s v="ORD-202402665"/>
    <x v="1083"/>
    <n v="5763"/>
    <s v="24/03/1984"/>
    <x v="0"/>
    <x v="4"/>
    <n v="33212.18"/>
    <n v="19746.62"/>
    <s v="Los Angeles"/>
    <x v="2"/>
    <s v="XL"/>
    <s v="Yellow"/>
    <n v="2"/>
    <x v="2"/>
    <s v="Retail"/>
    <s v="Bank Transfer"/>
  </r>
  <r>
    <s v="ORD-202402666"/>
    <x v="1151"/>
    <n v="2142"/>
    <s v="23/08/1999"/>
    <x v="0"/>
    <x v="2"/>
    <n v="13252.14"/>
    <n v="8610.09"/>
    <s v="Chicago"/>
    <x v="1"/>
    <s v="L"/>
    <s v="Green"/>
    <n v="4"/>
    <x v="2"/>
    <s v="Retail"/>
    <s v="PayPal"/>
  </r>
  <r>
    <s v="ORD-202402667"/>
    <x v="1370"/>
    <n v="3069"/>
    <s v="08/03/1983"/>
    <x v="0"/>
    <x v="3"/>
    <n v="11211.69"/>
    <n v="5993.16"/>
    <s v="Los Angeles"/>
    <x v="2"/>
    <s v="L"/>
    <s v="White"/>
    <n v="1"/>
    <x v="1"/>
    <s v="Wholesale"/>
    <s v="PayPal"/>
  </r>
  <r>
    <s v="ORD-202402668"/>
    <x v="944"/>
    <n v="5572"/>
    <s v="05/09/1980"/>
    <x v="1"/>
    <x v="0"/>
    <n v="6876.15"/>
    <n v="3296.24"/>
    <s v="Chicago"/>
    <x v="1"/>
    <s v="XL"/>
    <s v="Green"/>
    <n v="4"/>
    <x v="1"/>
    <s v="Retail"/>
    <s v="Cash"/>
  </r>
  <r>
    <s v="ORD-202402669"/>
    <x v="288"/>
    <n v="8047"/>
    <s v="06/06/1970"/>
    <x v="0"/>
    <x v="0"/>
    <n v="17756.830000000002"/>
    <n v="10283.24"/>
    <s v="San Francisco"/>
    <x v="2"/>
    <s v="L"/>
    <s v="Red"/>
    <n v="1"/>
    <x v="0"/>
    <s v="Retail"/>
    <s v="PayPal"/>
  </r>
  <r>
    <s v="ORD-202402670"/>
    <x v="1371"/>
    <n v="2723"/>
    <s v="10/11/1980"/>
    <x v="0"/>
    <x v="0"/>
    <n v="20668.740000000002"/>
    <n v="11546.89"/>
    <s v="Los Angeles"/>
    <x v="2"/>
    <s v="S"/>
    <s v="Black"/>
    <n v="4"/>
    <x v="0"/>
    <s v="Retail"/>
    <s v="PayPal"/>
  </r>
  <r>
    <s v="ORD-202402671"/>
    <x v="1372"/>
    <n v="4726"/>
    <s v="20/08/1993"/>
    <x v="0"/>
    <x v="0"/>
    <n v="5607.9"/>
    <n v="3303.61"/>
    <s v="Miami"/>
    <x v="0"/>
    <s v="L"/>
    <s v="Black"/>
    <n v="3"/>
    <x v="0"/>
    <s v="Retail"/>
    <s v="Bank Transfer"/>
  </r>
  <r>
    <s v="ORD-202402672"/>
    <x v="1075"/>
    <n v="8680"/>
    <s v="18/04/1999"/>
    <x v="0"/>
    <x v="0"/>
    <n v="11717.13"/>
    <n v="6685.75"/>
    <s v="San Francisco"/>
    <x v="2"/>
    <s v="S"/>
    <s v="Red"/>
    <n v="4"/>
    <x v="0"/>
    <s v="Retail"/>
    <s v="Bank Transfer"/>
  </r>
  <r>
    <s v="ORD-202402673"/>
    <x v="1373"/>
    <n v="1799"/>
    <s v="06/05/1984"/>
    <x v="1"/>
    <x v="0"/>
    <n v="16650.560000000001"/>
    <n v="10140.73"/>
    <s v="Chicago"/>
    <x v="1"/>
    <s v="M"/>
    <s v="White"/>
    <n v="1"/>
    <x v="1"/>
    <s v="Wholesale"/>
    <s v="PayPal"/>
  </r>
  <r>
    <s v="ORD-202402674"/>
    <x v="452"/>
    <n v="1292"/>
    <s v="25/11/1998"/>
    <x v="1"/>
    <x v="1"/>
    <n v="33600.370000000003"/>
    <n v="15262.94"/>
    <s v="San Francisco"/>
    <x v="2"/>
    <s v="L"/>
    <s v="Red"/>
    <n v="5"/>
    <x v="1"/>
    <s v="Wholesale"/>
    <s v="Cash"/>
  </r>
  <r>
    <s v="ORD-202402675"/>
    <x v="1321"/>
    <n v="9279"/>
    <s v="12/11/1987"/>
    <x v="0"/>
    <x v="2"/>
    <n v="25115.040000000001"/>
    <n v="12333.94"/>
    <s v="Boston"/>
    <x v="0"/>
    <s v="M"/>
    <s v="Green"/>
    <n v="1"/>
    <x v="1"/>
    <s v="Wholesale"/>
    <s v="Cash"/>
  </r>
  <r>
    <s v="ORD-202402676"/>
    <x v="51"/>
    <n v="3908"/>
    <s v="07/02/1987"/>
    <x v="1"/>
    <x v="4"/>
    <n v="31019.62"/>
    <n v="19492.349999999999"/>
    <s v="Miami"/>
    <x v="0"/>
    <s v="S"/>
    <s v="Yellow"/>
    <n v="5"/>
    <x v="2"/>
    <s v="Wholesale"/>
    <s v="Cash"/>
  </r>
  <r>
    <s v="ORD-202402677"/>
    <x v="810"/>
    <n v="8542"/>
    <s v="14/04/1975"/>
    <x v="1"/>
    <x v="4"/>
    <n v="30904.98"/>
    <n v="19335.37"/>
    <s v="Los Angeles"/>
    <x v="2"/>
    <s v="M"/>
    <s v="Blue"/>
    <n v="2"/>
    <x v="1"/>
    <s v="Retail"/>
    <s v="Bank Transfer"/>
  </r>
  <r>
    <s v="ORD-202402678"/>
    <x v="949"/>
    <n v="9504"/>
    <s v="11/08/1979"/>
    <x v="1"/>
    <x v="4"/>
    <n v="38597.730000000003"/>
    <n v="24254.19"/>
    <s v="San Francisco"/>
    <x v="2"/>
    <s v="S"/>
    <s v="White"/>
    <n v="2"/>
    <x v="0"/>
    <s v="Wholesale"/>
    <s v="Bank Transfer"/>
  </r>
  <r>
    <s v="ORD-202402679"/>
    <x v="1154"/>
    <n v="4090"/>
    <s v="08/03/1992"/>
    <x v="0"/>
    <x v="0"/>
    <n v="8863.02"/>
    <n v="5141.54"/>
    <s v="San Francisco"/>
    <x v="2"/>
    <s v="M"/>
    <s v="Black"/>
    <n v="4"/>
    <x v="2"/>
    <s v="Retail"/>
    <s v="Cash"/>
  </r>
  <r>
    <s v="ORD-202402680"/>
    <x v="52"/>
    <n v="1568"/>
    <s v="22/04/1978"/>
    <x v="1"/>
    <x v="0"/>
    <n v="9083.86"/>
    <n v="5716.26"/>
    <s v="Miami"/>
    <x v="0"/>
    <s v="L"/>
    <s v="Red"/>
    <n v="3"/>
    <x v="0"/>
    <s v="Retail"/>
    <s v="PayPal"/>
  </r>
  <r>
    <s v="ORD-202402681"/>
    <x v="1374"/>
    <n v="3227"/>
    <s v="09/10/1984"/>
    <x v="1"/>
    <x v="4"/>
    <n v="12277.74"/>
    <n v="7661.07"/>
    <s v="Miami"/>
    <x v="0"/>
    <s v="S"/>
    <s v="Yellow"/>
    <n v="3"/>
    <x v="1"/>
    <s v="Wholesale"/>
    <s v="PayPal"/>
  </r>
  <r>
    <s v="ORD-202402682"/>
    <x v="1375"/>
    <n v="7477"/>
    <s v="14/01/1980"/>
    <x v="1"/>
    <x v="1"/>
    <n v="76265.789999999994"/>
    <n v="37097.74"/>
    <s v="Miami"/>
    <x v="0"/>
    <s v="M"/>
    <s v="White"/>
    <n v="5"/>
    <x v="1"/>
    <s v="Retail"/>
    <s v="PayPal"/>
  </r>
  <r>
    <s v="ORD-202402683"/>
    <x v="172"/>
    <n v="3434"/>
    <s v="23/09/1975"/>
    <x v="0"/>
    <x v="1"/>
    <n v="33893.71"/>
    <n v="15954.91"/>
    <s v="New York"/>
    <x v="0"/>
    <s v="S"/>
    <s v="Blue"/>
    <n v="2"/>
    <x v="1"/>
    <s v="Retail"/>
    <s v="Bank Transfer"/>
  </r>
  <r>
    <s v="ORD-202402684"/>
    <x v="1376"/>
    <n v="5569"/>
    <s v="15/11/1995"/>
    <x v="1"/>
    <x v="4"/>
    <n v="51486.36"/>
    <n v="32198.1"/>
    <s v="Seattle"/>
    <x v="2"/>
    <s v="M"/>
    <s v="Blue"/>
    <n v="2"/>
    <x v="2"/>
    <s v="Retail"/>
    <s v="Cash"/>
  </r>
  <r>
    <s v="ORD-202402685"/>
    <x v="320"/>
    <n v="8774"/>
    <s v="07/06/1984"/>
    <x v="0"/>
    <x v="1"/>
    <n v="75658.55"/>
    <n v="45499.44"/>
    <s v="Chicago"/>
    <x v="1"/>
    <s v="L"/>
    <s v="Blue"/>
    <n v="5"/>
    <x v="2"/>
    <s v="Retail"/>
    <s v="Bank Transfer"/>
  </r>
  <r>
    <s v="ORD-202402686"/>
    <x v="322"/>
    <n v="4360"/>
    <s v="16/04/1993"/>
    <x v="1"/>
    <x v="3"/>
    <n v="14109.99"/>
    <n v="6699.12"/>
    <s v="Seattle"/>
    <x v="2"/>
    <s v="S"/>
    <s v="White"/>
    <n v="5"/>
    <x v="1"/>
    <s v="Retail"/>
    <s v="Cash"/>
  </r>
  <r>
    <s v="ORD-202402687"/>
    <x v="1124"/>
    <n v="7101"/>
    <s v="12/01/1973"/>
    <x v="0"/>
    <x v="3"/>
    <n v="11853.55"/>
    <n v="5510.75"/>
    <s v="Boston"/>
    <x v="0"/>
    <s v="XL"/>
    <s v="Yellow"/>
    <n v="3"/>
    <x v="1"/>
    <s v="Retail"/>
    <s v="PayPal"/>
  </r>
  <r>
    <s v="ORD-202402688"/>
    <x v="481"/>
    <n v="8170"/>
    <s v="26/06/1982"/>
    <x v="0"/>
    <x v="1"/>
    <n v="43938.43"/>
    <n v="20613.43"/>
    <s v="New York"/>
    <x v="0"/>
    <s v="M"/>
    <s v="White"/>
    <n v="1"/>
    <x v="0"/>
    <s v="Retail"/>
    <s v="Bank Transfer"/>
  </r>
  <r>
    <s v="ORD-202402689"/>
    <x v="1377"/>
    <n v="1254"/>
    <s v="07/09/1970"/>
    <x v="1"/>
    <x v="2"/>
    <n v="33439.03"/>
    <n v="21188.43"/>
    <s v="San Francisco"/>
    <x v="2"/>
    <s v="L"/>
    <s v="Black"/>
    <n v="5"/>
    <x v="0"/>
    <s v="Wholesale"/>
    <s v="Bank Transfer"/>
  </r>
  <r>
    <s v="ORD-202402690"/>
    <x v="1378"/>
    <n v="3935"/>
    <s v="15/12/1999"/>
    <x v="0"/>
    <x v="0"/>
    <n v="13754.22"/>
    <n v="7075.2"/>
    <s v="New York"/>
    <x v="0"/>
    <s v="M"/>
    <s v="Black"/>
    <n v="5"/>
    <x v="1"/>
    <s v="Retail"/>
    <s v="PayPal"/>
  </r>
  <r>
    <s v="ORD-202402691"/>
    <x v="264"/>
    <n v="2149"/>
    <s v="02/11/1990"/>
    <x v="1"/>
    <x v="1"/>
    <n v="53887.89"/>
    <n v="27426.639999999999"/>
    <s v="Miami"/>
    <x v="0"/>
    <s v="L"/>
    <s v="Blue"/>
    <n v="2"/>
    <x v="0"/>
    <s v="Retail"/>
    <s v="Cash"/>
  </r>
  <r>
    <s v="ORD-202402692"/>
    <x v="187"/>
    <n v="7579"/>
    <s v="20/09/1999"/>
    <x v="0"/>
    <x v="0"/>
    <n v="20148.669999999998"/>
    <n v="10005.540000000001"/>
    <s v="San Francisco"/>
    <x v="2"/>
    <s v="S"/>
    <s v="Yellow"/>
    <n v="1"/>
    <x v="0"/>
    <s v="Wholesale"/>
    <s v="Cash"/>
  </r>
  <r>
    <s v="ORD-202402693"/>
    <x v="651"/>
    <n v="5012"/>
    <s v="08/09/1996"/>
    <x v="1"/>
    <x v="2"/>
    <n v="12922.06"/>
    <n v="6109.78"/>
    <s v="Detroit"/>
    <x v="1"/>
    <s v="M"/>
    <s v="Green"/>
    <n v="1"/>
    <x v="1"/>
    <s v="Retail"/>
    <s v="Cash"/>
  </r>
  <r>
    <s v="ORD-202402694"/>
    <x v="1379"/>
    <n v="4460"/>
    <s v="22/04/1998"/>
    <x v="0"/>
    <x v="0"/>
    <n v="6059.72"/>
    <n v="3709.46"/>
    <s v="Chicago"/>
    <x v="1"/>
    <s v="M"/>
    <s v="Red"/>
    <n v="1"/>
    <x v="1"/>
    <s v="Wholesale"/>
    <s v="PayPal"/>
  </r>
  <r>
    <s v="ORD-202402695"/>
    <x v="477"/>
    <n v="8352"/>
    <s v="15/02/1982"/>
    <x v="1"/>
    <x v="4"/>
    <n v="11428.39"/>
    <n v="6129.27"/>
    <s v="San Francisco"/>
    <x v="2"/>
    <s v="L"/>
    <s v="White"/>
    <n v="2"/>
    <x v="1"/>
    <s v="Wholesale"/>
    <s v="Bank Transfer"/>
  </r>
  <r>
    <s v="ORD-202402696"/>
    <x v="554"/>
    <n v="1394"/>
    <s v="19/08/1999"/>
    <x v="1"/>
    <x v="3"/>
    <n v="17184.46"/>
    <n v="8485.15"/>
    <s v="San Francisco"/>
    <x v="2"/>
    <s v="XL"/>
    <s v="Yellow"/>
    <n v="1"/>
    <x v="1"/>
    <s v="Wholesale"/>
    <s v="Cash"/>
  </r>
  <r>
    <s v="ORD-202402697"/>
    <x v="768"/>
    <n v="1371"/>
    <s v="13/08/1994"/>
    <x v="0"/>
    <x v="0"/>
    <n v="6942.92"/>
    <n v="4478.6099999999997"/>
    <s v="Detroit"/>
    <x v="1"/>
    <s v="L"/>
    <s v="Red"/>
    <n v="5"/>
    <x v="1"/>
    <s v="Wholesale"/>
    <s v="Bank Transfer"/>
  </r>
  <r>
    <s v="ORD-202402698"/>
    <x v="1380"/>
    <n v="9824"/>
    <s v="14/01/1990"/>
    <x v="0"/>
    <x v="2"/>
    <n v="34204.269999999997"/>
    <n v="18451.580000000002"/>
    <s v="Boston"/>
    <x v="0"/>
    <s v="L"/>
    <s v="Blue"/>
    <n v="1"/>
    <x v="2"/>
    <s v="Retail"/>
    <s v="PayPal"/>
  </r>
  <r>
    <s v="ORD-202402699"/>
    <x v="10"/>
    <n v="6338"/>
    <s v="16/11/1999"/>
    <x v="1"/>
    <x v="3"/>
    <n v="12831.48"/>
    <n v="8306.9500000000007"/>
    <s v="Los Angeles"/>
    <x v="2"/>
    <s v="S"/>
    <s v="Yellow"/>
    <n v="2"/>
    <x v="1"/>
    <s v="Wholesale"/>
    <s v="PayPal"/>
  </r>
  <r>
    <s v="ORD-202402700"/>
    <x v="1232"/>
    <n v="1393"/>
    <s v="04/08/1971"/>
    <x v="0"/>
    <x v="1"/>
    <n v="32611.24"/>
    <n v="16354.5"/>
    <s v="Miami"/>
    <x v="0"/>
    <s v="S"/>
    <s v="Green"/>
    <n v="1"/>
    <x v="1"/>
    <s v="Wholesale"/>
    <s v="Cash"/>
  </r>
  <r>
    <s v="ORD-202402701"/>
    <x v="663"/>
    <n v="8100"/>
    <s v="11/03/1982"/>
    <x v="1"/>
    <x v="4"/>
    <n v="17500.66"/>
    <n v="8776.17"/>
    <s v="San Francisco"/>
    <x v="2"/>
    <s v="S"/>
    <s v="Red"/>
    <n v="1"/>
    <x v="2"/>
    <s v="Retail"/>
    <s v="Bank Transfer"/>
  </r>
  <r>
    <s v="ORD-202402702"/>
    <x v="1291"/>
    <n v="9657"/>
    <s v="10/04/1987"/>
    <x v="0"/>
    <x v="3"/>
    <n v="6196.14"/>
    <n v="3987.55"/>
    <s v="Miami"/>
    <x v="0"/>
    <s v="XL"/>
    <s v="Green"/>
    <n v="2"/>
    <x v="1"/>
    <s v="Retail"/>
    <s v="PayPal"/>
  </r>
  <r>
    <s v="ORD-202402703"/>
    <x v="616"/>
    <n v="8266"/>
    <s v="09/03/1984"/>
    <x v="1"/>
    <x v="3"/>
    <n v="3256.49"/>
    <n v="2094.6999999999998"/>
    <s v="New York"/>
    <x v="0"/>
    <s v="S"/>
    <s v="Black"/>
    <n v="4"/>
    <x v="0"/>
    <s v="Wholesale"/>
    <s v="Cash"/>
  </r>
  <r>
    <s v="ORD-202402704"/>
    <x v="1381"/>
    <n v="3898"/>
    <s v="30/10/1985"/>
    <x v="1"/>
    <x v="4"/>
    <n v="9577.0300000000007"/>
    <n v="5602.63"/>
    <s v="Chicago"/>
    <x v="1"/>
    <s v="L"/>
    <s v="Yellow"/>
    <n v="3"/>
    <x v="0"/>
    <s v="Retail"/>
    <s v="Cash"/>
  </r>
  <r>
    <s v="ORD-202402705"/>
    <x v="1382"/>
    <n v="5206"/>
    <s v="22/04/1992"/>
    <x v="0"/>
    <x v="1"/>
    <n v="87198.92"/>
    <n v="51164.19"/>
    <s v="Los Angeles"/>
    <x v="2"/>
    <s v="XL"/>
    <s v="White"/>
    <n v="4"/>
    <x v="2"/>
    <s v="Wholesale"/>
    <s v="Cash"/>
  </r>
  <r>
    <s v="ORD-202402706"/>
    <x v="177"/>
    <n v="2992"/>
    <s v="07/02/1981"/>
    <x v="1"/>
    <x v="3"/>
    <n v="6396.26"/>
    <n v="2952.4"/>
    <s v="Boston"/>
    <x v="0"/>
    <s v="L"/>
    <s v="Green"/>
    <n v="4"/>
    <x v="1"/>
    <s v="Retail"/>
    <s v="Bank Transfer"/>
  </r>
  <r>
    <s v="ORD-202402707"/>
    <x v="1264"/>
    <n v="3949"/>
    <s v="28/08/1992"/>
    <x v="1"/>
    <x v="2"/>
    <n v="35454.080000000002"/>
    <n v="16549.95"/>
    <s v="Seattle"/>
    <x v="2"/>
    <s v="M"/>
    <s v="Blue"/>
    <n v="5"/>
    <x v="2"/>
    <s v="Retail"/>
    <s v="Cash"/>
  </r>
  <r>
    <s v="ORD-202402708"/>
    <x v="1137"/>
    <n v="5571"/>
    <s v="18/08/2000"/>
    <x v="1"/>
    <x v="3"/>
    <n v="12220.95"/>
    <n v="6955.42"/>
    <s v="Chicago"/>
    <x v="1"/>
    <s v="M"/>
    <s v="Yellow"/>
    <n v="4"/>
    <x v="0"/>
    <s v="Retail"/>
    <s v="PayPal"/>
  </r>
  <r>
    <s v="ORD-202402709"/>
    <x v="335"/>
    <n v="6009"/>
    <s v="21/10/1995"/>
    <x v="0"/>
    <x v="3"/>
    <n v="16336.06"/>
    <n v="9228.02"/>
    <s v="San Francisco"/>
    <x v="2"/>
    <s v="L"/>
    <s v="White"/>
    <n v="3"/>
    <x v="2"/>
    <s v="Wholesale"/>
    <s v="Bank Transfer"/>
  </r>
  <r>
    <s v="ORD-202402710"/>
    <x v="92"/>
    <n v="5738"/>
    <s v="27/11/1998"/>
    <x v="1"/>
    <x v="3"/>
    <n v="8908.01"/>
    <n v="5155.99"/>
    <s v="Chicago"/>
    <x v="1"/>
    <s v="XL"/>
    <s v="Blue"/>
    <n v="4"/>
    <x v="1"/>
    <s v="Wholesale"/>
    <s v="Bank Transfer"/>
  </r>
  <r>
    <s v="ORD-202402711"/>
    <x v="1383"/>
    <n v="9702"/>
    <s v="24/04/1990"/>
    <x v="0"/>
    <x v="3"/>
    <n v="8998.1"/>
    <n v="4542.58"/>
    <s v="San Francisco"/>
    <x v="2"/>
    <s v="M"/>
    <s v="Green"/>
    <n v="1"/>
    <x v="0"/>
    <s v="Wholesale"/>
    <s v="Bank Transfer"/>
  </r>
  <r>
    <s v="ORD-202402712"/>
    <x v="1384"/>
    <n v="8130"/>
    <s v="22/10/1989"/>
    <x v="1"/>
    <x v="3"/>
    <n v="10911.15"/>
    <n v="6424.92"/>
    <s v="Los Angeles"/>
    <x v="2"/>
    <s v="XL"/>
    <s v="Red"/>
    <n v="5"/>
    <x v="1"/>
    <s v="Retail"/>
    <s v="Cash"/>
  </r>
  <r>
    <s v="ORD-202402713"/>
    <x v="1148"/>
    <n v="4450"/>
    <s v="17/11/1995"/>
    <x v="0"/>
    <x v="2"/>
    <n v="16346.03"/>
    <n v="10182.5"/>
    <s v="Chicago"/>
    <x v="1"/>
    <s v="XL"/>
    <s v="Red"/>
    <n v="5"/>
    <x v="0"/>
    <s v="Retail"/>
    <s v="Bank Transfer"/>
  </r>
  <r>
    <s v="ORD-202402714"/>
    <x v="577"/>
    <n v="4482"/>
    <s v="24/07/1989"/>
    <x v="1"/>
    <x v="4"/>
    <n v="31131.19"/>
    <n v="18128.150000000001"/>
    <s v="Los Angeles"/>
    <x v="2"/>
    <s v="L"/>
    <s v="White"/>
    <n v="4"/>
    <x v="2"/>
    <s v="Wholesale"/>
    <s v="Cash"/>
  </r>
  <r>
    <s v="ORD-202402715"/>
    <x v="495"/>
    <n v="3208"/>
    <s v="26/06/1972"/>
    <x v="1"/>
    <x v="3"/>
    <n v="22425.41"/>
    <n v="13454.65"/>
    <s v="San Francisco"/>
    <x v="2"/>
    <s v="S"/>
    <s v="Green"/>
    <n v="3"/>
    <x v="2"/>
    <s v="Retail"/>
    <s v="Bank Transfer"/>
  </r>
  <r>
    <s v="ORD-202402716"/>
    <x v="1385"/>
    <n v="6304"/>
    <s v="23/07/1990"/>
    <x v="0"/>
    <x v="0"/>
    <n v="13301.9"/>
    <n v="8628.57"/>
    <s v="Seattle"/>
    <x v="2"/>
    <s v="M"/>
    <s v="White"/>
    <n v="3"/>
    <x v="2"/>
    <s v="Retail"/>
    <s v="PayPal"/>
  </r>
  <r>
    <s v="ORD-202402717"/>
    <x v="797"/>
    <n v="8756"/>
    <s v="12/05/1999"/>
    <x v="1"/>
    <x v="2"/>
    <n v="38093.699999999997"/>
    <n v="24300.18"/>
    <s v="Miami"/>
    <x v="0"/>
    <s v="XL"/>
    <s v="Blue"/>
    <n v="2"/>
    <x v="2"/>
    <s v="Wholesale"/>
    <s v="Cash"/>
  </r>
  <r>
    <s v="ORD-202402718"/>
    <x v="1386"/>
    <n v="1161"/>
    <s v="06/09/1979"/>
    <x v="1"/>
    <x v="4"/>
    <n v="19237.61"/>
    <n v="12229.49"/>
    <s v="San Francisco"/>
    <x v="2"/>
    <s v="XL"/>
    <s v="Blue"/>
    <n v="5"/>
    <x v="0"/>
    <s v="Wholesale"/>
    <s v="Cash"/>
  </r>
  <r>
    <s v="ORD-202402719"/>
    <x v="15"/>
    <n v="1986"/>
    <s v="03/05/1992"/>
    <x v="1"/>
    <x v="2"/>
    <n v="39984.76"/>
    <n v="24897.32"/>
    <s v="Boston"/>
    <x v="0"/>
    <s v="XL"/>
    <s v="White"/>
    <n v="1"/>
    <x v="1"/>
    <s v="Wholesale"/>
    <s v="PayPal"/>
  </r>
  <r>
    <s v="ORD-202402720"/>
    <x v="1387"/>
    <n v="5328"/>
    <s v="27/09/1983"/>
    <x v="0"/>
    <x v="4"/>
    <n v="36492.629999999997"/>
    <n v="22043.55"/>
    <s v="Boston"/>
    <x v="0"/>
    <s v="L"/>
    <s v="Blue"/>
    <n v="3"/>
    <x v="1"/>
    <s v="Wholesale"/>
    <s v="PayPal"/>
  </r>
  <r>
    <s v="ORD-202402721"/>
    <x v="1388"/>
    <n v="9609"/>
    <s v="13/12/1990"/>
    <x v="1"/>
    <x v="1"/>
    <n v="14145.08"/>
    <n v="7754.26"/>
    <s v="Chicago"/>
    <x v="1"/>
    <s v="XL"/>
    <s v="Green"/>
    <n v="5"/>
    <x v="2"/>
    <s v="Retail"/>
    <s v="Bank Transfer"/>
  </r>
  <r>
    <s v="ORD-202402722"/>
    <x v="1273"/>
    <n v="3844"/>
    <s v="12/02/1991"/>
    <x v="1"/>
    <x v="1"/>
    <n v="67606.899999999994"/>
    <n v="35078.089999999997"/>
    <s v="Seattle"/>
    <x v="2"/>
    <s v="S"/>
    <s v="White"/>
    <n v="5"/>
    <x v="1"/>
    <s v="Retail"/>
    <s v="Bank Transfer"/>
  </r>
  <r>
    <s v="ORD-202402723"/>
    <x v="1389"/>
    <n v="1754"/>
    <s v="15/06/1991"/>
    <x v="0"/>
    <x v="0"/>
    <n v="9431.89"/>
    <n v="4615.3599999999997"/>
    <s v="Miami"/>
    <x v="0"/>
    <s v="L"/>
    <s v="Black"/>
    <n v="5"/>
    <x v="1"/>
    <s v="Retail"/>
    <s v="Bank Transfer"/>
  </r>
  <r>
    <s v="ORD-202402724"/>
    <x v="1390"/>
    <n v="5610"/>
    <s v="03/07/1982"/>
    <x v="0"/>
    <x v="3"/>
    <n v="11283.01"/>
    <n v="5281.1"/>
    <s v="Los Angeles"/>
    <x v="2"/>
    <s v="XL"/>
    <s v="Black"/>
    <n v="5"/>
    <x v="0"/>
    <s v="Wholesale"/>
    <s v="PayPal"/>
  </r>
  <r>
    <s v="ORD-202402725"/>
    <x v="762"/>
    <n v="5306"/>
    <s v="11/11/1988"/>
    <x v="0"/>
    <x v="0"/>
    <n v="9778.02"/>
    <n v="6337.95"/>
    <s v="Seattle"/>
    <x v="2"/>
    <s v="M"/>
    <s v="Yellow"/>
    <n v="4"/>
    <x v="2"/>
    <s v="Wholesale"/>
    <s v="Bank Transfer"/>
  </r>
  <r>
    <s v="ORD-202402726"/>
    <x v="1391"/>
    <n v="3377"/>
    <s v="26/04/1999"/>
    <x v="0"/>
    <x v="1"/>
    <n v="63998.65"/>
    <n v="39377.089999999997"/>
    <s v="San Francisco"/>
    <x v="2"/>
    <s v="S"/>
    <s v="Green"/>
    <n v="5"/>
    <x v="2"/>
    <s v="Wholesale"/>
    <s v="PayPal"/>
  </r>
  <r>
    <s v="ORD-202402727"/>
    <x v="316"/>
    <n v="4404"/>
    <s v="22/06/1978"/>
    <x v="1"/>
    <x v="2"/>
    <n v="19164.93"/>
    <n v="11927.4"/>
    <s v="Seattle"/>
    <x v="2"/>
    <s v="L"/>
    <s v="Blue"/>
    <n v="5"/>
    <x v="0"/>
    <s v="Retail"/>
    <s v="Bank Transfer"/>
  </r>
  <r>
    <s v="ORD-202402728"/>
    <x v="434"/>
    <n v="4991"/>
    <s v="29/05/1972"/>
    <x v="0"/>
    <x v="2"/>
    <n v="39028.370000000003"/>
    <n v="23268.95"/>
    <s v="New York"/>
    <x v="0"/>
    <s v="XL"/>
    <s v="White"/>
    <n v="2"/>
    <x v="0"/>
    <s v="Retail"/>
    <s v="Bank Transfer"/>
  </r>
  <r>
    <s v="ORD-202402729"/>
    <x v="1392"/>
    <n v="4241"/>
    <s v="24/10/1985"/>
    <x v="0"/>
    <x v="2"/>
    <n v="21009.11"/>
    <n v="12048.26"/>
    <s v="New York"/>
    <x v="0"/>
    <s v="M"/>
    <s v="Green"/>
    <n v="3"/>
    <x v="0"/>
    <s v="Wholesale"/>
    <s v="Cash"/>
  </r>
  <r>
    <s v="ORD-202402730"/>
    <x v="462"/>
    <n v="4941"/>
    <s v="12/11/1991"/>
    <x v="1"/>
    <x v="2"/>
    <n v="40710.32"/>
    <n v="18964.97"/>
    <s v="New York"/>
    <x v="0"/>
    <s v="M"/>
    <s v="Yellow"/>
    <n v="4"/>
    <x v="1"/>
    <s v="Retail"/>
    <s v="Bank Transfer"/>
  </r>
  <r>
    <s v="ORD-202402731"/>
    <x v="538"/>
    <n v="1295"/>
    <s v="20/03/1983"/>
    <x v="1"/>
    <x v="2"/>
    <n v="26937.87"/>
    <n v="16819.93"/>
    <s v="Seattle"/>
    <x v="2"/>
    <s v="M"/>
    <s v="Yellow"/>
    <n v="4"/>
    <x v="2"/>
    <s v="Wholesale"/>
    <s v="Bank Transfer"/>
  </r>
  <r>
    <s v="ORD-202402732"/>
    <x v="872"/>
    <n v="2217"/>
    <s v="21/11/1979"/>
    <x v="0"/>
    <x v="2"/>
    <n v="17465.91"/>
    <n v="8857.5300000000007"/>
    <s v="Seattle"/>
    <x v="2"/>
    <s v="L"/>
    <s v="Red"/>
    <n v="1"/>
    <x v="0"/>
    <s v="Retail"/>
    <s v="Cash"/>
  </r>
  <r>
    <s v="ORD-202402733"/>
    <x v="790"/>
    <n v="3949"/>
    <s v="10/07/1972"/>
    <x v="1"/>
    <x v="2"/>
    <n v="26255.37"/>
    <n v="14593.31"/>
    <s v="San Francisco"/>
    <x v="2"/>
    <s v="S"/>
    <s v="Green"/>
    <n v="5"/>
    <x v="1"/>
    <s v="Wholesale"/>
    <s v="Bank Transfer"/>
  </r>
  <r>
    <s v="ORD-202402734"/>
    <x v="1393"/>
    <n v="2301"/>
    <s v="07/09/1999"/>
    <x v="0"/>
    <x v="4"/>
    <n v="41456.47"/>
    <n v="24619.14"/>
    <s v="Seattle"/>
    <x v="2"/>
    <s v="L"/>
    <s v="Green"/>
    <n v="4"/>
    <x v="1"/>
    <s v="Retail"/>
    <s v="Cash"/>
  </r>
  <r>
    <s v="ORD-202402735"/>
    <x v="729"/>
    <n v="8555"/>
    <s v="10/12/1972"/>
    <x v="1"/>
    <x v="4"/>
    <n v="16305.42"/>
    <n v="7638.36"/>
    <s v="Minneapolis"/>
    <x v="1"/>
    <s v="XL"/>
    <s v="Green"/>
    <n v="4"/>
    <x v="2"/>
    <s v="Wholesale"/>
    <s v="Cash"/>
  </r>
  <r>
    <s v="ORD-202402736"/>
    <x v="362"/>
    <n v="8424"/>
    <s v="24/07/1979"/>
    <x v="0"/>
    <x v="0"/>
    <n v="10384.049999999999"/>
    <n v="5909.7"/>
    <s v="Los Angeles"/>
    <x v="2"/>
    <s v="S"/>
    <s v="Red"/>
    <n v="1"/>
    <x v="1"/>
    <s v="Wholesale"/>
    <s v="Bank Transfer"/>
  </r>
  <r>
    <s v="ORD-202402737"/>
    <x v="1345"/>
    <n v="3589"/>
    <s v="29/08/1997"/>
    <x v="0"/>
    <x v="4"/>
    <n v="53904.98"/>
    <n v="31558.86"/>
    <s v="Miami"/>
    <x v="0"/>
    <s v="L"/>
    <s v="Red"/>
    <n v="1"/>
    <x v="1"/>
    <s v="Retail"/>
    <s v="Bank Transfer"/>
  </r>
  <r>
    <s v="ORD-202402738"/>
    <x v="806"/>
    <n v="6129"/>
    <s v="03/09/1977"/>
    <x v="0"/>
    <x v="1"/>
    <n v="124855.53"/>
    <n v="62948.3"/>
    <s v="Seattle"/>
    <x v="2"/>
    <s v="L"/>
    <s v="Yellow"/>
    <n v="1"/>
    <x v="2"/>
    <s v="Wholesale"/>
    <s v="Cash"/>
  </r>
  <r>
    <s v="ORD-202402739"/>
    <x v="1394"/>
    <n v="6553"/>
    <s v="02/08/1983"/>
    <x v="0"/>
    <x v="0"/>
    <n v="4231.92"/>
    <n v="2171.6799999999998"/>
    <s v="Seattle"/>
    <x v="2"/>
    <s v="M"/>
    <s v="Red"/>
    <n v="1"/>
    <x v="0"/>
    <s v="Retail"/>
    <s v="PayPal"/>
  </r>
  <r>
    <s v="ORD-202402740"/>
    <x v="1066"/>
    <n v="9100"/>
    <s v="17/04/1982"/>
    <x v="1"/>
    <x v="1"/>
    <n v="77704.3"/>
    <n v="41449.64"/>
    <s v="Los Angeles"/>
    <x v="2"/>
    <s v="L"/>
    <s v="Green"/>
    <n v="5"/>
    <x v="2"/>
    <s v="Retail"/>
    <s v="Cash"/>
  </r>
  <r>
    <s v="ORD-202402741"/>
    <x v="323"/>
    <n v="7565"/>
    <s v="21/11/1983"/>
    <x v="1"/>
    <x v="4"/>
    <n v="43216.21"/>
    <n v="22790.41"/>
    <s v="San Francisco"/>
    <x v="2"/>
    <s v="L"/>
    <s v="Black"/>
    <n v="5"/>
    <x v="1"/>
    <s v="Retail"/>
    <s v="PayPal"/>
  </r>
  <r>
    <s v="ORD-202402742"/>
    <x v="30"/>
    <n v="9169"/>
    <s v="23/02/1977"/>
    <x v="1"/>
    <x v="3"/>
    <n v="4833.91"/>
    <n v="2287.2199999999998"/>
    <s v="Miami"/>
    <x v="0"/>
    <s v="S"/>
    <s v="White"/>
    <n v="1"/>
    <x v="1"/>
    <s v="Retail"/>
    <s v="Cash"/>
  </r>
  <r>
    <s v="ORD-202402743"/>
    <x v="218"/>
    <n v="3791"/>
    <s v="20/11/1971"/>
    <x v="1"/>
    <x v="0"/>
    <n v="10632.62"/>
    <n v="5950.87"/>
    <s v="Boston"/>
    <x v="0"/>
    <s v="L"/>
    <s v="Red"/>
    <n v="3"/>
    <x v="1"/>
    <s v="Retail"/>
    <s v="Bank Transfer"/>
  </r>
  <r>
    <s v="ORD-202402744"/>
    <x v="1091"/>
    <n v="7625"/>
    <s v="02/07/1976"/>
    <x v="1"/>
    <x v="0"/>
    <n v="12910.87"/>
    <n v="5858.39"/>
    <s v="Minneapolis"/>
    <x v="1"/>
    <s v="S"/>
    <s v="Black"/>
    <n v="3"/>
    <x v="2"/>
    <s v="Retail"/>
    <s v="Cash"/>
  </r>
  <r>
    <s v="ORD-202402745"/>
    <x v="236"/>
    <n v="9353"/>
    <s v="04/06/1988"/>
    <x v="1"/>
    <x v="1"/>
    <n v="91292.31"/>
    <n v="58378.98"/>
    <s v="Seattle"/>
    <x v="2"/>
    <s v="XL"/>
    <s v="Red"/>
    <n v="3"/>
    <x v="1"/>
    <s v="Retail"/>
    <s v="PayPal"/>
  </r>
  <r>
    <s v="ORD-202402746"/>
    <x v="1286"/>
    <n v="7261"/>
    <s v="22/12/1989"/>
    <x v="0"/>
    <x v="4"/>
    <n v="20610.91"/>
    <n v="9318.64"/>
    <s v="Boston"/>
    <x v="0"/>
    <s v="XL"/>
    <s v="Yellow"/>
    <n v="1"/>
    <x v="2"/>
    <s v="Retail"/>
    <s v="Bank Transfer"/>
  </r>
  <r>
    <s v="ORD-202402747"/>
    <x v="1071"/>
    <n v="7413"/>
    <s v="21/12/1990"/>
    <x v="1"/>
    <x v="0"/>
    <n v="12060.97"/>
    <n v="7075.38"/>
    <s v="New York"/>
    <x v="0"/>
    <s v="L"/>
    <s v="Green"/>
    <n v="1"/>
    <x v="2"/>
    <s v="Wholesale"/>
    <s v="Bank Transfer"/>
  </r>
  <r>
    <s v="ORD-202402748"/>
    <x v="535"/>
    <n v="2816"/>
    <s v="09/08/1985"/>
    <x v="0"/>
    <x v="1"/>
    <n v="11157.69"/>
    <n v="6022.42"/>
    <s v="San Francisco"/>
    <x v="2"/>
    <s v="XL"/>
    <s v="Yellow"/>
    <n v="3"/>
    <x v="1"/>
    <s v="Retail"/>
    <s v="Bank Transfer"/>
  </r>
  <r>
    <s v="ORD-202402749"/>
    <x v="1395"/>
    <n v="1749"/>
    <s v="19/08/1991"/>
    <x v="1"/>
    <x v="4"/>
    <n v="32887.019999999997"/>
    <n v="15662.29"/>
    <s v="San Francisco"/>
    <x v="2"/>
    <s v="S"/>
    <s v="Yellow"/>
    <n v="2"/>
    <x v="0"/>
    <s v="Retail"/>
    <s v="Cash"/>
  </r>
  <r>
    <s v="ORD-202402750"/>
    <x v="940"/>
    <n v="3474"/>
    <s v="20/07/1996"/>
    <x v="0"/>
    <x v="2"/>
    <n v="17062.7"/>
    <n v="9222.2999999999993"/>
    <s v="Los Angeles"/>
    <x v="2"/>
    <s v="M"/>
    <s v="Black"/>
    <n v="3"/>
    <x v="0"/>
    <s v="Retail"/>
    <s v="Cash"/>
  </r>
  <r>
    <s v="ORD-202402751"/>
    <x v="755"/>
    <n v="9583"/>
    <s v="10/06/1972"/>
    <x v="0"/>
    <x v="3"/>
    <n v="5558.67"/>
    <n v="3357.84"/>
    <s v="San Francisco"/>
    <x v="2"/>
    <s v="L"/>
    <s v="Yellow"/>
    <n v="5"/>
    <x v="2"/>
    <s v="Wholesale"/>
    <s v="PayPal"/>
  </r>
  <r>
    <s v="ORD-202402752"/>
    <x v="349"/>
    <n v="2484"/>
    <s v="25/04/1971"/>
    <x v="0"/>
    <x v="1"/>
    <n v="76244.539999999994"/>
    <n v="36828.74"/>
    <s v="Miami"/>
    <x v="0"/>
    <s v="XL"/>
    <s v="Blue"/>
    <n v="1"/>
    <x v="0"/>
    <s v="Retail"/>
    <s v="PayPal"/>
  </r>
  <r>
    <s v="ORD-202402753"/>
    <x v="1225"/>
    <n v="1630"/>
    <s v="11/07/1999"/>
    <x v="0"/>
    <x v="1"/>
    <n v="75523.75"/>
    <n v="47202.26"/>
    <s v="Seattle"/>
    <x v="2"/>
    <s v="M"/>
    <s v="Black"/>
    <n v="1"/>
    <x v="0"/>
    <s v="Retail"/>
    <s v="Cash"/>
  </r>
  <r>
    <s v="ORD-202402754"/>
    <x v="1396"/>
    <n v="2730"/>
    <s v="11/10/1985"/>
    <x v="1"/>
    <x v="3"/>
    <n v="5050.78"/>
    <n v="2715.41"/>
    <s v="New York"/>
    <x v="0"/>
    <s v="XL"/>
    <s v="Red"/>
    <n v="4"/>
    <x v="0"/>
    <s v="Retail"/>
    <s v="PayPal"/>
  </r>
  <r>
    <s v="ORD-202402755"/>
    <x v="464"/>
    <n v="1890"/>
    <s v="22/04/1987"/>
    <x v="0"/>
    <x v="1"/>
    <n v="82776.039999999994"/>
    <n v="41279.9"/>
    <s v="San Francisco"/>
    <x v="2"/>
    <s v="XL"/>
    <s v="Yellow"/>
    <n v="4"/>
    <x v="1"/>
    <s v="Retail"/>
    <s v="Cash"/>
  </r>
  <r>
    <s v="ORD-202402756"/>
    <x v="1142"/>
    <n v="1321"/>
    <s v="27/08/1994"/>
    <x v="1"/>
    <x v="2"/>
    <n v="27276.66"/>
    <n v="12374.56"/>
    <s v="New York"/>
    <x v="0"/>
    <s v="XL"/>
    <s v="Yellow"/>
    <n v="4"/>
    <x v="2"/>
    <s v="Wholesale"/>
    <s v="PayPal"/>
  </r>
  <r>
    <s v="ORD-202402757"/>
    <x v="918"/>
    <n v="5710"/>
    <s v="23/12/1978"/>
    <x v="0"/>
    <x v="3"/>
    <n v="11187.53"/>
    <n v="7232.16"/>
    <s v="Minneapolis"/>
    <x v="1"/>
    <s v="S"/>
    <s v="White"/>
    <n v="4"/>
    <x v="1"/>
    <s v="Retail"/>
    <s v="Bank Transfer"/>
  </r>
  <r>
    <s v="ORD-202402758"/>
    <x v="1107"/>
    <n v="1447"/>
    <s v="19/05/1980"/>
    <x v="0"/>
    <x v="3"/>
    <n v="5585.78"/>
    <n v="2582.84"/>
    <s v="Chicago"/>
    <x v="1"/>
    <s v="L"/>
    <s v="Black"/>
    <n v="4"/>
    <x v="1"/>
    <s v="Retail"/>
    <s v="PayPal"/>
  </r>
  <r>
    <s v="ORD-202402759"/>
    <x v="1117"/>
    <n v="5013"/>
    <s v="10/05/1995"/>
    <x v="1"/>
    <x v="1"/>
    <n v="22064.79"/>
    <n v="13445.41"/>
    <s v="Detroit"/>
    <x v="1"/>
    <s v="L"/>
    <s v="Green"/>
    <n v="4"/>
    <x v="2"/>
    <s v="Wholesale"/>
    <s v="PayPal"/>
  </r>
  <r>
    <s v="ORD-202402760"/>
    <x v="861"/>
    <n v="8698"/>
    <s v="15/10/1981"/>
    <x v="0"/>
    <x v="0"/>
    <n v="5000.7"/>
    <n v="2905.26"/>
    <s v="Minneapolis"/>
    <x v="1"/>
    <s v="S"/>
    <s v="Blue"/>
    <n v="4"/>
    <x v="1"/>
    <s v="Retail"/>
    <s v="Cash"/>
  </r>
  <r>
    <s v="ORD-202402761"/>
    <x v="731"/>
    <n v="9936"/>
    <s v="22/04/1975"/>
    <x v="1"/>
    <x v="2"/>
    <n v="51354.46"/>
    <n v="26482.5"/>
    <s v="Los Angeles"/>
    <x v="2"/>
    <s v="XL"/>
    <s v="Blue"/>
    <n v="5"/>
    <x v="0"/>
    <s v="Retail"/>
    <s v="Bank Transfer"/>
  </r>
  <r>
    <s v="ORD-202402762"/>
    <x v="1397"/>
    <n v="6333"/>
    <s v="28/06/1992"/>
    <x v="0"/>
    <x v="4"/>
    <n v="24932.12"/>
    <n v="12937.15"/>
    <s v="San Francisco"/>
    <x v="2"/>
    <s v="M"/>
    <s v="Blue"/>
    <n v="1"/>
    <x v="1"/>
    <s v="Retail"/>
    <s v="PayPal"/>
  </r>
  <r>
    <s v="ORD-202402763"/>
    <x v="1044"/>
    <n v="6398"/>
    <s v="16/06/1978"/>
    <x v="0"/>
    <x v="3"/>
    <n v="8491.73"/>
    <n v="3958.2"/>
    <s v="San Francisco"/>
    <x v="2"/>
    <s v="XL"/>
    <s v="Yellow"/>
    <n v="5"/>
    <x v="0"/>
    <s v="Wholesale"/>
    <s v="Bank Transfer"/>
  </r>
  <r>
    <s v="ORD-202402764"/>
    <x v="835"/>
    <n v="9693"/>
    <s v="27/05/1975"/>
    <x v="1"/>
    <x v="4"/>
    <n v="16872.53"/>
    <n v="7675.36"/>
    <s v="San Francisco"/>
    <x v="2"/>
    <s v="S"/>
    <s v="Green"/>
    <n v="1"/>
    <x v="1"/>
    <s v="Wholesale"/>
    <s v="Cash"/>
  </r>
  <r>
    <s v="ORD-202402765"/>
    <x v="193"/>
    <n v="6426"/>
    <s v="14/01/1973"/>
    <x v="1"/>
    <x v="3"/>
    <n v="12194.96"/>
    <n v="7717.46"/>
    <s v="Boston"/>
    <x v="0"/>
    <s v="M"/>
    <s v="Blue"/>
    <n v="2"/>
    <x v="0"/>
    <s v="Wholesale"/>
    <s v="Cash"/>
  </r>
  <r>
    <s v="ORD-202402766"/>
    <x v="1242"/>
    <n v="8341"/>
    <s v="24/11/1981"/>
    <x v="0"/>
    <x v="1"/>
    <n v="61622.21"/>
    <n v="38050.050000000003"/>
    <s v="Miami"/>
    <x v="0"/>
    <s v="M"/>
    <s v="Red"/>
    <n v="5"/>
    <x v="2"/>
    <s v="Wholesale"/>
    <s v="Cash"/>
  </r>
  <r>
    <s v="ORD-202402767"/>
    <x v="1398"/>
    <n v="4255"/>
    <s v="07/07/1988"/>
    <x v="1"/>
    <x v="4"/>
    <n v="35638.449999999997"/>
    <n v="19165.919999999998"/>
    <s v="Detroit"/>
    <x v="1"/>
    <s v="M"/>
    <s v="Green"/>
    <n v="1"/>
    <x v="1"/>
    <s v="Retail"/>
    <s v="Bank Transfer"/>
  </r>
  <r>
    <s v="ORD-202402768"/>
    <x v="650"/>
    <n v="4634"/>
    <s v="16/06/1995"/>
    <x v="1"/>
    <x v="0"/>
    <n v="10517.76"/>
    <n v="5337.06"/>
    <s v="New York"/>
    <x v="0"/>
    <s v="M"/>
    <s v="White"/>
    <n v="3"/>
    <x v="1"/>
    <s v="Retail"/>
    <s v="PayPal"/>
  </r>
  <r>
    <s v="ORD-202402769"/>
    <x v="101"/>
    <n v="5586"/>
    <s v="28/09/1996"/>
    <x v="1"/>
    <x v="0"/>
    <n v="21635.9"/>
    <n v="12124.43"/>
    <s v="New York"/>
    <x v="0"/>
    <s v="S"/>
    <s v="Green"/>
    <n v="1"/>
    <x v="0"/>
    <s v="Retail"/>
    <s v="Cash"/>
  </r>
  <r>
    <s v="ORD-202402770"/>
    <x v="1248"/>
    <n v="8335"/>
    <s v="16/12/1993"/>
    <x v="1"/>
    <x v="0"/>
    <n v="15208.51"/>
    <n v="9219.57"/>
    <s v="Minneapolis"/>
    <x v="1"/>
    <s v="M"/>
    <s v="Black"/>
    <n v="1"/>
    <x v="1"/>
    <s v="Retail"/>
    <s v="Cash"/>
  </r>
  <r>
    <s v="ORD-202402771"/>
    <x v="681"/>
    <n v="4920"/>
    <s v="23/07/1993"/>
    <x v="0"/>
    <x v="2"/>
    <n v="18377.009999999998"/>
    <n v="9690.51"/>
    <s v="Chicago"/>
    <x v="1"/>
    <s v="M"/>
    <s v="Green"/>
    <n v="1"/>
    <x v="0"/>
    <s v="Wholesale"/>
    <s v="Cash"/>
  </r>
  <r>
    <s v="ORD-202402772"/>
    <x v="1183"/>
    <n v="8135"/>
    <s v="04/07/1994"/>
    <x v="1"/>
    <x v="4"/>
    <n v="29829.29"/>
    <n v="15232.1"/>
    <s v="Miami"/>
    <x v="0"/>
    <s v="S"/>
    <s v="White"/>
    <n v="2"/>
    <x v="1"/>
    <s v="Wholesale"/>
    <s v="Bank Transfer"/>
  </r>
  <r>
    <s v="ORD-202402773"/>
    <x v="158"/>
    <n v="7771"/>
    <s v="01/02/1979"/>
    <x v="0"/>
    <x v="1"/>
    <n v="45666.48"/>
    <n v="29418.1"/>
    <s v="Seattle"/>
    <x v="2"/>
    <s v="XL"/>
    <s v="Blue"/>
    <n v="5"/>
    <x v="1"/>
    <s v="Retail"/>
    <s v="PayPal"/>
  </r>
  <r>
    <s v="ORD-202402774"/>
    <x v="1399"/>
    <n v="8543"/>
    <s v="24/04/1995"/>
    <x v="0"/>
    <x v="4"/>
    <n v="10738.69"/>
    <n v="6544.46"/>
    <s v="Chicago"/>
    <x v="1"/>
    <s v="M"/>
    <s v="Green"/>
    <n v="4"/>
    <x v="0"/>
    <s v="Wholesale"/>
    <s v="Bank Transfer"/>
  </r>
  <r>
    <s v="ORD-202402775"/>
    <x v="963"/>
    <n v="9306"/>
    <s v="22/02/1970"/>
    <x v="1"/>
    <x v="0"/>
    <n v="18807.22"/>
    <n v="9981.99"/>
    <s v="Seattle"/>
    <x v="2"/>
    <s v="M"/>
    <s v="Yellow"/>
    <n v="1"/>
    <x v="2"/>
    <s v="Retail"/>
    <s v="PayPal"/>
  </r>
  <r>
    <s v="ORD-202402776"/>
    <x v="407"/>
    <n v="9578"/>
    <s v="13/08/1992"/>
    <x v="0"/>
    <x v="2"/>
    <n v="53824.56"/>
    <n v="25939.45"/>
    <s v="Los Angeles"/>
    <x v="2"/>
    <s v="S"/>
    <s v="Green"/>
    <n v="2"/>
    <x v="1"/>
    <s v="Retail"/>
    <s v="Bank Transfer"/>
  </r>
  <r>
    <s v="ORD-202402777"/>
    <x v="841"/>
    <n v="8366"/>
    <s v="25/05/2000"/>
    <x v="0"/>
    <x v="3"/>
    <n v="5351.74"/>
    <n v="2713.85"/>
    <s v="Seattle"/>
    <x v="2"/>
    <s v="XL"/>
    <s v="Yellow"/>
    <n v="4"/>
    <x v="1"/>
    <s v="Retail"/>
    <s v="PayPal"/>
  </r>
  <r>
    <s v="ORD-202402778"/>
    <x v="1396"/>
    <n v="6664"/>
    <s v="30/06/1994"/>
    <x v="1"/>
    <x v="2"/>
    <n v="23241.88"/>
    <n v="12925.77"/>
    <s v="Los Angeles"/>
    <x v="2"/>
    <s v="XL"/>
    <s v="Yellow"/>
    <n v="5"/>
    <x v="1"/>
    <s v="Wholesale"/>
    <s v="Bank Transfer"/>
  </r>
  <r>
    <s v="ORD-202402779"/>
    <x v="57"/>
    <n v="7179"/>
    <s v="10/03/1994"/>
    <x v="1"/>
    <x v="2"/>
    <n v="27920.66"/>
    <n v="16106.88"/>
    <s v="Detroit"/>
    <x v="1"/>
    <s v="XL"/>
    <s v="Red"/>
    <n v="2"/>
    <x v="1"/>
    <s v="Retail"/>
    <s v="PayPal"/>
  </r>
  <r>
    <s v="ORD-202402780"/>
    <x v="885"/>
    <n v="1919"/>
    <s v="09/05/1983"/>
    <x v="1"/>
    <x v="0"/>
    <n v="21084.44"/>
    <n v="12042.76"/>
    <s v="Miami"/>
    <x v="0"/>
    <s v="XL"/>
    <s v="Black"/>
    <n v="3"/>
    <x v="1"/>
    <s v="Retail"/>
    <s v="Bank Transfer"/>
  </r>
  <r>
    <s v="ORD-202402781"/>
    <x v="622"/>
    <n v="6479"/>
    <s v="05/10/1977"/>
    <x v="0"/>
    <x v="3"/>
    <n v="6787.41"/>
    <n v="3226.36"/>
    <s v="New York"/>
    <x v="0"/>
    <s v="XL"/>
    <s v="Red"/>
    <n v="3"/>
    <x v="2"/>
    <s v="Retail"/>
    <s v="Bank Transfer"/>
  </r>
  <r>
    <s v="ORD-202402782"/>
    <x v="322"/>
    <n v="2275"/>
    <s v="26/12/1978"/>
    <x v="1"/>
    <x v="4"/>
    <n v="44029.25"/>
    <n v="28381.89"/>
    <s v="Boston"/>
    <x v="0"/>
    <s v="S"/>
    <s v="White"/>
    <n v="3"/>
    <x v="1"/>
    <s v="Retail"/>
    <s v="Bank Transfer"/>
  </r>
  <r>
    <s v="ORD-202402783"/>
    <x v="1211"/>
    <n v="9139"/>
    <s v="28/12/1974"/>
    <x v="0"/>
    <x v="3"/>
    <n v="8119.79"/>
    <n v="4827.07"/>
    <s v="Miami"/>
    <x v="0"/>
    <s v="S"/>
    <s v="Green"/>
    <n v="5"/>
    <x v="0"/>
    <s v="Retail"/>
    <s v="Cash"/>
  </r>
  <r>
    <s v="ORD-202402784"/>
    <x v="1239"/>
    <n v="5146"/>
    <s v="27/12/1987"/>
    <x v="0"/>
    <x v="3"/>
    <n v="12049.67"/>
    <n v="6222.58"/>
    <s v="New York"/>
    <x v="0"/>
    <s v="XL"/>
    <s v="Green"/>
    <n v="4"/>
    <x v="2"/>
    <s v="Retail"/>
    <s v="PayPal"/>
  </r>
  <r>
    <s v="ORD-202402785"/>
    <x v="158"/>
    <n v="3051"/>
    <s v="20/05/1985"/>
    <x v="1"/>
    <x v="1"/>
    <n v="77915.990000000005"/>
    <n v="45409.26"/>
    <s v="Miami"/>
    <x v="0"/>
    <s v="L"/>
    <s v="Blue"/>
    <n v="3"/>
    <x v="1"/>
    <s v="Wholesale"/>
    <s v="Bank Transfer"/>
  </r>
  <r>
    <s v="ORD-202402786"/>
    <x v="961"/>
    <n v="3216"/>
    <s v="08/04/1977"/>
    <x v="1"/>
    <x v="4"/>
    <n v="29291.22"/>
    <n v="14770.44"/>
    <s v="Boston"/>
    <x v="0"/>
    <s v="XL"/>
    <s v="Black"/>
    <n v="1"/>
    <x v="1"/>
    <s v="Wholesale"/>
    <s v="Bank Transfer"/>
  </r>
  <r>
    <s v="ORD-202402787"/>
    <x v="135"/>
    <n v="7670"/>
    <s v="28/12/1994"/>
    <x v="0"/>
    <x v="4"/>
    <n v="66890.73"/>
    <n v="38343.75"/>
    <s v="Seattle"/>
    <x v="2"/>
    <s v="M"/>
    <s v="Yellow"/>
    <n v="5"/>
    <x v="0"/>
    <s v="Retail"/>
    <s v="Bank Transfer"/>
  </r>
  <r>
    <s v="ORD-202402788"/>
    <x v="1069"/>
    <n v="7754"/>
    <s v="18/05/1978"/>
    <x v="1"/>
    <x v="1"/>
    <n v="96319.19"/>
    <n v="44507.09"/>
    <s v="Miami"/>
    <x v="0"/>
    <s v="L"/>
    <s v="White"/>
    <n v="3"/>
    <x v="0"/>
    <s v="Wholesale"/>
    <s v="Cash"/>
  </r>
  <r>
    <s v="ORD-202402789"/>
    <x v="1173"/>
    <n v="3636"/>
    <s v="13/09/1983"/>
    <x v="1"/>
    <x v="4"/>
    <n v="15397.77"/>
    <n v="7642.88"/>
    <s v="Miami"/>
    <x v="0"/>
    <s v="L"/>
    <s v="Red"/>
    <n v="4"/>
    <x v="1"/>
    <s v="Wholesale"/>
    <s v="Cash"/>
  </r>
  <r>
    <s v="ORD-202402790"/>
    <x v="1180"/>
    <n v="8109"/>
    <s v="19/08/1971"/>
    <x v="0"/>
    <x v="3"/>
    <n v="5680.58"/>
    <n v="3446.05"/>
    <s v="Minneapolis"/>
    <x v="1"/>
    <s v="S"/>
    <s v="Red"/>
    <n v="1"/>
    <x v="0"/>
    <s v="Retail"/>
    <s v="Bank Transfer"/>
  </r>
  <r>
    <s v="ORD-202402791"/>
    <x v="1123"/>
    <n v="1634"/>
    <s v="25/02/1981"/>
    <x v="0"/>
    <x v="3"/>
    <n v="2775.81"/>
    <n v="1740.48"/>
    <s v="Detroit"/>
    <x v="1"/>
    <s v="L"/>
    <s v="White"/>
    <n v="2"/>
    <x v="0"/>
    <s v="Wholesale"/>
    <s v="PayPal"/>
  </r>
  <r>
    <s v="ORD-202402792"/>
    <x v="1400"/>
    <n v="6157"/>
    <s v="04/01/1999"/>
    <x v="0"/>
    <x v="0"/>
    <n v="23114.240000000002"/>
    <n v="11004.85"/>
    <s v="Seattle"/>
    <x v="2"/>
    <s v="XL"/>
    <s v="Black"/>
    <n v="2"/>
    <x v="1"/>
    <s v="Wholesale"/>
    <s v="Cash"/>
  </r>
  <r>
    <s v="ORD-202402793"/>
    <x v="262"/>
    <n v="2736"/>
    <s v="20/07/1995"/>
    <x v="0"/>
    <x v="3"/>
    <n v="14242.26"/>
    <n v="6577.41"/>
    <s v="San Francisco"/>
    <x v="2"/>
    <s v="XL"/>
    <s v="Red"/>
    <n v="1"/>
    <x v="2"/>
    <s v="Retail"/>
    <s v="PayPal"/>
  </r>
  <r>
    <s v="ORD-202402794"/>
    <x v="623"/>
    <n v="5419"/>
    <s v="06/04/1988"/>
    <x v="0"/>
    <x v="0"/>
    <n v="4231.18"/>
    <n v="2291.9299999999998"/>
    <s v="Chicago"/>
    <x v="1"/>
    <s v="XL"/>
    <s v="Green"/>
    <n v="2"/>
    <x v="1"/>
    <s v="Retail"/>
    <s v="Bank Transfer"/>
  </r>
  <r>
    <s v="ORD-202402795"/>
    <x v="1165"/>
    <n v="6834"/>
    <s v="06/10/2000"/>
    <x v="0"/>
    <x v="2"/>
    <n v="43703.88"/>
    <n v="28172.880000000001"/>
    <s v="Miami"/>
    <x v="0"/>
    <s v="L"/>
    <s v="White"/>
    <n v="4"/>
    <x v="0"/>
    <s v="Retail"/>
    <s v="Cash"/>
  </r>
  <r>
    <s v="ORD-202402796"/>
    <x v="163"/>
    <n v="4149"/>
    <s v="22/10/1985"/>
    <x v="1"/>
    <x v="4"/>
    <n v="15528.29"/>
    <n v="8849.59"/>
    <s v="Chicago"/>
    <x v="1"/>
    <s v="XL"/>
    <s v="Green"/>
    <n v="5"/>
    <x v="2"/>
    <s v="Retail"/>
    <s v="Bank Transfer"/>
  </r>
  <r>
    <s v="ORD-202402797"/>
    <x v="335"/>
    <n v="4742"/>
    <s v="22/05/1977"/>
    <x v="0"/>
    <x v="2"/>
    <n v="33592.18"/>
    <n v="15781.4"/>
    <s v="Boston"/>
    <x v="0"/>
    <s v="L"/>
    <s v="Black"/>
    <n v="2"/>
    <x v="1"/>
    <s v="Wholesale"/>
    <s v="PayPal"/>
  </r>
  <r>
    <s v="ORD-202402798"/>
    <x v="721"/>
    <n v="5831"/>
    <s v="12/07/1982"/>
    <x v="1"/>
    <x v="1"/>
    <n v="24659.08"/>
    <n v="14922.23"/>
    <s v="Chicago"/>
    <x v="1"/>
    <s v="M"/>
    <s v="Yellow"/>
    <n v="3"/>
    <x v="1"/>
    <s v="Retail"/>
    <s v="Bank Transfer"/>
  </r>
  <r>
    <s v="ORD-202402799"/>
    <x v="742"/>
    <n v="5832"/>
    <s v="31/05/1972"/>
    <x v="1"/>
    <x v="0"/>
    <n v="16101.4"/>
    <n v="7662.59"/>
    <s v="Minneapolis"/>
    <x v="1"/>
    <s v="XL"/>
    <s v="Black"/>
    <n v="3"/>
    <x v="2"/>
    <s v="Retail"/>
    <s v="PayPal"/>
  </r>
  <r>
    <s v="ORD-202402800"/>
    <x v="964"/>
    <n v="7718"/>
    <s v="16/06/1970"/>
    <x v="1"/>
    <x v="0"/>
    <n v="9452.5300000000007"/>
    <n v="5751.37"/>
    <s v="Chicago"/>
    <x v="1"/>
    <s v="S"/>
    <s v="Red"/>
    <n v="1"/>
    <x v="0"/>
    <s v="Retail"/>
    <s v="Bank Transfer"/>
  </r>
  <r>
    <s v="ORD-202402801"/>
    <x v="983"/>
    <n v="2081"/>
    <s v="09/02/1981"/>
    <x v="1"/>
    <x v="1"/>
    <n v="59600.639999999999"/>
    <n v="28383.43"/>
    <s v="Los Angeles"/>
    <x v="2"/>
    <s v="M"/>
    <s v="Yellow"/>
    <n v="2"/>
    <x v="1"/>
    <s v="Retail"/>
    <s v="PayPal"/>
  </r>
  <r>
    <s v="ORD-202402802"/>
    <x v="804"/>
    <n v="9449"/>
    <s v="01/10/1982"/>
    <x v="0"/>
    <x v="3"/>
    <n v="3152.58"/>
    <n v="1824.24"/>
    <s v="New York"/>
    <x v="0"/>
    <s v="XL"/>
    <s v="Yellow"/>
    <n v="5"/>
    <x v="0"/>
    <s v="Retail"/>
    <s v="PayPal"/>
  </r>
  <r>
    <s v="ORD-202402803"/>
    <x v="539"/>
    <n v="2916"/>
    <s v="17/09/1985"/>
    <x v="0"/>
    <x v="2"/>
    <n v="49748.39"/>
    <n v="24605.1"/>
    <s v="New York"/>
    <x v="0"/>
    <s v="M"/>
    <s v="Green"/>
    <n v="3"/>
    <x v="1"/>
    <s v="Wholesale"/>
    <s v="PayPal"/>
  </r>
  <r>
    <s v="ORD-202402804"/>
    <x v="172"/>
    <n v="6386"/>
    <s v="26/09/1980"/>
    <x v="1"/>
    <x v="2"/>
    <n v="20528.12"/>
    <n v="13068.02"/>
    <s v="Los Angeles"/>
    <x v="2"/>
    <s v="L"/>
    <s v="Green"/>
    <n v="5"/>
    <x v="1"/>
    <s v="Retail"/>
    <s v="PayPal"/>
  </r>
  <r>
    <s v="ORD-202402805"/>
    <x v="481"/>
    <n v="2169"/>
    <s v="09/07/1974"/>
    <x v="0"/>
    <x v="4"/>
    <n v="19174"/>
    <n v="11072.55"/>
    <s v="New York"/>
    <x v="0"/>
    <s v="S"/>
    <s v="Black"/>
    <n v="5"/>
    <x v="1"/>
    <s v="Retail"/>
    <s v="Bank Transfer"/>
  </r>
  <r>
    <s v="ORD-202402806"/>
    <x v="1180"/>
    <n v="1849"/>
    <s v="11/06/1990"/>
    <x v="1"/>
    <x v="1"/>
    <n v="15235.77"/>
    <n v="9463.65"/>
    <s v="Detroit"/>
    <x v="1"/>
    <s v="XL"/>
    <s v="Red"/>
    <n v="5"/>
    <x v="1"/>
    <s v="Wholesale"/>
    <s v="Cash"/>
  </r>
  <r>
    <s v="ORD-202402807"/>
    <x v="1401"/>
    <n v="3937"/>
    <s v="26/02/1988"/>
    <x v="1"/>
    <x v="2"/>
    <n v="25971.93"/>
    <n v="16224.78"/>
    <s v="New York"/>
    <x v="0"/>
    <s v="M"/>
    <s v="Blue"/>
    <n v="4"/>
    <x v="1"/>
    <s v="Retail"/>
    <s v="Bank Transfer"/>
  </r>
  <r>
    <s v="ORD-202402808"/>
    <x v="1030"/>
    <n v="4958"/>
    <s v="11/01/1993"/>
    <x v="1"/>
    <x v="2"/>
    <n v="30981.89"/>
    <n v="17146.080000000002"/>
    <s v="New York"/>
    <x v="0"/>
    <s v="XL"/>
    <s v="Black"/>
    <n v="3"/>
    <x v="1"/>
    <s v="Wholesale"/>
    <s v="Cash"/>
  </r>
  <r>
    <s v="ORD-202402809"/>
    <x v="1321"/>
    <n v="2783"/>
    <s v="18/05/1995"/>
    <x v="1"/>
    <x v="1"/>
    <n v="48027.81"/>
    <n v="24183.98"/>
    <s v="Boston"/>
    <x v="0"/>
    <s v="M"/>
    <s v="Yellow"/>
    <n v="3"/>
    <x v="0"/>
    <s v="Wholesale"/>
    <s v="PayPal"/>
  </r>
  <r>
    <s v="ORD-202402810"/>
    <x v="715"/>
    <n v="2648"/>
    <s v="20/10/1970"/>
    <x v="1"/>
    <x v="2"/>
    <n v="34178.14"/>
    <n v="17785.64"/>
    <s v="Los Angeles"/>
    <x v="2"/>
    <s v="L"/>
    <s v="Yellow"/>
    <n v="5"/>
    <x v="1"/>
    <s v="Retail"/>
    <s v="Bank Transfer"/>
  </r>
  <r>
    <s v="ORD-202402811"/>
    <x v="678"/>
    <n v="6431"/>
    <s v="14/03/1986"/>
    <x v="0"/>
    <x v="3"/>
    <n v="7370.01"/>
    <n v="3618.35"/>
    <s v="Seattle"/>
    <x v="2"/>
    <s v="XL"/>
    <s v="Yellow"/>
    <n v="2"/>
    <x v="1"/>
    <s v="Wholesale"/>
    <s v="PayPal"/>
  </r>
  <r>
    <s v="ORD-202402812"/>
    <x v="132"/>
    <n v="7930"/>
    <s v="23/08/1997"/>
    <x v="0"/>
    <x v="2"/>
    <n v="42431.07"/>
    <n v="22314.16"/>
    <s v="San Francisco"/>
    <x v="2"/>
    <s v="S"/>
    <s v="Blue"/>
    <n v="1"/>
    <x v="2"/>
    <s v="Wholesale"/>
    <s v="Cash"/>
  </r>
  <r>
    <s v="ORD-202402813"/>
    <x v="18"/>
    <n v="9549"/>
    <s v="02/01/1986"/>
    <x v="1"/>
    <x v="1"/>
    <n v="22241.85"/>
    <n v="10031.07"/>
    <s v="Seattle"/>
    <x v="2"/>
    <s v="S"/>
    <s v="Black"/>
    <n v="2"/>
    <x v="2"/>
    <s v="Retail"/>
    <s v="PayPal"/>
  </r>
  <r>
    <s v="ORD-202402814"/>
    <x v="1364"/>
    <n v="6421"/>
    <s v="15/02/1970"/>
    <x v="0"/>
    <x v="0"/>
    <n v="16690.54"/>
    <n v="10297.01"/>
    <s v="Seattle"/>
    <x v="2"/>
    <s v="XL"/>
    <s v="Yellow"/>
    <n v="2"/>
    <x v="1"/>
    <s v="Retail"/>
    <s v="PayPal"/>
  </r>
  <r>
    <s v="ORD-202402815"/>
    <x v="594"/>
    <n v="7304"/>
    <s v="15/11/1982"/>
    <x v="0"/>
    <x v="4"/>
    <n v="18278.099999999999"/>
    <n v="11554.79"/>
    <s v="Boston"/>
    <x v="0"/>
    <s v="XL"/>
    <s v="Green"/>
    <n v="2"/>
    <x v="1"/>
    <s v="Wholesale"/>
    <s v="Bank Transfer"/>
  </r>
  <r>
    <s v="ORD-202402816"/>
    <x v="1225"/>
    <n v="1430"/>
    <s v="05/01/1976"/>
    <x v="1"/>
    <x v="0"/>
    <n v="8379.2900000000009"/>
    <n v="4780.54"/>
    <s v="San Francisco"/>
    <x v="2"/>
    <s v="S"/>
    <s v="Green"/>
    <n v="3"/>
    <x v="1"/>
    <s v="Wholesale"/>
    <s v="Cash"/>
  </r>
  <r>
    <s v="ORD-202402817"/>
    <x v="1079"/>
    <n v="7297"/>
    <s v="12/10/1995"/>
    <x v="0"/>
    <x v="2"/>
    <n v="27888.83"/>
    <n v="16282.23"/>
    <s v="Boston"/>
    <x v="0"/>
    <s v="L"/>
    <s v="Red"/>
    <n v="5"/>
    <x v="2"/>
    <s v="Wholesale"/>
    <s v="Cash"/>
  </r>
  <r>
    <s v="ORD-202402818"/>
    <x v="558"/>
    <n v="4744"/>
    <s v="17/03/1990"/>
    <x v="1"/>
    <x v="3"/>
    <n v="6824.46"/>
    <n v="3078.57"/>
    <s v="Miami"/>
    <x v="0"/>
    <s v="XL"/>
    <s v="Red"/>
    <n v="3"/>
    <x v="0"/>
    <s v="Wholesale"/>
    <s v="Cash"/>
  </r>
  <r>
    <s v="ORD-202402819"/>
    <x v="1097"/>
    <n v="9704"/>
    <s v="08/01/1974"/>
    <x v="1"/>
    <x v="3"/>
    <n v="12242.46"/>
    <n v="7950.79"/>
    <s v="Seattle"/>
    <x v="2"/>
    <s v="XL"/>
    <s v="Green"/>
    <n v="5"/>
    <x v="1"/>
    <s v="Retail"/>
    <s v="PayPal"/>
  </r>
  <r>
    <s v="ORD-202402820"/>
    <x v="1402"/>
    <n v="8522"/>
    <s v="20/01/1988"/>
    <x v="1"/>
    <x v="3"/>
    <n v="11207.26"/>
    <n v="7214.4"/>
    <s v="San Francisco"/>
    <x v="2"/>
    <s v="L"/>
    <s v="Red"/>
    <n v="3"/>
    <x v="1"/>
    <s v="Wholesale"/>
    <s v="Cash"/>
  </r>
  <r>
    <s v="ORD-202402821"/>
    <x v="1403"/>
    <n v="5982"/>
    <s v="24/12/1986"/>
    <x v="1"/>
    <x v="2"/>
    <n v="23057.62"/>
    <n v="14268.78"/>
    <s v="Los Angeles"/>
    <x v="2"/>
    <s v="XL"/>
    <s v="Green"/>
    <n v="4"/>
    <x v="2"/>
    <s v="Wholesale"/>
    <s v="PayPal"/>
  </r>
  <r>
    <s v="ORD-202402822"/>
    <x v="978"/>
    <n v="1044"/>
    <s v="21/02/1985"/>
    <x v="1"/>
    <x v="3"/>
    <n v="6746.74"/>
    <n v="3864.95"/>
    <s v="Miami"/>
    <x v="0"/>
    <s v="M"/>
    <s v="Blue"/>
    <n v="2"/>
    <x v="1"/>
    <s v="Wholesale"/>
    <s v="Bank Transfer"/>
  </r>
  <r>
    <s v="ORD-202402823"/>
    <x v="1180"/>
    <n v="7851"/>
    <s v="19/01/1971"/>
    <x v="0"/>
    <x v="4"/>
    <n v="48743.4"/>
    <n v="31203.31"/>
    <s v="New York"/>
    <x v="0"/>
    <s v="L"/>
    <s v="Blue"/>
    <n v="4"/>
    <x v="1"/>
    <s v="Wholesale"/>
    <s v="Cash"/>
  </r>
  <r>
    <s v="ORD-202402824"/>
    <x v="1073"/>
    <n v="2151"/>
    <s v="10/09/1993"/>
    <x v="1"/>
    <x v="4"/>
    <n v="18644.509999999998"/>
    <n v="9144.73"/>
    <s v="San Francisco"/>
    <x v="2"/>
    <s v="XL"/>
    <s v="Red"/>
    <n v="3"/>
    <x v="2"/>
    <s v="Retail"/>
    <s v="Cash"/>
  </r>
  <r>
    <s v="ORD-202402825"/>
    <x v="1404"/>
    <n v="1945"/>
    <s v="14/08/1990"/>
    <x v="1"/>
    <x v="2"/>
    <n v="23412.55"/>
    <n v="11796.15"/>
    <s v="Los Angeles"/>
    <x v="2"/>
    <s v="S"/>
    <s v="White"/>
    <n v="5"/>
    <x v="0"/>
    <s v="Wholesale"/>
    <s v="Bank Transfer"/>
  </r>
  <r>
    <s v="ORD-202402826"/>
    <x v="1405"/>
    <n v="8260"/>
    <s v="01/07/1988"/>
    <x v="0"/>
    <x v="4"/>
    <n v="33356.26"/>
    <n v="19159.36"/>
    <s v="Boston"/>
    <x v="0"/>
    <s v="S"/>
    <s v="Yellow"/>
    <n v="4"/>
    <x v="1"/>
    <s v="Retail"/>
    <s v="Cash"/>
  </r>
  <r>
    <s v="ORD-202402827"/>
    <x v="264"/>
    <n v="9406"/>
    <s v="29/10/1970"/>
    <x v="1"/>
    <x v="1"/>
    <n v="48278.5"/>
    <n v="24727.96"/>
    <s v="Chicago"/>
    <x v="1"/>
    <s v="XL"/>
    <s v="White"/>
    <n v="5"/>
    <x v="0"/>
    <s v="Wholesale"/>
    <s v="Cash"/>
  </r>
  <r>
    <s v="ORD-202402828"/>
    <x v="1326"/>
    <n v="9812"/>
    <s v="28/07/1987"/>
    <x v="1"/>
    <x v="1"/>
    <n v="116920.48"/>
    <n v="63066.71"/>
    <s v="Los Angeles"/>
    <x v="2"/>
    <s v="L"/>
    <s v="Yellow"/>
    <n v="2"/>
    <x v="2"/>
    <s v="Retail"/>
    <s v="Cash"/>
  </r>
  <r>
    <s v="ORD-202402829"/>
    <x v="59"/>
    <n v="6815"/>
    <s v="08/12/1984"/>
    <x v="0"/>
    <x v="4"/>
    <n v="12279.44"/>
    <n v="7967.54"/>
    <s v="Miami"/>
    <x v="0"/>
    <s v="M"/>
    <s v="White"/>
    <n v="4"/>
    <x v="2"/>
    <s v="Wholesale"/>
    <s v="Cash"/>
  </r>
  <r>
    <s v="ORD-202402830"/>
    <x v="676"/>
    <n v="5538"/>
    <s v="19/12/1972"/>
    <x v="0"/>
    <x v="2"/>
    <n v="37017.230000000003"/>
    <n v="23367.45"/>
    <s v="San Francisco"/>
    <x v="2"/>
    <s v="M"/>
    <s v="Green"/>
    <n v="4"/>
    <x v="1"/>
    <s v="Wholesale"/>
    <s v="Cash"/>
  </r>
  <r>
    <s v="ORD-202402831"/>
    <x v="443"/>
    <n v="5563"/>
    <s v="23/06/1995"/>
    <x v="0"/>
    <x v="4"/>
    <n v="40705.85"/>
    <n v="24689.07"/>
    <s v="Miami"/>
    <x v="0"/>
    <s v="S"/>
    <s v="Green"/>
    <n v="5"/>
    <x v="1"/>
    <s v="Retail"/>
    <s v="PayPal"/>
  </r>
  <r>
    <s v="ORD-202402832"/>
    <x v="1406"/>
    <n v="6973"/>
    <s v="24/10/1972"/>
    <x v="0"/>
    <x v="4"/>
    <n v="37216.29"/>
    <n v="17302.310000000001"/>
    <s v="Los Angeles"/>
    <x v="2"/>
    <s v="M"/>
    <s v="White"/>
    <n v="5"/>
    <x v="2"/>
    <s v="Retail"/>
    <s v="Bank Transfer"/>
  </r>
  <r>
    <s v="ORD-202402833"/>
    <x v="327"/>
    <n v="1982"/>
    <s v="28/09/1981"/>
    <x v="1"/>
    <x v="1"/>
    <n v="61811.839999999997"/>
    <n v="34569.269999999997"/>
    <s v="Miami"/>
    <x v="0"/>
    <s v="L"/>
    <s v="Red"/>
    <n v="5"/>
    <x v="0"/>
    <s v="Wholesale"/>
    <s v="Cash"/>
  </r>
  <r>
    <s v="ORD-202402834"/>
    <x v="807"/>
    <n v="2190"/>
    <s v="29/01/1998"/>
    <x v="0"/>
    <x v="3"/>
    <n v="9906.48"/>
    <n v="6125.86"/>
    <s v="Boston"/>
    <x v="0"/>
    <s v="S"/>
    <s v="Red"/>
    <n v="5"/>
    <x v="0"/>
    <s v="Wholesale"/>
    <s v="PayPal"/>
  </r>
  <r>
    <s v="ORD-202402835"/>
    <x v="328"/>
    <n v="2322"/>
    <s v="31/10/1983"/>
    <x v="1"/>
    <x v="3"/>
    <n v="18914.28"/>
    <n v="10125.35"/>
    <s v="San Francisco"/>
    <x v="2"/>
    <s v="XL"/>
    <s v="Red"/>
    <n v="1"/>
    <x v="0"/>
    <s v="Retail"/>
    <s v="Cash"/>
  </r>
  <r>
    <s v="ORD-202402836"/>
    <x v="1407"/>
    <n v="1488"/>
    <s v="01/04/1972"/>
    <x v="1"/>
    <x v="4"/>
    <n v="19909.150000000001"/>
    <n v="11921.75"/>
    <s v="Minneapolis"/>
    <x v="1"/>
    <s v="L"/>
    <s v="Yellow"/>
    <n v="2"/>
    <x v="1"/>
    <s v="Wholesale"/>
    <s v="Bank Transfer"/>
  </r>
  <r>
    <s v="ORD-202402837"/>
    <x v="1408"/>
    <n v="8932"/>
    <s v="16/06/1984"/>
    <x v="0"/>
    <x v="1"/>
    <n v="37714.97"/>
    <n v="17022.75"/>
    <s v="Miami"/>
    <x v="0"/>
    <s v="M"/>
    <s v="Red"/>
    <n v="2"/>
    <x v="1"/>
    <s v="Retail"/>
    <s v="PayPal"/>
  </r>
  <r>
    <s v="ORD-202402838"/>
    <x v="8"/>
    <n v="3917"/>
    <s v="10/07/1989"/>
    <x v="0"/>
    <x v="1"/>
    <n v="53558.62"/>
    <n v="30643.81"/>
    <s v="Chicago"/>
    <x v="1"/>
    <s v="XL"/>
    <s v="White"/>
    <n v="3"/>
    <x v="0"/>
    <s v="Retail"/>
    <s v="Bank Transfer"/>
  </r>
  <r>
    <s v="ORD-202402839"/>
    <x v="804"/>
    <n v="2233"/>
    <s v="12/04/1986"/>
    <x v="0"/>
    <x v="3"/>
    <n v="4417.97"/>
    <n v="2108.5100000000002"/>
    <s v="Miami"/>
    <x v="0"/>
    <s v="XL"/>
    <s v="Blue"/>
    <n v="2"/>
    <x v="1"/>
    <s v="Wholesale"/>
    <s v="Cash"/>
  </r>
  <r>
    <s v="ORD-202402840"/>
    <x v="12"/>
    <n v="9708"/>
    <s v="17/06/1972"/>
    <x v="1"/>
    <x v="3"/>
    <n v="8379.7800000000007"/>
    <n v="5196.0200000000004"/>
    <s v="Minneapolis"/>
    <x v="1"/>
    <s v="M"/>
    <s v="White"/>
    <n v="5"/>
    <x v="1"/>
    <s v="Wholesale"/>
    <s v="PayPal"/>
  </r>
  <r>
    <s v="ORD-202402841"/>
    <x v="658"/>
    <n v="3979"/>
    <s v="22/02/1994"/>
    <x v="0"/>
    <x v="2"/>
    <n v="20637.04"/>
    <n v="11901.75"/>
    <s v="San Francisco"/>
    <x v="2"/>
    <s v="S"/>
    <s v="Red"/>
    <n v="3"/>
    <x v="0"/>
    <s v="Retail"/>
    <s v="Bank Transfer"/>
  </r>
  <r>
    <s v="ORD-202402842"/>
    <x v="908"/>
    <n v="9940"/>
    <s v="15/06/1979"/>
    <x v="1"/>
    <x v="0"/>
    <n v="17748.73"/>
    <n v="10847.97"/>
    <s v="New York"/>
    <x v="0"/>
    <s v="M"/>
    <s v="Blue"/>
    <n v="2"/>
    <x v="0"/>
    <s v="Retail"/>
    <s v="Cash"/>
  </r>
  <r>
    <s v="ORD-202402843"/>
    <x v="1077"/>
    <n v="3451"/>
    <s v="06/05/1984"/>
    <x v="0"/>
    <x v="4"/>
    <n v="13446.67"/>
    <n v="6682.26"/>
    <s v="New York"/>
    <x v="0"/>
    <s v="M"/>
    <s v="Red"/>
    <n v="2"/>
    <x v="0"/>
    <s v="Wholesale"/>
    <s v="Bank Transfer"/>
  </r>
  <r>
    <s v="ORD-202402844"/>
    <x v="1409"/>
    <n v="9041"/>
    <s v="17/04/1970"/>
    <x v="0"/>
    <x v="2"/>
    <n v="36253.83"/>
    <n v="19024.46"/>
    <s v="Miami"/>
    <x v="0"/>
    <s v="S"/>
    <s v="White"/>
    <n v="3"/>
    <x v="2"/>
    <s v="Retail"/>
    <s v="Bank Transfer"/>
  </r>
  <r>
    <s v="ORD-202402845"/>
    <x v="491"/>
    <n v="5794"/>
    <s v="28/08/1977"/>
    <x v="0"/>
    <x v="3"/>
    <n v="8448.2000000000007"/>
    <n v="4948.5200000000004"/>
    <s v="New York"/>
    <x v="0"/>
    <s v="M"/>
    <s v="Yellow"/>
    <n v="4"/>
    <x v="1"/>
    <s v="Wholesale"/>
    <s v="PayPal"/>
  </r>
  <r>
    <s v="ORD-202402846"/>
    <x v="157"/>
    <n v="8008"/>
    <s v="17/01/1971"/>
    <x v="0"/>
    <x v="1"/>
    <n v="86989"/>
    <n v="45429.16"/>
    <s v="Los Angeles"/>
    <x v="2"/>
    <s v="XL"/>
    <s v="Black"/>
    <n v="2"/>
    <x v="1"/>
    <s v="Retail"/>
    <s v="Bank Transfer"/>
  </r>
  <r>
    <s v="ORD-202402847"/>
    <x v="1410"/>
    <n v="2354"/>
    <s v="06/02/1979"/>
    <x v="1"/>
    <x v="3"/>
    <n v="15218.62"/>
    <n v="7984.53"/>
    <s v="Los Angeles"/>
    <x v="2"/>
    <s v="S"/>
    <s v="Red"/>
    <n v="1"/>
    <x v="1"/>
    <s v="Wholesale"/>
    <s v="PayPal"/>
  </r>
  <r>
    <s v="ORD-202402848"/>
    <x v="1106"/>
    <n v="5679"/>
    <s v="13/04/1974"/>
    <x v="1"/>
    <x v="4"/>
    <n v="24038.98"/>
    <n v="12440.02"/>
    <s v="Detroit"/>
    <x v="1"/>
    <s v="XL"/>
    <s v="Black"/>
    <n v="5"/>
    <x v="0"/>
    <s v="Wholesale"/>
    <s v="Cash"/>
  </r>
  <r>
    <s v="ORD-202402849"/>
    <x v="1329"/>
    <n v="9800"/>
    <s v="15/05/1996"/>
    <x v="1"/>
    <x v="2"/>
    <n v="7260.75"/>
    <n v="3312.39"/>
    <s v="New York"/>
    <x v="0"/>
    <s v="L"/>
    <s v="Blue"/>
    <n v="5"/>
    <x v="1"/>
    <s v="Wholesale"/>
    <s v="PayPal"/>
  </r>
  <r>
    <s v="ORD-202402850"/>
    <x v="178"/>
    <n v="7395"/>
    <s v="02/01/1980"/>
    <x v="1"/>
    <x v="0"/>
    <n v="12583.83"/>
    <n v="7544.64"/>
    <s v="New York"/>
    <x v="0"/>
    <s v="M"/>
    <s v="Black"/>
    <n v="4"/>
    <x v="0"/>
    <s v="Retail"/>
    <s v="Bank Transfer"/>
  </r>
  <r>
    <s v="ORD-202402851"/>
    <x v="92"/>
    <n v="3509"/>
    <s v="01/08/1977"/>
    <x v="0"/>
    <x v="0"/>
    <n v="17030.939999999999"/>
    <n v="10650.37"/>
    <s v="Los Angeles"/>
    <x v="2"/>
    <s v="M"/>
    <s v="Green"/>
    <n v="4"/>
    <x v="2"/>
    <s v="Wholesale"/>
    <s v="Cash"/>
  </r>
  <r>
    <s v="ORD-202402852"/>
    <x v="681"/>
    <n v="8332"/>
    <s v="20/07/1972"/>
    <x v="0"/>
    <x v="0"/>
    <n v="9864.69"/>
    <n v="6180.01"/>
    <s v="Boston"/>
    <x v="0"/>
    <s v="XL"/>
    <s v="Red"/>
    <n v="4"/>
    <x v="0"/>
    <s v="Wholesale"/>
    <s v="Cash"/>
  </r>
  <r>
    <s v="ORD-202402853"/>
    <x v="952"/>
    <n v="9671"/>
    <s v="09/07/1999"/>
    <x v="0"/>
    <x v="2"/>
    <n v="18087.810000000001"/>
    <n v="8689.25"/>
    <s v="Miami"/>
    <x v="0"/>
    <s v="M"/>
    <s v="Red"/>
    <n v="4"/>
    <x v="1"/>
    <s v="Retail"/>
    <s v="PayPal"/>
  </r>
  <r>
    <s v="ORD-202402854"/>
    <x v="473"/>
    <n v="2733"/>
    <s v="22/03/1992"/>
    <x v="0"/>
    <x v="0"/>
    <n v="9741.7800000000007"/>
    <n v="5652.04"/>
    <s v="San Francisco"/>
    <x v="2"/>
    <s v="S"/>
    <s v="Green"/>
    <n v="4"/>
    <x v="0"/>
    <s v="Wholesale"/>
    <s v="PayPal"/>
  </r>
  <r>
    <s v="ORD-202402855"/>
    <x v="820"/>
    <n v="5916"/>
    <s v="13/03/1987"/>
    <x v="0"/>
    <x v="2"/>
    <n v="8719.24"/>
    <n v="4480.13"/>
    <s v="New York"/>
    <x v="0"/>
    <s v="S"/>
    <s v="Black"/>
    <n v="5"/>
    <x v="2"/>
    <s v="Wholesale"/>
    <s v="PayPal"/>
  </r>
  <r>
    <s v="ORD-202402856"/>
    <x v="1411"/>
    <n v="2629"/>
    <s v="27/08/1990"/>
    <x v="1"/>
    <x v="1"/>
    <n v="31216.65"/>
    <n v="15136.45"/>
    <s v="Chicago"/>
    <x v="1"/>
    <s v="M"/>
    <s v="Black"/>
    <n v="4"/>
    <x v="1"/>
    <s v="Wholesale"/>
    <s v="Bank Transfer"/>
  </r>
  <r>
    <s v="ORD-202402857"/>
    <x v="451"/>
    <n v="5689"/>
    <s v="05/09/1992"/>
    <x v="1"/>
    <x v="0"/>
    <n v="18549.71"/>
    <n v="9356.4599999999991"/>
    <s v="Boston"/>
    <x v="0"/>
    <s v="XL"/>
    <s v="Blue"/>
    <n v="1"/>
    <x v="2"/>
    <s v="Retail"/>
    <s v="PayPal"/>
  </r>
  <r>
    <s v="ORD-202402858"/>
    <x v="1412"/>
    <n v="2190"/>
    <s v="13/01/1980"/>
    <x v="0"/>
    <x v="3"/>
    <n v="9391.9599999999991"/>
    <n v="5173.66"/>
    <s v="Miami"/>
    <x v="0"/>
    <s v="L"/>
    <s v="Blue"/>
    <n v="5"/>
    <x v="2"/>
    <s v="Wholesale"/>
    <s v="Cash"/>
  </r>
  <r>
    <s v="ORD-202402859"/>
    <x v="567"/>
    <n v="5283"/>
    <s v="29/12/1992"/>
    <x v="0"/>
    <x v="1"/>
    <n v="23642.71"/>
    <n v="11213.88"/>
    <s v="Miami"/>
    <x v="0"/>
    <s v="S"/>
    <s v="Red"/>
    <n v="5"/>
    <x v="2"/>
    <s v="Retail"/>
    <s v="Bank Transfer"/>
  </r>
  <r>
    <s v="ORD-202402860"/>
    <x v="723"/>
    <n v="3015"/>
    <s v="13/09/1974"/>
    <x v="0"/>
    <x v="0"/>
    <n v="24130.12"/>
    <n v="12580.5"/>
    <s v="Los Angeles"/>
    <x v="2"/>
    <s v="XL"/>
    <s v="Green"/>
    <n v="4"/>
    <x v="1"/>
    <s v="Retail"/>
    <s v="PayPal"/>
  </r>
  <r>
    <s v="ORD-202402861"/>
    <x v="584"/>
    <n v="6053"/>
    <s v="05/10/1970"/>
    <x v="0"/>
    <x v="4"/>
    <n v="46947.98"/>
    <n v="29282.98"/>
    <s v="Los Angeles"/>
    <x v="2"/>
    <s v="XL"/>
    <s v="Green"/>
    <n v="5"/>
    <x v="0"/>
    <s v="Retail"/>
    <s v="Cash"/>
  </r>
  <r>
    <s v="ORD-202402862"/>
    <x v="536"/>
    <n v="5287"/>
    <s v="03/02/1971"/>
    <x v="0"/>
    <x v="3"/>
    <n v="5447.39"/>
    <n v="2593.27"/>
    <s v="Boston"/>
    <x v="0"/>
    <s v="XL"/>
    <s v="Blue"/>
    <n v="4"/>
    <x v="1"/>
    <s v="Wholesale"/>
    <s v="Cash"/>
  </r>
  <r>
    <s v="ORD-202402863"/>
    <x v="1413"/>
    <n v="8531"/>
    <s v="11/02/1973"/>
    <x v="0"/>
    <x v="2"/>
    <n v="48008.01"/>
    <n v="22222.29"/>
    <s v="San Francisco"/>
    <x v="2"/>
    <s v="XL"/>
    <s v="Black"/>
    <n v="2"/>
    <x v="1"/>
    <s v="Retail"/>
    <s v="Cash"/>
  </r>
  <r>
    <s v="ORD-202402864"/>
    <x v="1414"/>
    <n v="2490"/>
    <s v="18/05/1995"/>
    <x v="1"/>
    <x v="1"/>
    <n v="11120.96"/>
    <n v="6929.64"/>
    <s v="Seattle"/>
    <x v="2"/>
    <s v="L"/>
    <s v="White"/>
    <n v="5"/>
    <x v="1"/>
    <s v="Wholesale"/>
    <s v="Cash"/>
  </r>
  <r>
    <s v="ORD-202402865"/>
    <x v="1073"/>
    <n v="1595"/>
    <s v="11/01/1977"/>
    <x v="1"/>
    <x v="3"/>
    <n v="6085.6"/>
    <n v="3585.77"/>
    <s v="Chicago"/>
    <x v="1"/>
    <s v="S"/>
    <s v="White"/>
    <n v="2"/>
    <x v="0"/>
    <s v="Wholesale"/>
    <s v="Bank Transfer"/>
  </r>
  <r>
    <s v="ORD-202402866"/>
    <x v="1086"/>
    <n v="7901"/>
    <s v="30/05/1978"/>
    <x v="0"/>
    <x v="2"/>
    <n v="18094.939999999999"/>
    <n v="8389.66"/>
    <s v="Los Angeles"/>
    <x v="2"/>
    <s v="L"/>
    <s v="Yellow"/>
    <n v="3"/>
    <x v="1"/>
    <s v="Retail"/>
    <s v="Cash"/>
  </r>
  <r>
    <s v="ORD-202402867"/>
    <x v="1081"/>
    <n v="4390"/>
    <s v="05/07/1974"/>
    <x v="0"/>
    <x v="0"/>
    <n v="19551.2"/>
    <n v="8912.68"/>
    <s v="San Francisco"/>
    <x v="2"/>
    <s v="XL"/>
    <s v="White"/>
    <n v="2"/>
    <x v="1"/>
    <s v="Wholesale"/>
    <s v="PayPal"/>
  </r>
  <r>
    <s v="ORD-202402868"/>
    <x v="608"/>
    <n v="4301"/>
    <s v="10/03/1974"/>
    <x v="1"/>
    <x v="2"/>
    <n v="14463.61"/>
    <n v="8476.4699999999993"/>
    <s v="Chicago"/>
    <x v="1"/>
    <s v="XL"/>
    <s v="Green"/>
    <n v="2"/>
    <x v="1"/>
    <s v="Retail"/>
    <s v="Bank Transfer"/>
  </r>
  <r>
    <s v="ORD-202402869"/>
    <x v="976"/>
    <n v="4625"/>
    <s v="31/12/1978"/>
    <x v="0"/>
    <x v="3"/>
    <n v="11820.66"/>
    <n v="7384.59"/>
    <s v="Seattle"/>
    <x v="2"/>
    <s v="S"/>
    <s v="Black"/>
    <n v="1"/>
    <x v="1"/>
    <s v="Retail"/>
    <s v="Cash"/>
  </r>
  <r>
    <s v="ORD-202402870"/>
    <x v="1147"/>
    <n v="8053"/>
    <s v="29/11/1983"/>
    <x v="0"/>
    <x v="2"/>
    <n v="34076.07"/>
    <n v="17160.64"/>
    <s v="Seattle"/>
    <x v="2"/>
    <s v="L"/>
    <s v="Red"/>
    <n v="1"/>
    <x v="1"/>
    <s v="Retail"/>
    <s v="PayPal"/>
  </r>
  <r>
    <s v="ORD-202402871"/>
    <x v="969"/>
    <n v="7365"/>
    <s v="11/01/1983"/>
    <x v="1"/>
    <x v="3"/>
    <n v="7901.56"/>
    <n v="3648.39"/>
    <s v="Minneapolis"/>
    <x v="1"/>
    <s v="S"/>
    <s v="Black"/>
    <n v="5"/>
    <x v="1"/>
    <s v="Retail"/>
    <s v="Cash"/>
  </r>
  <r>
    <s v="ORD-202402872"/>
    <x v="111"/>
    <n v="7651"/>
    <s v="25/04/1970"/>
    <x v="0"/>
    <x v="4"/>
    <n v="54087.37"/>
    <n v="25551.86"/>
    <s v="San Francisco"/>
    <x v="2"/>
    <s v="XL"/>
    <s v="Green"/>
    <n v="1"/>
    <x v="0"/>
    <s v="Retail"/>
    <s v="PayPal"/>
  </r>
  <r>
    <s v="ORD-202402873"/>
    <x v="1415"/>
    <n v="6805"/>
    <s v="10/06/1998"/>
    <x v="0"/>
    <x v="2"/>
    <n v="20323.25"/>
    <n v="9528.1200000000008"/>
    <s v="New York"/>
    <x v="0"/>
    <s v="XL"/>
    <s v="Black"/>
    <n v="2"/>
    <x v="0"/>
    <s v="Wholesale"/>
    <s v="PayPal"/>
  </r>
  <r>
    <s v="ORD-202402874"/>
    <x v="435"/>
    <n v="6665"/>
    <s v="07/05/1989"/>
    <x v="1"/>
    <x v="3"/>
    <n v="11530.18"/>
    <n v="6903.06"/>
    <s v="Miami"/>
    <x v="0"/>
    <s v="XL"/>
    <s v="Blue"/>
    <n v="1"/>
    <x v="1"/>
    <s v="Retail"/>
    <s v="PayPal"/>
  </r>
  <r>
    <s v="ORD-202402875"/>
    <x v="1381"/>
    <n v="6560"/>
    <s v="20/03/2000"/>
    <x v="0"/>
    <x v="3"/>
    <n v="5675.45"/>
    <n v="2981.42"/>
    <s v="Chicago"/>
    <x v="1"/>
    <s v="L"/>
    <s v="Red"/>
    <n v="3"/>
    <x v="1"/>
    <s v="Retail"/>
    <s v="PayPal"/>
  </r>
  <r>
    <s v="ORD-202402876"/>
    <x v="808"/>
    <n v="6523"/>
    <s v="03/04/1983"/>
    <x v="0"/>
    <x v="4"/>
    <n v="9734.7900000000009"/>
    <n v="4958.1099999999997"/>
    <s v="Minneapolis"/>
    <x v="1"/>
    <s v="L"/>
    <s v="Green"/>
    <n v="1"/>
    <x v="2"/>
    <s v="Wholesale"/>
    <s v="Cash"/>
  </r>
  <r>
    <s v="ORD-202402877"/>
    <x v="1242"/>
    <n v="5997"/>
    <s v="14/09/1985"/>
    <x v="1"/>
    <x v="3"/>
    <n v="7421.24"/>
    <n v="3807.3"/>
    <s v="Seattle"/>
    <x v="2"/>
    <s v="L"/>
    <s v="Blue"/>
    <n v="4"/>
    <x v="0"/>
    <s v="Retail"/>
    <s v="Cash"/>
  </r>
  <r>
    <s v="ORD-202402878"/>
    <x v="686"/>
    <n v="9531"/>
    <s v="15/05/1995"/>
    <x v="0"/>
    <x v="4"/>
    <n v="26489.43"/>
    <n v="12220.56"/>
    <s v="Los Angeles"/>
    <x v="2"/>
    <s v="S"/>
    <s v="Green"/>
    <n v="4"/>
    <x v="0"/>
    <s v="Retail"/>
    <s v="Cash"/>
  </r>
  <r>
    <s v="ORD-202402879"/>
    <x v="1344"/>
    <n v="8010"/>
    <s v="28/08/1972"/>
    <x v="0"/>
    <x v="4"/>
    <n v="10645.59"/>
    <n v="5563.4"/>
    <s v="Minneapolis"/>
    <x v="1"/>
    <s v="L"/>
    <s v="Green"/>
    <n v="2"/>
    <x v="0"/>
    <s v="Retail"/>
    <s v="Bank Transfer"/>
  </r>
  <r>
    <s v="ORD-202402880"/>
    <x v="564"/>
    <n v="6675"/>
    <s v="07/04/1971"/>
    <x v="1"/>
    <x v="1"/>
    <n v="99507.09"/>
    <n v="54565.440000000002"/>
    <s v="Miami"/>
    <x v="0"/>
    <s v="L"/>
    <s v="Black"/>
    <n v="1"/>
    <x v="1"/>
    <s v="Retail"/>
    <s v="Bank Transfer"/>
  </r>
  <r>
    <s v="ORD-202402881"/>
    <x v="423"/>
    <n v="2861"/>
    <s v="02/11/1994"/>
    <x v="1"/>
    <x v="0"/>
    <n v="6224.96"/>
    <n v="3055.42"/>
    <s v="Miami"/>
    <x v="0"/>
    <s v="XL"/>
    <s v="Yellow"/>
    <n v="1"/>
    <x v="1"/>
    <s v="Wholesale"/>
    <s v="PayPal"/>
  </r>
  <r>
    <s v="ORD-202402882"/>
    <x v="22"/>
    <n v="2787"/>
    <s v="21/06/1989"/>
    <x v="0"/>
    <x v="1"/>
    <n v="98379.66"/>
    <n v="59646.43"/>
    <s v="Seattle"/>
    <x v="2"/>
    <s v="XL"/>
    <s v="Green"/>
    <n v="4"/>
    <x v="1"/>
    <s v="Retail"/>
    <s v="Bank Transfer"/>
  </r>
  <r>
    <s v="ORD-202402883"/>
    <x v="1330"/>
    <n v="1782"/>
    <s v="04/11/1984"/>
    <x v="1"/>
    <x v="1"/>
    <n v="95140.44"/>
    <n v="43916.23"/>
    <s v="San Francisco"/>
    <x v="2"/>
    <s v="S"/>
    <s v="Black"/>
    <n v="3"/>
    <x v="1"/>
    <s v="Wholesale"/>
    <s v="PayPal"/>
  </r>
  <r>
    <s v="ORD-202402884"/>
    <x v="1235"/>
    <n v="3795"/>
    <s v="21/12/1995"/>
    <x v="1"/>
    <x v="2"/>
    <n v="13692"/>
    <n v="6556.43"/>
    <s v="New York"/>
    <x v="0"/>
    <s v="L"/>
    <s v="Black"/>
    <n v="3"/>
    <x v="0"/>
    <s v="Retail"/>
    <s v="Cash"/>
  </r>
  <r>
    <s v="ORD-202402885"/>
    <x v="155"/>
    <n v="4041"/>
    <s v="15/01/1981"/>
    <x v="1"/>
    <x v="2"/>
    <n v="18132.47"/>
    <n v="10206.469999999999"/>
    <s v="New York"/>
    <x v="0"/>
    <s v="S"/>
    <s v="Yellow"/>
    <n v="5"/>
    <x v="1"/>
    <s v="Retail"/>
    <s v="PayPal"/>
  </r>
  <r>
    <s v="ORD-202402886"/>
    <x v="1081"/>
    <n v="1247"/>
    <s v="26/09/1978"/>
    <x v="1"/>
    <x v="0"/>
    <n v="9928.41"/>
    <n v="6234.17"/>
    <s v="Detroit"/>
    <x v="1"/>
    <s v="M"/>
    <s v="Red"/>
    <n v="2"/>
    <x v="0"/>
    <s v="Retail"/>
    <s v="Cash"/>
  </r>
  <r>
    <s v="ORD-202402887"/>
    <x v="824"/>
    <n v="3331"/>
    <s v="30/07/1996"/>
    <x v="0"/>
    <x v="0"/>
    <n v="16469.330000000002"/>
    <n v="9541.31"/>
    <s v="San Francisco"/>
    <x v="2"/>
    <s v="S"/>
    <s v="Green"/>
    <n v="1"/>
    <x v="2"/>
    <s v="Wholesale"/>
    <s v="PayPal"/>
  </r>
  <r>
    <s v="ORD-202402888"/>
    <x v="1384"/>
    <n v="5544"/>
    <s v="17/08/1985"/>
    <x v="0"/>
    <x v="2"/>
    <n v="40294.67"/>
    <n v="22896.22"/>
    <s v="Boston"/>
    <x v="0"/>
    <s v="S"/>
    <s v="Green"/>
    <n v="2"/>
    <x v="0"/>
    <s v="Wholesale"/>
    <s v="Bank Transfer"/>
  </r>
  <r>
    <s v="ORD-202402889"/>
    <x v="353"/>
    <n v="6200"/>
    <s v="06/06/1998"/>
    <x v="1"/>
    <x v="2"/>
    <n v="21046.69"/>
    <n v="11258.34"/>
    <s v="Seattle"/>
    <x v="2"/>
    <s v="L"/>
    <s v="Yellow"/>
    <n v="4"/>
    <x v="0"/>
    <s v="Retail"/>
    <s v="Cash"/>
  </r>
  <r>
    <s v="ORD-202402890"/>
    <x v="832"/>
    <n v="4741"/>
    <s v="12/11/1981"/>
    <x v="1"/>
    <x v="4"/>
    <n v="41369.760000000002"/>
    <n v="20193.86"/>
    <s v="New York"/>
    <x v="0"/>
    <s v="S"/>
    <s v="Yellow"/>
    <n v="1"/>
    <x v="1"/>
    <s v="Retail"/>
    <s v="Bank Transfer"/>
  </r>
  <r>
    <s v="ORD-202402891"/>
    <x v="559"/>
    <n v="6049"/>
    <s v="23/06/1980"/>
    <x v="0"/>
    <x v="3"/>
    <n v="2763.22"/>
    <n v="1491.22"/>
    <s v="New York"/>
    <x v="0"/>
    <s v="M"/>
    <s v="Blue"/>
    <n v="5"/>
    <x v="0"/>
    <s v="Retail"/>
    <s v="PayPal"/>
  </r>
  <r>
    <s v="ORD-202402892"/>
    <x v="1416"/>
    <n v="2421"/>
    <s v="20/02/1998"/>
    <x v="0"/>
    <x v="0"/>
    <n v="10326.469999999999"/>
    <n v="4662.26"/>
    <s v="Boston"/>
    <x v="0"/>
    <s v="L"/>
    <s v="Blue"/>
    <n v="2"/>
    <x v="1"/>
    <s v="Retail"/>
    <s v="Bank Transfer"/>
  </r>
  <r>
    <s v="ORD-202402893"/>
    <x v="1169"/>
    <n v="2232"/>
    <s v="10/10/1979"/>
    <x v="1"/>
    <x v="1"/>
    <n v="29983.74"/>
    <n v="13942.86"/>
    <s v="New York"/>
    <x v="0"/>
    <s v="L"/>
    <s v="Black"/>
    <n v="4"/>
    <x v="0"/>
    <s v="Wholesale"/>
    <s v="PayPal"/>
  </r>
  <r>
    <s v="ORD-202402894"/>
    <x v="809"/>
    <n v="7254"/>
    <s v="10/09/1990"/>
    <x v="0"/>
    <x v="4"/>
    <n v="7591.67"/>
    <n v="3727.47"/>
    <s v="Miami"/>
    <x v="0"/>
    <s v="XL"/>
    <s v="Yellow"/>
    <n v="4"/>
    <x v="2"/>
    <s v="Wholesale"/>
    <s v="PayPal"/>
  </r>
  <r>
    <s v="ORD-202402895"/>
    <x v="1265"/>
    <n v="6002"/>
    <s v="24/09/1988"/>
    <x v="1"/>
    <x v="2"/>
    <n v="55184.3"/>
    <n v="35757.449999999997"/>
    <s v="Los Angeles"/>
    <x v="2"/>
    <s v="S"/>
    <s v="Black"/>
    <n v="1"/>
    <x v="0"/>
    <s v="Retail"/>
    <s v="Bank Transfer"/>
  </r>
  <r>
    <s v="ORD-202402896"/>
    <x v="1158"/>
    <n v="9936"/>
    <s v="15/08/1970"/>
    <x v="1"/>
    <x v="2"/>
    <n v="16535.36"/>
    <n v="8083.62"/>
    <s v="Miami"/>
    <x v="0"/>
    <s v="S"/>
    <s v="Green"/>
    <n v="5"/>
    <x v="0"/>
    <s v="Retail"/>
    <s v="PayPal"/>
  </r>
  <r>
    <s v="ORD-202402897"/>
    <x v="1314"/>
    <n v="9675"/>
    <s v="14/04/1993"/>
    <x v="0"/>
    <x v="2"/>
    <n v="34098.03"/>
    <n v="20746.63"/>
    <s v="Chicago"/>
    <x v="1"/>
    <s v="L"/>
    <s v="Red"/>
    <n v="5"/>
    <x v="0"/>
    <s v="Retail"/>
    <s v="PayPal"/>
  </r>
  <r>
    <s v="ORD-202402898"/>
    <x v="1417"/>
    <n v="9632"/>
    <s v="06/12/1994"/>
    <x v="0"/>
    <x v="3"/>
    <n v="11854.32"/>
    <n v="6442.32"/>
    <s v="San Francisco"/>
    <x v="2"/>
    <s v="L"/>
    <s v="Black"/>
    <n v="4"/>
    <x v="1"/>
    <s v="Wholesale"/>
    <s v="PayPal"/>
  </r>
  <r>
    <s v="ORD-202402899"/>
    <x v="1418"/>
    <n v="2534"/>
    <s v="03/10/1978"/>
    <x v="0"/>
    <x v="3"/>
    <n v="3656.11"/>
    <n v="2311.3200000000002"/>
    <s v="Miami"/>
    <x v="0"/>
    <s v="M"/>
    <s v="Yellow"/>
    <n v="2"/>
    <x v="0"/>
    <s v="Wholesale"/>
    <s v="Bank Transfer"/>
  </r>
  <r>
    <s v="ORD-202402900"/>
    <x v="1419"/>
    <n v="4765"/>
    <s v="14/07/1993"/>
    <x v="1"/>
    <x v="2"/>
    <n v="38600.46"/>
    <n v="22423.25"/>
    <s v="Seattle"/>
    <x v="2"/>
    <s v="XL"/>
    <s v="Green"/>
    <n v="4"/>
    <x v="1"/>
    <s v="Retail"/>
    <s v="PayPal"/>
  </r>
  <r>
    <s v="ORD-202402901"/>
    <x v="505"/>
    <n v="4831"/>
    <s v="16/02/1979"/>
    <x v="1"/>
    <x v="0"/>
    <n v="12910.14"/>
    <n v="8102.54"/>
    <s v="Boston"/>
    <x v="0"/>
    <s v="M"/>
    <s v="Black"/>
    <n v="4"/>
    <x v="2"/>
    <s v="Wholesale"/>
    <s v="Cash"/>
  </r>
  <r>
    <s v="ORD-202402902"/>
    <x v="1420"/>
    <n v="6980"/>
    <s v="26/04/1978"/>
    <x v="0"/>
    <x v="2"/>
    <n v="6908.7"/>
    <n v="3350.59"/>
    <s v="Miami"/>
    <x v="0"/>
    <s v="M"/>
    <s v="White"/>
    <n v="4"/>
    <x v="1"/>
    <s v="Retail"/>
    <s v="Cash"/>
  </r>
  <r>
    <s v="ORD-202402903"/>
    <x v="593"/>
    <n v="7613"/>
    <s v="31/05/1990"/>
    <x v="0"/>
    <x v="4"/>
    <n v="20577"/>
    <n v="11289.02"/>
    <s v="San Francisco"/>
    <x v="2"/>
    <s v="S"/>
    <s v="White"/>
    <n v="2"/>
    <x v="1"/>
    <s v="Wholesale"/>
    <s v="Bank Transfer"/>
  </r>
  <r>
    <s v="ORD-202402904"/>
    <x v="1421"/>
    <n v="2443"/>
    <s v="12/05/1996"/>
    <x v="1"/>
    <x v="4"/>
    <n v="29656.85"/>
    <n v="13787.69"/>
    <s v="New York"/>
    <x v="0"/>
    <s v="M"/>
    <s v="White"/>
    <n v="5"/>
    <x v="0"/>
    <s v="Wholesale"/>
    <s v="PayPal"/>
  </r>
  <r>
    <s v="ORD-202402905"/>
    <x v="861"/>
    <n v="3543"/>
    <s v="13/12/1994"/>
    <x v="0"/>
    <x v="1"/>
    <n v="104192.62"/>
    <n v="60353.53"/>
    <s v="Seattle"/>
    <x v="2"/>
    <s v="S"/>
    <s v="Green"/>
    <n v="4"/>
    <x v="0"/>
    <s v="Retail"/>
    <s v="Bank Transfer"/>
  </r>
  <r>
    <s v="ORD-202402906"/>
    <x v="1022"/>
    <n v="1700"/>
    <s v="27/10/1977"/>
    <x v="1"/>
    <x v="1"/>
    <n v="36329.56"/>
    <n v="18531.8"/>
    <s v="San Francisco"/>
    <x v="2"/>
    <s v="XL"/>
    <s v="Red"/>
    <n v="1"/>
    <x v="1"/>
    <s v="Wholesale"/>
    <s v="PayPal"/>
  </r>
  <r>
    <s v="ORD-202402907"/>
    <x v="1015"/>
    <n v="9164"/>
    <s v="11/06/1987"/>
    <x v="0"/>
    <x v="2"/>
    <n v="5135.1099999999997"/>
    <n v="2902.37"/>
    <s v="Chicago"/>
    <x v="1"/>
    <s v="XL"/>
    <s v="White"/>
    <n v="1"/>
    <x v="2"/>
    <s v="Retail"/>
    <s v="Cash"/>
  </r>
  <r>
    <s v="ORD-202402908"/>
    <x v="1047"/>
    <n v="2723"/>
    <s v="17/08/1989"/>
    <x v="0"/>
    <x v="3"/>
    <n v="1667.45"/>
    <n v="937.72"/>
    <s v="Detroit"/>
    <x v="1"/>
    <s v="XL"/>
    <s v="Blue"/>
    <n v="3"/>
    <x v="0"/>
    <s v="Retail"/>
    <s v="Bank Transfer"/>
  </r>
  <r>
    <s v="ORD-202402909"/>
    <x v="15"/>
    <n v="2150"/>
    <s v="05/02/1989"/>
    <x v="1"/>
    <x v="3"/>
    <n v="19435.03"/>
    <n v="11866.97"/>
    <s v="Los Angeles"/>
    <x v="2"/>
    <s v="M"/>
    <s v="White"/>
    <n v="4"/>
    <x v="2"/>
    <s v="Retail"/>
    <s v="Bank Transfer"/>
  </r>
  <r>
    <s v="ORD-202402910"/>
    <x v="447"/>
    <n v="2085"/>
    <s v="26/09/1998"/>
    <x v="0"/>
    <x v="1"/>
    <n v="36015.97"/>
    <n v="20305.88"/>
    <s v="Chicago"/>
    <x v="1"/>
    <s v="S"/>
    <s v="White"/>
    <n v="3"/>
    <x v="0"/>
    <s v="Retail"/>
    <s v="PayPal"/>
  </r>
  <r>
    <s v="ORD-202402911"/>
    <x v="625"/>
    <n v="4992"/>
    <s v="26/02/1988"/>
    <x v="0"/>
    <x v="2"/>
    <n v="23149.62"/>
    <n v="14280.08"/>
    <s v="Seattle"/>
    <x v="2"/>
    <s v="L"/>
    <s v="White"/>
    <n v="1"/>
    <x v="2"/>
    <s v="Retail"/>
    <s v="Bank Transfer"/>
  </r>
  <r>
    <s v="ORD-202402912"/>
    <x v="320"/>
    <n v="3262"/>
    <s v="01/04/1986"/>
    <x v="1"/>
    <x v="1"/>
    <n v="123616.98"/>
    <n v="68115.460000000006"/>
    <s v="San Francisco"/>
    <x v="2"/>
    <s v="XL"/>
    <s v="Red"/>
    <n v="5"/>
    <x v="2"/>
    <s v="Wholesale"/>
    <s v="PayPal"/>
  </r>
  <r>
    <s v="ORD-202402913"/>
    <x v="86"/>
    <n v="4114"/>
    <s v="15/06/1977"/>
    <x v="1"/>
    <x v="1"/>
    <n v="11054.85"/>
    <n v="5263.27"/>
    <s v="Chicago"/>
    <x v="1"/>
    <s v="L"/>
    <s v="Green"/>
    <n v="1"/>
    <x v="1"/>
    <s v="Wholesale"/>
    <s v="Bank Transfer"/>
  </r>
  <r>
    <s v="ORD-202402914"/>
    <x v="562"/>
    <n v="6453"/>
    <s v="06/10/1977"/>
    <x v="0"/>
    <x v="4"/>
    <n v="52232.66"/>
    <n v="31433.86"/>
    <s v="New York"/>
    <x v="0"/>
    <s v="S"/>
    <s v="Blue"/>
    <n v="4"/>
    <x v="0"/>
    <s v="Retail"/>
    <s v="Cash"/>
  </r>
  <r>
    <s v="ORD-202402915"/>
    <x v="383"/>
    <n v="4504"/>
    <s v="22/08/1983"/>
    <x v="1"/>
    <x v="2"/>
    <n v="19287.78"/>
    <n v="11091"/>
    <s v="New York"/>
    <x v="0"/>
    <s v="XL"/>
    <s v="Yellow"/>
    <n v="5"/>
    <x v="2"/>
    <s v="Retail"/>
    <s v="Bank Transfer"/>
  </r>
  <r>
    <s v="ORD-202402916"/>
    <x v="908"/>
    <n v="8577"/>
    <s v="29/07/1997"/>
    <x v="0"/>
    <x v="4"/>
    <n v="48078.19"/>
    <n v="29788.89"/>
    <s v="Los Angeles"/>
    <x v="2"/>
    <s v="M"/>
    <s v="Yellow"/>
    <n v="2"/>
    <x v="0"/>
    <s v="Retail"/>
    <s v="PayPal"/>
  </r>
  <r>
    <s v="ORD-202402917"/>
    <x v="722"/>
    <n v="3975"/>
    <s v="19/01/1983"/>
    <x v="1"/>
    <x v="0"/>
    <n v="24863.69"/>
    <n v="11516.66"/>
    <s v="Los Angeles"/>
    <x v="2"/>
    <s v="XL"/>
    <s v="Green"/>
    <n v="4"/>
    <x v="1"/>
    <s v="Retail"/>
    <s v="Bank Transfer"/>
  </r>
  <r>
    <s v="ORD-202402918"/>
    <x v="226"/>
    <n v="9116"/>
    <s v="01/10/2000"/>
    <x v="0"/>
    <x v="0"/>
    <n v="17101.810000000001"/>
    <n v="9044.44"/>
    <s v="New York"/>
    <x v="0"/>
    <s v="L"/>
    <s v="Green"/>
    <n v="4"/>
    <x v="1"/>
    <s v="Wholesale"/>
    <s v="Bank Transfer"/>
  </r>
  <r>
    <s v="ORD-202402919"/>
    <x v="585"/>
    <n v="2907"/>
    <s v="10/01/1987"/>
    <x v="1"/>
    <x v="2"/>
    <n v="53990.879999999997"/>
    <n v="32978.54"/>
    <s v="Seattle"/>
    <x v="2"/>
    <s v="S"/>
    <s v="Black"/>
    <n v="3"/>
    <x v="1"/>
    <s v="Retail"/>
    <s v="Bank Transfer"/>
  </r>
  <r>
    <s v="ORD-202402920"/>
    <x v="615"/>
    <n v="8586"/>
    <s v="23/11/1986"/>
    <x v="0"/>
    <x v="4"/>
    <n v="32255.78"/>
    <n v="16407.560000000001"/>
    <s v="Seattle"/>
    <x v="2"/>
    <s v="M"/>
    <s v="Black"/>
    <n v="4"/>
    <x v="2"/>
    <s v="Wholesale"/>
    <s v="Bank Transfer"/>
  </r>
  <r>
    <s v="ORD-202402921"/>
    <x v="1381"/>
    <n v="4121"/>
    <s v="20/12/1994"/>
    <x v="1"/>
    <x v="2"/>
    <n v="40711.410000000003"/>
    <n v="19791.11"/>
    <s v="Miami"/>
    <x v="0"/>
    <s v="S"/>
    <s v="Green"/>
    <n v="2"/>
    <x v="1"/>
    <s v="Retail"/>
    <s v="Cash"/>
  </r>
  <r>
    <s v="ORD-202402922"/>
    <x v="1422"/>
    <n v="7557"/>
    <s v="24/05/1996"/>
    <x v="1"/>
    <x v="1"/>
    <n v="56056.67"/>
    <n v="31355.13"/>
    <s v="Minneapolis"/>
    <x v="1"/>
    <s v="S"/>
    <s v="Yellow"/>
    <n v="4"/>
    <x v="0"/>
    <s v="Retail"/>
    <s v="Cash"/>
  </r>
  <r>
    <s v="ORD-202402923"/>
    <x v="1423"/>
    <n v="9625"/>
    <s v="20/09/1983"/>
    <x v="1"/>
    <x v="0"/>
    <n v="7416.89"/>
    <n v="3493.8"/>
    <s v="San Francisco"/>
    <x v="2"/>
    <s v="XL"/>
    <s v="Red"/>
    <n v="5"/>
    <x v="2"/>
    <s v="Wholesale"/>
    <s v="PayPal"/>
  </r>
  <r>
    <s v="ORD-202402924"/>
    <x v="1375"/>
    <n v="1360"/>
    <s v="06/05/1979"/>
    <x v="1"/>
    <x v="4"/>
    <n v="28334"/>
    <n v="18098.36"/>
    <s v="Los Angeles"/>
    <x v="2"/>
    <s v="S"/>
    <s v="Black"/>
    <n v="2"/>
    <x v="1"/>
    <s v="Retail"/>
    <s v="PayPal"/>
  </r>
  <r>
    <s v="ORD-202402925"/>
    <x v="359"/>
    <n v="4039"/>
    <s v="30/04/1991"/>
    <x v="1"/>
    <x v="1"/>
    <n v="56964.32"/>
    <n v="34539.08"/>
    <s v="San Francisco"/>
    <x v="2"/>
    <s v="XL"/>
    <s v="Blue"/>
    <n v="2"/>
    <x v="1"/>
    <s v="Wholesale"/>
    <s v="Bank Transfer"/>
  </r>
  <r>
    <s v="ORD-202402926"/>
    <x v="1170"/>
    <n v="7066"/>
    <s v="15/01/1999"/>
    <x v="0"/>
    <x v="3"/>
    <n v="17473.7"/>
    <n v="8047.01"/>
    <s v="Seattle"/>
    <x v="2"/>
    <s v="S"/>
    <s v="Blue"/>
    <n v="4"/>
    <x v="0"/>
    <s v="Retail"/>
    <s v="Bank Transfer"/>
  </r>
  <r>
    <s v="ORD-202402927"/>
    <x v="997"/>
    <n v="4305"/>
    <s v="17/11/1998"/>
    <x v="0"/>
    <x v="2"/>
    <n v="26516.65"/>
    <n v="12635.72"/>
    <s v="Detroit"/>
    <x v="1"/>
    <s v="XL"/>
    <s v="White"/>
    <n v="2"/>
    <x v="0"/>
    <s v="Retail"/>
    <s v="Bank Transfer"/>
  </r>
  <r>
    <s v="ORD-202402928"/>
    <x v="65"/>
    <n v="6009"/>
    <s v="09/05/1971"/>
    <x v="1"/>
    <x v="1"/>
    <n v="31895.360000000001"/>
    <n v="14505.45"/>
    <s v="San Francisco"/>
    <x v="2"/>
    <s v="M"/>
    <s v="Yellow"/>
    <n v="5"/>
    <x v="2"/>
    <s v="Retail"/>
    <s v="Bank Transfer"/>
  </r>
  <r>
    <s v="ORD-202402929"/>
    <x v="840"/>
    <n v="7613"/>
    <s v="17/01/1990"/>
    <x v="1"/>
    <x v="1"/>
    <n v="98142.17"/>
    <n v="48787.39"/>
    <s v="Seattle"/>
    <x v="2"/>
    <s v="XL"/>
    <s v="White"/>
    <n v="4"/>
    <x v="1"/>
    <s v="Retail"/>
    <s v="Bank Transfer"/>
  </r>
  <r>
    <s v="ORD-202402930"/>
    <x v="21"/>
    <n v="8846"/>
    <s v="19/04/1993"/>
    <x v="1"/>
    <x v="3"/>
    <n v="4049.49"/>
    <n v="2561.64"/>
    <s v="Detroit"/>
    <x v="1"/>
    <s v="L"/>
    <s v="Red"/>
    <n v="5"/>
    <x v="0"/>
    <s v="Retail"/>
    <s v="Cash"/>
  </r>
  <r>
    <s v="ORD-202402931"/>
    <x v="1424"/>
    <n v="5266"/>
    <s v="21/01/1983"/>
    <x v="1"/>
    <x v="2"/>
    <n v="12151.23"/>
    <n v="6581.21"/>
    <s v="Boston"/>
    <x v="0"/>
    <s v="XL"/>
    <s v="Blue"/>
    <n v="3"/>
    <x v="1"/>
    <s v="Retail"/>
    <s v="Cash"/>
  </r>
  <r>
    <s v="ORD-202402932"/>
    <x v="620"/>
    <n v="3672"/>
    <s v="21/08/1990"/>
    <x v="1"/>
    <x v="4"/>
    <n v="20997.66"/>
    <n v="9679.14"/>
    <s v="Miami"/>
    <x v="0"/>
    <s v="L"/>
    <s v="Red"/>
    <n v="5"/>
    <x v="1"/>
    <s v="Retail"/>
    <s v="Bank Transfer"/>
  </r>
  <r>
    <s v="ORD-202402933"/>
    <x v="1425"/>
    <n v="4741"/>
    <s v="23/05/1971"/>
    <x v="1"/>
    <x v="2"/>
    <n v="28509.24"/>
    <n v="18243.86"/>
    <s v="Los Angeles"/>
    <x v="2"/>
    <s v="S"/>
    <s v="Black"/>
    <n v="1"/>
    <x v="0"/>
    <s v="Wholesale"/>
    <s v="PayPal"/>
  </r>
  <r>
    <s v="ORD-202402934"/>
    <x v="1260"/>
    <n v="2741"/>
    <s v="27/04/1971"/>
    <x v="0"/>
    <x v="4"/>
    <n v="36627.019999999997"/>
    <n v="21407.37"/>
    <s v="Miami"/>
    <x v="0"/>
    <s v="M"/>
    <s v="Yellow"/>
    <n v="2"/>
    <x v="2"/>
    <s v="Retail"/>
    <s v="Bank Transfer"/>
  </r>
  <r>
    <s v="ORD-202402935"/>
    <x v="1160"/>
    <n v="5011"/>
    <s v="11/09/1987"/>
    <x v="0"/>
    <x v="0"/>
    <n v="10923.43"/>
    <n v="5962.45"/>
    <s v="Minneapolis"/>
    <x v="1"/>
    <s v="XL"/>
    <s v="Red"/>
    <n v="5"/>
    <x v="1"/>
    <s v="Retail"/>
    <s v="PayPal"/>
  </r>
  <r>
    <s v="ORD-202402936"/>
    <x v="836"/>
    <n v="7427"/>
    <s v="28/02/1980"/>
    <x v="0"/>
    <x v="2"/>
    <n v="39728.370000000003"/>
    <n v="18826.32"/>
    <s v="Seattle"/>
    <x v="2"/>
    <s v="S"/>
    <s v="Blue"/>
    <n v="2"/>
    <x v="0"/>
    <s v="Retail"/>
    <s v="Bank Transfer"/>
  </r>
  <r>
    <s v="ORD-202402937"/>
    <x v="1426"/>
    <n v="7592"/>
    <s v="05/05/1981"/>
    <x v="1"/>
    <x v="1"/>
    <n v="38737.519999999997"/>
    <n v="23824.02"/>
    <s v="Boston"/>
    <x v="0"/>
    <s v="XL"/>
    <s v="White"/>
    <n v="1"/>
    <x v="0"/>
    <s v="Retail"/>
    <s v="Bank Transfer"/>
  </r>
  <r>
    <s v="ORD-202402938"/>
    <x v="466"/>
    <n v="5706"/>
    <s v="03/02/1985"/>
    <x v="0"/>
    <x v="3"/>
    <n v="6224.18"/>
    <n v="3613.46"/>
    <s v="Los Angeles"/>
    <x v="2"/>
    <s v="XL"/>
    <s v="Blue"/>
    <n v="1"/>
    <x v="2"/>
    <s v="Wholesale"/>
    <s v="Cash"/>
  </r>
  <r>
    <s v="ORD-202402939"/>
    <x v="1236"/>
    <n v="9726"/>
    <s v="03/05/1977"/>
    <x v="0"/>
    <x v="1"/>
    <n v="98687.48"/>
    <n v="59999.16"/>
    <s v="Boston"/>
    <x v="0"/>
    <s v="M"/>
    <s v="Red"/>
    <n v="3"/>
    <x v="1"/>
    <s v="Retail"/>
    <s v="Cash"/>
  </r>
  <r>
    <s v="ORD-202402940"/>
    <x v="212"/>
    <n v="1646"/>
    <s v="08/11/1996"/>
    <x v="0"/>
    <x v="2"/>
    <n v="45124.52"/>
    <n v="25730.99"/>
    <s v="San Francisco"/>
    <x v="2"/>
    <s v="M"/>
    <s v="Blue"/>
    <n v="1"/>
    <x v="0"/>
    <s v="Retail"/>
    <s v="Bank Transfer"/>
  </r>
  <r>
    <s v="ORD-202402941"/>
    <x v="1427"/>
    <n v="8473"/>
    <s v="02/08/1998"/>
    <x v="1"/>
    <x v="3"/>
    <n v="9103.8700000000008"/>
    <n v="4582.6899999999996"/>
    <s v="San Francisco"/>
    <x v="2"/>
    <s v="M"/>
    <s v="White"/>
    <n v="4"/>
    <x v="0"/>
    <s v="Wholesale"/>
    <s v="Cash"/>
  </r>
  <r>
    <s v="ORD-202402942"/>
    <x v="149"/>
    <n v="4956"/>
    <s v="08/11/1978"/>
    <x v="0"/>
    <x v="1"/>
    <n v="36810.85"/>
    <n v="18985.02"/>
    <s v="New York"/>
    <x v="0"/>
    <s v="L"/>
    <s v="Blue"/>
    <n v="1"/>
    <x v="1"/>
    <s v="Retail"/>
    <s v="Bank Transfer"/>
  </r>
  <r>
    <s v="ORD-202402943"/>
    <x v="1195"/>
    <n v="6963"/>
    <s v="11/11/1977"/>
    <x v="0"/>
    <x v="4"/>
    <n v="52590.35"/>
    <n v="26624.83"/>
    <s v="San Francisco"/>
    <x v="2"/>
    <s v="S"/>
    <s v="Blue"/>
    <n v="1"/>
    <x v="0"/>
    <s v="Retail"/>
    <s v="PayPal"/>
  </r>
  <r>
    <s v="ORD-202402944"/>
    <x v="1135"/>
    <n v="7039"/>
    <s v="19/04/1988"/>
    <x v="0"/>
    <x v="3"/>
    <n v="4441.34"/>
    <n v="2562.2399999999998"/>
    <s v="Minneapolis"/>
    <x v="1"/>
    <s v="XL"/>
    <s v="Green"/>
    <n v="3"/>
    <x v="1"/>
    <s v="Wholesale"/>
    <s v="Cash"/>
  </r>
  <r>
    <s v="ORD-202402945"/>
    <x v="332"/>
    <n v="8454"/>
    <s v="14/06/1988"/>
    <x v="0"/>
    <x v="2"/>
    <n v="20038.669999999998"/>
    <n v="10230.6"/>
    <s v="Chicago"/>
    <x v="1"/>
    <s v="S"/>
    <s v="Red"/>
    <n v="5"/>
    <x v="2"/>
    <s v="Wholesale"/>
    <s v="PayPal"/>
  </r>
  <r>
    <s v="ORD-202402946"/>
    <x v="492"/>
    <n v="4443"/>
    <s v="27/06/2000"/>
    <x v="1"/>
    <x v="3"/>
    <n v="15071.52"/>
    <n v="7805.99"/>
    <s v="Seattle"/>
    <x v="2"/>
    <s v="L"/>
    <s v="Blue"/>
    <n v="3"/>
    <x v="0"/>
    <s v="Wholesale"/>
    <s v="Bank Transfer"/>
  </r>
  <r>
    <s v="ORD-202402947"/>
    <x v="1428"/>
    <n v="9134"/>
    <s v="08/02/1970"/>
    <x v="0"/>
    <x v="0"/>
    <n v="18740.98"/>
    <n v="9363.2199999999993"/>
    <s v="Seattle"/>
    <x v="2"/>
    <s v="L"/>
    <s v="Black"/>
    <n v="4"/>
    <x v="0"/>
    <s v="Wholesale"/>
    <s v="Cash"/>
  </r>
  <r>
    <s v="ORD-202402948"/>
    <x v="1137"/>
    <n v="2445"/>
    <s v="28/09/1997"/>
    <x v="1"/>
    <x v="0"/>
    <n v="4332.76"/>
    <n v="2555.29"/>
    <s v="Miami"/>
    <x v="0"/>
    <s v="M"/>
    <s v="Black"/>
    <n v="3"/>
    <x v="1"/>
    <s v="Retail"/>
    <s v="Bank Transfer"/>
  </r>
  <r>
    <s v="ORD-202402949"/>
    <x v="978"/>
    <n v="1378"/>
    <s v="05/01/1988"/>
    <x v="1"/>
    <x v="0"/>
    <n v="3806.56"/>
    <n v="2188.19"/>
    <s v="Miami"/>
    <x v="0"/>
    <s v="L"/>
    <s v="Yellow"/>
    <n v="4"/>
    <x v="1"/>
    <s v="Retail"/>
    <s v="Bank Transfer"/>
  </r>
  <r>
    <s v="ORD-202402950"/>
    <x v="1429"/>
    <n v="6068"/>
    <s v="25/12/1986"/>
    <x v="0"/>
    <x v="2"/>
    <n v="46650.45"/>
    <n v="26552.81"/>
    <s v="Los Angeles"/>
    <x v="2"/>
    <s v="L"/>
    <s v="Green"/>
    <n v="2"/>
    <x v="0"/>
    <s v="Wholesale"/>
    <s v="Bank Transfer"/>
  </r>
  <r>
    <s v="ORD-202402951"/>
    <x v="652"/>
    <n v="6815"/>
    <s v="27/10/1974"/>
    <x v="0"/>
    <x v="1"/>
    <n v="69509.73"/>
    <n v="39067.26"/>
    <s v="New York"/>
    <x v="0"/>
    <s v="M"/>
    <s v="Red"/>
    <n v="3"/>
    <x v="0"/>
    <s v="Retail"/>
    <s v="Cash"/>
  </r>
  <r>
    <s v="ORD-202402952"/>
    <x v="438"/>
    <n v="3606"/>
    <s v="09/05/1978"/>
    <x v="1"/>
    <x v="0"/>
    <n v="8342.59"/>
    <n v="5245.16"/>
    <s v="San Francisco"/>
    <x v="2"/>
    <s v="L"/>
    <s v="Black"/>
    <n v="3"/>
    <x v="0"/>
    <s v="Wholesale"/>
    <s v="PayPal"/>
  </r>
  <r>
    <s v="ORD-202402953"/>
    <x v="1430"/>
    <n v="7300"/>
    <s v="31/08/1986"/>
    <x v="1"/>
    <x v="3"/>
    <n v="8749.08"/>
    <n v="4711.51"/>
    <s v="Chicago"/>
    <x v="1"/>
    <s v="M"/>
    <s v="Blue"/>
    <n v="5"/>
    <x v="1"/>
    <s v="Retail"/>
    <s v="Bank Transfer"/>
  </r>
  <r>
    <s v="ORD-202402954"/>
    <x v="32"/>
    <n v="9330"/>
    <s v="20/08/1992"/>
    <x v="1"/>
    <x v="1"/>
    <n v="81138.87"/>
    <n v="45388.19"/>
    <s v="Los Angeles"/>
    <x v="2"/>
    <s v="M"/>
    <s v="Yellow"/>
    <n v="1"/>
    <x v="0"/>
    <s v="Retail"/>
    <s v="Bank Transfer"/>
  </r>
  <r>
    <s v="ORD-202402955"/>
    <x v="208"/>
    <n v="2166"/>
    <s v="18/07/1970"/>
    <x v="1"/>
    <x v="2"/>
    <n v="40619.480000000003"/>
    <n v="23406.27"/>
    <s v="Seattle"/>
    <x v="2"/>
    <s v="L"/>
    <s v="White"/>
    <n v="1"/>
    <x v="2"/>
    <s v="Wholesale"/>
    <s v="Bank Transfer"/>
  </r>
  <r>
    <s v="ORD-202402956"/>
    <x v="1283"/>
    <n v="8663"/>
    <s v="22/09/1998"/>
    <x v="0"/>
    <x v="0"/>
    <n v="14223.82"/>
    <n v="8995.7099999999991"/>
    <s v="Chicago"/>
    <x v="1"/>
    <s v="XL"/>
    <s v="Red"/>
    <n v="5"/>
    <x v="2"/>
    <s v="Retail"/>
    <s v="Bank Transfer"/>
  </r>
  <r>
    <s v="ORD-202402957"/>
    <x v="119"/>
    <n v="3165"/>
    <s v="23/10/1999"/>
    <x v="0"/>
    <x v="4"/>
    <n v="29863.86"/>
    <n v="18731.03"/>
    <s v="Miami"/>
    <x v="0"/>
    <s v="M"/>
    <s v="Red"/>
    <n v="3"/>
    <x v="1"/>
    <s v="Wholesale"/>
    <s v="Cash"/>
  </r>
  <r>
    <s v="ORD-202402958"/>
    <x v="294"/>
    <n v="9732"/>
    <s v="25/08/1981"/>
    <x v="1"/>
    <x v="4"/>
    <n v="14490.22"/>
    <n v="7954.93"/>
    <s v="Minneapolis"/>
    <x v="1"/>
    <s v="M"/>
    <s v="Red"/>
    <n v="2"/>
    <x v="1"/>
    <s v="Wholesale"/>
    <s v="Bank Transfer"/>
  </r>
  <r>
    <s v="ORD-202402959"/>
    <x v="1431"/>
    <n v="9870"/>
    <s v="15/08/1973"/>
    <x v="0"/>
    <x v="2"/>
    <n v="11205.88"/>
    <n v="5448.02"/>
    <s v="San Francisco"/>
    <x v="2"/>
    <s v="M"/>
    <s v="White"/>
    <n v="4"/>
    <x v="2"/>
    <s v="Wholesale"/>
    <s v="PayPal"/>
  </r>
  <r>
    <s v="ORD-202402960"/>
    <x v="987"/>
    <n v="2352"/>
    <s v="13/06/1989"/>
    <x v="1"/>
    <x v="1"/>
    <n v="58378.07"/>
    <n v="31177.34"/>
    <s v="San Francisco"/>
    <x v="2"/>
    <s v="XL"/>
    <s v="Red"/>
    <n v="1"/>
    <x v="0"/>
    <s v="Retail"/>
    <s v="Bank Transfer"/>
  </r>
  <r>
    <s v="ORD-202402961"/>
    <x v="260"/>
    <n v="9908"/>
    <s v="13/02/1971"/>
    <x v="0"/>
    <x v="1"/>
    <n v="20162.310000000001"/>
    <n v="11834.04"/>
    <s v="San Francisco"/>
    <x v="2"/>
    <s v="M"/>
    <s v="Red"/>
    <n v="1"/>
    <x v="1"/>
    <s v="Retail"/>
    <s v="PayPal"/>
  </r>
  <r>
    <s v="ORD-202402962"/>
    <x v="1305"/>
    <n v="1973"/>
    <s v="05/02/1972"/>
    <x v="1"/>
    <x v="4"/>
    <n v="14191.97"/>
    <n v="8677.93"/>
    <s v="Chicago"/>
    <x v="1"/>
    <s v="XL"/>
    <s v="White"/>
    <n v="3"/>
    <x v="1"/>
    <s v="Retail"/>
    <s v="Bank Transfer"/>
  </r>
  <r>
    <s v="ORD-202402963"/>
    <x v="1090"/>
    <n v="7517"/>
    <s v="29/04/1974"/>
    <x v="1"/>
    <x v="4"/>
    <n v="19786.37"/>
    <n v="9421.1"/>
    <s v="San Francisco"/>
    <x v="2"/>
    <s v="L"/>
    <s v="White"/>
    <n v="3"/>
    <x v="2"/>
    <s v="Retail"/>
    <s v="Cash"/>
  </r>
  <r>
    <s v="ORD-202402964"/>
    <x v="5"/>
    <n v="9051"/>
    <s v="17/08/1980"/>
    <x v="1"/>
    <x v="4"/>
    <n v="38018.239999999998"/>
    <n v="23841.59"/>
    <s v="San Francisco"/>
    <x v="2"/>
    <s v="M"/>
    <s v="Red"/>
    <n v="3"/>
    <x v="1"/>
    <s v="Retail"/>
    <s v="Cash"/>
  </r>
  <r>
    <s v="ORD-202402965"/>
    <x v="1432"/>
    <n v="9733"/>
    <s v="03/11/1997"/>
    <x v="0"/>
    <x v="4"/>
    <n v="40108.959999999999"/>
    <n v="23305.73"/>
    <s v="Boston"/>
    <x v="0"/>
    <s v="XL"/>
    <s v="Red"/>
    <n v="3"/>
    <x v="0"/>
    <s v="Retail"/>
    <s v="PayPal"/>
  </r>
  <r>
    <s v="ORD-202402966"/>
    <x v="1433"/>
    <n v="6974"/>
    <s v="23/05/1990"/>
    <x v="1"/>
    <x v="0"/>
    <n v="10429.530000000001"/>
    <n v="6542.24"/>
    <s v="Minneapolis"/>
    <x v="1"/>
    <s v="M"/>
    <s v="White"/>
    <n v="4"/>
    <x v="2"/>
    <s v="Retail"/>
    <s v="PayPal"/>
  </r>
  <r>
    <s v="ORD-202402967"/>
    <x v="852"/>
    <n v="4562"/>
    <s v="06/12/1970"/>
    <x v="1"/>
    <x v="0"/>
    <n v="13967.72"/>
    <n v="7793.8"/>
    <s v="Miami"/>
    <x v="0"/>
    <s v="XL"/>
    <s v="Green"/>
    <n v="2"/>
    <x v="1"/>
    <s v="Retail"/>
    <s v="Cash"/>
  </r>
  <r>
    <s v="ORD-202402968"/>
    <x v="686"/>
    <n v="9922"/>
    <s v="31/10/1981"/>
    <x v="0"/>
    <x v="4"/>
    <n v="13445.25"/>
    <n v="7295.42"/>
    <s v="Los Angeles"/>
    <x v="2"/>
    <s v="S"/>
    <s v="Red"/>
    <n v="1"/>
    <x v="1"/>
    <s v="Wholesale"/>
    <s v="Bank Transfer"/>
  </r>
  <r>
    <s v="ORD-202402969"/>
    <x v="364"/>
    <n v="8113"/>
    <s v="20/08/1997"/>
    <x v="1"/>
    <x v="1"/>
    <n v="71056.12"/>
    <n v="33245.17"/>
    <s v="San Francisco"/>
    <x v="2"/>
    <s v="XL"/>
    <s v="Blue"/>
    <n v="5"/>
    <x v="1"/>
    <s v="Retail"/>
    <s v="Bank Transfer"/>
  </r>
  <r>
    <s v="ORD-202402970"/>
    <x v="538"/>
    <n v="6717"/>
    <s v="20/08/1978"/>
    <x v="0"/>
    <x v="3"/>
    <n v="3123.67"/>
    <n v="1906.38"/>
    <s v="Chicago"/>
    <x v="1"/>
    <s v="M"/>
    <s v="White"/>
    <n v="2"/>
    <x v="0"/>
    <s v="Wholesale"/>
    <s v="PayPal"/>
  </r>
  <r>
    <s v="ORD-202402971"/>
    <x v="738"/>
    <n v="1213"/>
    <s v="28/10/1994"/>
    <x v="1"/>
    <x v="0"/>
    <n v="20334.84"/>
    <n v="9472.27"/>
    <s v="New York"/>
    <x v="0"/>
    <s v="M"/>
    <s v="Green"/>
    <n v="5"/>
    <x v="1"/>
    <s v="Retail"/>
    <s v="Cash"/>
  </r>
  <r>
    <s v="ORD-202402972"/>
    <x v="1373"/>
    <n v="2519"/>
    <s v="10/09/1975"/>
    <x v="0"/>
    <x v="0"/>
    <n v="8154.46"/>
    <n v="3844.04"/>
    <s v="San Francisco"/>
    <x v="2"/>
    <s v="XL"/>
    <s v="Yellow"/>
    <n v="1"/>
    <x v="1"/>
    <s v="Retail"/>
    <s v="Cash"/>
  </r>
  <r>
    <s v="ORD-202402973"/>
    <x v="798"/>
    <n v="7020"/>
    <s v="14/06/1980"/>
    <x v="0"/>
    <x v="3"/>
    <n v="3342.74"/>
    <n v="1606.01"/>
    <s v="Detroit"/>
    <x v="1"/>
    <s v="XL"/>
    <s v="White"/>
    <n v="2"/>
    <x v="2"/>
    <s v="Retail"/>
    <s v="Cash"/>
  </r>
  <r>
    <s v="ORD-202402974"/>
    <x v="81"/>
    <n v="8096"/>
    <s v="04/12/1998"/>
    <x v="1"/>
    <x v="3"/>
    <n v="10680.93"/>
    <n v="6383.3"/>
    <s v="Los Angeles"/>
    <x v="2"/>
    <s v="L"/>
    <s v="Red"/>
    <n v="3"/>
    <x v="0"/>
    <s v="Retail"/>
    <s v="PayPal"/>
  </r>
  <r>
    <s v="ORD-202402975"/>
    <x v="426"/>
    <n v="5781"/>
    <s v="06/12/1990"/>
    <x v="0"/>
    <x v="1"/>
    <n v="27767.87"/>
    <n v="14258.85"/>
    <s v="Minneapolis"/>
    <x v="1"/>
    <s v="XL"/>
    <s v="White"/>
    <n v="5"/>
    <x v="0"/>
    <s v="Retail"/>
    <s v="PayPal"/>
  </r>
  <r>
    <s v="ORD-202402976"/>
    <x v="935"/>
    <n v="2448"/>
    <s v="10/10/1986"/>
    <x v="1"/>
    <x v="3"/>
    <n v="8781.44"/>
    <n v="4629.13"/>
    <s v="Miami"/>
    <x v="0"/>
    <s v="M"/>
    <s v="Black"/>
    <n v="2"/>
    <x v="2"/>
    <s v="Wholesale"/>
    <s v="PayPal"/>
  </r>
  <r>
    <s v="ORD-202402977"/>
    <x v="1434"/>
    <n v="6782"/>
    <s v="03/08/1997"/>
    <x v="0"/>
    <x v="4"/>
    <n v="38086.57"/>
    <n v="23202.5"/>
    <s v="New York"/>
    <x v="0"/>
    <s v="S"/>
    <s v="Green"/>
    <n v="1"/>
    <x v="0"/>
    <s v="Wholesale"/>
    <s v="PayPal"/>
  </r>
  <r>
    <s v="ORD-202402978"/>
    <x v="1071"/>
    <n v="8989"/>
    <s v="09/10/1983"/>
    <x v="1"/>
    <x v="2"/>
    <n v="10184.07"/>
    <n v="6044.72"/>
    <s v="Boston"/>
    <x v="0"/>
    <s v="XL"/>
    <s v="Red"/>
    <n v="1"/>
    <x v="1"/>
    <s v="Wholesale"/>
    <s v="PayPal"/>
  </r>
  <r>
    <s v="ORD-202402979"/>
    <x v="791"/>
    <n v="9275"/>
    <s v="28/04/1980"/>
    <x v="1"/>
    <x v="0"/>
    <n v="4164.6499999999996"/>
    <n v="1978.8"/>
    <s v="Minneapolis"/>
    <x v="1"/>
    <s v="S"/>
    <s v="White"/>
    <n v="2"/>
    <x v="0"/>
    <s v="Wholesale"/>
    <s v="Cash"/>
  </r>
  <r>
    <s v="ORD-202402980"/>
    <x v="557"/>
    <n v="1437"/>
    <s v="29/08/1978"/>
    <x v="0"/>
    <x v="0"/>
    <n v="10313.65"/>
    <n v="4814.1000000000004"/>
    <s v="Seattle"/>
    <x v="2"/>
    <s v="M"/>
    <s v="Green"/>
    <n v="2"/>
    <x v="1"/>
    <s v="Retail"/>
    <s v="Bank Transfer"/>
  </r>
  <r>
    <s v="ORD-202402981"/>
    <x v="873"/>
    <n v="8256"/>
    <s v="16/05/1992"/>
    <x v="0"/>
    <x v="1"/>
    <n v="45207.89"/>
    <n v="21654.34"/>
    <s v="San Francisco"/>
    <x v="2"/>
    <s v="L"/>
    <s v="Red"/>
    <n v="4"/>
    <x v="0"/>
    <s v="Retail"/>
    <s v="PayPal"/>
  </r>
  <r>
    <s v="ORD-202402982"/>
    <x v="1435"/>
    <n v="5938"/>
    <s v="02/06/1992"/>
    <x v="0"/>
    <x v="2"/>
    <n v="30922.67"/>
    <n v="15158.53"/>
    <s v="Miami"/>
    <x v="0"/>
    <s v="XL"/>
    <s v="Yellow"/>
    <n v="2"/>
    <x v="0"/>
    <s v="Retail"/>
    <s v="Cash"/>
  </r>
  <r>
    <s v="ORD-202402983"/>
    <x v="220"/>
    <n v="3765"/>
    <s v="13/11/1988"/>
    <x v="0"/>
    <x v="4"/>
    <n v="35737.57"/>
    <n v="18572.45"/>
    <s v="Boston"/>
    <x v="0"/>
    <s v="M"/>
    <s v="White"/>
    <n v="2"/>
    <x v="1"/>
    <s v="Wholesale"/>
    <s v="Cash"/>
  </r>
  <r>
    <s v="ORD-202402984"/>
    <x v="1188"/>
    <n v="8617"/>
    <s v="20/02/1995"/>
    <x v="1"/>
    <x v="2"/>
    <n v="35489.26"/>
    <n v="17552.57"/>
    <s v="Los Angeles"/>
    <x v="2"/>
    <s v="S"/>
    <s v="Green"/>
    <n v="1"/>
    <x v="0"/>
    <s v="Wholesale"/>
    <s v="PayPal"/>
  </r>
  <r>
    <s v="ORD-202402985"/>
    <x v="506"/>
    <n v="7568"/>
    <s v="11/08/1983"/>
    <x v="1"/>
    <x v="1"/>
    <n v="74506.81"/>
    <n v="38461.5"/>
    <s v="San Francisco"/>
    <x v="2"/>
    <s v="S"/>
    <s v="White"/>
    <n v="5"/>
    <x v="1"/>
    <s v="Retail"/>
    <s v="Cash"/>
  </r>
  <r>
    <s v="ORD-202402986"/>
    <x v="268"/>
    <n v="5867"/>
    <s v="28/10/1994"/>
    <x v="1"/>
    <x v="2"/>
    <n v="17937.89"/>
    <n v="9701.81"/>
    <s v="New York"/>
    <x v="0"/>
    <s v="L"/>
    <s v="Red"/>
    <n v="1"/>
    <x v="1"/>
    <s v="Wholesale"/>
    <s v="Bank Transfer"/>
  </r>
  <r>
    <s v="ORD-202402987"/>
    <x v="1199"/>
    <n v="6118"/>
    <s v="26/10/1988"/>
    <x v="1"/>
    <x v="1"/>
    <n v="37341.72"/>
    <n v="17662.87"/>
    <s v="Boston"/>
    <x v="0"/>
    <s v="M"/>
    <s v="Red"/>
    <n v="2"/>
    <x v="0"/>
    <s v="Retail"/>
    <s v="PayPal"/>
  </r>
  <r>
    <s v="ORD-202402988"/>
    <x v="236"/>
    <n v="3089"/>
    <s v="01/08/1998"/>
    <x v="1"/>
    <x v="2"/>
    <n v="18956.16"/>
    <n v="9618.1200000000008"/>
    <s v="New York"/>
    <x v="0"/>
    <s v="S"/>
    <s v="White"/>
    <n v="1"/>
    <x v="0"/>
    <s v="Wholesale"/>
    <s v="Cash"/>
  </r>
  <r>
    <s v="ORD-202402989"/>
    <x v="1336"/>
    <n v="2747"/>
    <s v="10/04/1988"/>
    <x v="1"/>
    <x v="1"/>
    <n v="28808.35"/>
    <n v="16678.48"/>
    <s v="San Francisco"/>
    <x v="2"/>
    <s v="S"/>
    <s v="Red"/>
    <n v="1"/>
    <x v="1"/>
    <s v="Wholesale"/>
    <s v="Cash"/>
  </r>
  <r>
    <s v="ORD-202402990"/>
    <x v="602"/>
    <n v="9297"/>
    <s v="19/11/1995"/>
    <x v="0"/>
    <x v="0"/>
    <n v="12854.62"/>
    <n v="6590.26"/>
    <s v="Boston"/>
    <x v="0"/>
    <s v="L"/>
    <s v="Green"/>
    <n v="5"/>
    <x v="2"/>
    <s v="Wholesale"/>
    <s v="PayPal"/>
  </r>
  <r>
    <s v="ORD-202402991"/>
    <x v="1115"/>
    <n v="2722"/>
    <s v="22/12/1991"/>
    <x v="1"/>
    <x v="1"/>
    <n v="40920.21"/>
    <n v="22521.68"/>
    <s v="San Francisco"/>
    <x v="2"/>
    <s v="L"/>
    <s v="Blue"/>
    <n v="5"/>
    <x v="1"/>
    <s v="Retail"/>
    <s v="PayPal"/>
  </r>
  <r>
    <s v="ORD-202402992"/>
    <x v="409"/>
    <n v="9620"/>
    <s v="18/08/1970"/>
    <x v="0"/>
    <x v="1"/>
    <n v="74952.92"/>
    <n v="34160.480000000003"/>
    <s v="Miami"/>
    <x v="0"/>
    <s v="M"/>
    <s v="Blue"/>
    <n v="5"/>
    <x v="0"/>
    <s v="Wholesale"/>
    <s v="Bank Transfer"/>
  </r>
  <r>
    <s v="ORD-202402993"/>
    <x v="815"/>
    <n v="1539"/>
    <s v="03/04/1983"/>
    <x v="0"/>
    <x v="1"/>
    <n v="47025.79"/>
    <n v="23466.86"/>
    <s v="Detroit"/>
    <x v="1"/>
    <s v="XL"/>
    <s v="Green"/>
    <n v="3"/>
    <x v="1"/>
    <s v="Retail"/>
    <s v="Bank Transfer"/>
  </r>
  <r>
    <s v="ORD-202402994"/>
    <x v="576"/>
    <n v="7305"/>
    <s v="05/09/1994"/>
    <x v="1"/>
    <x v="1"/>
    <n v="53305.06"/>
    <n v="34549.050000000003"/>
    <s v="New York"/>
    <x v="0"/>
    <s v="S"/>
    <s v="Red"/>
    <n v="5"/>
    <x v="1"/>
    <s v="Retail"/>
    <s v="Cash"/>
  </r>
  <r>
    <s v="ORD-202402995"/>
    <x v="290"/>
    <n v="1113"/>
    <s v="10/08/1970"/>
    <x v="0"/>
    <x v="3"/>
    <n v="3125.79"/>
    <n v="1614.27"/>
    <s v="New York"/>
    <x v="0"/>
    <s v="M"/>
    <s v="White"/>
    <n v="5"/>
    <x v="1"/>
    <s v="Wholesale"/>
    <s v="PayPal"/>
  </r>
  <r>
    <s v="ORD-202402996"/>
    <x v="817"/>
    <n v="1837"/>
    <s v="07/12/1976"/>
    <x v="0"/>
    <x v="4"/>
    <n v="10466.24"/>
    <n v="4857.43"/>
    <s v="Boston"/>
    <x v="0"/>
    <s v="S"/>
    <s v="White"/>
    <n v="5"/>
    <x v="0"/>
    <s v="Wholesale"/>
    <s v="Cash"/>
  </r>
  <r>
    <s v="ORD-202402997"/>
    <x v="1325"/>
    <n v="2848"/>
    <s v="04/07/1977"/>
    <x v="1"/>
    <x v="1"/>
    <n v="29667.49"/>
    <n v="15417.58"/>
    <s v="Detroit"/>
    <x v="1"/>
    <s v="S"/>
    <s v="Yellow"/>
    <n v="5"/>
    <x v="1"/>
    <s v="Retail"/>
    <s v="PayPal"/>
  </r>
  <r>
    <s v="ORD-202402998"/>
    <x v="832"/>
    <n v="6050"/>
    <s v="29/08/1996"/>
    <x v="0"/>
    <x v="0"/>
    <n v="11300.44"/>
    <n v="6009.35"/>
    <s v="Minneapolis"/>
    <x v="1"/>
    <s v="L"/>
    <s v="Yellow"/>
    <n v="2"/>
    <x v="1"/>
    <s v="Retail"/>
    <s v="Bank Transfer"/>
  </r>
  <r>
    <s v="ORD-202402999"/>
    <x v="14"/>
    <n v="5412"/>
    <s v="11/11/1991"/>
    <x v="1"/>
    <x v="0"/>
    <n v="11856.46"/>
    <n v="5545.14"/>
    <s v="Seattle"/>
    <x v="2"/>
    <s v="M"/>
    <s v="Black"/>
    <n v="2"/>
    <x v="2"/>
    <s v="Retail"/>
    <s v="PayPal"/>
  </r>
  <r>
    <s v="ORD-202403000"/>
    <x v="1436"/>
    <n v="4621"/>
    <s v="18/02/1999"/>
    <x v="1"/>
    <x v="3"/>
    <n v="6375.02"/>
    <n v="3143.58"/>
    <s v="Miami"/>
    <x v="0"/>
    <s v="S"/>
    <s v="White"/>
    <n v="1"/>
    <x v="0"/>
    <s v="Retail"/>
    <s v="Bank Transfe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3B0396-B5E6-46A5-8427-73C608F86F0F}" name="PivotTable9"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Months">
  <location ref="I3:J16"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axis="axisRow" showAll="0" sortType="ascending">
      <items count="15">
        <item sd="0" x="1"/>
        <item sd="0" x="2"/>
        <item sd="0" x="3"/>
        <item sd="0" x="4"/>
        <item sd="0" x="5"/>
        <item sd="0" x="6"/>
        <item sd="0" x="7"/>
        <item sd="0" x="8"/>
        <item sd="0" x="9"/>
        <item sd="0" x="10"/>
        <item sd="0" x="11"/>
        <item sd="0" x="12"/>
        <item h="1" sd="0" x="0"/>
        <item h="1" sd="0" x="13"/>
        <item t="default"/>
      </items>
    </pivotField>
    <pivotField showAll="0">
      <items count="7">
        <item sd="0" x="0"/>
        <item sd="0" x="1"/>
        <item sd="0" x="2"/>
        <item sd="0" x="3"/>
        <item sd="0" x="4"/>
        <item sd="0" x="5"/>
        <item t="default"/>
      </items>
    </pivotField>
    <pivotField showAll="0">
      <items count="9">
        <item sd="0" x="0"/>
        <item sd="0" x="1"/>
        <item sd="0" x="2"/>
        <item sd="0" x="3"/>
        <item sd="0" x="4"/>
        <item sd="0" x="5"/>
        <item sd="0" x="6"/>
        <item sd="0" x="7"/>
        <item t="default"/>
      </items>
    </pivotField>
    <pivotField dragToRow="0" dragToCol="0" dragToPage="0" showAll="0" defaultSubtotal="0"/>
  </pivotFields>
  <rowFields count="1">
    <field x="16"/>
  </rowFields>
  <rowItems count="13">
    <i>
      <x/>
    </i>
    <i>
      <x v="1"/>
    </i>
    <i>
      <x v="2"/>
    </i>
    <i>
      <x v="3"/>
    </i>
    <i>
      <x v="4"/>
    </i>
    <i>
      <x v="5"/>
    </i>
    <i>
      <x v="6"/>
    </i>
    <i>
      <x v="7"/>
    </i>
    <i>
      <x v="8"/>
    </i>
    <i>
      <x v="9"/>
    </i>
    <i>
      <x v="10"/>
    </i>
    <i>
      <x v="11"/>
    </i>
    <i t="grand">
      <x/>
    </i>
  </rowItems>
  <colItems count="1">
    <i/>
  </colItems>
  <dataFields count="1">
    <dataField name="Sales Amount" fld="6" baseField="16" baseItem="10" numFmtId="168"/>
  </dataFields>
  <chartFormats count="2">
    <chartFormat chart="7"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6EC486-13FD-43AF-BB44-7DA6C137EF4B}" name="PivotTable3"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 rowHeaderCaption="Years">
  <location ref="L10:M16"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1">
    <field x="18"/>
  </rowFields>
  <rowItems count="6">
    <i>
      <x v="1"/>
    </i>
    <i>
      <x v="2"/>
    </i>
    <i>
      <x v="3"/>
    </i>
    <i>
      <x v="4"/>
    </i>
    <i>
      <x v="5"/>
    </i>
    <i t="grand">
      <x/>
    </i>
  </rowItems>
  <colItems count="1">
    <i/>
  </colItems>
  <dataFields count="1">
    <dataField name="Sum of SalesAmount" fld="6" baseField="18"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7C1FC8-1FE0-40F3-8584-4C04385F66ED}" name="PivotTable12"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Region">
  <location ref="D19:E23"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ataField="1" dragToRow="0" dragToCol="0" dragToPage="0" showAll="0" defaultSubtotal="0"/>
  </pivotFields>
  <rowFields count="1">
    <field x="9"/>
  </rowFields>
  <rowItems count="4">
    <i>
      <x v="2"/>
    </i>
    <i>
      <x/>
    </i>
    <i>
      <x v="1"/>
    </i>
    <i t="grand">
      <x/>
    </i>
  </rowItems>
  <colItems count="1">
    <i/>
  </colItems>
  <dataFields count="1">
    <dataField name="Profit " fld="19" baseField="9" baseItem="0" numFmtId="168"/>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51B548-E92B-42F1-80FD-2B725DACB122}" name="PivotTable10"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Sales Method">
  <location ref="L3:M7"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3"/>
  </rowFields>
  <rowItems count="4">
    <i>
      <x/>
    </i>
    <i>
      <x v="1"/>
    </i>
    <i>
      <x v="2"/>
    </i>
    <i t="grand">
      <x/>
    </i>
  </rowItems>
  <colItems count="1">
    <i/>
  </colItems>
  <dataFields count="1">
    <dataField name="Sales Amount" fld="6" baseField="13" baseItem="0" numFmtId="168"/>
  </dataFields>
  <chartFormats count="8">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13" count="1" selected="0">
            <x v="0"/>
          </reference>
        </references>
      </pivotArea>
    </chartFormat>
    <chartFormat chart="7" format="18">
      <pivotArea type="data" outline="0" fieldPosition="0">
        <references count="2">
          <reference field="4294967294" count="1" selected="0">
            <x v="0"/>
          </reference>
          <reference field="13" count="1" selected="0">
            <x v="1"/>
          </reference>
        </references>
      </pivotArea>
    </chartFormat>
    <chartFormat chart="7" format="19">
      <pivotArea type="data" outline="0" fieldPosition="0">
        <references count="2">
          <reference field="4294967294" count="1" selected="0">
            <x v="0"/>
          </reference>
          <reference field="13" count="1" selected="0">
            <x v="2"/>
          </reference>
        </references>
      </pivotArea>
    </chartFormat>
    <chartFormat chart="9" format="24" series="1">
      <pivotArea type="data" outline="0" fieldPosition="0">
        <references count="1">
          <reference field="4294967294" count="1" selected="0">
            <x v="0"/>
          </reference>
        </references>
      </pivotArea>
    </chartFormat>
    <chartFormat chart="9" format="25">
      <pivotArea type="data" outline="0" fieldPosition="0">
        <references count="2">
          <reference field="4294967294" count="1" selected="0">
            <x v="0"/>
          </reference>
          <reference field="13" count="1" selected="0">
            <x v="0"/>
          </reference>
        </references>
      </pivotArea>
    </chartFormat>
    <chartFormat chart="9" format="26">
      <pivotArea type="data" outline="0" fieldPosition="0">
        <references count="2">
          <reference field="4294967294" count="1" selected="0">
            <x v="0"/>
          </reference>
          <reference field="13" count="1" selected="0">
            <x v="1"/>
          </reference>
        </references>
      </pivotArea>
    </chartFormat>
    <chartFormat chart="9" format="27">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0584E4-026B-46C4-9AAD-4A735781C4A5}" name="PivotTable2"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9" rowHeaderCaption="Years">
  <location ref="R3:S9" firstHeaderRow="1" firstDataRow="1" firstDataCol="1"/>
  <pivotFields count="20">
    <pivotField showAll="0"/>
    <pivotField axis="axisRow"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ataField="1" dragToRow="0" dragToCol="0" dragToPage="0" showAll="0" defaultSubtotal="0"/>
  </pivotFields>
  <rowFields count="2">
    <field x="18"/>
    <field x="1"/>
  </rowFields>
  <rowItems count="6">
    <i>
      <x v="1"/>
    </i>
    <i>
      <x v="2"/>
    </i>
    <i>
      <x v="3"/>
    </i>
    <i>
      <x v="4"/>
    </i>
    <i>
      <x v="5"/>
    </i>
    <i t="grand">
      <x/>
    </i>
  </rowItems>
  <colItems count="1">
    <i/>
  </colItems>
  <dataFields count="1">
    <dataField name="Sum of Profit" fld="19" baseField="18" baseItem="1"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03A67A-C3E1-4376-9C78-4FA9A9ADE444}" name="PivotTable4"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 rowHeaderCaption="Years">
  <location ref="O19:Q25" firstHeaderRow="0" firstDataRow="1" firstDataCol="1"/>
  <pivotFields count="20">
    <pivotField dataField="1" showAll="0"/>
    <pivotField axis="axisRow"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2">
    <field x="18"/>
    <field x="1"/>
  </rowFields>
  <rowItems count="6">
    <i>
      <x v="1"/>
    </i>
    <i>
      <x v="2"/>
    </i>
    <i>
      <x v="3"/>
    </i>
    <i>
      <x v="4"/>
    </i>
    <i>
      <x v="5"/>
    </i>
    <i t="grand">
      <x/>
    </i>
  </rowItems>
  <colFields count="1">
    <field x="-2"/>
  </colFields>
  <colItems count="2">
    <i>
      <x/>
    </i>
    <i i="1">
      <x v="1"/>
    </i>
  </colItems>
  <dataFields count="2">
    <dataField name="Count of OrderID" fld="0" subtotal="count" baseField="0" baseItem="0"/>
    <dataField name="Average of SalesAmount" fld="6" subtotal="average" baseField="18" baseItem="2"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5B0CFB-BF70-4FAD-ABF2-44F171CAAF26}" name="PivotTable1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9" rowHeaderCaption="Gender">
  <location ref="A12:B15"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4"/>
  </rowFields>
  <rowItems count="3">
    <i>
      <x v="1"/>
    </i>
    <i>
      <x/>
    </i>
    <i t="grand">
      <x/>
    </i>
  </rowItems>
  <colItems count="1">
    <i/>
  </colItems>
  <dataFields count="1">
    <dataField name="Sales Amount" fld="6" baseField="4" baseItem="0" numFmtId="165"/>
  </dataFields>
  <chartFormats count="6">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4" count="1" selected="0">
            <x v="1"/>
          </reference>
        </references>
      </pivotArea>
    </chartFormat>
    <chartFormat chart="6" format="14">
      <pivotArea type="data" outline="0" fieldPosition="0">
        <references count="2">
          <reference field="4294967294" count="1" selected="0">
            <x v="0"/>
          </reference>
          <reference field="4" count="1" selected="0">
            <x v="0"/>
          </reference>
        </references>
      </pivotArea>
    </chartFormat>
    <chartFormat chart="8" format="18" series="1">
      <pivotArea type="data" outline="0" fieldPosition="0">
        <references count="1">
          <reference field="4294967294" count="1" selected="0">
            <x v="0"/>
          </reference>
        </references>
      </pivotArea>
    </chartFormat>
    <chartFormat chart="8" format="19">
      <pivotArea type="data" outline="0" fieldPosition="0">
        <references count="2">
          <reference field="4294967294" count="1" selected="0">
            <x v="0"/>
          </reference>
          <reference field="4" count="1" selected="0">
            <x v="1"/>
          </reference>
        </references>
      </pivotArea>
    </chartFormat>
    <chartFormat chart="8" format="20">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A9E625-FD94-49D3-8B6E-3DCCF18A278C}" name="PivotTable6"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9" rowHeaderCaption="Region">
  <location ref="A19:B23"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9"/>
  </rowFields>
  <rowItems count="4">
    <i>
      <x/>
    </i>
    <i>
      <x v="1"/>
    </i>
    <i>
      <x v="2"/>
    </i>
    <i t="grand">
      <x/>
    </i>
  </rowItems>
  <colItems count="1">
    <i/>
  </colItems>
  <dataFields count="1">
    <dataField name="Sum of SalesAmount" fld="6" baseField="9"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A6BDC2-6E5E-4B04-B04C-744DFC0A09A7}" name="PivotTable7"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Region">
  <location ref="A3:B7"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9"/>
  </rowFields>
  <rowItems count="4">
    <i>
      <x v="2"/>
    </i>
    <i>
      <x/>
    </i>
    <i>
      <x v="1"/>
    </i>
    <i t="grand">
      <x/>
    </i>
  </rowItems>
  <colItems count="1">
    <i/>
  </colItems>
  <dataFields count="1">
    <dataField name="Sales Amount" fld="6" baseField="9" baseItem="0" numFmtId="168"/>
  </dataFields>
  <chartFormats count="2">
    <chartFormat chart="7"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21932FD-0E7C-4EAA-9C39-166940CFC9A1}" name="PivotTable5"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 rowHeaderCaption="Years">
  <location ref="L19:M25" firstHeaderRow="1" firstDataRow="1" firstDataCol="1"/>
  <pivotFields count="20">
    <pivotField showAll="0"/>
    <pivotField axis="axisRow"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ataField="1" dragToRow="0" dragToCol="0" dragToPage="0" showAll="0" defaultSubtotal="0"/>
  </pivotFields>
  <rowFields count="2">
    <field x="18"/>
    <field x="1"/>
  </rowFields>
  <rowItems count="6">
    <i>
      <x v="1"/>
    </i>
    <i>
      <x v="2"/>
    </i>
    <i>
      <x v="3"/>
    </i>
    <i>
      <x v="4"/>
    </i>
    <i>
      <x v="5"/>
    </i>
    <i t="grand">
      <x/>
    </i>
  </rowItems>
  <colItems count="1">
    <i/>
  </colItems>
  <dataFields count="1">
    <dataField name="Sum of Profit" fld="19" baseField="18" baseItem="1"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9A1D0C6-0E47-4B29-BAB1-19AB2C0676F7}" name="PivotTable8"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3" rowHeaderCaption="Item Category">
  <location ref="E3:F9"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axis="axisRow" showAll="0" sortType="ascending">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5"/>
  </rowFields>
  <rowItems count="6">
    <i>
      <x/>
    </i>
    <i>
      <x v="1"/>
    </i>
    <i>
      <x v="2"/>
    </i>
    <i>
      <x v="3"/>
    </i>
    <i>
      <x v="4"/>
    </i>
    <i t="grand">
      <x/>
    </i>
  </rowItems>
  <colItems count="1">
    <i/>
  </colItems>
  <dataFields count="1">
    <dataField name="Sales Amount" fld="6" baseField="5" baseItem="1" numFmtId="165"/>
  </dataFields>
  <chartFormats count="2">
    <chartFormat chart="30" format="4"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B052617A-1635-49E9-BC07-741818415D35}" sourceName="Item-Category">
  <pivotTables>
    <pivotTable tabId="9" name="PivotTable11"/>
    <pivotTable tabId="9" name="PivotTable10"/>
    <pivotTable tabId="9" name="PivotTable12"/>
    <pivotTable tabId="9" name="PivotTable2"/>
    <pivotTable tabId="9" name="PivotTable3"/>
    <pivotTable tabId="9" name="PivotTable4"/>
    <pivotTable tabId="9" name="PivotTable5"/>
    <pivotTable tabId="9" name="PivotTable6"/>
    <pivotTable tabId="9" name="PivotTable7"/>
    <pivotTable tabId="9" name="PivotTable8"/>
    <pivotTable tabId="9" name="PivotTable9"/>
  </pivotTables>
  <data>
    <tabular pivotCacheId="103117405">
      <items count="5">
        <i x="0" s="1"/>
        <i x="1" s="1"/>
        <i x="3" s="1"/>
        <i x="2"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Date" xr10:uid="{8A6D1E46-0E58-4384-86C8-C90E8C7D7624}" sourceName="Years (OrderDate)">
  <pivotTables>
    <pivotTable tabId="9" name="PivotTable11"/>
    <pivotTable tabId="9" name="PivotTable10"/>
    <pivotTable tabId="9" name="PivotTable12"/>
    <pivotTable tabId="9" name="PivotTable2"/>
    <pivotTable tabId="9" name="PivotTable3"/>
    <pivotTable tabId="9" name="PivotTable4"/>
    <pivotTable tabId="9" name="PivotTable5"/>
    <pivotTable tabId="9" name="PivotTable6"/>
    <pivotTable tabId="9" name="PivotTable7"/>
    <pivotTable tabId="9" name="PivotTable8"/>
    <pivotTable tabId="9" name="PivotTable9"/>
  </pivotTables>
  <data>
    <tabular pivotCacheId="103117405">
      <items count="8">
        <i x="1" s="1"/>
        <i x="2" s="1"/>
        <i x="3" s="1"/>
        <i x="4" s="1"/>
        <i x="5" s="1"/>
        <i x="0" s="1" nd="1"/>
        <i x="7"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Category 2" xr10:uid="{E50C45D4-CDFB-4D8E-BA31-F252843A0E4E}" cache="Slicer_Item_Category" caption="Item-Category" style="SlicerStyleOther2" rowHeight="241300"/>
  <slicer name="Years (OrderDate) 2" xr10:uid="{22766690-EA07-4BF0-9693-3D710CB3845A}" cache="Slicer_Years__OrderDate" caption="Years (OrderDate)"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Category 1" xr10:uid="{48CFA70D-DCA5-4728-B6D1-0646109E2882}" cache="Slicer_Item_Category" caption="Item-Category" style="SlicerStyleOther2" rowHeight="241300"/>
  <slicer name="Years (OrderDate) 1" xr10:uid="{7F24C4CA-F618-4377-8790-4B6FBA95ABA5}" cache="Slicer_Years__OrderDate" caption="Years (OrderDate)"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669CA1-A7F4-48CE-9429-BA43D4F8F92C}" name="Table" displayName="Table" ref="A1:P3001" totalsRowShown="0" headerRowDxfId="3">
  <autoFilter ref="A1:P3001" xr:uid="{23669CA1-A7F4-48CE-9429-BA43D4F8F92C}"/>
  <tableColumns count="16">
    <tableColumn id="1" xr3:uid="{436894FE-10E6-4538-88A9-3A9E61787317}" name="OrderID"/>
    <tableColumn id="2" xr3:uid="{DC6EC91F-F718-4ACF-8A9C-892B10043CB5}" name="OrderDate" dataDxfId="2"/>
    <tableColumn id="3" xr3:uid="{B0DC77ED-3C7F-4FA7-B7DF-EC6D17D86DA4}" name="CustomerID"/>
    <tableColumn id="4" xr3:uid="{020C79AF-1D61-4938-BE74-4F5E2DB2DE80}" name="DateOfBirth"/>
    <tableColumn id="5" xr3:uid="{5C9B9B5A-004C-4A48-AA52-77DFFA4DCB2E}" name="Gender"/>
    <tableColumn id="6" xr3:uid="{4E62B322-6F73-4CB8-AB6F-DF0141499D8E}" name="Item-Category"/>
    <tableColumn id="7" xr3:uid="{9538B9FB-72D7-46CF-8B3C-D8B82D758838}" name="SalesAmount"/>
    <tableColumn id="8" xr3:uid="{FF87E67F-3BEF-4463-8C72-8A8805E5D6B2}" name="COGS"/>
    <tableColumn id="9" xr3:uid="{74FB7390-277A-4BB0-9763-E032D8F9E177}" name="StoreLocation"/>
    <tableColumn id="10" xr3:uid="{532CDA21-C8A7-44D8-89DC-55C8EB0070D0}" name="Region"/>
    <tableColumn id="11" xr3:uid="{EAF4D6BC-4859-45CB-BA56-9C9A466305DD}" name="Size"/>
    <tableColumn id="12" xr3:uid="{B9FB63CF-8A3D-4143-BFA5-3C565BA2E774}" name="Colour"/>
    <tableColumn id="13" xr3:uid="{09BF36D8-A2F1-4125-A270-1EFDD522CE75}" name="Reviews"/>
    <tableColumn id="14" xr3:uid="{7B87D070-D6CB-4E8A-AD3C-6BA4B72EE14E}" name="SalesMethod"/>
    <tableColumn id="15" xr3:uid="{90ECB82E-D00B-44D3-A8FF-896F4B4359A5}" name="ShoppingType"/>
    <tableColumn id="16" xr3:uid="{B160AA1D-511E-406E-8971-FB4EF3958457}" name="PaymentTyp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31821D-6242-47BB-8811-0EA35EE5403A}" name="Table6" displayName="Table6" ref="O3:P7" totalsRowShown="0" headerRowDxfId="1">
  <autoFilter ref="O3:P7" xr:uid="{B431821D-6242-47BB-8811-0EA35EE5403A}"/>
  <tableColumns count="2">
    <tableColumn id="1" xr3:uid="{46434C77-F9E8-445B-988E-AA4C61DFEE5B}" name="KPIs"/>
    <tableColumn id="2" xr3:uid="{16DBEE1D-751A-4BD4-827B-13820955CB90}" name="Valu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33A17-4941-4EED-8FB2-BE456ECE87ED}">
  <sheetPr codeName="Sheet2"/>
  <dimension ref="A1:P3041"/>
  <sheetViews>
    <sheetView zoomScale="99" workbookViewId="0">
      <selection activeCell="R17" sqref="R17"/>
    </sheetView>
  </sheetViews>
  <sheetFormatPr defaultRowHeight="15" x14ac:dyDescent="0.25"/>
  <cols>
    <col min="1" max="1" width="14.7109375" bestFit="1" customWidth="1"/>
    <col min="2" max="2" width="18.5703125" bestFit="1" customWidth="1"/>
    <col min="3" max="3" width="11.42578125" bestFit="1" customWidth="1"/>
    <col min="4" max="4" width="18.5703125" bestFit="1" customWidth="1"/>
    <col min="5" max="5" width="10" customWidth="1"/>
    <col min="6" max="6" width="14.140625" bestFit="1" customWidth="1"/>
    <col min="7" max="7" width="12.7109375" bestFit="1" customWidth="1"/>
    <col min="8" max="8" width="9" bestFit="1" customWidth="1"/>
    <col min="9" max="9" width="15.42578125" bestFit="1" customWidth="1"/>
    <col min="10" max="10" width="7.28515625" bestFit="1" customWidth="1"/>
    <col min="11" max="11" width="4.5703125" bestFit="1" customWidth="1"/>
    <col min="12" max="12" width="7" bestFit="1" customWidth="1"/>
    <col min="13" max="13" width="8.42578125" bestFit="1" customWidth="1"/>
    <col min="14" max="14" width="12.7109375" bestFit="1" customWidth="1"/>
    <col min="15" max="15" width="13.7109375" bestFit="1" customWidth="1"/>
    <col min="16" max="16" width="13.28515625" bestFit="1" customWidth="1"/>
  </cols>
  <sheetData>
    <row r="1" spans="1:16"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row>
    <row r="2" spans="1:16" x14ac:dyDescent="0.25">
      <c r="A2" s="2" t="s">
        <v>16</v>
      </c>
      <c r="B2" s="2" t="s">
        <v>2330</v>
      </c>
      <c r="C2" s="2">
        <v>1711</v>
      </c>
      <c r="D2" s="2" t="s">
        <v>6465</v>
      </c>
      <c r="E2" s="2" t="s">
        <v>38</v>
      </c>
      <c r="F2" s="2" t="s">
        <v>58</v>
      </c>
      <c r="G2" s="2">
        <v>41760.660000000003</v>
      </c>
      <c r="H2" s="2">
        <v>26919.89</v>
      </c>
      <c r="I2" s="2" t="s">
        <v>53</v>
      </c>
      <c r="J2" s="2" t="s">
        <v>54</v>
      </c>
      <c r="K2" s="2" t="s">
        <v>80</v>
      </c>
      <c r="L2" s="2" t="s">
        <v>55</v>
      </c>
      <c r="M2" s="2">
        <v>5</v>
      </c>
      <c r="N2" s="2" t="s">
        <v>33</v>
      </c>
      <c r="O2" s="2" t="s">
        <v>70</v>
      </c>
      <c r="P2" s="2" t="s">
        <v>34</v>
      </c>
    </row>
    <row r="3" spans="1:16" x14ac:dyDescent="0.25">
      <c r="A3" s="2" t="s">
        <v>27</v>
      </c>
      <c r="B3" s="2" t="s">
        <v>1911</v>
      </c>
      <c r="C3" s="2">
        <v>2654</v>
      </c>
      <c r="D3" s="2" t="s">
        <v>6676</v>
      </c>
      <c r="E3" s="2" t="s">
        <v>38</v>
      </c>
      <c r="F3" s="2" t="s">
        <v>19</v>
      </c>
      <c r="G3" s="2">
        <v>9413.27</v>
      </c>
      <c r="H3" s="2">
        <v>5432.75</v>
      </c>
      <c r="I3" s="2" t="s">
        <v>20</v>
      </c>
      <c r="J3" s="2" t="s">
        <v>21</v>
      </c>
      <c r="K3" s="2" t="s">
        <v>42</v>
      </c>
      <c r="L3" s="2" t="s">
        <v>23</v>
      </c>
      <c r="M3" s="2">
        <v>3</v>
      </c>
      <c r="N3" s="2" t="s">
        <v>33</v>
      </c>
      <c r="O3" s="2" t="s">
        <v>70</v>
      </c>
      <c r="P3" s="2" t="s">
        <v>49</v>
      </c>
    </row>
    <row r="4" spans="1:16" x14ac:dyDescent="0.25">
      <c r="A4" s="2" t="s">
        <v>35</v>
      </c>
      <c r="B4" s="2" t="s">
        <v>2082</v>
      </c>
      <c r="C4" s="2">
        <v>8573</v>
      </c>
      <c r="D4" s="2" t="s">
        <v>6677</v>
      </c>
      <c r="E4" s="2" t="s">
        <v>38</v>
      </c>
      <c r="F4" s="2" t="s">
        <v>19</v>
      </c>
      <c r="G4" s="2">
        <v>8526.3799999999992</v>
      </c>
      <c r="H4" s="2">
        <v>5414.92</v>
      </c>
      <c r="I4" s="2" t="s">
        <v>31</v>
      </c>
      <c r="J4" s="2" t="s">
        <v>21</v>
      </c>
      <c r="K4" s="2" t="s">
        <v>32</v>
      </c>
      <c r="L4" s="2" t="s">
        <v>48</v>
      </c>
      <c r="M4" s="2">
        <v>3</v>
      </c>
      <c r="N4" s="2" t="s">
        <v>69</v>
      </c>
      <c r="O4" s="2" t="s">
        <v>70</v>
      </c>
      <c r="P4" s="2" t="s">
        <v>26</v>
      </c>
    </row>
    <row r="5" spans="1:16" x14ac:dyDescent="0.25">
      <c r="A5" s="2" t="s">
        <v>44</v>
      </c>
      <c r="B5" s="2" t="s">
        <v>6678</v>
      </c>
      <c r="C5" s="2">
        <v>4483</v>
      </c>
      <c r="D5" s="2" t="s">
        <v>6679</v>
      </c>
      <c r="E5" s="2" t="s">
        <v>6680</v>
      </c>
      <c r="F5" s="2" t="s">
        <v>39</v>
      </c>
      <c r="G5" s="2">
        <v>12785.61</v>
      </c>
      <c r="H5" s="2">
        <v>8092.13</v>
      </c>
      <c r="I5" s="2" t="s">
        <v>6681</v>
      </c>
      <c r="J5" s="2" t="s">
        <v>6682</v>
      </c>
      <c r="K5" s="2" t="s">
        <v>80</v>
      </c>
      <c r="L5" s="2" t="s">
        <v>23</v>
      </c>
      <c r="M5" s="2">
        <v>3</v>
      </c>
      <c r="N5" s="2" t="s">
        <v>33</v>
      </c>
      <c r="O5" s="2" t="s">
        <v>70</v>
      </c>
      <c r="P5" s="2" t="s">
        <v>49</v>
      </c>
    </row>
    <row r="6" spans="1:16" x14ac:dyDescent="0.25">
      <c r="A6" s="2" t="s">
        <v>50</v>
      </c>
      <c r="B6" s="2" t="s">
        <v>61</v>
      </c>
      <c r="C6" s="2">
        <v>3504</v>
      </c>
      <c r="D6" s="2" t="s">
        <v>62</v>
      </c>
      <c r="E6" s="2" t="s">
        <v>18</v>
      </c>
      <c r="F6" s="2" t="s">
        <v>30</v>
      </c>
      <c r="G6" s="2">
        <v>62839.61</v>
      </c>
      <c r="H6" s="2">
        <v>33583.5</v>
      </c>
      <c r="I6" s="2" t="s">
        <v>63</v>
      </c>
      <c r="J6" s="2" t="s">
        <v>54</v>
      </c>
      <c r="K6" s="2" t="s">
        <v>22</v>
      </c>
      <c r="L6" s="2" t="s">
        <v>64</v>
      </c>
      <c r="M6" s="2">
        <v>4</v>
      </c>
      <c r="N6" s="2" t="s">
        <v>24</v>
      </c>
      <c r="O6" s="2" t="s">
        <v>25</v>
      </c>
      <c r="P6" s="2" t="s">
        <v>34</v>
      </c>
    </row>
    <row r="7" spans="1:16" x14ac:dyDescent="0.25">
      <c r="A7" s="2" t="s">
        <v>56</v>
      </c>
      <c r="B7" s="2" t="s">
        <v>66</v>
      </c>
      <c r="C7" s="2">
        <v>6573</v>
      </c>
      <c r="D7" s="2" t="s">
        <v>67</v>
      </c>
      <c r="E7" s="2" t="s">
        <v>18</v>
      </c>
      <c r="F7" s="2" t="s">
        <v>19</v>
      </c>
      <c r="G7" s="2">
        <v>4944.29</v>
      </c>
      <c r="H7" s="2">
        <v>2381.33</v>
      </c>
      <c r="I7" s="2" t="s">
        <v>68</v>
      </c>
      <c r="J7" s="2" t="s">
        <v>41</v>
      </c>
      <c r="K7" s="2" t="s">
        <v>22</v>
      </c>
      <c r="L7" s="2" t="s">
        <v>48</v>
      </c>
      <c r="M7" s="2">
        <v>3</v>
      </c>
      <c r="N7" s="2" t="s">
        <v>69</v>
      </c>
      <c r="O7" s="2" t="s">
        <v>70</v>
      </c>
      <c r="P7" s="2" t="s">
        <v>49</v>
      </c>
    </row>
    <row r="8" spans="1:16" x14ac:dyDescent="0.25">
      <c r="A8" s="2" t="s">
        <v>60</v>
      </c>
      <c r="B8" s="2" t="s">
        <v>4428</v>
      </c>
      <c r="C8" s="2">
        <v>7126</v>
      </c>
      <c r="D8" s="2" t="s">
        <v>6683</v>
      </c>
      <c r="E8" s="2" t="s">
        <v>18</v>
      </c>
      <c r="F8" s="2" t="s">
        <v>47</v>
      </c>
      <c r="G8" s="2">
        <v>7971.43</v>
      </c>
      <c r="H8" s="2">
        <v>4828.5</v>
      </c>
      <c r="I8" s="2" t="s">
        <v>59</v>
      </c>
      <c r="J8" s="2" t="s">
        <v>41</v>
      </c>
      <c r="K8" s="2" t="s">
        <v>22</v>
      </c>
      <c r="L8" s="2" t="s">
        <v>43</v>
      </c>
      <c r="M8" s="2">
        <v>3</v>
      </c>
      <c r="N8" s="2" t="s">
        <v>24</v>
      </c>
      <c r="O8" s="2" t="s">
        <v>25</v>
      </c>
      <c r="P8" s="2" t="s">
        <v>34</v>
      </c>
    </row>
    <row r="9" spans="1:16" x14ac:dyDescent="0.25">
      <c r="A9" s="2" t="s">
        <v>65</v>
      </c>
      <c r="B9" s="2" t="s">
        <v>75</v>
      </c>
      <c r="C9" s="2">
        <v>2403</v>
      </c>
      <c r="D9" s="2" t="s">
        <v>76</v>
      </c>
      <c r="E9" s="2" t="s">
        <v>38</v>
      </c>
      <c r="F9" s="2" t="s">
        <v>39</v>
      </c>
      <c r="G9" s="2">
        <v>21629.59</v>
      </c>
      <c r="H9" s="2">
        <v>13964</v>
      </c>
      <c r="I9" s="2" t="s">
        <v>59</v>
      </c>
      <c r="J9" s="2" t="s">
        <v>41</v>
      </c>
      <c r="K9" s="2" t="s">
        <v>32</v>
      </c>
      <c r="L9" s="2" t="s">
        <v>23</v>
      </c>
      <c r="M9" s="2">
        <v>4</v>
      </c>
      <c r="N9" s="2" t="s">
        <v>69</v>
      </c>
      <c r="O9" s="2" t="s">
        <v>25</v>
      </c>
      <c r="P9" s="2" t="s">
        <v>49</v>
      </c>
    </row>
    <row r="10" spans="1:16" x14ac:dyDescent="0.25">
      <c r="A10" s="2" t="s">
        <v>71</v>
      </c>
      <c r="B10" s="2" t="s">
        <v>6684</v>
      </c>
      <c r="C10" s="2">
        <v>6107</v>
      </c>
      <c r="D10" s="2" t="s">
        <v>6685</v>
      </c>
      <c r="E10" s="2" t="s">
        <v>6680</v>
      </c>
      <c r="F10" s="2" t="s">
        <v>47</v>
      </c>
      <c r="G10" s="2">
        <v>22409.05</v>
      </c>
      <c r="H10" s="2">
        <v>12996.7</v>
      </c>
      <c r="I10" s="2" t="s">
        <v>63</v>
      </c>
      <c r="J10" s="2" t="s">
        <v>6686</v>
      </c>
      <c r="K10" s="2" t="s">
        <v>80</v>
      </c>
      <c r="L10" s="2" t="s">
        <v>43</v>
      </c>
      <c r="M10" s="2">
        <v>4</v>
      </c>
      <c r="N10" s="2" t="s">
        <v>33</v>
      </c>
      <c r="O10" s="2" t="s">
        <v>25</v>
      </c>
      <c r="P10" s="2" t="s">
        <v>34</v>
      </c>
    </row>
    <row r="11" spans="1:16" x14ac:dyDescent="0.25">
      <c r="A11" s="2" t="s">
        <v>74</v>
      </c>
      <c r="B11" s="2" t="s">
        <v>3167</v>
      </c>
      <c r="C11" s="2">
        <v>9423</v>
      </c>
      <c r="D11" s="2" t="s">
        <v>6687</v>
      </c>
      <c r="E11" s="2" t="s">
        <v>18</v>
      </c>
      <c r="F11" s="2" t="s">
        <v>58</v>
      </c>
      <c r="G11" s="2">
        <v>13727.74</v>
      </c>
      <c r="H11" s="2">
        <v>7510.21</v>
      </c>
      <c r="I11" s="2" t="s">
        <v>20</v>
      </c>
      <c r="J11" s="2" t="s">
        <v>21</v>
      </c>
      <c r="K11" s="2" t="s">
        <v>32</v>
      </c>
      <c r="L11" s="2" t="s">
        <v>48</v>
      </c>
      <c r="M11" s="2">
        <v>5</v>
      </c>
      <c r="N11" s="2" t="s">
        <v>24</v>
      </c>
      <c r="O11" s="2" t="s">
        <v>25</v>
      </c>
      <c r="P11" s="2" t="s">
        <v>34</v>
      </c>
    </row>
    <row r="12" spans="1:16" x14ac:dyDescent="0.25">
      <c r="A12" s="2" t="s">
        <v>77</v>
      </c>
      <c r="B12" s="2" t="s">
        <v>6688</v>
      </c>
      <c r="C12" s="2">
        <v>1887</v>
      </c>
      <c r="D12" s="2" t="s">
        <v>6689</v>
      </c>
      <c r="E12" s="2" t="s">
        <v>18</v>
      </c>
      <c r="F12" s="2" t="s">
        <v>19</v>
      </c>
      <c r="G12" s="2">
        <v>5254.66</v>
      </c>
      <c r="H12" s="2">
        <v>3129.9</v>
      </c>
      <c r="I12" s="2" t="s">
        <v>6690</v>
      </c>
      <c r="J12" s="2" t="s">
        <v>6691</v>
      </c>
      <c r="K12" s="2" t="s">
        <v>22</v>
      </c>
      <c r="L12" s="2" t="s">
        <v>23</v>
      </c>
      <c r="M12" s="2">
        <v>2</v>
      </c>
      <c r="N12" s="2" t="s">
        <v>33</v>
      </c>
      <c r="O12" s="2" t="s">
        <v>25</v>
      </c>
      <c r="P12" s="2" t="s">
        <v>34</v>
      </c>
    </row>
    <row r="13" spans="1:16" x14ac:dyDescent="0.25">
      <c r="A13" s="2" t="s">
        <v>81</v>
      </c>
      <c r="B13" s="2" t="s">
        <v>1580</v>
      </c>
      <c r="C13" s="2">
        <v>3724</v>
      </c>
      <c r="D13" s="2" t="s">
        <v>6692</v>
      </c>
      <c r="E13" s="2" t="s">
        <v>38</v>
      </c>
      <c r="F13" s="2" t="s">
        <v>47</v>
      </c>
      <c r="G13" s="2">
        <v>12855.77</v>
      </c>
      <c r="H13" s="2">
        <v>6334.67</v>
      </c>
      <c r="I13" s="2" t="s">
        <v>84</v>
      </c>
      <c r="J13" s="2" t="s">
        <v>54</v>
      </c>
      <c r="K13" s="2" t="s">
        <v>80</v>
      </c>
      <c r="L13" s="2" t="s">
        <v>55</v>
      </c>
      <c r="M13" s="2">
        <v>2</v>
      </c>
      <c r="N13" s="2" t="s">
        <v>33</v>
      </c>
      <c r="O13" s="2" t="s">
        <v>70</v>
      </c>
      <c r="P13" s="2" t="s">
        <v>34</v>
      </c>
    </row>
    <row r="14" spans="1:16" x14ac:dyDescent="0.25">
      <c r="A14" s="2" t="s">
        <v>85</v>
      </c>
      <c r="B14" s="2" t="s">
        <v>5501</v>
      </c>
      <c r="C14" s="2">
        <v>8973</v>
      </c>
      <c r="D14" s="2" t="s">
        <v>96</v>
      </c>
      <c r="E14" s="2" t="s">
        <v>18</v>
      </c>
      <c r="F14" s="2" t="s">
        <v>30</v>
      </c>
      <c r="G14" s="2">
        <v>32328.18</v>
      </c>
      <c r="H14" s="2">
        <v>15955.26</v>
      </c>
      <c r="I14" s="2" t="s">
        <v>120</v>
      </c>
      <c r="J14" s="2" t="s">
        <v>21</v>
      </c>
      <c r="K14" s="2" t="s">
        <v>22</v>
      </c>
      <c r="L14" s="2" t="s">
        <v>43</v>
      </c>
      <c r="M14" s="2">
        <v>5</v>
      </c>
      <c r="N14" s="2" t="s">
        <v>33</v>
      </c>
      <c r="O14" s="2" t="s">
        <v>25</v>
      </c>
      <c r="P14" s="2" t="s">
        <v>26</v>
      </c>
    </row>
    <row r="15" spans="1:16" x14ac:dyDescent="0.25">
      <c r="A15" s="2" t="s">
        <v>89</v>
      </c>
      <c r="B15" s="2" t="s">
        <v>1948</v>
      </c>
      <c r="C15" s="2">
        <v>2122</v>
      </c>
      <c r="D15" s="2" t="s">
        <v>6693</v>
      </c>
      <c r="E15" s="2" t="s">
        <v>6694</v>
      </c>
      <c r="F15" s="2" t="s">
        <v>58</v>
      </c>
      <c r="G15" s="2">
        <v>41228.58</v>
      </c>
      <c r="H15" s="2">
        <v>20492.29</v>
      </c>
      <c r="I15" s="2" t="s">
        <v>6695</v>
      </c>
      <c r="J15" s="2" t="s">
        <v>6696</v>
      </c>
      <c r="K15" s="2" t="s">
        <v>22</v>
      </c>
      <c r="L15" s="2" t="s">
        <v>43</v>
      </c>
      <c r="M15" s="2">
        <v>2</v>
      </c>
      <c r="N15" s="2" t="s">
        <v>24</v>
      </c>
      <c r="O15" s="2" t="s">
        <v>25</v>
      </c>
      <c r="P15" s="2" t="s">
        <v>26</v>
      </c>
    </row>
    <row r="16" spans="1:16" x14ac:dyDescent="0.25">
      <c r="A16" s="2" t="s">
        <v>91</v>
      </c>
      <c r="B16" s="2" t="s">
        <v>2874</v>
      </c>
      <c r="C16" s="2">
        <v>5915</v>
      </c>
      <c r="D16" s="2" t="s">
        <v>6697</v>
      </c>
      <c r="E16" s="2" t="s">
        <v>6698</v>
      </c>
      <c r="F16" s="2" t="s">
        <v>39</v>
      </c>
      <c r="G16" s="2">
        <v>20920.62</v>
      </c>
      <c r="H16" s="2">
        <v>12560.17</v>
      </c>
      <c r="I16" s="2" t="s">
        <v>6699</v>
      </c>
      <c r="J16" s="2" t="s">
        <v>6700</v>
      </c>
      <c r="K16" s="2" t="s">
        <v>22</v>
      </c>
      <c r="L16" s="2" t="s">
        <v>55</v>
      </c>
      <c r="M16" s="2">
        <v>4</v>
      </c>
      <c r="N16" s="2" t="s">
        <v>24</v>
      </c>
      <c r="O16" s="2" t="s">
        <v>25</v>
      </c>
      <c r="P16" s="2" t="s">
        <v>26</v>
      </c>
    </row>
    <row r="17" spans="1:16" x14ac:dyDescent="0.25">
      <c r="A17" s="2" t="s">
        <v>94</v>
      </c>
      <c r="B17" s="2" t="s">
        <v>6701</v>
      </c>
      <c r="C17" s="2">
        <v>9666</v>
      </c>
      <c r="D17" s="2" t="s">
        <v>6702</v>
      </c>
      <c r="E17" s="2" t="s">
        <v>6703</v>
      </c>
      <c r="F17" s="2" t="s">
        <v>39</v>
      </c>
      <c r="G17" s="2">
        <v>18512.669999999998</v>
      </c>
      <c r="H17" s="2">
        <v>10384.14</v>
      </c>
      <c r="I17" s="2" t="s">
        <v>6704</v>
      </c>
      <c r="J17" s="2" t="s">
        <v>6705</v>
      </c>
      <c r="K17" s="2" t="s">
        <v>22</v>
      </c>
      <c r="L17" s="2" t="s">
        <v>23</v>
      </c>
      <c r="M17" s="2">
        <v>3</v>
      </c>
      <c r="N17" s="2" t="s">
        <v>33</v>
      </c>
      <c r="O17" s="2" t="s">
        <v>25</v>
      </c>
      <c r="P17" s="2" t="s">
        <v>49</v>
      </c>
    </row>
    <row r="18" spans="1:16" x14ac:dyDescent="0.25">
      <c r="A18" s="2" t="s">
        <v>97</v>
      </c>
      <c r="B18" s="2" t="s">
        <v>1626</v>
      </c>
      <c r="C18" s="2">
        <v>7939</v>
      </c>
      <c r="D18" s="2" t="s">
        <v>6706</v>
      </c>
      <c r="E18" s="2" t="s">
        <v>38</v>
      </c>
      <c r="F18" s="2" t="s">
        <v>30</v>
      </c>
      <c r="G18" s="2">
        <v>15218.33</v>
      </c>
      <c r="H18" s="2">
        <v>7863.48</v>
      </c>
      <c r="I18" s="2" t="s">
        <v>120</v>
      </c>
      <c r="J18" s="2" t="s">
        <v>21</v>
      </c>
      <c r="K18" s="2" t="s">
        <v>32</v>
      </c>
      <c r="L18" s="2" t="s">
        <v>48</v>
      </c>
      <c r="M18" s="2">
        <v>3</v>
      </c>
      <c r="N18" s="2" t="s">
        <v>33</v>
      </c>
      <c r="O18" s="2" t="s">
        <v>25</v>
      </c>
      <c r="P18" s="2" t="s">
        <v>49</v>
      </c>
    </row>
    <row r="19" spans="1:16" x14ac:dyDescent="0.25">
      <c r="A19" s="2" t="s">
        <v>100</v>
      </c>
      <c r="B19" s="2" t="s">
        <v>6613</v>
      </c>
      <c r="C19" s="2">
        <v>3426</v>
      </c>
      <c r="D19" s="2" t="s">
        <v>6707</v>
      </c>
      <c r="E19" s="2" t="s">
        <v>38</v>
      </c>
      <c r="F19" s="2" t="s">
        <v>47</v>
      </c>
      <c r="G19" s="2">
        <v>3530.27</v>
      </c>
      <c r="H19" s="2">
        <v>1806.27</v>
      </c>
      <c r="I19" s="2" t="s">
        <v>40</v>
      </c>
      <c r="J19" s="2" t="s">
        <v>41</v>
      </c>
      <c r="K19" s="2" t="s">
        <v>22</v>
      </c>
      <c r="L19" s="2" t="s">
        <v>88</v>
      </c>
      <c r="M19" s="2">
        <v>2</v>
      </c>
      <c r="N19" s="2" t="s">
        <v>24</v>
      </c>
      <c r="O19" s="2" t="s">
        <v>70</v>
      </c>
      <c r="P19" s="2" t="s">
        <v>34</v>
      </c>
    </row>
    <row r="20" spans="1:16" x14ac:dyDescent="0.25">
      <c r="A20" s="2" t="s">
        <v>103</v>
      </c>
      <c r="B20" s="2" t="s">
        <v>1866</v>
      </c>
      <c r="C20" s="2">
        <v>3900</v>
      </c>
      <c r="D20" s="2" t="s">
        <v>386</v>
      </c>
      <c r="E20" s="2" t="s">
        <v>6708</v>
      </c>
      <c r="F20" s="2" t="s">
        <v>47</v>
      </c>
      <c r="G20" s="2">
        <v>2634.22</v>
      </c>
      <c r="H20" s="2">
        <v>1573.45</v>
      </c>
      <c r="I20" s="2" t="s">
        <v>59</v>
      </c>
      <c r="J20" s="2" t="s">
        <v>6705</v>
      </c>
      <c r="K20" s="2" t="s">
        <v>42</v>
      </c>
      <c r="L20" s="2" t="s">
        <v>64</v>
      </c>
      <c r="M20" s="2">
        <v>2</v>
      </c>
      <c r="N20" s="2" t="s">
        <v>33</v>
      </c>
      <c r="O20" s="2" t="s">
        <v>70</v>
      </c>
      <c r="P20" s="2" t="s">
        <v>26</v>
      </c>
    </row>
    <row r="21" spans="1:16" x14ac:dyDescent="0.25">
      <c r="A21" s="2" t="s">
        <v>106</v>
      </c>
      <c r="B21" s="2" t="s">
        <v>651</v>
      </c>
      <c r="C21" s="2">
        <v>1387</v>
      </c>
      <c r="D21" s="2" t="s">
        <v>6709</v>
      </c>
      <c r="E21" s="2" t="s">
        <v>18</v>
      </c>
      <c r="F21" s="2" t="s">
        <v>39</v>
      </c>
      <c r="G21" s="2">
        <v>18890.04</v>
      </c>
      <c r="H21" s="2">
        <v>9553.08</v>
      </c>
      <c r="I21" s="2" t="s">
        <v>6681</v>
      </c>
      <c r="J21" s="2" t="s">
        <v>6705</v>
      </c>
      <c r="K21" s="2" t="s">
        <v>22</v>
      </c>
      <c r="L21" s="2" t="s">
        <v>88</v>
      </c>
      <c r="M21" s="2">
        <v>3</v>
      </c>
      <c r="N21" s="2" t="s">
        <v>24</v>
      </c>
      <c r="O21" s="2" t="s">
        <v>25</v>
      </c>
      <c r="P21" s="2" t="s">
        <v>49</v>
      </c>
    </row>
    <row r="22" spans="1:16" x14ac:dyDescent="0.25">
      <c r="A22" s="2" t="s">
        <v>109</v>
      </c>
      <c r="B22" s="2" t="s">
        <v>125</v>
      </c>
      <c r="C22" s="2">
        <v>8149</v>
      </c>
      <c r="D22" s="2" t="s">
        <v>126</v>
      </c>
      <c r="E22" s="2" t="s">
        <v>18</v>
      </c>
      <c r="F22" s="2" t="s">
        <v>58</v>
      </c>
      <c r="G22" s="2">
        <v>25590.07</v>
      </c>
      <c r="H22" s="2">
        <v>14466.52</v>
      </c>
      <c r="I22" s="2" t="s">
        <v>120</v>
      </c>
      <c r="J22" s="2" t="s">
        <v>21</v>
      </c>
      <c r="K22" s="2" t="s">
        <v>42</v>
      </c>
      <c r="L22" s="2" t="s">
        <v>55</v>
      </c>
      <c r="M22" s="2">
        <v>4</v>
      </c>
      <c r="N22" s="2" t="s">
        <v>33</v>
      </c>
      <c r="O22" s="2" t="s">
        <v>70</v>
      </c>
      <c r="P22" s="2" t="s">
        <v>49</v>
      </c>
    </row>
    <row r="23" spans="1:16" x14ac:dyDescent="0.25">
      <c r="A23" s="2" t="s">
        <v>112</v>
      </c>
      <c r="B23" s="2" t="s">
        <v>6710</v>
      </c>
      <c r="C23" s="2">
        <v>6409</v>
      </c>
      <c r="D23" s="2" t="s">
        <v>6711</v>
      </c>
      <c r="E23" s="2" t="s">
        <v>6708</v>
      </c>
      <c r="F23" s="2" t="s">
        <v>19</v>
      </c>
      <c r="G23" s="2">
        <v>9839.34</v>
      </c>
      <c r="H23" s="2">
        <v>4672.95</v>
      </c>
      <c r="I23" s="2" t="s">
        <v>6712</v>
      </c>
      <c r="J23" s="2" t="s">
        <v>6713</v>
      </c>
      <c r="K23" s="2" t="s">
        <v>42</v>
      </c>
      <c r="L23" s="2" t="s">
        <v>43</v>
      </c>
      <c r="M23" s="2">
        <v>3</v>
      </c>
      <c r="N23" s="2" t="s">
        <v>24</v>
      </c>
      <c r="O23" s="2" t="s">
        <v>25</v>
      </c>
      <c r="P23" s="2" t="s">
        <v>49</v>
      </c>
    </row>
    <row r="24" spans="1:16" x14ac:dyDescent="0.25">
      <c r="A24" s="2" t="s">
        <v>115</v>
      </c>
      <c r="B24" s="2" t="s">
        <v>143</v>
      </c>
      <c r="C24" s="2">
        <v>5978</v>
      </c>
      <c r="D24" s="2" t="s">
        <v>6714</v>
      </c>
      <c r="E24" s="2" t="s">
        <v>38</v>
      </c>
      <c r="F24" s="2" t="s">
        <v>30</v>
      </c>
      <c r="G24" s="2">
        <v>27343.34</v>
      </c>
      <c r="H24" s="2">
        <v>16601.560000000001</v>
      </c>
      <c r="I24" s="2" t="s">
        <v>20</v>
      </c>
      <c r="J24" s="2" t="s">
        <v>21</v>
      </c>
      <c r="K24" s="2" t="s">
        <v>42</v>
      </c>
      <c r="L24" s="2" t="s">
        <v>64</v>
      </c>
      <c r="M24" s="2">
        <v>4</v>
      </c>
      <c r="N24" s="2" t="s">
        <v>33</v>
      </c>
      <c r="O24" s="2" t="s">
        <v>25</v>
      </c>
      <c r="P24" s="2" t="s">
        <v>34</v>
      </c>
    </row>
    <row r="25" spans="1:16" x14ac:dyDescent="0.25">
      <c r="A25" s="2" t="s">
        <v>118</v>
      </c>
      <c r="B25" s="2" t="s">
        <v>6715</v>
      </c>
      <c r="C25" s="2">
        <v>6491</v>
      </c>
      <c r="D25" s="2" t="s">
        <v>6716</v>
      </c>
      <c r="E25" s="2" t="s">
        <v>18</v>
      </c>
      <c r="F25" s="2" t="s">
        <v>58</v>
      </c>
      <c r="G25" s="2">
        <v>21533.439999999999</v>
      </c>
      <c r="H25" s="2">
        <v>12924.97</v>
      </c>
      <c r="I25" s="2" t="s">
        <v>40</v>
      </c>
      <c r="J25" s="2" t="s">
        <v>41</v>
      </c>
      <c r="K25" s="2" t="s">
        <v>42</v>
      </c>
      <c r="L25" s="2" t="s">
        <v>23</v>
      </c>
      <c r="M25" s="2">
        <v>2</v>
      </c>
      <c r="N25" s="2" t="s">
        <v>33</v>
      </c>
      <c r="O25" s="2" t="s">
        <v>25</v>
      </c>
      <c r="P25" s="2" t="s">
        <v>34</v>
      </c>
    </row>
    <row r="26" spans="1:16" x14ac:dyDescent="0.25">
      <c r="A26" s="2" t="s">
        <v>121</v>
      </c>
      <c r="B26" s="2" t="s">
        <v>769</v>
      </c>
      <c r="C26" s="2">
        <v>9099</v>
      </c>
      <c r="D26" s="2" t="s">
        <v>6717</v>
      </c>
      <c r="E26" s="2" t="s">
        <v>38</v>
      </c>
      <c r="F26" s="2" t="s">
        <v>39</v>
      </c>
      <c r="G26" s="2">
        <v>17309.21</v>
      </c>
      <c r="H26" s="2">
        <v>10060.31</v>
      </c>
      <c r="I26" s="2" t="s">
        <v>120</v>
      </c>
      <c r="J26" s="2" t="s">
        <v>21</v>
      </c>
      <c r="K26" s="2" t="s">
        <v>22</v>
      </c>
      <c r="L26" s="2" t="s">
        <v>55</v>
      </c>
      <c r="M26" s="2">
        <v>4</v>
      </c>
      <c r="N26" s="2" t="s">
        <v>33</v>
      </c>
      <c r="O26" s="2" t="s">
        <v>70</v>
      </c>
      <c r="P26" s="2" t="s">
        <v>49</v>
      </c>
    </row>
    <row r="27" spans="1:16" x14ac:dyDescent="0.25">
      <c r="A27" s="2" t="s">
        <v>124</v>
      </c>
      <c r="B27" s="2" t="s">
        <v>544</v>
      </c>
      <c r="C27" s="2">
        <v>9702</v>
      </c>
      <c r="D27" s="2" t="s">
        <v>6718</v>
      </c>
      <c r="E27" s="2" t="s">
        <v>6719</v>
      </c>
      <c r="F27" s="2" t="s">
        <v>47</v>
      </c>
      <c r="G27" s="2">
        <v>14663.01</v>
      </c>
      <c r="H27" s="2">
        <v>9212.5499999999993</v>
      </c>
      <c r="I27" s="2" t="s">
        <v>6720</v>
      </c>
      <c r="J27" s="2" t="s">
        <v>6691</v>
      </c>
      <c r="K27" s="2" t="s">
        <v>80</v>
      </c>
      <c r="L27" s="2" t="s">
        <v>43</v>
      </c>
      <c r="M27" s="2">
        <v>4</v>
      </c>
      <c r="N27" s="2" t="s">
        <v>69</v>
      </c>
      <c r="O27" s="2" t="s">
        <v>70</v>
      </c>
      <c r="P27" s="2" t="s">
        <v>34</v>
      </c>
    </row>
    <row r="28" spans="1:16" x14ac:dyDescent="0.25">
      <c r="A28" s="2" t="s">
        <v>127</v>
      </c>
      <c r="B28" s="2" t="s">
        <v>6721</v>
      </c>
      <c r="C28" s="2">
        <v>5451</v>
      </c>
      <c r="D28" s="2" t="s">
        <v>6722</v>
      </c>
      <c r="E28" s="2" t="s">
        <v>6680</v>
      </c>
      <c r="F28" s="2" t="s">
        <v>39</v>
      </c>
      <c r="G28" s="2">
        <v>13162.81</v>
      </c>
      <c r="H28" s="2">
        <v>7345.25</v>
      </c>
      <c r="I28" s="2" t="s">
        <v>6723</v>
      </c>
      <c r="J28" s="2" t="s">
        <v>6724</v>
      </c>
      <c r="K28" s="2" t="s">
        <v>32</v>
      </c>
      <c r="L28" s="2" t="s">
        <v>23</v>
      </c>
      <c r="M28" s="2">
        <v>2</v>
      </c>
      <c r="N28" s="2" t="s">
        <v>33</v>
      </c>
      <c r="O28" s="2" t="s">
        <v>25</v>
      </c>
      <c r="P28" s="2" t="s">
        <v>26</v>
      </c>
    </row>
    <row r="29" spans="1:16" x14ac:dyDescent="0.25">
      <c r="A29" s="2" t="s">
        <v>130</v>
      </c>
      <c r="B29" s="2" t="s">
        <v>149</v>
      </c>
      <c r="C29" s="2">
        <v>7232</v>
      </c>
      <c r="D29" s="2" t="s">
        <v>150</v>
      </c>
      <c r="E29" s="2" t="s">
        <v>38</v>
      </c>
      <c r="F29" s="2" t="s">
        <v>39</v>
      </c>
      <c r="G29" s="2">
        <v>10791.86</v>
      </c>
      <c r="H29" s="2">
        <v>5615.56</v>
      </c>
      <c r="I29" s="2" t="s">
        <v>53</v>
      </c>
      <c r="J29" s="2" t="s">
        <v>54</v>
      </c>
      <c r="K29" s="2" t="s">
        <v>80</v>
      </c>
      <c r="L29" s="2" t="s">
        <v>64</v>
      </c>
      <c r="M29" s="2">
        <v>5</v>
      </c>
      <c r="N29" s="2" t="s">
        <v>24</v>
      </c>
      <c r="O29" s="2" t="s">
        <v>25</v>
      </c>
      <c r="P29" s="2" t="s">
        <v>49</v>
      </c>
    </row>
    <row r="30" spans="1:16" x14ac:dyDescent="0.25">
      <c r="A30" s="2" t="s">
        <v>133</v>
      </c>
      <c r="B30" s="2" t="s">
        <v>5961</v>
      </c>
      <c r="C30" s="2">
        <v>7624</v>
      </c>
      <c r="D30" s="2" t="s">
        <v>6725</v>
      </c>
      <c r="E30" s="2" t="s">
        <v>32</v>
      </c>
      <c r="F30" s="2" t="s">
        <v>30</v>
      </c>
      <c r="G30" s="2">
        <v>55017.69</v>
      </c>
      <c r="H30" s="2">
        <v>34876.17</v>
      </c>
      <c r="I30" s="2" t="s">
        <v>6726</v>
      </c>
      <c r="J30" s="2" t="s">
        <v>21</v>
      </c>
      <c r="K30" s="2" t="s">
        <v>22</v>
      </c>
      <c r="L30" s="2" t="s">
        <v>64</v>
      </c>
      <c r="M30" s="2">
        <v>5</v>
      </c>
      <c r="N30" s="2" t="s">
        <v>24</v>
      </c>
      <c r="O30" s="2" t="s">
        <v>25</v>
      </c>
      <c r="P30" s="2" t="s">
        <v>49</v>
      </c>
    </row>
    <row r="31" spans="1:16" x14ac:dyDescent="0.25">
      <c r="A31" s="2" t="s">
        <v>136</v>
      </c>
      <c r="B31" s="2" t="s">
        <v>1669</v>
      </c>
      <c r="C31" s="2">
        <v>7906</v>
      </c>
      <c r="D31" s="2" t="s">
        <v>6727</v>
      </c>
      <c r="E31" s="2" t="s">
        <v>6719</v>
      </c>
      <c r="F31" s="2" t="s">
        <v>58</v>
      </c>
      <c r="G31" s="2">
        <v>46670.04</v>
      </c>
      <c r="H31" s="2">
        <v>25391.37</v>
      </c>
      <c r="I31" s="2" t="s">
        <v>6728</v>
      </c>
      <c r="J31" s="2" t="s">
        <v>6729</v>
      </c>
      <c r="K31" s="2" t="s">
        <v>22</v>
      </c>
      <c r="L31" s="2" t="s">
        <v>88</v>
      </c>
      <c r="M31" s="2">
        <v>2</v>
      </c>
      <c r="N31" s="2" t="s">
        <v>24</v>
      </c>
      <c r="O31" s="2" t="s">
        <v>70</v>
      </c>
      <c r="P31" s="2" t="s">
        <v>49</v>
      </c>
    </row>
    <row r="32" spans="1:16" x14ac:dyDescent="0.25">
      <c r="A32" s="2" t="s">
        <v>139</v>
      </c>
      <c r="B32" s="2" t="s">
        <v>158</v>
      </c>
      <c r="C32" s="2">
        <v>7043</v>
      </c>
      <c r="D32" s="2" t="s">
        <v>159</v>
      </c>
      <c r="E32" s="2" t="s">
        <v>18</v>
      </c>
      <c r="F32" s="2" t="s">
        <v>58</v>
      </c>
      <c r="G32" s="2">
        <v>45627.040000000001</v>
      </c>
      <c r="H32" s="2">
        <v>29326.639999999999</v>
      </c>
      <c r="I32" s="2" t="s">
        <v>84</v>
      </c>
      <c r="J32" s="2" t="s">
        <v>54</v>
      </c>
      <c r="K32" s="2" t="s">
        <v>22</v>
      </c>
      <c r="L32" s="2" t="s">
        <v>23</v>
      </c>
      <c r="M32" s="2">
        <v>3</v>
      </c>
      <c r="N32" s="2" t="s">
        <v>33</v>
      </c>
      <c r="O32" s="2" t="s">
        <v>25</v>
      </c>
      <c r="P32" s="2" t="s">
        <v>34</v>
      </c>
    </row>
    <row r="33" spans="1:16" x14ac:dyDescent="0.25">
      <c r="A33" s="2" t="s">
        <v>142</v>
      </c>
      <c r="B33" s="2" t="s">
        <v>6730</v>
      </c>
      <c r="C33" s="2">
        <v>4978</v>
      </c>
      <c r="D33" s="2" t="s">
        <v>6731</v>
      </c>
      <c r="E33" s="2" t="s">
        <v>18</v>
      </c>
      <c r="F33" s="2" t="s">
        <v>39</v>
      </c>
      <c r="G33" s="2">
        <v>28131.91</v>
      </c>
      <c r="H33" s="2">
        <v>14356.18</v>
      </c>
      <c r="I33" s="2" t="s">
        <v>6681</v>
      </c>
      <c r="J33" s="2" t="s">
        <v>6732</v>
      </c>
      <c r="K33" s="2" t="s">
        <v>22</v>
      </c>
      <c r="L33" s="2" t="s">
        <v>43</v>
      </c>
      <c r="M33" s="2">
        <v>1</v>
      </c>
      <c r="N33" s="2" t="s">
        <v>33</v>
      </c>
      <c r="O33" s="2" t="s">
        <v>25</v>
      </c>
      <c r="P33" s="2" t="s">
        <v>34</v>
      </c>
    </row>
    <row r="34" spans="1:16" x14ac:dyDescent="0.25">
      <c r="A34" s="2" t="s">
        <v>145</v>
      </c>
      <c r="B34" s="2" t="s">
        <v>2517</v>
      </c>
      <c r="C34" s="2">
        <v>8135</v>
      </c>
      <c r="D34" s="2" t="s">
        <v>6733</v>
      </c>
      <c r="E34" s="2" t="s">
        <v>18</v>
      </c>
      <c r="F34" s="2" t="s">
        <v>19</v>
      </c>
      <c r="G34" s="2">
        <v>21210.05</v>
      </c>
      <c r="H34" s="2">
        <v>13640.07</v>
      </c>
      <c r="I34" s="2" t="s">
        <v>53</v>
      </c>
      <c r="J34" s="2" t="s">
        <v>54</v>
      </c>
      <c r="K34" s="2" t="s">
        <v>42</v>
      </c>
      <c r="L34" s="2" t="s">
        <v>43</v>
      </c>
      <c r="M34" s="2">
        <v>5</v>
      </c>
      <c r="N34" s="2" t="s">
        <v>24</v>
      </c>
      <c r="O34" s="2" t="s">
        <v>25</v>
      </c>
      <c r="P34" s="2" t="s">
        <v>49</v>
      </c>
    </row>
    <row r="35" spans="1:16" x14ac:dyDescent="0.25">
      <c r="A35" s="2" t="s">
        <v>148</v>
      </c>
      <c r="B35" s="2" t="s">
        <v>6734</v>
      </c>
      <c r="C35" s="2">
        <v>8613</v>
      </c>
      <c r="D35" s="2" t="s">
        <v>6735</v>
      </c>
      <c r="E35" s="2" t="s">
        <v>6698</v>
      </c>
      <c r="F35" s="2" t="s">
        <v>47</v>
      </c>
      <c r="G35" s="2">
        <v>6034.46</v>
      </c>
      <c r="H35" s="2">
        <v>3312.08</v>
      </c>
      <c r="I35" s="2" t="s">
        <v>6736</v>
      </c>
      <c r="J35" s="2" t="s">
        <v>54</v>
      </c>
      <c r="K35" s="2" t="s">
        <v>42</v>
      </c>
      <c r="L35" s="2" t="s">
        <v>23</v>
      </c>
      <c r="M35" s="2">
        <v>4</v>
      </c>
      <c r="N35" s="2" t="s">
        <v>33</v>
      </c>
      <c r="O35" s="2" t="s">
        <v>70</v>
      </c>
      <c r="P35" s="2" t="s">
        <v>34</v>
      </c>
    </row>
    <row r="36" spans="1:16" x14ac:dyDescent="0.25">
      <c r="A36" s="2" t="s">
        <v>151</v>
      </c>
      <c r="B36" s="2" t="s">
        <v>164</v>
      </c>
      <c r="C36" s="2">
        <v>4937</v>
      </c>
      <c r="D36" s="2" t="s">
        <v>6737</v>
      </c>
      <c r="E36" s="2" t="s">
        <v>38</v>
      </c>
      <c r="F36" s="2" t="s">
        <v>58</v>
      </c>
      <c r="G36" s="2">
        <v>39873.01</v>
      </c>
      <c r="H36" s="2">
        <v>21856.959999999999</v>
      </c>
      <c r="I36" s="2" t="s">
        <v>20</v>
      </c>
      <c r="J36" s="2" t="s">
        <v>21</v>
      </c>
      <c r="K36" s="2" t="s">
        <v>22</v>
      </c>
      <c r="L36" s="2" t="s">
        <v>55</v>
      </c>
      <c r="M36" s="2">
        <v>3</v>
      </c>
      <c r="N36" s="2" t="s">
        <v>33</v>
      </c>
      <c r="O36" s="2" t="s">
        <v>70</v>
      </c>
      <c r="P36" s="2" t="s">
        <v>34</v>
      </c>
    </row>
    <row r="37" spans="1:16" x14ac:dyDescent="0.25">
      <c r="A37" s="2" t="s">
        <v>153</v>
      </c>
      <c r="B37" s="2" t="s">
        <v>244</v>
      </c>
      <c r="C37" s="2">
        <v>6764</v>
      </c>
      <c r="D37" s="2" t="s">
        <v>6738</v>
      </c>
      <c r="E37" s="2" t="s">
        <v>6708</v>
      </c>
      <c r="F37" s="2" t="s">
        <v>30</v>
      </c>
      <c r="G37" s="2">
        <v>38132.28</v>
      </c>
      <c r="H37" s="2">
        <v>19076.849999999999</v>
      </c>
      <c r="I37" s="2" t="s">
        <v>6739</v>
      </c>
      <c r="J37" s="2" t="s">
        <v>6686</v>
      </c>
      <c r="K37" s="2" t="s">
        <v>22</v>
      </c>
      <c r="L37" s="2" t="s">
        <v>48</v>
      </c>
      <c r="M37" s="2">
        <v>2</v>
      </c>
      <c r="N37" s="2" t="s">
        <v>33</v>
      </c>
      <c r="O37" s="2" t="s">
        <v>70</v>
      </c>
      <c r="P37" s="2" t="s">
        <v>49</v>
      </c>
    </row>
    <row r="38" spans="1:16" x14ac:dyDescent="0.25">
      <c r="A38" s="2" t="s">
        <v>155</v>
      </c>
      <c r="B38" s="2" t="s">
        <v>178</v>
      </c>
      <c r="C38" s="2">
        <v>4727</v>
      </c>
      <c r="D38" s="2" t="s">
        <v>179</v>
      </c>
      <c r="E38" s="2" t="s">
        <v>38</v>
      </c>
      <c r="F38" s="2" t="s">
        <v>30</v>
      </c>
      <c r="G38" s="2">
        <v>31374.04</v>
      </c>
      <c r="H38" s="2">
        <v>14207.1</v>
      </c>
      <c r="I38" s="2" t="s">
        <v>31</v>
      </c>
      <c r="J38" s="2" t="s">
        <v>21</v>
      </c>
      <c r="K38" s="2" t="s">
        <v>32</v>
      </c>
      <c r="L38" s="2" t="s">
        <v>88</v>
      </c>
      <c r="M38" s="2">
        <v>1</v>
      </c>
      <c r="N38" s="2" t="s">
        <v>69</v>
      </c>
      <c r="O38" s="2" t="s">
        <v>25</v>
      </c>
      <c r="P38" s="2" t="s">
        <v>49</v>
      </c>
    </row>
    <row r="39" spans="1:16" x14ac:dyDescent="0.25">
      <c r="A39" s="2" t="s">
        <v>157</v>
      </c>
      <c r="B39" s="2" t="s">
        <v>4477</v>
      </c>
      <c r="C39" s="2">
        <v>8843</v>
      </c>
      <c r="D39" s="2" t="s">
        <v>5688</v>
      </c>
      <c r="E39" s="2" t="s">
        <v>38</v>
      </c>
      <c r="F39" s="2" t="s">
        <v>58</v>
      </c>
      <c r="G39" s="2">
        <v>15454.59</v>
      </c>
      <c r="H39" s="2">
        <v>9938.84</v>
      </c>
      <c r="I39" s="2" t="s">
        <v>120</v>
      </c>
      <c r="J39" s="2" t="s">
        <v>21</v>
      </c>
      <c r="K39" s="2" t="s">
        <v>42</v>
      </c>
      <c r="L39" s="2" t="s">
        <v>64</v>
      </c>
      <c r="M39" s="2">
        <v>1</v>
      </c>
      <c r="N39" s="2" t="s">
        <v>69</v>
      </c>
      <c r="O39" s="2" t="s">
        <v>25</v>
      </c>
      <c r="P39" s="2" t="s">
        <v>26</v>
      </c>
    </row>
    <row r="40" spans="1:16" x14ac:dyDescent="0.25">
      <c r="A40" s="2" t="s">
        <v>160</v>
      </c>
      <c r="B40" s="2" t="s">
        <v>4541</v>
      </c>
      <c r="C40" s="2">
        <v>5066</v>
      </c>
      <c r="D40" s="2" t="s">
        <v>4571</v>
      </c>
      <c r="E40" s="2" t="s">
        <v>18</v>
      </c>
      <c r="F40" s="2" t="s">
        <v>58</v>
      </c>
      <c r="G40" s="2">
        <v>32946.01</v>
      </c>
      <c r="H40" s="2">
        <v>17567.96</v>
      </c>
      <c r="I40" s="2" t="s">
        <v>20</v>
      </c>
      <c r="J40" s="2" t="s">
        <v>21</v>
      </c>
      <c r="K40" s="2" t="s">
        <v>32</v>
      </c>
      <c r="L40" s="2" t="s">
        <v>43</v>
      </c>
      <c r="M40" s="2">
        <v>4</v>
      </c>
      <c r="N40" s="2" t="s">
        <v>24</v>
      </c>
      <c r="O40" s="2" t="s">
        <v>25</v>
      </c>
      <c r="P40" s="2" t="s">
        <v>49</v>
      </c>
    </row>
    <row r="41" spans="1:16" x14ac:dyDescent="0.25">
      <c r="A41" s="2" t="s">
        <v>163</v>
      </c>
      <c r="B41" s="2" t="s">
        <v>2235</v>
      </c>
      <c r="C41" s="2">
        <v>4457</v>
      </c>
      <c r="D41" s="2" t="s">
        <v>187</v>
      </c>
      <c r="E41" s="2" t="s">
        <v>38</v>
      </c>
      <c r="F41" s="2" t="s">
        <v>58</v>
      </c>
      <c r="G41" s="2">
        <v>48653.760000000002</v>
      </c>
      <c r="H41" s="2">
        <v>23422.48</v>
      </c>
      <c r="I41" s="2" t="s">
        <v>84</v>
      </c>
      <c r="J41" s="2" t="s">
        <v>54</v>
      </c>
      <c r="K41" s="2" t="s">
        <v>32</v>
      </c>
      <c r="L41" s="2" t="s">
        <v>43</v>
      </c>
      <c r="M41" s="2">
        <v>1</v>
      </c>
      <c r="N41" s="2" t="s">
        <v>33</v>
      </c>
      <c r="O41" s="2" t="s">
        <v>25</v>
      </c>
      <c r="P41" s="2" t="s">
        <v>49</v>
      </c>
    </row>
    <row r="42" spans="1:16" x14ac:dyDescent="0.25">
      <c r="A42" s="2" t="s">
        <v>166</v>
      </c>
      <c r="B42" s="2" t="s">
        <v>6339</v>
      </c>
      <c r="C42" s="2">
        <v>4824</v>
      </c>
      <c r="D42" s="2" t="s">
        <v>6740</v>
      </c>
      <c r="E42" s="2" t="s">
        <v>38</v>
      </c>
      <c r="F42" s="2" t="s">
        <v>39</v>
      </c>
      <c r="G42" s="2">
        <v>39597.99</v>
      </c>
      <c r="H42" s="2">
        <v>22769.3</v>
      </c>
      <c r="I42" s="2" t="s">
        <v>63</v>
      </c>
      <c r="J42" s="2" t="s">
        <v>54</v>
      </c>
      <c r="K42" s="2" t="s">
        <v>32</v>
      </c>
      <c r="L42" s="2" t="s">
        <v>64</v>
      </c>
      <c r="M42" s="2">
        <v>1</v>
      </c>
      <c r="N42" s="2" t="s">
        <v>24</v>
      </c>
      <c r="O42" s="2" t="s">
        <v>70</v>
      </c>
      <c r="P42" s="2" t="s">
        <v>34</v>
      </c>
    </row>
    <row r="43" spans="1:16" x14ac:dyDescent="0.25">
      <c r="A43" s="2" t="s">
        <v>169</v>
      </c>
      <c r="B43" s="2" t="s">
        <v>6741</v>
      </c>
      <c r="C43" s="2">
        <v>8195</v>
      </c>
      <c r="D43" s="2" t="s">
        <v>6742</v>
      </c>
      <c r="E43" s="2" t="s">
        <v>6743</v>
      </c>
      <c r="F43" s="2" t="s">
        <v>19</v>
      </c>
      <c r="G43" s="2">
        <v>14208.65</v>
      </c>
      <c r="H43" s="2">
        <v>7258.04</v>
      </c>
      <c r="I43" s="2" t="s">
        <v>63</v>
      </c>
      <c r="J43" s="2" t="s">
        <v>54</v>
      </c>
      <c r="K43" s="2" t="s">
        <v>80</v>
      </c>
      <c r="L43" s="2" t="s">
        <v>88</v>
      </c>
      <c r="M43" s="2">
        <v>5</v>
      </c>
      <c r="N43" s="2" t="s">
        <v>24</v>
      </c>
      <c r="O43" s="2" t="s">
        <v>25</v>
      </c>
      <c r="P43" s="2" t="s">
        <v>49</v>
      </c>
    </row>
    <row r="44" spans="1:16" x14ac:dyDescent="0.25">
      <c r="A44" s="2" t="s">
        <v>171</v>
      </c>
      <c r="B44" s="2" t="s">
        <v>6744</v>
      </c>
      <c r="C44" s="2">
        <v>5415</v>
      </c>
      <c r="D44" s="2" t="s">
        <v>1377</v>
      </c>
      <c r="E44" s="2" t="s">
        <v>18</v>
      </c>
      <c r="F44" s="2" t="s">
        <v>47</v>
      </c>
      <c r="G44" s="2">
        <v>16613.63</v>
      </c>
      <c r="H44" s="2">
        <v>8058.24</v>
      </c>
      <c r="I44" s="2" t="s">
        <v>84</v>
      </c>
      <c r="J44" s="2" t="s">
        <v>54</v>
      </c>
      <c r="K44" s="2" t="s">
        <v>80</v>
      </c>
      <c r="L44" s="2" t="s">
        <v>88</v>
      </c>
      <c r="M44" s="2">
        <v>2</v>
      </c>
      <c r="N44" s="2" t="s">
        <v>69</v>
      </c>
      <c r="O44" s="2" t="s">
        <v>25</v>
      </c>
      <c r="P44" s="2" t="s">
        <v>34</v>
      </c>
    </row>
    <row r="45" spans="1:16" x14ac:dyDescent="0.25">
      <c r="A45" s="2" t="s">
        <v>174</v>
      </c>
      <c r="B45" s="2" t="s">
        <v>6745</v>
      </c>
      <c r="C45" s="2">
        <v>7744</v>
      </c>
      <c r="D45" s="2" t="s">
        <v>6746</v>
      </c>
      <c r="E45" s="2" t="s">
        <v>38</v>
      </c>
      <c r="F45" s="2" t="s">
        <v>39</v>
      </c>
      <c r="G45" s="2">
        <v>18987.87</v>
      </c>
      <c r="H45" s="2">
        <v>12133.98</v>
      </c>
      <c r="I45" s="2" t="s">
        <v>120</v>
      </c>
      <c r="J45" s="2" t="s">
        <v>21</v>
      </c>
      <c r="K45" s="2" t="s">
        <v>22</v>
      </c>
      <c r="L45" s="2" t="s">
        <v>64</v>
      </c>
      <c r="M45" s="2">
        <v>1</v>
      </c>
      <c r="N45" s="2" t="s">
        <v>33</v>
      </c>
      <c r="O45" s="2" t="s">
        <v>25</v>
      </c>
      <c r="P45" s="2" t="s">
        <v>34</v>
      </c>
    </row>
    <row r="46" spans="1:16" x14ac:dyDescent="0.25">
      <c r="A46" s="2" t="s">
        <v>177</v>
      </c>
      <c r="B46" s="2" t="s">
        <v>987</v>
      </c>
      <c r="C46" s="2">
        <v>4073</v>
      </c>
      <c r="D46" s="2" t="s">
        <v>6747</v>
      </c>
      <c r="E46" s="2" t="s">
        <v>6748</v>
      </c>
      <c r="F46" s="2" t="s">
        <v>19</v>
      </c>
      <c r="G46" s="2">
        <v>10805.56</v>
      </c>
      <c r="H46" s="2">
        <v>5939.8</v>
      </c>
      <c r="I46" s="2" t="s">
        <v>6749</v>
      </c>
      <c r="J46" s="2" t="s">
        <v>41</v>
      </c>
      <c r="K46" s="2" t="s">
        <v>80</v>
      </c>
      <c r="L46" s="2" t="s">
        <v>55</v>
      </c>
      <c r="M46" s="2">
        <v>2</v>
      </c>
      <c r="N46" s="2" t="s">
        <v>33</v>
      </c>
      <c r="O46" s="2" t="s">
        <v>25</v>
      </c>
      <c r="P46" s="2" t="s">
        <v>34</v>
      </c>
    </row>
    <row r="47" spans="1:16" x14ac:dyDescent="0.25">
      <c r="A47" s="2" t="s">
        <v>180</v>
      </c>
      <c r="B47" s="2" t="s">
        <v>6750</v>
      </c>
      <c r="C47" s="2">
        <v>1224</v>
      </c>
      <c r="D47" s="2" t="s">
        <v>6751</v>
      </c>
      <c r="E47" s="2" t="s">
        <v>6708</v>
      </c>
      <c r="F47" s="2" t="s">
        <v>30</v>
      </c>
      <c r="G47" s="2">
        <v>19180.36</v>
      </c>
      <c r="H47" s="2">
        <v>12437.53</v>
      </c>
      <c r="I47" s="2" t="s">
        <v>6752</v>
      </c>
      <c r="J47" s="2" t="s">
        <v>6753</v>
      </c>
      <c r="K47" s="2" t="s">
        <v>22</v>
      </c>
      <c r="L47" s="2" t="s">
        <v>64</v>
      </c>
      <c r="M47" s="2">
        <v>1</v>
      </c>
      <c r="N47" s="2" t="s">
        <v>24</v>
      </c>
      <c r="O47" s="2" t="s">
        <v>25</v>
      </c>
      <c r="P47" s="2" t="s">
        <v>49</v>
      </c>
    </row>
    <row r="48" spans="1:16" x14ac:dyDescent="0.25">
      <c r="A48" s="2" t="s">
        <v>183</v>
      </c>
      <c r="B48" s="2" t="s">
        <v>6754</v>
      </c>
      <c r="C48" s="2">
        <v>3236</v>
      </c>
      <c r="D48" s="2" t="s">
        <v>6755</v>
      </c>
      <c r="E48" s="2" t="s">
        <v>6756</v>
      </c>
      <c r="F48" s="2" t="s">
        <v>58</v>
      </c>
      <c r="G48" s="2">
        <v>18585.580000000002</v>
      </c>
      <c r="H48" s="2">
        <v>11300.06</v>
      </c>
      <c r="I48" s="2" t="s">
        <v>6752</v>
      </c>
      <c r="J48" s="2" t="s">
        <v>6729</v>
      </c>
      <c r="K48" s="2" t="s">
        <v>80</v>
      </c>
      <c r="L48" s="2" t="s">
        <v>88</v>
      </c>
      <c r="M48" s="2">
        <v>5</v>
      </c>
      <c r="N48" s="2" t="s">
        <v>33</v>
      </c>
      <c r="O48" s="2" t="s">
        <v>25</v>
      </c>
      <c r="P48" s="2" t="s">
        <v>49</v>
      </c>
    </row>
    <row r="49" spans="1:16" x14ac:dyDescent="0.25">
      <c r="A49" s="2" t="s">
        <v>185</v>
      </c>
      <c r="B49" s="2" t="s">
        <v>6757</v>
      </c>
      <c r="C49" s="2">
        <v>8460</v>
      </c>
      <c r="D49" s="2" t="s">
        <v>6758</v>
      </c>
      <c r="E49" s="2" t="s">
        <v>6748</v>
      </c>
      <c r="F49" s="2" t="s">
        <v>39</v>
      </c>
      <c r="G49" s="2">
        <v>49261.66</v>
      </c>
      <c r="H49" s="2">
        <v>31830.66</v>
      </c>
      <c r="I49" s="2" t="s">
        <v>6759</v>
      </c>
      <c r="J49" s="2" t="s">
        <v>6753</v>
      </c>
      <c r="K49" s="2" t="s">
        <v>32</v>
      </c>
      <c r="L49" s="2" t="s">
        <v>43</v>
      </c>
      <c r="M49" s="2">
        <v>4</v>
      </c>
      <c r="N49" s="2" t="s">
        <v>33</v>
      </c>
      <c r="O49" s="2" t="s">
        <v>70</v>
      </c>
      <c r="P49" s="2" t="s">
        <v>26</v>
      </c>
    </row>
    <row r="50" spans="1:16" x14ac:dyDescent="0.25">
      <c r="A50" s="2" t="s">
        <v>188</v>
      </c>
      <c r="B50" s="2" t="s">
        <v>3453</v>
      </c>
      <c r="C50" s="2">
        <v>9229</v>
      </c>
      <c r="D50" s="2" t="s">
        <v>6760</v>
      </c>
      <c r="E50" s="2" t="s">
        <v>6748</v>
      </c>
      <c r="F50" s="2" t="s">
        <v>47</v>
      </c>
      <c r="G50" s="2">
        <v>11532.71</v>
      </c>
      <c r="H50" s="2">
        <v>7206.08</v>
      </c>
      <c r="I50" s="2" t="s">
        <v>6761</v>
      </c>
      <c r="J50" s="2" t="s">
        <v>41</v>
      </c>
      <c r="K50" s="2" t="s">
        <v>80</v>
      </c>
      <c r="L50" s="2" t="s">
        <v>55</v>
      </c>
      <c r="M50" s="2">
        <v>5</v>
      </c>
      <c r="N50" s="2" t="s">
        <v>69</v>
      </c>
      <c r="O50" s="2" t="s">
        <v>25</v>
      </c>
      <c r="P50" s="2" t="s">
        <v>26</v>
      </c>
    </row>
    <row r="51" spans="1:16" x14ac:dyDescent="0.25">
      <c r="A51" s="2" t="s">
        <v>191</v>
      </c>
      <c r="B51" s="2" t="s">
        <v>4470</v>
      </c>
      <c r="C51" s="2">
        <v>6383</v>
      </c>
      <c r="D51" s="2" t="s">
        <v>6762</v>
      </c>
      <c r="E51" s="2" t="s">
        <v>38</v>
      </c>
      <c r="F51" s="2" t="s">
        <v>39</v>
      </c>
      <c r="G51" s="2">
        <v>44259.6</v>
      </c>
      <c r="H51" s="2">
        <v>25465.200000000001</v>
      </c>
      <c r="I51" s="2" t="s">
        <v>120</v>
      </c>
      <c r="J51" s="2" t="s">
        <v>21</v>
      </c>
      <c r="K51" s="2" t="s">
        <v>80</v>
      </c>
      <c r="L51" s="2" t="s">
        <v>43</v>
      </c>
      <c r="M51" s="2">
        <v>1</v>
      </c>
      <c r="N51" s="2" t="s">
        <v>24</v>
      </c>
      <c r="O51" s="2" t="s">
        <v>25</v>
      </c>
      <c r="P51" s="2" t="s">
        <v>49</v>
      </c>
    </row>
    <row r="52" spans="1:16" x14ac:dyDescent="0.25">
      <c r="A52" s="2" t="s">
        <v>194</v>
      </c>
      <c r="B52" s="2" t="s">
        <v>6763</v>
      </c>
      <c r="C52" s="2">
        <v>8269</v>
      </c>
      <c r="D52" s="2" t="s">
        <v>6764</v>
      </c>
      <c r="E52" s="2" t="s">
        <v>6756</v>
      </c>
      <c r="F52" s="2" t="s">
        <v>58</v>
      </c>
      <c r="G52" s="2">
        <v>31573.17</v>
      </c>
      <c r="H52" s="2">
        <v>19912.72</v>
      </c>
      <c r="I52" s="2" t="s">
        <v>6761</v>
      </c>
      <c r="J52" s="2" t="s">
        <v>6705</v>
      </c>
      <c r="K52" s="2" t="s">
        <v>22</v>
      </c>
      <c r="L52" s="2" t="s">
        <v>88</v>
      </c>
      <c r="M52" s="2">
        <v>1</v>
      </c>
      <c r="N52" s="2" t="s">
        <v>33</v>
      </c>
      <c r="O52" s="2" t="s">
        <v>25</v>
      </c>
      <c r="P52" s="2" t="s">
        <v>26</v>
      </c>
    </row>
    <row r="53" spans="1:16" x14ac:dyDescent="0.25">
      <c r="A53" s="2" t="s">
        <v>197</v>
      </c>
      <c r="B53" s="2" t="s">
        <v>1110</v>
      </c>
      <c r="C53" s="2">
        <v>3344</v>
      </c>
      <c r="D53" s="2" t="s">
        <v>2224</v>
      </c>
      <c r="E53" s="2" t="s">
        <v>18</v>
      </c>
      <c r="F53" s="2" t="s">
        <v>47</v>
      </c>
      <c r="G53" s="2">
        <v>11404.84</v>
      </c>
      <c r="H53" s="2">
        <v>5711.49</v>
      </c>
      <c r="I53" s="2" t="s">
        <v>84</v>
      </c>
      <c r="J53" s="2" t="s">
        <v>54</v>
      </c>
      <c r="K53" s="2" t="s">
        <v>42</v>
      </c>
      <c r="L53" s="2" t="s">
        <v>48</v>
      </c>
      <c r="M53" s="2">
        <v>1</v>
      </c>
      <c r="N53" s="2" t="s">
        <v>69</v>
      </c>
      <c r="O53" s="2" t="s">
        <v>25</v>
      </c>
      <c r="P53" s="2" t="s">
        <v>34</v>
      </c>
    </row>
    <row r="54" spans="1:16" x14ac:dyDescent="0.25">
      <c r="A54" s="2" t="s">
        <v>200</v>
      </c>
      <c r="B54" s="2" t="s">
        <v>6765</v>
      </c>
      <c r="C54" s="2">
        <v>7951</v>
      </c>
      <c r="D54" s="2" t="s">
        <v>6766</v>
      </c>
      <c r="E54" s="2" t="s">
        <v>38</v>
      </c>
      <c r="F54" s="2" t="s">
        <v>47</v>
      </c>
      <c r="G54" s="2">
        <v>12315.67</v>
      </c>
      <c r="H54" s="2">
        <v>6286.22</v>
      </c>
      <c r="I54" s="2" t="s">
        <v>6759</v>
      </c>
      <c r="J54" s="2" t="s">
        <v>6700</v>
      </c>
      <c r="K54" s="2" t="s">
        <v>80</v>
      </c>
      <c r="L54" s="2" t="s">
        <v>64</v>
      </c>
      <c r="M54" s="2">
        <v>1</v>
      </c>
      <c r="N54" s="2" t="s">
        <v>33</v>
      </c>
      <c r="O54" s="2" t="s">
        <v>25</v>
      </c>
      <c r="P54" s="2" t="s">
        <v>49</v>
      </c>
    </row>
    <row r="55" spans="1:16" x14ac:dyDescent="0.25">
      <c r="A55" s="2" t="s">
        <v>202</v>
      </c>
      <c r="B55" s="2" t="s">
        <v>6072</v>
      </c>
      <c r="C55" s="2">
        <v>5689</v>
      </c>
      <c r="D55" s="2" t="s">
        <v>6767</v>
      </c>
      <c r="E55" s="2" t="s">
        <v>18</v>
      </c>
      <c r="F55" s="2" t="s">
        <v>19</v>
      </c>
      <c r="G55" s="2">
        <v>18453.66</v>
      </c>
      <c r="H55" s="2">
        <v>9604.4699999999993</v>
      </c>
      <c r="I55" s="2" t="s">
        <v>84</v>
      </c>
      <c r="J55" s="2" t="s">
        <v>54</v>
      </c>
      <c r="K55" s="2" t="s">
        <v>32</v>
      </c>
      <c r="L55" s="2" t="s">
        <v>43</v>
      </c>
      <c r="M55" s="2">
        <v>3</v>
      </c>
      <c r="N55" s="2" t="s">
        <v>24</v>
      </c>
      <c r="O55" s="2" t="s">
        <v>70</v>
      </c>
      <c r="P55" s="2" t="s">
        <v>49</v>
      </c>
    </row>
    <row r="56" spans="1:16" x14ac:dyDescent="0.25">
      <c r="A56" s="2" t="s">
        <v>205</v>
      </c>
      <c r="B56" s="2" t="s">
        <v>1451</v>
      </c>
      <c r="C56" s="2">
        <v>1546</v>
      </c>
      <c r="D56" s="2" t="s">
        <v>6768</v>
      </c>
      <c r="E56" s="2" t="s">
        <v>38</v>
      </c>
      <c r="F56" s="2" t="s">
        <v>47</v>
      </c>
      <c r="G56" s="2">
        <v>16083.21</v>
      </c>
      <c r="H56" s="2">
        <v>7527.37</v>
      </c>
      <c r="I56" s="2" t="s">
        <v>63</v>
      </c>
      <c r="J56" s="2" t="s">
        <v>54</v>
      </c>
      <c r="K56" s="2" t="s">
        <v>42</v>
      </c>
      <c r="L56" s="2" t="s">
        <v>88</v>
      </c>
      <c r="M56" s="2">
        <v>4</v>
      </c>
      <c r="N56" s="2" t="s">
        <v>33</v>
      </c>
      <c r="O56" s="2" t="s">
        <v>25</v>
      </c>
      <c r="P56" s="2" t="s">
        <v>49</v>
      </c>
    </row>
    <row r="57" spans="1:16" x14ac:dyDescent="0.25">
      <c r="A57" s="2" t="s">
        <v>208</v>
      </c>
      <c r="B57" s="2" t="s">
        <v>2245</v>
      </c>
      <c r="C57" s="2">
        <v>5835</v>
      </c>
      <c r="D57" s="2" t="s">
        <v>6769</v>
      </c>
      <c r="E57" s="2" t="s">
        <v>38</v>
      </c>
      <c r="F57" s="2" t="s">
        <v>47</v>
      </c>
      <c r="G57" s="2">
        <v>18829.36</v>
      </c>
      <c r="H57" s="2">
        <v>10236.89</v>
      </c>
      <c r="I57" s="2" t="s">
        <v>84</v>
      </c>
      <c r="J57" s="2" t="s">
        <v>54</v>
      </c>
      <c r="K57" s="2" t="s">
        <v>22</v>
      </c>
      <c r="L57" s="2" t="s">
        <v>23</v>
      </c>
      <c r="M57" s="2">
        <v>2</v>
      </c>
      <c r="N57" s="2" t="s">
        <v>69</v>
      </c>
      <c r="O57" s="2" t="s">
        <v>70</v>
      </c>
      <c r="P57" s="2" t="s">
        <v>34</v>
      </c>
    </row>
    <row r="58" spans="1:16" x14ac:dyDescent="0.25">
      <c r="A58" s="2" t="s">
        <v>211</v>
      </c>
      <c r="B58" s="2" t="s">
        <v>1343</v>
      </c>
      <c r="C58" s="2">
        <v>3024</v>
      </c>
      <c r="D58" s="2" t="s">
        <v>1078</v>
      </c>
      <c r="E58" s="2" t="s">
        <v>38</v>
      </c>
      <c r="F58" s="2" t="s">
        <v>58</v>
      </c>
      <c r="G58" s="2">
        <v>16228.25</v>
      </c>
      <c r="H58" s="2">
        <v>9733.74</v>
      </c>
      <c r="I58" s="2" t="s">
        <v>59</v>
      </c>
      <c r="J58" s="2" t="s">
        <v>41</v>
      </c>
      <c r="K58" s="2" t="s">
        <v>42</v>
      </c>
      <c r="L58" s="2" t="s">
        <v>43</v>
      </c>
      <c r="M58" s="2">
        <v>4</v>
      </c>
      <c r="N58" s="2" t="s">
        <v>69</v>
      </c>
      <c r="O58" s="2" t="s">
        <v>70</v>
      </c>
      <c r="P58" s="2" t="s">
        <v>26</v>
      </c>
    </row>
    <row r="59" spans="1:16" x14ac:dyDescent="0.25">
      <c r="A59" s="2" t="s">
        <v>214</v>
      </c>
      <c r="B59" s="2" t="s">
        <v>5773</v>
      </c>
      <c r="C59" s="2">
        <v>2035</v>
      </c>
      <c r="D59" s="2" t="s">
        <v>6770</v>
      </c>
      <c r="E59" s="2" t="s">
        <v>6719</v>
      </c>
      <c r="F59" s="2" t="s">
        <v>47</v>
      </c>
      <c r="G59" s="2">
        <v>15947.45</v>
      </c>
      <c r="H59" s="2">
        <v>8140.19</v>
      </c>
      <c r="I59" s="2" t="s">
        <v>6771</v>
      </c>
      <c r="J59" s="2" t="s">
        <v>6724</v>
      </c>
      <c r="K59" s="2" t="s">
        <v>80</v>
      </c>
      <c r="L59" s="2" t="s">
        <v>55</v>
      </c>
      <c r="M59" s="2">
        <v>2</v>
      </c>
      <c r="N59" s="2" t="s">
        <v>33</v>
      </c>
      <c r="O59" s="2" t="s">
        <v>25</v>
      </c>
      <c r="P59" s="2" t="s">
        <v>34</v>
      </c>
    </row>
    <row r="60" spans="1:16" x14ac:dyDescent="0.25">
      <c r="A60" s="2" t="s">
        <v>216</v>
      </c>
      <c r="B60" s="2" t="s">
        <v>2074</v>
      </c>
      <c r="C60" s="2">
        <v>7797</v>
      </c>
      <c r="D60" s="2" t="s">
        <v>6772</v>
      </c>
      <c r="E60" s="2" t="s">
        <v>18</v>
      </c>
      <c r="F60" s="2" t="s">
        <v>19</v>
      </c>
      <c r="G60" s="2">
        <v>21512.2</v>
      </c>
      <c r="H60" s="2">
        <v>12329.3</v>
      </c>
      <c r="I60" s="2" t="s">
        <v>84</v>
      </c>
      <c r="J60" s="2" t="s">
        <v>54</v>
      </c>
      <c r="K60" s="2" t="s">
        <v>42</v>
      </c>
      <c r="L60" s="2" t="s">
        <v>55</v>
      </c>
      <c r="M60" s="2">
        <v>3</v>
      </c>
      <c r="N60" s="2" t="s">
        <v>33</v>
      </c>
      <c r="O60" s="2" t="s">
        <v>25</v>
      </c>
      <c r="P60" s="2" t="s">
        <v>26</v>
      </c>
    </row>
    <row r="61" spans="1:16" x14ac:dyDescent="0.25">
      <c r="A61" s="2" t="s">
        <v>219</v>
      </c>
      <c r="B61" s="2" t="s">
        <v>6773</v>
      </c>
      <c r="C61" s="2">
        <v>1992</v>
      </c>
      <c r="D61" s="2" t="s">
        <v>6774</v>
      </c>
      <c r="E61" s="2" t="s">
        <v>6719</v>
      </c>
      <c r="F61" s="2" t="s">
        <v>39</v>
      </c>
      <c r="G61" s="2">
        <v>24156.13</v>
      </c>
      <c r="H61" s="2">
        <v>15547.88</v>
      </c>
      <c r="I61" s="2" t="s">
        <v>6699</v>
      </c>
      <c r="J61" s="2" t="s">
        <v>54</v>
      </c>
      <c r="K61" s="2" t="s">
        <v>80</v>
      </c>
      <c r="L61" s="2" t="s">
        <v>55</v>
      </c>
      <c r="M61" s="2">
        <v>2</v>
      </c>
      <c r="N61" s="2" t="s">
        <v>24</v>
      </c>
      <c r="O61" s="2" t="s">
        <v>25</v>
      </c>
      <c r="P61" s="2" t="s">
        <v>26</v>
      </c>
    </row>
    <row r="62" spans="1:16" x14ac:dyDescent="0.25">
      <c r="A62" s="2" t="s">
        <v>222</v>
      </c>
      <c r="B62" s="2" t="s">
        <v>6775</v>
      </c>
      <c r="C62" s="2">
        <v>3417</v>
      </c>
      <c r="D62" s="2" t="s">
        <v>6776</v>
      </c>
      <c r="E62" s="2" t="s">
        <v>6694</v>
      </c>
      <c r="F62" s="2" t="s">
        <v>58</v>
      </c>
      <c r="G62" s="2">
        <v>11640.22</v>
      </c>
      <c r="H62" s="2">
        <v>7528.96</v>
      </c>
      <c r="I62" s="2" t="s">
        <v>6777</v>
      </c>
      <c r="J62" s="2" t="s">
        <v>41</v>
      </c>
      <c r="K62" s="2" t="s">
        <v>32</v>
      </c>
      <c r="L62" s="2" t="s">
        <v>43</v>
      </c>
      <c r="M62" s="2">
        <v>3</v>
      </c>
      <c r="N62" s="2" t="s">
        <v>24</v>
      </c>
      <c r="O62" s="2" t="s">
        <v>25</v>
      </c>
      <c r="P62" s="2" t="s">
        <v>26</v>
      </c>
    </row>
    <row r="63" spans="1:16" x14ac:dyDescent="0.25">
      <c r="A63" s="2" t="s">
        <v>224</v>
      </c>
      <c r="B63" s="2" t="s">
        <v>4696</v>
      </c>
      <c r="C63" s="2">
        <v>8802</v>
      </c>
      <c r="D63" s="2" t="s">
        <v>6778</v>
      </c>
      <c r="E63" s="2" t="s">
        <v>38</v>
      </c>
      <c r="F63" s="2" t="s">
        <v>58</v>
      </c>
      <c r="G63" s="2">
        <v>44143.96</v>
      </c>
      <c r="H63" s="2">
        <v>24396.05</v>
      </c>
      <c r="I63" s="2" t="s">
        <v>63</v>
      </c>
      <c r="J63" s="2" t="s">
        <v>54</v>
      </c>
      <c r="K63" s="2" t="s">
        <v>22</v>
      </c>
      <c r="L63" s="2" t="s">
        <v>64</v>
      </c>
      <c r="M63" s="2">
        <v>5</v>
      </c>
      <c r="N63" s="2" t="s">
        <v>33</v>
      </c>
      <c r="O63" s="2" t="s">
        <v>70</v>
      </c>
      <c r="P63" s="2" t="s">
        <v>49</v>
      </c>
    </row>
    <row r="64" spans="1:16" x14ac:dyDescent="0.25">
      <c r="A64" s="2" t="s">
        <v>227</v>
      </c>
      <c r="B64" s="2" t="s">
        <v>6779</v>
      </c>
      <c r="C64" s="2">
        <v>8847</v>
      </c>
      <c r="D64" s="2" t="s">
        <v>6780</v>
      </c>
      <c r="E64" s="2" t="s">
        <v>6680</v>
      </c>
      <c r="F64" s="2" t="s">
        <v>39</v>
      </c>
      <c r="G64" s="2">
        <v>18170.310000000001</v>
      </c>
      <c r="H64" s="2">
        <v>8568.98</v>
      </c>
      <c r="I64" s="2" t="s">
        <v>6777</v>
      </c>
      <c r="J64" s="2" t="s">
        <v>6732</v>
      </c>
      <c r="K64" s="2" t="s">
        <v>80</v>
      </c>
      <c r="L64" s="2" t="s">
        <v>55</v>
      </c>
      <c r="M64" s="2">
        <v>1</v>
      </c>
      <c r="N64" s="2" t="s">
        <v>33</v>
      </c>
      <c r="O64" s="2" t="s">
        <v>25</v>
      </c>
      <c r="P64" s="2" t="s">
        <v>26</v>
      </c>
    </row>
    <row r="65" spans="1:16" x14ac:dyDescent="0.25">
      <c r="A65" s="2" t="s">
        <v>230</v>
      </c>
      <c r="B65" s="2" t="s">
        <v>1849</v>
      </c>
      <c r="C65" s="2">
        <v>2874</v>
      </c>
      <c r="D65" s="2" t="s">
        <v>6781</v>
      </c>
      <c r="E65" s="2" t="s">
        <v>6756</v>
      </c>
      <c r="F65" s="2" t="s">
        <v>39</v>
      </c>
      <c r="G65" s="2">
        <v>18278.37</v>
      </c>
      <c r="H65" s="2">
        <v>11471.84</v>
      </c>
      <c r="I65" s="2" t="s">
        <v>6777</v>
      </c>
      <c r="J65" s="2" t="s">
        <v>6682</v>
      </c>
      <c r="K65" s="2" t="s">
        <v>80</v>
      </c>
      <c r="L65" s="2" t="s">
        <v>88</v>
      </c>
      <c r="M65" s="2">
        <v>4</v>
      </c>
      <c r="N65" s="2" t="s">
        <v>33</v>
      </c>
      <c r="O65" s="2" t="s">
        <v>70</v>
      </c>
      <c r="P65" s="2" t="s">
        <v>34</v>
      </c>
    </row>
    <row r="66" spans="1:16" x14ac:dyDescent="0.25">
      <c r="A66" s="2" t="s">
        <v>233</v>
      </c>
      <c r="B66" s="2" t="s">
        <v>1431</v>
      </c>
      <c r="C66" s="2">
        <v>8075</v>
      </c>
      <c r="D66" s="2" t="s">
        <v>6782</v>
      </c>
      <c r="E66" s="2" t="s">
        <v>18</v>
      </c>
      <c r="F66" s="2" t="s">
        <v>47</v>
      </c>
      <c r="G66" s="2">
        <v>6641.64</v>
      </c>
      <c r="H66" s="2">
        <v>3483.74</v>
      </c>
      <c r="I66" s="2" t="s">
        <v>40</v>
      </c>
      <c r="J66" s="2" t="s">
        <v>41</v>
      </c>
      <c r="K66" s="2" t="s">
        <v>32</v>
      </c>
      <c r="L66" s="2" t="s">
        <v>43</v>
      </c>
      <c r="M66" s="2">
        <v>1</v>
      </c>
      <c r="N66" s="2" t="s">
        <v>24</v>
      </c>
      <c r="O66" s="2" t="s">
        <v>25</v>
      </c>
      <c r="P66" s="2" t="s">
        <v>34</v>
      </c>
    </row>
    <row r="67" spans="1:16" x14ac:dyDescent="0.25">
      <c r="A67" s="2" t="s">
        <v>235</v>
      </c>
      <c r="B67" s="2" t="s">
        <v>6783</v>
      </c>
      <c r="C67" s="2">
        <v>6119</v>
      </c>
      <c r="D67" s="2" t="s">
        <v>6784</v>
      </c>
      <c r="E67" s="2" t="s">
        <v>6680</v>
      </c>
      <c r="F67" s="2" t="s">
        <v>47</v>
      </c>
      <c r="G67" s="2">
        <v>4554.01</v>
      </c>
      <c r="H67" s="2">
        <v>2511.46</v>
      </c>
      <c r="I67" s="2" t="s">
        <v>6699</v>
      </c>
      <c r="J67" s="2" t="s">
        <v>6753</v>
      </c>
      <c r="K67" s="2" t="s">
        <v>32</v>
      </c>
      <c r="L67" s="2" t="s">
        <v>48</v>
      </c>
      <c r="M67" s="2">
        <v>4</v>
      </c>
      <c r="N67" s="2" t="s">
        <v>33</v>
      </c>
      <c r="O67" s="2" t="s">
        <v>25</v>
      </c>
      <c r="P67" s="2" t="s">
        <v>49</v>
      </c>
    </row>
    <row r="68" spans="1:16" x14ac:dyDescent="0.25">
      <c r="A68" s="2" t="s">
        <v>238</v>
      </c>
      <c r="B68" s="2" t="s">
        <v>195</v>
      </c>
      <c r="C68" s="2">
        <v>5381</v>
      </c>
      <c r="D68" s="2" t="s">
        <v>6785</v>
      </c>
      <c r="E68" s="2" t="s">
        <v>18</v>
      </c>
      <c r="F68" s="2" t="s">
        <v>30</v>
      </c>
      <c r="G68" s="2">
        <v>21709.45</v>
      </c>
      <c r="H68" s="2">
        <v>12820.29</v>
      </c>
      <c r="I68" s="2" t="s">
        <v>40</v>
      </c>
      <c r="J68" s="2" t="s">
        <v>41</v>
      </c>
      <c r="K68" s="2" t="s">
        <v>42</v>
      </c>
      <c r="L68" s="2" t="s">
        <v>88</v>
      </c>
      <c r="M68" s="2">
        <v>3</v>
      </c>
      <c r="N68" s="2" t="s">
        <v>33</v>
      </c>
      <c r="O68" s="2" t="s">
        <v>70</v>
      </c>
      <c r="P68" s="2" t="s">
        <v>49</v>
      </c>
    </row>
    <row r="69" spans="1:16" x14ac:dyDescent="0.25">
      <c r="A69" s="2" t="s">
        <v>241</v>
      </c>
      <c r="B69" s="2" t="s">
        <v>3303</v>
      </c>
      <c r="C69" s="2">
        <v>7163</v>
      </c>
      <c r="D69" s="2" t="s">
        <v>6786</v>
      </c>
      <c r="E69" s="2" t="s">
        <v>38</v>
      </c>
      <c r="F69" s="2" t="s">
        <v>19</v>
      </c>
      <c r="G69" s="2">
        <v>9070.08</v>
      </c>
      <c r="H69" s="2">
        <v>4367.08</v>
      </c>
      <c r="I69" s="2" t="s">
        <v>84</v>
      </c>
      <c r="J69" s="2" t="s">
        <v>54</v>
      </c>
      <c r="K69" s="2" t="s">
        <v>42</v>
      </c>
      <c r="L69" s="2" t="s">
        <v>48</v>
      </c>
      <c r="M69" s="2">
        <v>3</v>
      </c>
      <c r="N69" s="2" t="s">
        <v>24</v>
      </c>
      <c r="O69" s="2" t="s">
        <v>25</v>
      </c>
      <c r="P69" s="2" t="s">
        <v>26</v>
      </c>
    </row>
    <row r="70" spans="1:16" x14ac:dyDescent="0.25">
      <c r="A70" s="2" t="s">
        <v>243</v>
      </c>
      <c r="B70" s="2" t="s">
        <v>3698</v>
      </c>
      <c r="C70" s="2">
        <v>7947</v>
      </c>
      <c r="D70" s="2" t="s">
        <v>6787</v>
      </c>
      <c r="E70" s="2" t="s">
        <v>38</v>
      </c>
      <c r="F70" s="2" t="s">
        <v>58</v>
      </c>
      <c r="G70" s="2">
        <v>27415.63</v>
      </c>
      <c r="H70" s="2">
        <v>14608.06</v>
      </c>
      <c r="I70" s="2" t="s">
        <v>84</v>
      </c>
      <c r="J70" s="2" t="s">
        <v>54</v>
      </c>
      <c r="K70" s="2" t="s">
        <v>32</v>
      </c>
      <c r="L70" s="2" t="s">
        <v>43</v>
      </c>
      <c r="M70" s="2">
        <v>1</v>
      </c>
      <c r="N70" s="2" t="s">
        <v>33</v>
      </c>
      <c r="O70" s="2" t="s">
        <v>25</v>
      </c>
      <c r="P70" s="2" t="s">
        <v>49</v>
      </c>
    </row>
    <row r="71" spans="1:16" x14ac:dyDescent="0.25">
      <c r="A71" s="2" t="s">
        <v>246</v>
      </c>
      <c r="B71" s="2" t="s">
        <v>3833</v>
      </c>
      <c r="C71" s="2">
        <v>1125</v>
      </c>
      <c r="D71" s="2" t="s">
        <v>6788</v>
      </c>
      <c r="E71" s="2" t="s">
        <v>6703</v>
      </c>
      <c r="F71" s="2" t="s">
        <v>39</v>
      </c>
      <c r="G71" s="2">
        <v>14404.81</v>
      </c>
      <c r="H71" s="2">
        <v>7090.72</v>
      </c>
      <c r="I71" s="2" t="s">
        <v>6771</v>
      </c>
      <c r="J71" s="2" t="s">
        <v>6789</v>
      </c>
      <c r="K71" s="2" t="s">
        <v>32</v>
      </c>
      <c r="L71" s="2" t="s">
        <v>88</v>
      </c>
      <c r="M71" s="2">
        <v>3</v>
      </c>
      <c r="N71" s="2" t="s">
        <v>33</v>
      </c>
      <c r="O71" s="2" t="s">
        <v>25</v>
      </c>
      <c r="P71" s="2" t="s">
        <v>49</v>
      </c>
    </row>
    <row r="72" spans="1:16" x14ac:dyDescent="0.25">
      <c r="A72" s="2" t="s">
        <v>248</v>
      </c>
      <c r="B72" s="2" t="s">
        <v>116</v>
      </c>
      <c r="C72" s="2">
        <v>7505</v>
      </c>
      <c r="D72" s="2" t="s">
        <v>6790</v>
      </c>
      <c r="E72" s="2" t="s">
        <v>18</v>
      </c>
      <c r="F72" s="2" t="s">
        <v>30</v>
      </c>
      <c r="G72" s="2">
        <v>50420.639999999999</v>
      </c>
      <c r="H72" s="2">
        <v>27325.51</v>
      </c>
      <c r="I72" s="2" t="s">
        <v>6771</v>
      </c>
      <c r="J72" s="2" t="s">
        <v>21</v>
      </c>
      <c r="K72" s="2" t="s">
        <v>22</v>
      </c>
      <c r="L72" s="2" t="s">
        <v>88</v>
      </c>
      <c r="M72" s="2">
        <v>5</v>
      </c>
      <c r="N72" s="2" t="s">
        <v>33</v>
      </c>
      <c r="O72" s="2" t="s">
        <v>25</v>
      </c>
      <c r="P72" s="2" t="s">
        <v>49</v>
      </c>
    </row>
    <row r="73" spans="1:16" x14ac:dyDescent="0.25">
      <c r="A73" s="2" t="s">
        <v>250</v>
      </c>
      <c r="B73" s="2" t="s">
        <v>6791</v>
      </c>
      <c r="C73" s="2">
        <v>2443</v>
      </c>
      <c r="D73" s="2" t="s">
        <v>6792</v>
      </c>
      <c r="E73" s="2" t="s">
        <v>6680</v>
      </c>
      <c r="F73" s="2" t="s">
        <v>47</v>
      </c>
      <c r="G73" s="2">
        <v>11260.85</v>
      </c>
      <c r="H73" s="2">
        <v>5615.37</v>
      </c>
      <c r="I73" s="2" t="s">
        <v>68</v>
      </c>
      <c r="J73" s="2" t="s">
        <v>6793</v>
      </c>
      <c r="K73" s="2" t="s">
        <v>80</v>
      </c>
      <c r="L73" s="2" t="s">
        <v>43</v>
      </c>
      <c r="M73" s="2">
        <v>1</v>
      </c>
      <c r="N73" s="2" t="s">
        <v>33</v>
      </c>
      <c r="O73" s="2" t="s">
        <v>25</v>
      </c>
      <c r="P73" s="2" t="s">
        <v>34</v>
      </c>
    </row>
    <row r="74" spans="1:16" x14ac:dyDescent="0.25">
      <c r="A74" s="2" t="s">
        <v>253</v>
      </c>
      <c r="B74" s="2" t="s">
        <v>288</v>
      </c>
      <c r="C74" s="2">
        <v>4871</v>
      </c>
      <c r="D74" s="2" t="s">
        <v>289</v>
      </c>
      <c r="E74" s="2" t="s">
        <v>6694</v>
      </c>
      <c r="F74" s="2" t="s">
        <v>39</v>
      </c>
      <c r="G74" s="2">
        <v>14790.82</v>
      </c>
      <c r="H74" s="2">
        <v>7239.43</v>
      </c>
      <c r="I74" s="2" t="s">
        <v>6794</v>
      </c>
      <c r="J74" s="2" t="s">
        <v>6795</v>
      </c>
      <c r="K74" s="2" t="s">
        <v>32</v>
      </c>
      <c r="L74" s="2" t="s">
        <v>48</v>
      </c>
      <c r="M74" s="2">
        <v>1</v>
      </c>
      <c r="N74" s="2" t="s">
        <v>33</v>
      </c>
      <c r="O74" s="2" t="s">
        <v>70</v>
      </c>
      <c r="P74" s="2" t="s">
        <v>34</v>
      </c>
    </row>
    <row r="75" spans="1:16" x14ac:dyDescent="0.25">
      <c r="A75" s="2" t="s">
        <v>255</v>
      </c>
      <c r="B75" s="2" t="s">
        <v>1059</v>
      </c>
      <c r="C75" s="2">
        <v>6179</v>
      </c>
      <c r="D75" s="2" t="s">
        <v>6796</v>
      </c>
      <c r="E75" s="2" t="s">
        <v>18</v>
      </c>
      <c r="F75" s="2" t="s">
        <v>19</v>
      </c>
      <c r="G75" s="2">
        <v>9259.2800000000007</v>
      </c>
      <c r="H75" s="2">
        <v>5035.05</v>
      </c>
      <c r="I75" s="2" t="s">
        <v>40</v>
      </c>
      <c r="J75" s="2" t="s">
        <v>6682</v>
      </c>
      <c r="K75" s="2" t="s">
        <v>42</v>
      </c>
      <c r="L75" s="2" t="s">
        <v>88</v>
      </c>
      <c r="M75" s="2">
        <v>5</v>
      </c>
      <c r="N75" s="2" t="s">
        <v>33</v>
      </c>
      <c r="O75" s="2" t="s">
        <v>25</v>
      </c>
      <c r="P75" s="2" t="s">
        <v>34</v>
      </c>
    </row>
    <row r="76" spans="1:16" x14ac:dyDescent="0.25">
      <c r="A76" s="2" t="s">
        <v>258</v>
      </c>
      <c r="B76" s="2" t="s">
        <v>273</v>
      </c>
      <c r="C76" s="2">
        <v>9307</v>
      </c>
      <c r="D76" s="2" t="s">
        <v>6635</v>
      </c>
      <c r="E76" s="2" t="s">
        <v>38</v>
      </c>
      <c r="F76" s="2" t="s">
        <v>19</v>
      </c>
      <c r="G76" s="2">
        <v>9571.24</v>
      </c>
      <c r="H76" s="2">
        <v>5368.16</v>
      </c>
      <c r="I76" s="2" t="s">
        <v>68</v>
      </c>
      <c r="J76" s="2" t="s">
        <v>41</v>
      </c>
      <c r="K76" s="2" t="s">
        <v>22</v>
      </c>
      <c r="L76" s="2" t="s">
        <v>64</v>
      </c>
      <c r="M76" s="2">
        <v>5</v>
      </c>
      <c r="N76" s="2" t="s">
        <v>24</v>
      </c>
      <c r="O76" s="2" t="s">
        <v>25</v>
      </c>
      <c r="P76" s="2" t="s">
        <v>34</v>
      </c>
    </row>
    <row r="78" spans="1:16" x14ac:dyDescent="0.25">
      <c r="A78" s="2" t="s">
        <v>261</v>
      </c>
      <c r="B78" s="2" t="s">
        <v>6797</v>
      </c>
      <c r="C78" s="2">
        <v>9266</v>
      </c>
      <c r="D78" s="2" t="s">
        <v>6798</v>
      </c>
      <c r="E78" s="2" t="s">
        <v>6756</v>
      </c>
      <c r="F78" s="2" t="s">
        <v>58</v>
      </c>
      <c r="G78" s="2">
        <v>8857.74</v>
      </c>
      <c r="H78" s="2">
        <v>5239.57</v>
      </c>
      <c r="I78" s="2" t="s">
        <v>6799</v>
      </c>
      <c r="J78" s="2" t="s">
        <v>41</v>
      </c>
      <c r="K78" s="2" t="s">
        <v>80</v>
      </c>
      <c r="L78" s="2" t="s">
        <v>43</v>
      </c>
      <c r="M78" s="2">
        <v>5</v>
      </c>
      <c r="N78" s="2" t="s">
        <v>24</v>
      </c>
      <c r="O78" s="2" t="s">
        <v>25</v>
      </c>
      <c r="P78" s="2" t="s">
        <v>34</v>
      </c>
    </row>
    <row r="79" spans="1:16" x14ac:dyDescent="0.25">
      <c r="A79" s="2" t="s">
        <v>264</v>
      </c>
      <c r="B79" s="2" t="s">
        <v>6800</v>
      </c>
      <c r="C79" s="2">
        <v>7333</v>
      </c>
      <c r="D79" s="2" t="s">
        <v>6801</v>
      </c>
      <c r="E79" s="2" t="s">
        <v>6748</v>
      </c>
      <c r="F79" s="2" t="s">
        <v>39</v>
      </c>
      <c r="G79" s="2">
        <v>15315.86</v>
      </c>
      <c r="H79" s="2">
        <v>9500.6299999999992</v>
      </c>
      <c r="I79" s="2" t="s">
        <v>6771</v>
      </c>
      <c r="J79" s="2" t="s">
        <v>6802</v>
      </c>
      <c r="K79" s="2" t="s">
        <v>32</v>
      </c>
      <c r="L79" s="2" t="s">
        <v>88</v>
      </c>
      <c r="M79" s="2">
        <v>1</v>
      </c>
      <c r="N79" s="2" t="s">
        <v>24</v>
      </c>
      <c r="O79" s="2" t="s">
        <v>25</v>
      </c>
      <c r="P79" s="2" t="s">
        <v>34</v>
      </c>
    </row>
    <row r="80" spans="1:16" x14ac:dyDescent="0.25">
      <c r="A80" s="2" t="s">
        <v>266</v>
      </c>
      <c r="B80" s="2" t="s">
        <v>6163</v>
      </c>
      <c r="C80" s="2">
        <v>9624</v>
      </c>
      <c r="D80" s="2" t="s">
        <v>1287</v>
      </c>
      <c r="E80" s="2" t="s">
        <v>18</v>
      </c>
      <c r="F80" s="2" t="s">
        <v>39</v>
      </c>
      <c r="G80" s="2">
        <v>28318.82</v>
      </c>
      <c r="H80" s="2">
        <v>15141.54</v>
      </c>
      <c r="I80" s="2" t="s">
        <v>20</v>
      </c>
      <c r="J80" s="2" t="s">
        <v>21</v>
      </c>
      <c r="K80" s="2" t="s">
        <v>42</v>
      </c>
      <c r="L80" s="2" t="s">
        <v>55</v>
      </c>
      <c r="M80" s="2">
        <v>3</v>
      </c>
      <c r="N80" s="2" t="s">
        <v>33</v>
      </c>
      <c r="O80" s="2" t="s">
        <v>70</v>
      </c>
      <c r="P80" s="2" t="s">
        <v>34</v>
      </c>
    </row>
    <row r="81" spans="1:16" x14ac:dyDescent="0.25">
      <c r="A81" s="2" t="s">
        <v>269</v>
      </c>
      <c r="B81" s="2" t="s">
        <v>1988</v>
      </c>
      <c r="C81" s="2">
        <v>9317</v>
      </c>
      <c r="D81" s="2" t="s">
        <v>6803</v>
      </c>
      <c r="E81" s="2" t="s">
        <v>18</v>
      </c>
      <c r="F81" s="2" t="s">
        <v>47</v>
      </c>
      <c r="G81" s="2">
        <v>9158</v>
      </c>
      <c r="H81" s="2">
        <v>5726.3</v>
      </c>
      <c r="I81" s="2" t="s">
        <v>20</v>
      </c>
      <c r="J81" s="2" t="s">
        <v>21</v>
      </c>
      <c r="K81" s="2" t="s">
        <v>32</v>
      </c>
      <c r="L81" s="2" t="s">
        <v>43</v>
      </c>
      <c r="M81" s="2">
        <v>4</v>
      </c>
      <c r="N81" s="2" t="s">
        <v>33</v>
      </c>
      <c r="O81" s="2" t="s">
        <v>25</v>
      </c>
      <c r="P81" s="2" t="s">
        <v>49</v>
      </c>
    </row>
    <row r="82" spans="1:16" x14ac:dyDescent="0.25">
      <c r="A82" s="2" t="s">
        <v>272</v>
      </c>
      <c r="B82" s="2" t="s">
        <v>4078</v>
      </c>
      <c r="C82" s="2">
        <v>4891</v>
      </c>
      <c r="D82" s="2" t="s">
        <v>6804</v>
      </c>
      <c r="E82" s="2" t="s">
        <v>38</v>
      </c>
      <c r="F82" s="2" t="s">
        <v>19</v>
      </c>
      <c r="G82" s="2">
        <v>6948.92</v>
      </c>
      <c r="H82" s="2">
        <v>4172.68</v>
      </c>
      <c r="I82" s="2" t="s">
        <v>68</v>
      </c>
      <c r="J82" s="2" t="s">
        <v>41</v>
      </c>
      <c r="K82" s="2" t="s">
        <v>80</v>
      </c>
      <c r="L82" s="2" t="s">
        <v>23</v>
      </c>
      <c r="M82" s="2">
        <v>5</v>
      </c>
      <c r="N82" s="2" t="s">
        <v>33</v>
      </c>
      <c r="O82" s="2" t="s">
        <v>70</v>
      </c>
      <c r="P82" s="2" t="s">
        <v>34</v>
      </c>
    </row>
    <row r="83" spans="1:16" x14ac:dyDescent="0.25">
      <c r="A83" s="2" t="s">
        <v>275</v>
      </c>
      <c r="B83" s="2" t="s">
        <v>6805</v>
      </c>
      <c r="C83" s="2">
        <v>7256</v>
      </c>
      <c r="D83" s="2" t="s">
        <v>1249</v>
      </c>
      <c r="E83" s="2" t="s">
        <v>38</v>
      </c>
      <c r="F83" s="2" t="s">
        <v>47</v>
      </c>
      <c r="G83" s="2">
        <v>21867.53</v>
      </c>
      <c r="H83" s="2">
        <v>13413.07</v>
      </c>
      <c r="I83" s="2" t="s">
        <v>84</v>
      </c>
      <c r="J83" s="2" t="s">
        <v>54</v>
      </c>
      <c r="K83" s="2" t="s">
        <v>32</v>
      </c>
      <c r="L83" s="2" t="s">
        <v>88</v>
      </c>
      <c r="M83" s="2">
        <v>1</v>
      </c>
      <c r="N83" s="2" t="s">
        <v>24</v>
      </c>
      <c r="O83" s="2" t="s">
        <v>70</v>
      </c>
      <c r="P83" s="2" t="s">
        <v>49</v>
      </c>
    </row>
    <row r="84" spans="1:16" x14ac:dyDescent="0.25">
      <c r="A84" s="2" t="s">
        <v>277</v>
      </c>
      <c r="B84" s="2" t="s">
        <v>1222</v>
      </c>
      <c r="C84" s="2">
        <v>8361</v>
      </c>
      <c r="D84" s="2" t="s">
        <v>6806</v>
      </c>
      <c r="E84" s="2" t="s">
        <v>18</v>
      </c>
      <c r="F84" s="2" t="s">
        <v>47</v>
      </c>
      <c r="G84" s="2">
        <v>12888.08</v>
      </c>
      <c r="H84" s="2">
        <v>6036.04</v>
      </c>
      <c r="I84" s="2" t="s">
        <v>31</v>
      </c>
      <c r="J84" s="2" t="s">
        <v>21</v>
      </c>
      <c r="K84" s="2" t="s">
        <v>32</v>
      </c>
      <c r="L84" s="2" t="s">
        <v>64</v>
      </c>
      <c r="M84" s="2">
        <v>3</v>
      </c>
      <c r="N84" s="2" t="s">
        <v>69</v>
      </c>
      <c r="O84" s="2" t="s">
        <v>25</v>
      </c>
      <c r="P84" s="2" t="s">
        <v>34</v>
      </c>
    </row>
    <row r="85" spans="1:16" x14ac:dyDescent="0.25">
      <c r="A85" s="2" t="s">
        <v>280</v>
      </c>
      <c r="B85" s="2" t="s">
        <v>186</v>
      </c>
      <c r="C85" s="2">
        <v>6493</v>
      </c>
      <c r="D85" s="2" t="s">
        <v>6807</v>
      </c>
      <c r="E85" s="2" t="s">
        <v>6743</v>
      </c>
      <c r="F85" s="2" t="s">
        <v>39</v>
      </c>
      <c r="G85" s="2">
        <v>10386.709999999999</v>
      </c>
      <c r="H85" s="2">
        <v>5269.97</v>
      </c>
      <c r="I85" s="2" t="s">
        <v>6808</v>
      </c>
      <c r="J85" s="2" t="s">
        <v>6691</v>
      </c>
      <c r="K85" s="2" t="s">
        <v>80</v>
      </c>
      <c r="L85" s="2" t="s">
        <v>48</v>
      </c>
      <c r="M85" s="2">
        <v>2</v>
      </c>
      <c r="N85" s="2" t="s">
        <v>24</v>
      </c>
      <c r="O85" s="2" t="s">
        <v>25</v>
      </c>
      <c r="P85" s="2" t="s">
        <v>49</v>
      </c>
    </row>
    <row r="86" spans="1:16" x14ac:dyDescent="0.25">
      <c r="A86" s="2" t="s">
        <v>283</v>
      </c>
      <c r="B86" s="2" t="s">
        <v>6809</v>
      </c>
      <c r="C86" s="2">
        <v>5934</v>
      </c>
      <c r="D86" s="2" t="s">
        <v>6810</v>
      </c>
      <c r="E86" s="2" t="s">
        <v>6703</v>
      </c>
      <c r="F86" s="2" t="s">
        <v>30</v>
      </c>
      <c r="G86" s="2">
        <v>9872.14</v>
      </c>
      <c r="H86" s="2">
        <v>5271.38</v>
      </c>
      <c r="I86" s="2" t="s">
        <v>6777</v>
      </c>
      <c r="J86" s="2" t="s">
        <v>6732</v>
      </c>
      <c r="K86" s="2" t="s">
        <v>80</v>
      </c>
      <c r="L86" s="2" t="s">
        <v>55</v>
      </c>
      <c r="M86" s="2">
        <v>1</v>
      </c>
      <c r="N86" s="2" t="s">
        <v>69</v>
      </c>
      <c r="O86" s="2" t="s">
        <v>25</v>
      </c>
      <c r="P86" s="2" t="s">
        <v>49</v>
      </c>
    </row>
    <row r="87" spans="1:16" x14ac:dyDescent="0.25">
      <c r="A87" s="2" t="s">
        <v>285</v>
      </c>
      <c r="B87" s="2" t="s">
        <v>1537</v>
      </c>
      <c r="C87" s="2">
        <v>2402</v>
      </c>
      <c r="D87" s="2" t="s">
        <v>6811</v>
      </c>
      <c r="E87" s="2" t="s">
        <v>38</v>
      </c>
      <c r="F87" s="2" t="s">
        <v>39</v>
      </c>
      <c r="G87" s="2">
        <v>11080.1</v>
      </c>
      <c r="H87" s="2">
        <v>6151.8</v>
      </c>
      <c r="I87" s="2" t="s">
        <v>6812</v>
      </c>
      <c r="J87" s="2" t="s">
        <v>6729</v>
      </c>
      <c r="K87" s="2" t="s">
        <v>22</v>
      </c>
      <c r="L87" s="2" t="s">
        <v>64</v>
      </c>
      <c r="M87" s="2">
        <v>4</v>
      </c>
      <c r="N87" s="2" t="s">
        <v>33</v>
      </c>
      <c r="O87" s="2" t="s">
        <v>25</v>
      </c>
      <c r="P87" s="2" t="s">
        <v>34</v>
      </c>
    </row>
    <row r="88" spans="1:16" x14ac:dyDescent="0.25">
      <c r="A88" s="2" t="s">
        <v>287</v>
      </c>
      <c r="B88" s="2" t="s">
        <v>6813</v>
      </c>
      <c r="C88" s="2">
        <v>1726</v>
      </c>
      <c r="D88" s="2" t="s">
        <v>6814</v>
      </c>
      <c r="E88" s="2" t="s">
        <v>38</v>
      </c>
      <c r="F88" s="2" t="s">
        <v>58</v>
      </c>
      <c r="G88" s="2">
        <v>32432.880000000001</v>
      </c>
      <c r="H88" s="2">
        <v>19871.68</v>
      </c>
      <c r="I88" s="2" t="s">
        <v>31</v>
      </c>
      <c r="J88" s="2" t="s">
        <v>21</v>
      </c>
      <c r="K88" s="2" t="s">
        <v>32</v>
      </c>
      <c r="L88" s="2" t="s">
        <v>48</v>
      </c>
      <c r="M88" s="2">
        <v>4</v>
      </c>
      <c r="N88" s="2" t="s">
        <v>69</v>
      </c>
      <c r="O88" s="2" t="s">
        <v>25</v>
      </c>
      <c r="P88" s="2" t="s">
        <v>26</v>
      </c>
    </row>
    <row r="89" spans="1:16" x14ac:dyDescent="0.25">
      <c r="A89" s="2" t="s">
        <v>290</v>
      </c>
      <c r="B89" s="2" t="s">
        <v>6815</v>
      </c>
      <c r="C89" s="2">
        <v>6170</v>
      </c>
      <c r="D89" s="2" t="s">
        <v>6816</v>
      </c>
      <c r="E89" s="2" t="s">
        <v>38</v>
      </c>
      <c r="F89" s="2" t="s">
        <v>58</v>
      </c>
      <c r="G89" s="2">
        <v>27610.58</v>
      </c>
      <c r="H89" s="2">
        <v>17886.810000000001</v>
      </c>
      <c r="I89" s="2" t="s">
        <v>53</v>
      </c>
      <c r="J89" s="2" t="s">
        <v>54</v>
      </c>
      <c r="K89" s="2" t="s">
        <v>80</v>
      </c>
      <c r="L89" s="2" t="s">
        <v>88</v>
      </c>
      <c r="M89" s="2">
        <v>1</v>
      </c>
      <c r="N89" s="2" t="s">
        <v>24</v>
      </c>
      <c r="O89" s="2" t="s">
        <v>25</v>
      </c>
      <c r="P89" s="2" t="s">
        <v>34</v>
      </c>
    </row>
    <row r="90" spans="1:16" x14ac:dyDescent="0.25">
      <c r="A90" s="2" t="s">
        <v>293</v>
      </c>
      <c r="B90" s="2" t="s">
        <v>572</v>
      </c>
      <c r="C90" s="2">
        <v>7553</v>
      </c>
      <c r="D90" s="2" t="s">
        <v>6817</v>
      </c>
      <c r="E90" s="2" t="s">
        <v>38</v>
      </c>
      <c r="F90" s="2" t="s">
        <v>39</v>
      </c>
      <c r="G90" s="2">
        <v>37253.5</v>
      </c>
      <c r="H90" s="2">
        <v>19644.849999999999</v>
      </c>
      <c r="I90" s="2" t="s">
        <v>84</v>
      </c>
      <c r="J90" s="2" t="s">
        <v>54</v>
      </c>
      <c r="K90" s="2" t="s">
        <v>32</v>
      </c>
      <c r="L90" s="2" t="s">
        <v>64</v>
      </c>
      <c r="M90" s="2">
        <v>4</v>
      </c>
      <c r="N90" s="2" t="s">
        <v>33</v>
      </c>
      <c r="O90" s="2" t="s">
        <v>70</v>
      </c>
      <c r="P90" s="2" t="s">
        <v>34</v>
      </c>
    </row>
    <row r="91" spans="1:16" x14ac:dyDescent="0.25">
      <c r="A91" s="2" t="s">
        <v>295</v>
      </c>
      <c r="B91" s="2" t="s">
        <v>2787</v>
      </c>
      <c r="C91" s="2">
        <v>5813</v>
      </c>
      <c r="D91" s="2" t="s">
        <v>6818</v>
      </c>
      <c r="E91" s="2" t="s">
        <v>6708</v>
      </c>
      <c r="F91" s="2" t="s">
        <v>30</v>
      </c>
      <c r="G91" s="2">
        <v>24362.06</v>
      </c>
      <c r="H91" s="2">
        <v>12560.69</v>
      </c>
      <c r="I91" s="2" t="s">
        <v>20</v>
      </c>
      <c r="J91" s="2" t="s">
        <v>6795</v>
      </c>
      <c r="K91" s="2" t="s">
        <v>42</v>
      </c>
      <c r="L91" s="2" t="s">
        <v>88</v>
      </c>
      <c r="M91" s="2">
        <v>4</v>
      </c>
      <c r="N91" s="2" t="s">
        <v>24</v>
      </c>
      <c r="O91" s="2" t="s">
        <v>25</v>
      </c>
      <c r="P91" s="2" t="s">
        <v>49</v>
      </c>
    </row>
    <row r="92" spans="1:16" x14ac:dyDescent="0.25">
      <c r="A92" s="2" t="s">
        <v>298</v>
      </c>
      <c r="B92" s="2" t="s">
        <v>345</v>
      </c>
      <c r="C92" s="2">
        <v>2229</v>
      </c>
      <c r="D92" s="2" t="s">
        <v>6819</v>
      </c>
      <c r="E92" s="2" t="s">
        <v>6748</v>
      </c>
      <c r="F92" s="2" t="s">
        <v>30</v>
      </c>
      <c r="G92" s="2">
        <v>28891.279999999999</v>
      </c>
      <c r="H92" s="2">
        <v>17630.009999999998</v>
      </c>
      <c r="I92" s="2" t="s">
        <v>6681</v>
      </c>
      <c r="J92" s="2" t="s">
        <v>6793</v>
      </c>
      <c r="K92" s="2" t="s">
        <v>32</v>
      </c>
      <c r="L92" s="2" t="s">
        <v>55</v>
      </c>
      <c r="M92" s="2">
        <v>2</v>
      </c>
      <c r="N92" s="2" t="s">
        <v>69</v>
      </c>
      <c r="O92" s="2" t="s">
        <v>70</v>
      </c>
      <c r="P92" s="2" t="s">
        <v>34</v>
      </c>
    </row>
    <row r="93" spans="1:16" x14ac:dyDescent="0.25">
      <c r="A93" s="2" t="s">
        <v>301</v>
      </c>
      <c r="B93" s="2" t="s">
        <v>6820</v>
      </c>
      <c r="C93" s="2">
        <v>2259</v>
      </c>
      <c r="D93" s="2" t="s">
        <v>2127</v>
      </c>
      <c r="E93" s="2" t="s">
        <v>18</v>
      </c>
      <c r="F93" s="2" t="s">
        <v>19</v>
      </c>
      <c r="G93" s="2">
        <v>16765.75</v>
      </c>
      <c r="H93" s="2">
        <v>8879.26</v>
      </c>
      <c r="I93" s="2" t="s">
        <v>6720</v>
      </c>
      <c r="J93" s="2" t="s">
        <v>6700</v>
      </c>
      <c r="K93" s="2" t="s">
        <v>42</v>
      </c>
      <c r="L93" s="2" t="s">
        <v>23</v>
      </c>
      <c r="M93" s="2">
        <v>1</v>
      </c>
      <c r="N93" s="2" t="s">
        <v>33</v>
      </c>
      <c r="O93" s="2" t="s">
        <v>25</v>
      </c>
      <c r="P93" s="2" t="s">
        <v>49</v>
      </c>
    </row>
    <row r="94" spans="1:16" x14ac:dyDescent="0.25">
      <c r="A94" s="2" t="s">
        <v>304</v>
      </c>
      <c r="B94" s="2" t="s">
        <v>5820</v>
      </c>
      <c r="C94" s="2">
        <v>3009</v>
      </c>
      <c r="D94" s="2" t="s">
        <v>6821</v>
      </c>
      <c r="E94" s="2" t="s">
        <v>18</v>
      </c>
      <c r="F94" s="2" t="s">
        <v>47</v>
      </c>
      <c r="G94" s="2">
        <v>13160.33</v>
      </c>
      <c r="H94" s="2">
        <v>7111.95</v>
      </c>
      <c r="I94" s="2" t="s">
        <v>20</v>
      </c>
      <c r="J94" s="2" t="s">
        <v>21</v>
      </c>
      <c r="K94" s="2" t="s">
        <v>80</v>
      </c>
      <c r="L94" s="2" t="s">
        <v>55</v>
      </c>
      <c r="M94" s="2">
        <v>3</v>
      </c>
      <c r="N94" s="2" t="s">
        <v>24</v>
      </c>
      <c r="O94" s="2" t="s">
        <v>70</v>
      </c>
      <c r="P94" s="2" t="s">
        <v>49</v>
      </c>
    </row>
    <row r="95" spans="1:16" x14ac:dyDescent="0.25">
      <c r="A95" s="2" t="s">
        <v>307</v>
      </c>
      <c r="B95" s="2" t="s">
        <v>356</v>
      </c>
      <c r="C95" s="2">
        <v>6922</v>
      </c>
      <c r="D95" s="2" t="s">
        <v>357</v>
      </c>
      <c r="E95" s="2" t="s">
        <v>6694</v>
      </c>
      <c r="F95" s="2" t="s">
        <v>19</v>
      </c>
      <c r="G95" s="2">
        <v>4931.0200000000004</v>
      </c>
      <c r="H95" s="2">
        <v>2417.17</v>
      </c>
      <c r="I95" s="2" t="s">
        <v>6822</v>
      </c>
      <c r="J95" s="2" t="s">
        <v>6793</v>
      </c>
      <c r="K95" s="2" t="s">
        <v>32</v>
      </c>
      <c r="L95" s="2" t="s">
        <v>23</v>
      </c>
      <c r="M95" s="2">
        <v>4</v>
      </c>
      <c r="N95" s="2" t="s">
        <v>33</v>
      </c>
      <c r="O95" s="2" t="s">
        <v>25</v>
      </c>
      <c r="P95" s="2" t="s">
        <v>34</v>
      </c>
    </row>
    <row r="96" spans="1:16" x14ac:dyDescent="0.25">
      <c r="A96" s="2" t="s">
        <v>309</v>
      </c>
      <c r="B96" s="2" t="s">
        <v>6823</v>
      </c>
      <c r="C96" s="2">
        <v>7730</v>
      </c>
      <c r="D96" s="2" t="s">
        <v>6824</v>
      </c>
      <c r="E96" s="2" t="s">
        <v>6680</v>
      </c>
      <c r="F96" s="2" t="s">
        <v>39</v>
      </c>
      <c r="G96" s="2">
        <v>32034.560000000001</v>
      </c>
      <c r="H96" s="2">
        <v>14888.07</v>
      </c>
      <c r="I96" s="2" t="s">
        <v>6822</v>
      </c>
      <c r="J96" s="2" t="s">
        <v>6705</v>
      </c>
      <c r="K96" s="2" t="s">
        <v>42</v>
      </c>
      <c r="L96" s="2" t="s">
        <v>48</v>
      </c>
      <c r="M96" s="2">
        <v>1</v>
      </c>
      <c r="N96" s="2" t="s">
        <v>33</v>
      </c>
      <c r="O96" s="2" t="s">
        <v>70</v>
      </c>
      <c r="P96" s="2" t="s">
        <v>34</v>
      </c>
    </row>
    <row r="97" spans="1:16" x14ac:dyDescent="0.25">
      <c r="A97" s="2" t="s">
        <v>312</v>
      </c>
      <c r="B97" s="2" t="s">
        <v>6825</v>
      </c>
      <c r="C97" s="2">
        <v>3653</v>
      </c>
      <c r="D97" s="2" t="s">
        <v>6826</v>
      </c>
      <c r="E97" s="2" t="s">
        <v>6680</v>
      </c>
      <c r="F97" s="2" t="s">
        <v>47</v>
      </c>
      <c r="G97" s="2">
        <v>19574.23</v>
      </c>
      <c r="H97" s="2">
        <v>9691.08</v>
      </c>
      <c r="I97" s="2" t="s">
        <v>63</v>
      </c>
      <c r="J97" s="2" t="s">
        <v>6691</v>
      </c>
      <c r="K97" s="2" t="s">
        <v>42</v>
      </c>
      <c r="L97" s="2" t="s">
        <v>55</v>
      </c>
      <c r="M97" s="2">
        <v>3</v>
      </c>
      <c r="N97" s="2" t="s">
        <v>33</v>
      </c>
      <c r="O97" s="2" t="s">
        <v>70</v>
      </c>
      <c r="P97" s="2" t="s">
        <v>34</v>
      </c>
    </row>
    <row r="98" spans="1:16" x14ac:dyDescent="0.25">
      <c r="A98" s="2" t="s">
        <v>315</v>
      </c>
      <c r="B98" s="2" t="s">
        <v>3896</v>
      </c>
      <c r="C98" s="2">
        <v>6531</v>
      </c>
      <c r="D98" s="2" t="s">
        <v>6827</v>
      </c>
      <c r="E98" s="2" t="s">
        <v>6756</v>
      </c>
      <c r="F98" s="2" t="s">
        <v>47</v>
      </c>
      <c r="G98" s="2">
        <v>10893.14</v>
      </c>
      <c r="H98" s="2">
        <v>4963.7299999999996</v>
      </c>
      <c r="I98" s="2" t="s">
        <v>31</v>
      </c>
      <c r="J98" s="2" t="s">
        <v>6724</v>
      </c>
      <c r="K98" s="2" t="s">
        <v>22</v>
      </c>
      <c r="L98" s="2" t="s">
        <v>48</v>
      </c>
      <c r="M98" s="2">
        <v>5</v>
      </c>
      <c r="N98" s="2" t="s">
        <v>33</v>
      </c>
      <c r="O98" s="2" t="s">
        <v>25</v>
      </c>
      <c r="P98" s="2" t="s">
        <v>49</v>
      </c>
    </row>
    <row r="99" spans="1:16" x14ac:dyDescent="0.25">
      <c r="A99" s="2" t="s">
        <v>318</v>
      </c>
      <c r="B99" s="2" t="s">
        <v>6828</v>
      </c>
      <c r="C99" s="2">
        <v>7653</v>
      </c>
      <c r="D99" s="2" t="s">
        <v>6829</v>
      </c>
      <c r="E99" s="2" t="s">
        <v>6748</v>
      </c>
      <c r="F99" s="2" t="s">
        <v>39</v>
      </c>
      <c r="G99" s="2">
        <v>20594.02</v>
      </c>
      <c r="H99" s="2">
        <v>12103.57</v>
      </c>
      <c r="I99" s="2" t="s">
        <v>6777</v>
      </c>
      <c r="J99" s="2" t="s">
        <v>6732</v>
      </c>
      <c r="K99" s="2" t="s">
        <v>32</v>
      </c>
      <c r="L99" s="2" t="s">
        <v>64</v>
      </c>
      <c r="M99" s="2">
        <v>4</v>
      </c>
      <c r="N99" s="2" t="s">
        <v>24</v>
      </c>
      <c r="O99" s="2" t="s">
        <v>25</v>
      </c>
      <c r="P99" s="2" t="s">
        <v>49</v>
      </c>
    </row>
    <row r="100" spans="1:16" x14ac:dyDescent="0.25">
      <c r="A100" s="2" t="s">
        <v>321</v>
      </c>
      <c r="B100" s="2" t="s">
        <v>5254</v>
      </c>
      <c r="C100" s="2">
        <v>3007</v>
      </c>
      <c r="D100" s="2" t="s">
        <v>6830</v>
      </c>
      <c r="E100" s="2" t="s">
        <v>38</v>
      </c>
      <c r="F100" s="2" t="s">
        <v>30</v>
      </c>
      <c r="G100" s="2">
        <v>45716.92</v>
      </c>
      <c r="H100" s="2">
        <v>21860.71</v>
      </c>
      <c r="I100" s="2" t="s">
        <v>53</v>
      </c>
      <c r="J100" s="2" t="s">
        <v>54</v>
      </c>
      <c r="K100" s="2" t="s">
        <v>22</v>
      </c>
      <c r="L100" s="2" t="s">
        <v>88</v>
      </c>
      <c r="M100" s="2">
        <v>4</v>
      </c>
      <c r="N100" s="2" t="s">
        <v>69</v>
      </c>
      <c r="O100" s="2" t="s">
        <v>25</v>
      </c>
      <c r="P100" s="2" t="s">
        <v>26</v>
      </c>
    </row>
    <row r="101" spans="1:16" x14ac:dyDescent="0.25">
      <c r="A101" s="2" t="s">
        <v>324</v>
      </c>
      <c r="B101" s="2" t="s">
        <v>5440</v>
      </c>
      <c r="C101" s="2">
        <v>8648</v>
      </c>
      <c r="D101" s="2" t="s">
        <v>6831</v>
      </c>
      <c r="E101" s="2" t="s">
        <v>6698</v>
      </c>
      <c r="F101" s="2" t="s">
        <v>39</v>
      </c>
      <c r="G101" s="2">
        <v>33758.9</v>
      </c>
      <c r="H101" s="2">
        <v>18549.64</v>
      </c>
      <c r="I101" s="2" t="s">
        <v>6712</v>
      </c>
      <c r="J101" s="2" t="s">
        <v>6793</v>
      </c>
      <c r="K101" s="2" t="s">
        <v>22</v>
      </c>
      <c r="L101" s="2" t="s">
        <v>64</v>
      </c>
      <c r="M101" s="2">
        <v>5</v>
      </c>
      <c r="N101" s="2" t="s">
        <v>24</v>
      </c>
      <c r="O101" s="2" t="s">
        <v>25</v>
      </c>
      <c r="P101" s="2" t="s">
        <v>49</v>
      </c>
    </row>
    <row r="102" spans="1:16" x14ac:dyDescent="0.25">
      <c r="A102" s="2" t="s">
        <v>327</v>
      </c>
      <c r="B102" s="2" t="s">
        <v>6832</v>
      </c>
      <c r="C102" s="2">
        <v>8060</v>
      </c>
      <c r="D102" s="2" t="s">
        <v>2508</v>
      </c>
      <c r="E102" s="2" t="s">
        <v>18</v>
      </c>
      <c r="F102" s="2" t="s">
        <v>19</v>
      </c>
      <c r="G102" s="2">
        <v>12221.71</v>
      </c>
      <c r="H102" s="2">
        <v>7278.05</v>
      </c>
      <c r="I102" s="2" t="s">
        <v>6712</v>
      </c>
      <c r="J102" s="2" t="s">
        <v>6793</v>
      </c>
      <c r="K102" s="2" t="s">
        <v>80</v>
      </c>
      <c r="L102" s="2" t="s">
        <v>88</v>
      </c>
      <c r="M102" s="2">
        <v>1</v>
      </c>
      <c r="N102" s="2" t="s">
        <v>33</v>
      </c>
      <c r="O102" s="2" t="s">
        <v>25</v>
      </c>
      <c r="P102" s="2" t="s">
        <v>26</v>
      </c>
    </row>
    <row r="103" spans="1:16" x14ac:dyDescent="0.25">
      <c r="A103" s="2" t="s">
        <v>330</v>
      </c>
      <c r="B103" s="2" t="s">
        <v>5708</v>
      </c>
      <c r="C103" s="2">
        <v>2946</v>
      </c>
      <c r="D103" s="2" t="s">
        <v>6833</v>
      </c>
      <c r="E103" s="2" t="s">
        <v>18</v>
      </c>
      <c r="F103" s="2" t="s">
        <v>39</v>
      </c>
      <c r="G103" s="2">
        <v>48972.17</v>
      </c>
      <c r="H103" s="2">
        <v>25895.54</v>
      </c>
      <c r="I103" s="2" t="s">
        <v>31</v>
      </c>
      <c r="J103" s="2" t="s">
        <v>21</v>
      </c>
      <c r="K103" s="2" t="s">
        <v>42</v>
      </c>
      <c r="L103" s="2" t="s">
        <v>43</v>
      </c>
      <c r="M103" s="2">
        <v>3</v>
      </c>
      <c r="N103" s="2" t="s">
        <v>24</v>
      </c>
      <c r="O103" s="2" t="s">
        <v>25</v>
      </c>
      <c r="P103" s="2" t="s">
        <v>49</v>
      </c>
    </row>
    <row r="104" spans="1:16" x14ac:dyDescent="0.25">
      <c r="A104" s="2" t="s">
        <v>333</v>
      </c>
      <c r="B104" s="2" t="s">
        <v>212</v>
      </c>
      <c r="C104" s="2">
        <v>9446</v>
      </c>
      <c r="D104" s="2" t="s">
        <v>6834</v>
      </c>
      <c r="E104" s="2" t="s">
        <v>18</v>
      </c>
      <c r="F104" s="2" t="s">
        <v>47</v>
      </c>
      <c r="G104" s="2">
        <v>9107.41</v>
      </c>
      <c r="H104" s="2">
        <v>5215.03</v>
      </c>
      <c r="I104" s="2" t="s">
        <v>53</v>
      </c>
      <c r="J104" s="2" t="s">
        <v>54</v>
      </c>
      <c r="K104" s="2" t="s">
        <v>32</v>
      </c>
      <c r="L104" s="2" t="s">
        <v>64</v>
      </c>
      <c r="M104" s="2">
        <v>5</v>
      </c>
      <c r="N104" s="2" t="s">
        <v>24</v>
      </c>
      <c r="O104" s="2" t="s">
        <v>25</v>
      </c>
      <c r="P104" s="2" t="s">
        <v>34</v>
      </c>
    </row>
    <row r="105" spans="1:16" x14ac:dyDescent="0.25">
      <c r="A105" s="2" t="s">
        <v>335</v>
      </c>
      <c r="B105" s="2" t="s">
        <v>172</v>
      </c>
      <c r="C105" s="2">
        <v>6427</v>
      </c>
      <c r="D105" s="2" t="s">
        <v>6835</v>
      </c>
      <c r="E105" s="2" t="s">
        <v>18</v>
      </c>
      <c r="F105" s="2" t="s">
        <v>19</v>
      </c>
      <c r="G105" s="2">
        <v>17708.52</v>
      </c>
      <c r="H105" s="2">
        <v>10036.129999999999</v>
      </c>
      <c r="I105" s="2" t="s">
        <v>120</v>
      </c>
      <c r="J105" s="2" t="s">
        <v>21</v>
      </c>
      <c r="K105" s="2" t="s">
        <v>22</v>
      </c>
      <c r="L105" s="2" t="s">
        <v>43</v>
      </c>
      <c r="M105" s="2">
        <v>4</v>
      </c>
      <c r="N105" s="2" t="s">
        <v>33</v>
      </c>
      <c r="O105" s="2" t="s">
        <v>70</v>
      </c>
      <c r="P105" s="2" t="s">
        <v>49</v>
      </c>
    </row>
    <row r="106" spans="1:16" x14ac:dyDescent="0.25">
      <c r="A106" s="2" t="s">
        <v>338</v>
      </c>
      <c r="B106" s="2" t="s">
        <v>2927</v>
      </c>
      <c r="C106" s="2">
        <v>3421</v>
      </c>
      <c r="D106" s="2" t="s">
        <v>4387</v>
      </c>
      <c r="E106" s="2" t="s">
        <v>18</v>
      </c>
      <c r="F106" s="2" t="s">
        <v>30</v>
      </c>
      <c r="G106" s="2">
        <v>16450.34</v>
      </c>
      <c r="H106" s="2">
        <v>10522.31</v>
      </c>
      <c r="I106" s="2" t="s">
        <v>31</v>
      </c>
      <c r="J106" s="2" t="s">
        <v>21</v>
      </c>
      <c r="K106" s="2" t="s">
        <v>22</v>
      </c>
      <c r="L106" s="2" t="s">
        <v>23</v>
      </c>
      <c r="M106" s="2">
        <v>1</v>
      </c>
      <c r="N106" s="2" t="s">
        <v>33</v>
      </c>
      <c r="O106" s="2" t="s">
        <v>25</v>
      </c>
      <c r="P106" s="2" t="s">
        <v>34</v>
      </c>
    </row>
    <row r="107" spans="1:16" x14ac:dyDescent="0.25">
      <c r="A107" s="2" t="s">
        <v>341</v>
      </c>
      <c r="B107" s="2" t="s">
        <v>6836</v>
      </c>
      <c r="C107" s="2">
        <v>9498</v>
      </c>
      <c r="D107" s="2" t="s">
        <v>6837</v>
      </c>
      <c r="E107" s="2" t="s">
        <v>6756</v>
      </c>
      <c r="F107" s="2" t="s">
        <v>47</v>
      </c>
      <c r="G107" s="2">
        <v>14266.63</v>
      </c>
      <c r="H107" s="2">
        <v>9267.9500000000007</v>
      </c>
      <c r="I107" s="2" t="s">
        <v>6739</v>
      </c>
      <c r="J107" s="2" t="s">
        <v>6691</v>
      </c>
      <c r="K107" s="2" t="s">
        <v>80</v>
      </c>
      <c r="L107" s="2" t="s">
        <v>43</v>
      </c>
      <c r="M107" s="2">
        <v>4</v>
      </c>
      <c r="N107" s="2" t="s">
        <v>33</v>
      </c>
      <c r="O107" s="2" t="s">
        <v>25</v>
      </c>
      <c r="P107" s="2" t="s">
        <v>49</v>
      </c>
    </row>
    <row r="108" spans="1:16" x14ac:dyDescent="0.25">
      <c r="A108" s="2" t="s">
        <v>344</v>
      </c>
      <c r="B108" s="2" t="s">
        <v>1212</v>
      </c>
      <c r="C108" s="2">
        <v>4396</v>
      </c>
      <c r="D108" s="2" t="s">
        <v>4018</v>
      </c>
      <c r="E108" s="2" t="s">
        <v>38</v>
      </c>
      <c r="F108" s="2" t="s">
        <v>39</v>
      </c>
      <c r="G108" s="2">
        <v>17462.34</v>
      </c>
      <c r="H108" s="2">
        <v>9076.24</v>
      </c>
      <c r="I108" s="2" t="s">
        <v>20</v>
      </c>
      <c r="J108" s="2" t="s">
        <v>21</v>
      </c>
      <c r="K108" s="2" t="s">
        <v>42</v>
      </c>
      <c r="L108" s="2" t="s">
        <v>88</v>
      </c>
      <c r="M108" s="2">
        <v>1</v>
      </c>
      <c r="N108" s="2" t="s">
        <v>24</v>
      </c>
      <c r="O108" s="2" t="s">
        <v>25</v>
      </c>
      <c r="P108" s="2" t="s">
        <v>34</v>
      </c>
    </row>
    <row r="109" spans="1:16" x14ac:dyDescent="0.25">
      <c r="A109" s="2" t="s">
        <v>347</v>
      </c>
      <c r="B109" s="2" t="s">
        <v>2960</v>
      </c>
      <c r="C109" s="2">
        <v>8247</v>
      </c>
      <c r="D109" s="2" t="s">
        <v>6838</v>
      </c>
      <c r="E109" s="2" t="s">
        <v>6680</v>
      </c>
      <c r="F109" s="2" t="s">
        <v>39</v>
      </c>
      <c r="G109" s="2">
        <v>23746.63</v>
      </c>
      <c r="H109" s="2">
        <v>11702.28</v>
      </c>
      <c r="I109" s="2" t="s">
        <v>6822</v>
      </c>
      <c r="J109" s="2" t="s">
        <v>6713</v>
      </c>
      <c r="K109" s="2" t="s">
        <v>42</v>
      </c>
      <c r="L109" s="2" t="s">
        <v>43</v>
      </c>
      <c r="M109" s="2">
        <v>3</v>
      </c>
      <c r="N109" s="2" t="s">
        <v>33</v>
      </c>
      <c r="O109" s="2" t="s">
        <v>70</v>
      </c>
      <c r="P109" s="2" t="s">
        <v>49</v>
      </c>
    </row>
    <row r="110" spans="1:16" x14ac:dyDescent="0.25">
      <c r="A110" s="2" t="s">
        <v>349</v>
      </c>
      <c r="B110" s="2" t="s">
        <v>6839</v>
      </c>
      <c r="C110" s="2">
        <v>3252</v>
      </c>
      <c r="D110" s="2" t="s">
        <v>405</v>
      </c>
      <c r="E110" s="2" t="s">
        <v>18</v>
      </c>
      <c r="F110" s="2" t="s">
        <v>39</v>
      </c>
      <c r="G110" s="2">
        <v>58243.68</v>
      </c>
      <c r="H110" s="2">
        <v>37601.08</v>
      </c>
      <c r="I110" s="2" t="s">
        <v>63</v>
      </c>
      <c r="J110" s="2" t="s">
        <v>6686</v>
      </c>
      <c r="K110" s="2" t="s">
        <v>32</v>
      </c>
      <c r="L110" s="2" t="s">
        <v>64</v>
      </c>
      <c r="M110" s="2">
        <v>4</v>
      </c>
      <c r="N110" s="2" t="s">
        <v>24</v>
      </c>
      <c r="O110" s="2" t="s">
        <v>25</v>
      </c>
      <c r="P110" s="2" t="s">
        <v>34</v>
      </c>
    </row>
    <row r="111" spans="1:16" x14ac:dyDescent="0.25">
      <c r="A111" s="2" t="s">
        <v>352</v>
      </c>
      <c r="B111" s="2" t="s">
        <v>6840</v>
      </c>
      <c r="C111" s="2">
        <v>7846</v>
      </c>
      <c r="D111" s="2" t="s">
        <v>6841</v>
      </c>
      <c r="E111" s="2" t="s">
        <v>18</v>
      </c>
      <c r="F111" s="2" t="s">
        <v>19</v>
      </c>
      <c r="G111" s="2">
        <v>21302.35</v>
      </c>
      <c r="H111" s="2">
        <v>9740.8799999999992</v>
      </c>
      <c r="I111" s="2" t="s">
        <v>31</v>
      </c>
      <c r="J111" s="2" t="s">
        <v>21</v>
      </c>
      <c r="K111" s="2" t="s">
        <v>80</v>
      </c>
      <c r="L111" s="2" t="s">
        <v>64</v>
      </c>
      <c r="M111" s="2">
        <v>2</v>
      </c>
      <c r="N111" s="2" t="s">
        <v>69</v>
      </c>
      <c r="O111" s="2" t="s">
        <v>70</v>
      </c>
      <c r="P111" s="2" t="s">
        <v>34</v>
      </c>
    </row>
    <row r="112" spans="1:16" x14ac:dyDescent="0.25">
      <c r="A112" s="2" t="s">
        <v>355</v>
      </c>
      <c r="B112" s="2" t="s">
        <v>5801</v>
      </c>
      <c r="C112" s="2">
        <v>8444</v>
      </c>
      <c r="D112" s="2" t="s">
        <v>6842</v>
      </c>
      <c r="E112" s="2" t="s">
        <v>6698</v>
      </c>
      <c r="F112" s="2" t="s">
        <v>30</v>
      </c>
      <c r="G112" s="2">
        <v>115373.97</v>
      </c>
      <c r="H112" s="2">
        <v>55014.92</v>
      </c>
      <c r="I112" s="2" t="s">
        <v>6699</v>
      </c>
      <c r="J112" s="2" t="s">
        <v>54</v>
      </c>
      <c r="K112" s="2" t="s">
        <v>80</v>
      </c>
      <c r="L112" s="2" t="s">
        <v>88</v>
      </c>
      <c r="M112" s="2">
        <v>2</v>
      </c>
      <c r="N112" s="2" t="s">
        <v>69</v>
      </c>
      <c r="O112" s="2" t="s">
        <v>25</v>
      </c>
      <c r="P112" s="2" t="s">
        <v>49</v>
      </c>
    </row>
    <row r="113" spans="1:16" x14ac:dyDescent="0.25">
      <c r="A113" s="2" t="s">
        <v>358</v>
      </c>
      <c r="B113" s="2" t="s">
        <v>6843</v>
      </c>
      <c r="C113" s="2">
        <v>7643</v>
      </c>
      <c r="D113" s="2" t="s">
        <v>6844</v>
      </c>
      <c r="E113" s="2" t="s">
        <v>6698</v>
      </c>
      <c r="F113" s="2" t="s">
        <v>30</v>
      </c>
      <c r="G113" s="2">
        <v>62019.360000000001</v>
      </c>
      <c r="H113" s="2">
        <v>28984.6</v>
      </c>
      <c r="I113" s="2" t="s">
        <v>6845</v>
      </c>
      <c r="J113" s="2" t="s">
        <v>6696</v>
      </c>
      <c r="K113" s="2" t="s">
        <v>22</v>
      </c>
      <c r="L113" s="2" t="s">
        <v>23</v>
      </c>
      <c r="M113" s="2">
        <v>2</v>
      </c>
      <c r="N113" s="2" t="s">
        <v>24</v>
      </c>
      <c r="O113" s="2" t="s">
        <v>70</v>
      </c>
      <c r="P113" s="2" t="s">
        <v>26</v>
      </c>
    </row>
    <row r="114" spans="1:16" x14ac:dyDescent="0.25">
      <c r="A114" s="2" t="s">
        <v>361</v>
      </c>
      <c r="B114" s="2" t="s">
        <v>3648</v>
      </c>
      <c r="C114" s="2">
        <v>2017</v>
      </c>
      <c r="D114" s="2" t="s">
        <v>6846</v>
      </c>
      <c r="E114" s="2" t="s">
        <v>18</v>
      </c>
      <c r="F114" s="2" t="s">
        <v>58</v>
      </c>
      <c r="G114" s="2">
        <v>29002.560000000001</v>
      </c>
      <c r="H114" s="2">
        <v>13977.59</v>
      </c>
      <c r="I114" s="2" t="s">
        <v>31</v>
      </c>
      <c r="J114" s="2" t="s">
        <v>21</v>
      </c>
      <c r="K114" s="2" t="s">
        <v>42</v>
      </c>
      <c r="L114" s="2" t="s">
        <v>48</v>
      </c>
      <c r="M114" s="2">
        <v>1</v>
      </c>
      <c r="N114" s="2" t="s">
        <v>24</v>
      </c>
      <c r="O114" s="2" t="s">
        <v>70</v>
      </c>
      <c r="P114" s="2" t="s">
        <v>34</v>
      </c>
    </row>
    <row r="115" spans="1:16" x14ac:dyDescent="0.25">
      <c r="A115" s="2" t="s">
        <v>363</v>
      </c>
      <c r="B115" s="2" t="s">
        <v>6847</v>
      </c>
      <c r="C115" s="2">
        <v>7813</v>
      </c>
      <c r="D115" s="2" t="s">
        <v>6848</v>
      </c>
      <c r="E115" s="2" t="s">
        <v>38</v>
      </c>
      <c r="F115" s="2" t="s">
        <v>30</v>
      </c>
      <c r="G115" s="2">
        <v>92855.49</v>
      </c>
      <c r="H115" s="2">
        <v>56678.9</v>
      </c>
      <c r="I115" s="2" t="s">
        <v>63</v>
      </c>
      <c r="J115" s="2" t="s">
        <v>54</v>
      </c>
      <c r="K115" s="2" t="s">
        <v>32</v>
      </c>
      <c r="L115" s="2" t="s">
        <v>23</v>
      </c>
      <c r="M115" s="2">
        <v>5</v>
      </c>
      <c r="N115" s="2" t="s">
        <v>69</v>
      </c>
      <c r="O115" s="2" t="s">
        <v>25</v>
      </c>
      <c r="P115" s="2" t="s">
        <v>34</v>
      </c>
    </row>
    <row r="116" spans="1:16" x14ac:dyDescent="0.25">
      <c r="A116" s="2" t="s">
        <v>366</v>
      </c>
      <c r="B116" s="2" t="s">
        <v>110</v>
      </c>
      <c r="C116" s="2">
        <v>9792</v>
      </c>
      <c r="D116" s="2" t="s">
        <v>6849</v>
      </c>
      <c r="E116" s="2" t="s">
        <v>18</v>
      </c>
      <c r="F116" s="2" t="s">
        <v>58</v>
      </c>
      <c r="G116" s="2">
        <v>21131.81</v>
      </c>
      <c r="H116" s="2">
        <v>13120.68</v>
      </c>
      <c r="I116" s="2" t="s">
        <v>6752</v>
      </c>
      <c r="J116" s="2" t="s">
        <v>6729</v>
      </c>
      <c r="K116" s="2" t="s">
        <v>80</v>
      </c>
      <c r="L116" s="2" t="s">
        <v>55</v>
      </c>
      <c r="M116" s="2">
        <v>2</v>
      </c>
      <c r="N116" s="2" t="s">
        <v>24</v>
      </c>
      <c r="O116" s="2" t="s">
        <v>25</v>
      </c>
      <c r="P116" s="2" t="s">
        <v>49</v>
      </c>
    </row>
    <row r="117" spans="1:16" x14ac:dyDescent="0.25">
      <c r="A117" s="2" t="s">
        <v>369</v>
      </c>
      <c r="B117" s="2" t="s">
        <v>724</v>
      </c>
      <c r="C117" s="2">
        <v>1356</v>
      </c>
      <c r="D117" s="2" t="s">
        <v>6850</v>
      </c>
      <c r="E117" s="2" t="s">
        <v>38</v>
      </c>
      <c r="F117" s="2" t="s">
        <v>30</v>
      </c>
      <c r="G117" s="2">
        <v>35161.68</v>
      </c>
      <c r="H117" s="2">
        <v>15843.96</v>
      </c>
      <c r="I117" s="2" t="s">
        <v>120</v>
      </c>
      <c r="J117" s="2" t="s">
        <v>21</v>
      </c>
      <c r="K117" s="2" t="s">
        <v>32</v>
      </c>
      <c r="L117" s="2" t="s">
        <v>43</v>
      </c>
      <c r="M117" s="2">
        <v>1</v>
      </c>
      <c r="N117" s="2" t="s">
        <v>33</v>
      </c>
      <c r="O117" s="2" t="s">
        <v>25</v>
      </c>
      <c r="P117" s="2" t="s">
        <v>26</v>
      </c>
    </row>
    <row r="118" spans="1:16" x14ac:dyDescent="0.25">
      <c r="A118" s="2" t="s">
        <v>372</v>
      </c>
      <c r="B118" s="2" t="s">
        <v>6851</v>
      </c>
      <c r="C118" s="2">
        <v>3948</v>
      </c>
      <c r="D118" s="2" t="s">
        <v>6852</v>
      </c>
      <c r="E118" s="2" t="s">
        <v>6756</v>
      </c>
      <c r="F118" s="2" t="s">
        <v>47</v>
      </c>
      <c r="G118" s="2">
        <v>16660.53</v>
      </c>
      <c r="H118" s="2">
        <v>10757.15</v>
      </c>
      <c r="I118" s="2" t="s">
        <v>6736</v>
      </c>
      <c r="J118" s="2" t="s">
        <v>6729</v>
      </c>
      <c r="K118" s="2" t="s">
        <v>80</v>
      </c>
      <c r="L118" s="2" t="s">
        <v>88</v>
      </c>
      <c r="M118" s="2">
        <v>4</v>
      </c>
      <c r="N118" s="2" t="s">
        <v>33</v>
      </c>
      <c r="O118" s="2" t="s">
        <v>70</v>
      </c>
      <c r="P118" s="2" t="s">
        <v>34</v>
      </c>
    </row>
    <row r="119" spans="1:16" x14ac:dyDescent="0.25">
      <c r="A119" s="2" t="s">
        <v>375</v>
      </c>
      <c r="B119" s="2" t="s">
        <v>6853</v>
      </c>
      <c r="C119" s="2">
        <v>3086</v>
      </c>
      <c r="D119" s="2" t="s">
        <v>6854</v>
      </c>
      <c r="E119" s="2" t="s">
        <v>6743</v>
      </c>
      <c r="F119" s="2" t="s">
        <v>58</v>
      </c>
      <c r="G119" s="2">
        <v>48610.5</v>
      </c>
      <c r="H119" s="2">
        <v>29226.38</v>
      </c>
      <c r="I119" s="2" t="s">
        <v>6726</v>
      </c>
      <c r="J119" s="2" t="s">
        <v>6795</v>
      </c>
      <c r="K119" s="2" t="s">
        <v>42</v>
      </c>
      <c r="L119" s="2" t="s">
        <v>64</v>
      </c>
      <c r="M119" s="2">
        <v>5</v>
      </c>
      <c r="N119" s="2" t="s">
        <v>33</v>
      </c>
      <c r="O119" s="2" t="s">
        <v>25</v>
      </c>
      <c r="P119" s="2" t="s">
        <v>26</v>
      </c>
    </row>
    <row r="120" spans="1:16" x14ac:dyDescent="0.25">
      <c r="A120" s="2" t="s">
        <v>378</v>
      </c>
      <c r="B120" s="2" t="s">
        <v>172</v>
      </c>
      <c r="C120" s="2">
        <v>4376</v>
      </c>
      <c r="D120" s="2" t="s">
        <v>437</v>
      </c>
      <c r="E120" s="2" t="s">
        <v>18</v>
      </c>
      <c r="F120" s="2" t="s">
        <v>47</v>
      </c>
      <c r="G120" s="2">
        <v>3761.21</v>
      </c>
      <c r="H120" s="2">
        <v>1717.8</v>
      </c>
      <c r="I120" s="2" t="s">
        <v>20</v>
      </c>
      <c r="J120" s="2" t="s">
        <v>21</v>
      </c>
      <c r="K120" s="2" t="s">
        <v>22</v>
      </c>
      <c r="L120" s="2" t="s">
        <v>23</v>
      </c>
      <c r="M120" s="2">
        <v>1</v>
      </c>
      <c r="N120" s="2" t="s">
        <v>33</v>
      </c>
      <c r="O120" s="2" t="s">
        <v>25</v>
      </c>
      <c r="P120" s="2" t="s">
        <v>26</v>
      </c>
    </row>
    <row r="121" spans="1:16" x14ac:dyDescent="0.25">
      <c r="A121" s="2" t="s">
        <v>381</v>
      </c>
      <c r="B121" s="2" t="s">
        <v>5475</v>
      </c>
      <c r="C121" s="2">
        <v>6253</v>
      </c>
      <c r="D121" s="2" t="s">
        <v>6855</v>
      </c>
      <c r="E121" s="2" t="s">
        <v>18</v>
      </c>
      <c r="F121" s="2" t="s">
        <v>30</v>
      </c>
      <c r="G121" s="2">
        <v>34028.800000000003</v>
      </c>
      <c r="H121" s="2">
        <v>16287.96</v>
      </c>
      <c r="I121" s="2" t="s">
        <v>20</v>
      </c>
      <c r="J121" s="2" t="s">
        <v>21</v>
      </c>
      <c r="K121" s="2" t="s">
        <v>32</v>
      </c>
      <c r="L121" s="2" t="s">
        <v>64</v>
      </c>
      <c r="M121" s="2">
        <v>3</v>
      </c>
      <c r="N121" s="2" t="s">
        <v>33</v>
      </c>
      <c r="O121" s="2" t="s">
        <v>25</v>
      </c>
      <c r="P121" s="2" t="s">
        <v>49</v>
      </c>
    </row>
    <row r="122" spans="1:16" x14ac:dyDescent="0.25">
      <c r="A122" s="2" t="s">
        <v>383</v>
      </c>
      <c r="B122" s="2" t="s">
        <v>6856</v>
      </c>
      <c r="C122" s="2">
        <v>7244</v>
      </c>
      <c r="D122" s="2" t="s">
        <v>6857</v>
      </c>
      <c r="E122" s="2" t="s">
        <v>6719</v>
      </c>
      <c r="F122" s="2" t="s">
        <v>19</v>
      </c>
      <c r="G122" s="2">
        <v>11726.96</v>
      </c>
      <c r="H122" s="2">
        <v>6234.66</v>
      </c>
      <c r="I122" s="2" t="s">
        <v>6712</v>
      </c>
      <c r="J122" s="2" t="s">
        <v>41</v>
      </c>
      <c r="K122" s="2" t="s">
        <v>42</v>
      </c>
      <c r="L122" s="2" t="s">
        <v>64</v>
      </c>
      <c r="M122" s="2">
        <v>2</v>
      </c>
      <c r="N122" s="2" t="s">
        <v>24</v>
      </c>
      <c r="O122" s="2" t="s">
        <v>25</v>
      </c>
      <c r="P122" s="2" t="s">
        <v>26</v>
      </c>
    </row>
    <row r="123" spans="1:16" x14ac:dyDescent="0.25">
      <c r="A123" s="2" t="s">
        <v>385</v>
      </c>
      <c r="B123" s="2" t="s">
        <v>6858</v>
      </c>
      <c r="C123" s="2">
        <v>4331</v>
      </c>
      <c r="D123" s="2" t="s">
        <v>6859</v>
      </c>
      <c r="E123" s="2" t="s">
        <v>6680</v>
      </c>
      <c r="F123" s="2" t="s">
        <v>30</v>
      </c>
      <c r="G123" s="2">
        <v>50328.1</v>
      </c>
      <c r="H123" s="2">
        <v>31930.42</v>
      </c>
      <c r="I123" s="2" t="s">
        <v>120</v>
      </c>
      <c r="J123" s="2" t="s">
        <v>21</v>
      </c>
      <c r="K123" s="2" t="s">
        <v>42</v>
      </c>
      <c r="L123" s="2" t="s">
        <v>55</v>
      </c>
      <c r="M123" s="2">
        <v>5</v>
      </c>
      <c r="N123" s="2" t="s">
        <v>24</v>
      </c>
      <c r="O123" s="2" t="s">
        <v>25</v>
      </c>
      <c r="P123" s="2" t="s">
        <v>34</v>
      </c>
    </row>
    <row r="124" spans="1:16" x14ac:dyDescent="0.25">
      <c r="A124" s="2" t="s">
        <v>387</v>
      </c>
      <c r="B124" s="2" t="s">
        <v>3817</v>
      </c>
      <c r="C124" s="2">
        <v>6455</v>
      </c>
      <c r="D124" s="2" t="s">
        <v>6860</v>
      </c>
      <c r="E124" s="2" t="s">
        <v>38</v>
      </c>
      <c r="F124" s="2" t="s">
        <v>19</v>
      </c>
      <c r="G124" s="2">
        <v>23979.97</v>
      </c>
      <c r="H124" s="2">
        <v>10864.53</v>
      </c>
      <c r="I124" s="2" t="s">
        <v>84</v>
      </c>
      <c r="J124" s="2" t="s">
        <v>54</v>
      </c>
      <c r="K124" s="2" t="s">
        <v>32</v>
      </c>
      <c r="L124" s="2" t="s">
        <v>48</v>
      </c>
      <c r="M124" s="2">
        <v>1</v>
      </c>
      <c r="N124" s="2" t="s">
        <v>24</v>
      </c>
      <c r="O124" s="2" t="s">
        <v>70</v>
      </c>
      <c r="P124" s="2" t="s">
        <v>26</v>
      </c>
    </row>
    <row r="125" spans="1:16" x14ac:dyDescent="0.25">
      <c r="A125" s="2" t="s">
        <v>390</v>
      </c>
      <c r="B125" s="2" t="s">
        <v>1877</v>
      </c>
      <c r="C125" s="2">
        <v>8639</v>
      </c>
      <c r="D125" s="2" t="s">
        <v>6861</v>
      </c>
      <c r="E125" s="2" t="s">
        <v>38</v>
      </c>
      <c r="F125" s="2" t="s">
        <v>47</v>
      </c>
      <c r="G125" s="2">
        <v>7308.57</v>
      </c>
      <c r="H125" s="2">
        <v>3814.55</v>
      </c>
      <c r="I125" s="2" t="s">
        <v>120</v>
      </c>
      <c r="J125" s="2" t="s">
        <v>21</v>
      </c>
      <c r="K125" s="2" t="s">
        <v>80</v>
      </c>
      <c r="L125" s="2" t="s">
        <v>64</v>
      </c>
      <c r="M125" s="2">
        <v>1</v>
      </c>
      <c r="N125" s="2" t="s">
        <v>69</v>
      </c>
      <c r="O125" s="2" t="s">
        <v>70</v>
      </c>
      <c r="P125" s="2" t="s">
        <v>34</v>
      </c>
    </row>
    <row r="126" spans="1:16" x14ac:dyDescent="0.25">
      <c r="A126" s="2" t="s">
        <v>393</v>
      </c>
      <c r="B126" s="2" t="s">
        <v>6862</v>
      </c>
      <c r="C126" s="2">
        <v>5272</v>
      </c>
      <c r="D126" s="2" t="s">
        <v>6863</v>
      </c>
      <c r="E126" s="2" t="s">
        <v>38</v>
      </c>
      <c r="F126" s="2" t="s">
        <v>58</v>
      </c>
      <c r="G126" s="2">
        <v>28383.17</v>
      </c>
      <c r="H126" s="2">
        <v>13886.14</v>
      </c>
      <c r="I126" s="2" t="s">
        <v>53</v>
      </c>
      <c r="J126" s="2" t="s">
        <v>54</v>
      </c>
      <c r="K126" s="2" t="s">
        <v>32</v>
      </c>
      <c r="L126" s="2" t="s">
        <v>64</v>
      </c>
      <c r="M126" s="2">
        <v>5</v>
      </c>
      <c r="N126" s="2" t="s">
        <v>69</v>
      </c>
      <c r="O126" s="2" t="s">
        <v>25</v>
      </c>
      <c r="P126" s="2" t="s">
        <v>49</v>
      </c>
    </row>
    <row r="127" spans="1:16" x14ac:dyDescent="0.25">
      <c r="A127" s="2" t="s">
        <v>395</v>
      </c>
      <c r="B127" s="2" t="s">
        <v>4051</v>
      </c>
      <c r="C127" s="2">
        <v>3756</v>
      </c>
      <c r="D127" s="2" t="s">
        <v>6864</v>
      </c>
      <c r="E127" s="2" t="s">
        <v>38</v>
      </c>
      <c r="F127" s="2" t="s">
        <v>47</v>
      </c>
      <c r="G127" s="2">
        <v>6369.83</v>
      </c>
      <c r="H127" s="2">
        <v>3784.08</v>
      </c>
      <c r="I127" s="2" t="s">
        <v>6759</v>
      </c>
      <c r="J127" s="2" t="s">
        <v>6729</v>
      </c>
      <c r="K127" s="2" t="s">
        <v>80</v>
      </c>
      <c r="L127" s="2" t="s">
        <v>23</v>
      </c>
      <c r="M127" s="2">
        <v>5</v>
      </c>
      <c r="N127" s="2" t="s">
        <v>69</v>
      </c>
      <c r="O127" s="2" t="s">
        <v>70</v>
      </c>
      <c r="P127" s="2" t="s">
        <v>49</v>
      </c>
    </row>
    <row r="128" spans="1:16" x14ac:dyDescent="0.25">
      <c r="A128" s="2" t="s">
        <v>398</v>
      </c>
      <c r="B128" s="2" t="s">
        <v>6865</v>
      </c>
      <c r="C128" s="2">
        <v>8471</v>
      </c>
      <c r="D128" s="2" t="s">
        <v>6866</v>
      </c>
      <c r="E128" s="2" t="s">
        <v>6698</v>
      </c>
      <c r="F128" s="2" t="s">
        <v>58</v>
      </c>
      <c r="G128" s="2">
        <v>6525.87</v>
      </c>
      <c r="H128" s="2">
        <v>3768.99</v>
      </c>
      <c r="I128" s="2" t="s">
        <v>6704</v>
      </c>
      <c r="J128" s="2" t="s">
        <v>41</v>
      </c>
      <c r="K128" s="2" t="s">
        <v>80</v>
      </c>
      <c r="L128" s="2" t="s">
        <v>48</v>
      </c>
      <c r="M128" s="2">
        <v>4</v>
      </c>
      <c r="N128" s="2" t="s">
        <v>33</v>
      </c>
      <c r="O128" s="2" t="s">
        <v>25</v>
      </c>
      <c r="P128" s="2" t="s">
        <v>34</v>
      </c>
    </row>
    <row r="129" spans="1:16" x14ac:dyDescent="0.25">
      <c r="A129" s="2" t="s">
        <v>401</v>
      </c>
      <c r="B129" s="2" t="s">
        <v>461</v>
      </c>
      <c r="C129" s="2">
        <v>2578</v>
      </c>
      <c r="D129" s="2" t="s">
        <v>462</v>
      </c>
      <c r="E129" s="2" t="s">
        <v>6703</v>
      </c>
      <c r="F129" s="2" t="s">
        <v>19</v>
      </c>
      <c r="G129" s="2">
        <v>8742.56</v>
      </c>
      <c r="H129" s="2">
        <v>5017.8500000000004</v>
      </c>
      <c r="I129" s="2" t="s">
        <v>6867</v>
      </c>
      <c r="J129" s="2" t="s">
        <v>6696</v>
      </c>
      <c r="K129" s="2" t="s">
        <v>42</v>
      </c>
      <c r="L129" s="2" t="s">
        <v>88</v>
      </c>
      <c r="M129" s="2">
        <v>3</v>
      </c>
      <c r="N129" s="2" t="s">
        <v>24</v>
      </c>
      <c r="O129" s="2" t="s">
        <v>25</v>
      </c>
      <c r="P129" s="2" t="s">
        <v>34</v>
      </c>
    </row>
    <row r="130" spans="1:16" x14ac:dyDescent="0.25">
      <c r="A130" s="2" t="s">
        <v>404</v>
      </c>
      <c r="B130" s="2" t="s">
        <v>5151</v>
      </c>
      <c r="C130" s="2">
        <v>7640</v>
      </c>
      <c r="D130" s="2" t="s">
        <v>6868</v>
      </c>
      <c r="E130" s="2" t="s">
        <v>38</v>
      </c>
      <c r="F130" s="2" t="s">
        <v>19</v>
      </c>
      <c r="G130" s="2">
        <v>11211.2</v>
      </c>
      <c r="H130" s="2">
        <v>6112.36</v>
      </c>
      <c r="I130" s="2" t="s">
        <v>20</v>
      </c>
      <c r="J130" s="2" t="s">
        <v>21</v>
      </c>
      <c r="K130" s="2" t="s">
        <v>22</v>
      </c>
      <c r="L130" s="2" t="s">
        <v>48</v>
      </c>
      <c r="M130" s="2">
        <v>2</v>
      </c>
      <c r="N130" s="2" t="s">
        <v>33</v>
      </c>
      <c r="O130" s="2" t="s">
        <v>70</v>
      </c>
      <c r="P130" s="2" t="s">
        <v>49</v>
      </c>
    </row>
    <row r="131" spans="1:16" x14ac:dyDescent="0.25">
      <c r="A131" s="2" t="s">
        <v>406</v>
      </c>
      <c r="B131" s="2" t="s">
        <v>6869</v>
      </c>
      <c r="C131" s="2">
        <v>8790</v>
      </c>
      <c r="D131" s="2" t="s">
        <v>6870</v>
      </c>
      <c r="E131" s="2" t="s">
        <v>6719</v>
      </c>
      <c r="F131" s="2" t="s">
        <v>47</v>
      </c>
      <c r="G131" s="2">
        <v>3852.53</v>
      </c>
      <c r="H131" s="2">
        <v>1790.92</v>
      </c>
      <c r="I131" s="2" t="s">
        <v>6723</v>
      </c>
      <c r="J131" s="2" t="s">
        <v>21</v>
      </c>
      <c r="K131" s="2" t="s">
        <v>42</v>
      </c>
      <c r="L131" s="2" t="s">
        <v>43</v>
      </c>
      <c r="M131" s="2">
        <v>5</v>
      </c>
      <c r="N131" s="2" t="s">
        <v>24</v>
      </c>
      <c r="O131" s="2" t="s">
        <v>25</v>
      </c>
      <c r="P131" s="2" t="s">
        <v>34</v>
      </c>
    </row>
    <row r="132" spans="1:16" x14ac:dyDescent="0.25">
      <c r="A132" s="2" t="s">
        <v>408</v>
      </c>
      <c r="B132" s="2" t="s">
        <v>6871</v>
      </c>
      <c r="C132" s="2">
        <v>9856</v>
      </c>
      <c r="D132" s="2" t="s">
        <v>6872</v>
      </c>
      <c r="E132" s="2" t="s">
        <v>6680</v>
      </c>
      <c r="F132" s="2" t="s">
        <v>39</v>
      </c>
      <c r="G132" s="2">
        <v>29500.39</v>
      </c>
      <c r="H132" s="2">
        <v>17639.73</v>
      </c>
      <c r="I132" s="2" t="s">
        <v>6752</v>
      </c>
      <c r="J132" s="2" t="s">
        <v>6700</v>
      </c>
      <c r="K132" s="2" t="s">
        <v>22</v>
      </c>
      <c r="L132" s="2" t="s">
        <v>43</v>
      </c>
      <c r="M132" s="2">
        <v>3</v>
      </c>
      <c r="N132" s="2" t="s">
        <v>33</v>
      </c>
      <c r="O132" s="2" t="s">
        <v>25</v>
      </c>
      <c r="P132" s="2" t="s">
        <v>26</v>
      </c>
    </row>
    <row r="133" spans="1:16" x14ac:dyDescent="0.25">
      <c r="A133" s="2" t="s">
        <v>411</v>
      </c>
      <c r="B133" s="2" t="s">
        <v>6873</v>
      </c>
      <c r="C133" s="2">
        <v>7150</v>
      </c>
      <c r="D133" s="2" t="s">
        <v>6874</v>
      </c>
      <c r="E133" s="2" t="s">
        <v>6748</v>
      </c>
      <c r="F133" s="2" t="s">
        <v>19</v>
      </c>
      <c r="G133" s="2">
        <v>8546.61</v>
      </c>
      <c r="H133" s="2">
        <v>4847.42</v>
      </c>
      <c r="I133" s="2" t="s">
        <v>6728</v>
      </c>
      <c r="J133" s="2" t="s">
        <v>6686</v>
      </c>
      <c r="K133" s="2" t="s">
        <v>80</v>
      </c>
      <c r="L133" s="2" t="s">
        <v>55</v>
      </c>
      <c r="M133" s="2">
        <v>5</v>
      </c>
      <c r="N133" s="2" t="s">
        <v>33</v>
      </c>
      <c r="O133" s="2" t="s">
        <v>25</v>
      </c>
      <c r="P133" s="2" t="s">
        <v>26</v>
      </c>
    </row>
    <row r="134" spans="1:16" x14ac:dyDescent="0.25">
      <c r="A134" s="2" t="s">
        <v>414</v>
      </c>
      <c r="B134" s="2" t="s">
        <v>6875</v>
      </c>
      <c r="C134" s="2">
        <v>6896</v>
      </c>
      <c r="D134" s="2" t="s">
        <v>6876</v>
      </c>
      <c r="E134" s="2" t="s">
        <v>6680</v>
      </c>
      <c r="F134" s="2" t="s">
        <v>58</v>
      </c>
      <c r="G134" s="2">
        <v>10604.31</v>
      </c>
      <c r="H134" s="2">
        <v>4957.08</v>
      </c>
      <c r="I134" s="2" t="s">
        <v>6812</v>
      </c>
      <c r="J134" s="2" t="s">
        <v>6753</v>
      </c>
      <c r="K134" s="2" t="s">
        <v>80</v>
      </c>
      <c r="L134" s="2" t="s">
        <v>64</v>
      </c>
      <c r="M134" s="2">
        <v>5</v>
      </c>
      <c r="N134" s="2" t="s">
        <v>24</v>
      </c>
      <c r="O134" s="2" t="s">
        <v>25</v>
      </c>
      <c r="P134" s="2" t="s">
        <v>26</v>
      </c>
    </row>
    <row r="135" spans="1:16" x14ac:dyDescent="0.25">
      <c r="A135" s="2" t="s">
        <v>417</v>
      </c>
      <c r="B135" s="2" t="s">
        <v>6877</v>
      </c>
      <c r="C135" s="2">
        <v>9537</v>
      </c>
      <c r="D135" s="2" t="s">
        <v>6878</v>
      </c>
      <c r="E135" s="2" t="s">
        <v>18</v>
      </c>
      <c r="F135" s="2" t="s">
        <v>39</v>
      </c>
      <c r="G135" s="2">
        <v>26653.88</v>
      </c>
      <c r="H135" s="2">
        <v>12897.82</v>
      </c>
      <c r="I135" s="2" t="s">
        <v>6812</v>
      </c>
      <c r="J135" s="2" t="s">
        <v>6700</v>
      </c>
      <c r="K135" s="2" t="s">
        <v>42</v>
      </c>
      <c r="L135" s="2" t="s">
        <v>88</v>
      </c>
      <c r="M135" s="2">
        <v>3</v>
      </c>
      <c r="N135" s="2" t="s">
        <v>24</v>
      </c>
      <c r="O135" s="2" t="s">
        <v>25</v>
      </c>
      <c r="P135" s="2" t="s">
        <v>34</v>
      </c>
    </row>
    <row r="136" spans="1:16" x14ac:dyDescent="0.25">
      <c r="A136" s="2" t="s">
        <v>419</v>
      </c>
      <c r="B136" s="2" t="s">
        <v>3850</v>
      </c>
      <c r="C136" s="2">
        <v>2752</v>
      </c>
      <c r="D136" s="2" t="s">
        <v>6879</v>
      </c>
      <c r="E136" s="2" t="s">
        <v>6756</v>
      </c>
      <c r="F136" s="2" t="s">
        <v>19</v>
      </c>
      <c r="G136" s="2">
        <v>6828.88</v>
      </c>
      <c r="H136" s="2">
        <v>4368.88</v>
      </c>
      <c r="I136" s="2" t="s">
        <v>6761</v>
      </c>
      <c r="J136" s="2" t="s">
        <v>6682</v>
      </c>
      <c r="K136" s="2" t="s">
        <v>42</v>
      </c>
      <c r="L136" s="2" t="s">
        <v>43</v>
      </c>
      <c r="M136" s="2">
        <v>4</v>
      </c>
      <c r="N136" s="2" t="s">
        <v>69</v>
      </c>
      <c r="O136" s="2" t="s">
        <v>25</v>
      </c>
      <c r="P136" s="2" t="s">
        <v>34</v>
      </c>
    </row>
    <row r="137" spans="1:16" x14ac:dyDescent="0.25">
      <c r="A137" s="2" t="s">
        <v>422</v>
      </c>
      <c r="B137" s="2" t="s">
        <v>1924</v>
      </c>
      <c r="C137" s="2">
        <v>5775</v>
      </c>
      <c r="D137" s="2" t="s">
        <v>6880</v>
      </c>
      <c r="E137" s="2" t="s">
        <v>38</v>
      </c>
      <c r="F137" s="2" t="s">
        <v>58</v>
      </c>
      <c r="G137" s="2">
        <v>52568.68</v>
      </c>
      <c r="H137" s="2">
        <v>31877.38</v>
      </c>
      <c r="I137" s="2" t="s">
        <v>84</v>
      </c>
      <c r="J137" s="2" t="s">
        <v>54</v>
      </c>
      <c r="K137" s="2" t="s">
        <v>42</v>
      </c>
      <c r="L137" s="2" t="s">
        <v>64</v>
      </c>
      <c r="M137" s="2">
        <v>3</v>
      </c>
      <c r="N137" s="2" t="s">
        <v>69</v>
      </c>
      <c r="O137" s="2" t="s">
        <v>25</v>
      </c>
      <c r="P137" s="2" t="s">
        <v>26</v>
      </c>
    </row>
    <row r="138" spans="1:16" x14ac:dyDescent="0.25">
      <c r="A138" s="2" t="s">
        <v>425</v>
      </c>
      <c r="B138" s="2" t="s">
        <v>2126</v>
      </c>
      <c r="C138" s="2">
        <v>4434</v>
      </c>
      <c r="D138" s="2" t="s">
        <v>6881</v>
      </c>
      <c r="E138" s="2" t="s">
        <v>38</v>
      </c>
      <c r="F138" s="2" t="s">
        <v>58</v>
      </c>
      <c r="G138" s="2">
        <v>56271.55</v>
      </c>
      <c r="H138" s="2">
        <v>34677.699999999997</v>
      </c>
      <c r="I138" s="2" t="s">
        <v>84</v>
      </c>
      <c r="J138" s="2" t="s">
        <v>54</v>
      </c>
      <c r="K138" s="2" t="s">
        <v>22</v>
      </c>
      <c r="L138" s="2" t="s">
        <v>64</v>
      </c>
      <c r="M138" s="2">
        <v>4</v>
      </c>
      <c r="N138" s="2" t="s">
        <v>33</v>
      </c>
      <c r="O138" s="2" t="s">
        <v>25</v>
      </c>
      <c r="P138" s="2" t="s">
        <v>34</v>
      </c>
    </row>
    <row r="139" spans="1:16" x14ac:dyDescent="0.25">
      <c r="A139" s="2" t="s">
        <v>428</v>
      </c>
      <c r="B139" s="2" t="s">
        <v>6882</v>
      </c>
      <c r="C139" s="2">
        <v>7566</v>
      </c>
      <c r="D139" s="2" t="s">
        <v>6883</v>
      </c>
      <c r="E139" s="2" t="s">
        <v>38</v>
      </c>
      <c r="F139" s="2" t="s">
        <v>58</v>
      </c>
      <c r="G139" s="2">
        <v>35143.589999999997</v>
      </c>
      <c r="H139" s="2">
        <v>21372.37</v>
      </c>
      <c r="I139" s="2" t="s">
        <v>120</v>
      </c>
      <c r="J139" s="2" t="s">
        <v>21</v>
      </c>
      <c r="K139" s="2" t="s">
        <v>42</v>
      </c>
      <c r="L139" s="2" t="s">
        <v>48</v>
      </c>
      <c r="M139" s="2">
        <v>5</v>
      </c>
      <c r="N139" s="2" t="s">
        <v>24</v>
      </c>
      <c r="O139" s="2" t="s">
        <v>70</v>
      </c>
      <c r="P139" s="2" t="s">
        <v>26</v>
      </c>
    </row>
    <row r="140" spans="1:16" x14ac:dyDescent="0.25">
      <c r="A140" s="2" t="s">
        <v>430</v>
      </c>
      <c r="B140" s="2" t="s">
        <v>104</v>
      </c>
      <c r="C140" s="2">
        <v>7547</v>
      </c>
      <c r="D140" s="2" t="s">
        <v>6884</v>
      </c>
      <c r="E140" s="2" t="s">
        <v>38</v>
      </c>
      <c r="F140" s="2" t="s">
        <v>58</v>
      </c>
      <c r="G140" s="2">
        <v>50291.25</v>
      </c>
      <c r="H140" s="2">
        <v>26960.69</v>
      </c>
      <c r="I140" s="2" t="s">
        <v>120</v>
      </c>
      <c r="J140" s="2" t="s">
        <v>21</v>
      </c>
      <c r="K140" s="2" t="s">
        <v>22</v>
      </c>
      <c r="L140" s="2" t="s">
        <v>55</v>
      </c>
      <c r="M140" s="2">
        <v>3</v>
      </c>
      <c r="N140" s="2" t="s">
        <v>33</v>
      </c>
      <c r="O140" s="2" t="s">
        <v>70</v>
      </c>
      <c r="P140" s="2" t="s">
        <v>49</v>
      </c>
    </row>
    <row r="141" spans="1:16" x14ac:dyDescent="0.25">
      <c r="A141" s="2" t="s">
        <v>433</v>
      </c>
      <c r="B141" s="2" t="s">
        <v>6885</v>
      </c>
      <c r="C141" s="2">
        <v>9199</v>
      </c>
      <c r="D141" s="2" t="s">
        <v>6886</v>
      </c>
      <c r="E141" s="2" t="s">
        <v>32</v>
      </c>
      <c r="F141" s="2" t="s">
        <v>39</v>
      </c>
      <c r="G141" s="2">
        <v>21141.51</v>
      </c>
      <c r="H141" s="2">
        <v>9617.5400000000009</v>
      </c>
      <c r="I141" s="2" t="s">
        <v>6726</v>
      </c>
      <c r="J141" s="2" t="s">
        <v>6789</v>
      </c>
      <c r="K141" s="2" t="s">
        <v>22</v>
      </c>
      <c r="L141" s="2" t="s">
        <v>88</v>
      </c>
      <c r="M141" s="2">
        <v>4</v>
      </c>
      <c r="N141" s="2" t="s">
        <v>69</v>
      </c>
      <c r="O141" s="2" t="s">
        <v>25</v>
      </c>
      <c r="P141" s="2" t="s">
        <v>49</v>
      </c>
    </row>
    <row r="142" spans="1:16" x14ac:dyDescent="0.25">
      <c r="A142" s="2" t="s">
        <v>436</v>
      </c>
      <c r="B142" s="2" t="s">
        <v>6887</v>
      </c>
      <c r="C142" s="2">
        <v>2100</v>
      </c>
      <c r="D142" s="2" t="s">
        <v>6888</v>
      </c>
      <c r="E142" s="2" t="s">
        <v>6719</v>
      </c>
      <c r="F142" s="2" t="s">
        <v>58</v>
      </c>
      <c r="G142" s="2">
        <v>12066.59</v>
      </c>
      <c r="H142" s="2">
        <v>7145.3</v>
      </c>
      <c r="I142" s="2" t="s">
        <v>6845</v>
      </c>
      <c r="J142" s="2" t="s">
        <v>6789</v>
      </c>
      <c r="K142" s="2" t="s">
        <v>22</v>
      </c>
      <c r="L142" s="2" t="s">
        <v>88</v>
      </c>
      <c r="M142" s="2">
        <v>1</v>
      </c>
      <c r="N142" s="2" t="s">
        <v>24</v>
      </c>
      <c r="O142" s="2" t="s">
        <v>25</v>
      </c>
      <c r="P142" s="2" t="s">
        <v>49</v>
      </c>
    </row>
    <row r="143" spans="1:16" x14ac:dyDescent="0.25">
      <c r="A143" s="2" t="s">
        <v>438</v>
      </c>
      <c r="B143" s="2" t="s">
        <v>6889</v>
      </c>
      <c r="C143" s="2">
        <v>8080</v>
      </c>
      <c r="D143" s="2" t="s">
        <v>6890</v>
      </c>
      <c r="E143" s="2" t="s">
        <v>6680</v>
      </c>
      <c r="F143" s="2" t="s">
        <v>39</v>
      </c>
      <c r="G143" s="2">
        <v>9556.01</v>
      </c>
      <c r="H143" s="2">
        <v>5473.89</v>
      </c>
      <c r="I143" s="2" t="s">
        <v>53</v>
      </c>
      <c r="J143" s="2" t="s">
        <v>6691</v>
      </c>
      <c r="K143" s="2" t="s">
        <v>32</v>
      </c>
      <c r="L143" s="2" t="s">
        <v>64</v>
      </c>
      <c r="M143" s="2">
        <v>5</v>
      </c>
      <c r="N143" s="2" t="s">
        <v>33</v>
      </c>
      <c r="O143" s="2" t="s">
        <v>25</v>
      </c>
      <c r="P143" s="2" t="s">
        <v>26</v>
      </c>
    </row>
    <row r="144" spans="1:16" x14ac:dyDescent="0.25">
      <c r="A144" s="2" t="s">
        <v>441</v>
      </c>
      <c r="B144" s="2" t="s">
        <v>1172</v>
      </c>
      <c r="C144" s="2">
        <v>9646</v>
      </c>
      <c r="D144" s="2" t="s">
        <v>6891</v>
      </c>
      <c r="E144" s="2" t="s">
        <v>38</v>
      </c>
      <c r="F144" s="2" t="s">
        <v>58</v>
      </c>
      <c r="G144" s="2">
        <v>30689.68</v>
      </c>
      <c r="H144" s="2">
        <v>17562.53</v>
      </c>
      <c r="I144" s="2" t="s">
        <v>53</v>
      </c>
      <c r="J144" s="2" t="s">
        <v>54</v>
      </c>
      <c r="K144" s="2" t="s">
        <v>22</v>
      </c>
      <c r="L144" s="2" t="s">
        <v>88</v>
      </c>
      <c r="M144" s="2">
        <v>3</v>
      </c>
      <c r="N144" s="2" t="s">
        <v>69</v>
      </c>
      <c r="O144" s="2" t="s">
        <v>70</v>
      </c>
      <c r="P144" s="2" t="s">
        <v>49</v>
      </c>
    </row>
    <row r="145" spans="1:16" x14ac:dyDescent="0.25">
      <c r="A145" s="2" t="s">
        <v>444</v>
      </c>
      <c r="B145" s="2" t="s">
        <v>5412</v>
      </c>
      <c r="C145" s="2">
        <v>4908</v>
      </c>
      <c r="D145" s="2" t="s">
        <v>6892</v>
      </c>
      <c r="E145" s="2" t="s">
        <v>6708</v>
      </c>
      <c r="F145" s="2" t="s">
        <v>30</v>
      </c>
      <c r="G145" s="2">
        <v>28341.43</v>
      </c>
      <c r="H145" s="2">
        <v>14869.65</v>
      </c>
      <c r="I145" s="2" t="s">
        <v>6699</v>
      </c>
      <c r="J145" s="2" t="s">
        <v>6691</v>
      </c>
      <c r="K145" s="2" t="s">
        <v>32</v>
      </c>
      <c r="L145" s="2" t="s">
        <v>43</v>
      </c>
      <c r="M145" s="2">
        <v>4</v>
      </c>
      <c r="N145" s="2" t="s">
        <v>33</v>
      </c>
      <c r="O145" s="2" t="s">
        <v>25</v>
      </c>
      <c r="P145" s="2" t="s">
        <v>34</v>
      </c>
    </row>
    <row r="146" spans="1:16" x14ac:dyDescent="0.25">
      <c r="A146" s="2" t="s">
        <v>446</v>
      </c>
      <c r="B146" s="2" t="s">
        <v>472</v>
      </c>
      <c r="C146" s="2">
        <v>1878</v>
      </c>
      <c r="D146" s="2" t="s">
        <v>6893</v>
      </c>
      <c r="E146" s="2" t="s">
        <v>6748</v>
      </c>
      <c r="F146" s="2" t="s">
        <v>58</v>
      </c>
      <c r="G146" s="2">
        <v>51861.78</v>
      </c>
      <c r="H146" s="2">
        <v>28364.34</v>
      </c>
      <c r="I146" s="2" t="s">
        <v>6759</v>
      </c>
      <c r="J146" s="2" t="s">
        <v>6753</v>
      </c>
      <c r="K146" s="2" t="s">
        <v>32</v>
      </c>
      <c r="L146" s="2" t="s">
        <v>64</v>
      </c>
      <c r="M146" s="2">
        <v>5</v>
      </c>
      <c r="N146" s="2" t="s">
        <v>24</v>
      </c>
      <c r="O146" s="2" t="s">
        <v>25</v>
      </c>
      <c r="P146" s="2" t="s">
        <v>49</v>
      </c>
    </row>
    <row r="147" spans="1:16" x14ac:dyDescent="0.25">
      <c r="A147" s="2" t="s">
        <v>448</v>
      </c>
      <c r="B147" s="2" t="s">
        <v>6894</v>
      </c>
      <c r="C147" s="2">
        <v>5503</v>
      </c>
      <c r="D147" s="2" t="s">
        <v>6895</v>
      </c>
      <c r="E147" s="2" t="s">
        <v>6694</v>
      </c>
      <c r="F147" s="2" t="s">
        <v>58</v>
      </c>
      <c r="G147" s="2">
        <v>41837.279999999999</v>
      </c>
      <c r="H147" s="2">
        <v>20234.259999999998</v>
      </c>
      <c r="I147" s="2" t="s">
        <v>84</v>
      </c>
      <c r="J147" s="2" t="s">
        <v>6686</v>
      </c>
      <c r="K147" s="2" t="s">
        <v>80</v>
      </c>
      <c r="L147" s="2" t="s">
        <v>43</v>
      </c>
      <c r="M147" s="2">
        <v>4</v>
      </c>
      <c r="N147" s="2" t="s">
        <v>24</v>
      </c>
      <c r="O147" s="2" t="s">
        <v>25</v>
      </c>
      <c r="P147" s="2" t="s">
        <v>26</v>
      </c>
    </row>
    <row r="148" spans="1:16" x14ac:dyDescent="0.25">
      <c r="A148" s="2" t="s">
        <v>451</v>
      </c>
      <c r="B148" s="2" t="s">
        <v>5576</v>
      </c>
      <c r="C148" s="2">
        <v>5877</v>
      </c>
      <c r="D148" s="2" t="s">
        <v>6122</v>
      </c>
      <c r="E148" s="2" t="s">
        <v>18</v>
      </c>
      <c r="F148" s="2" t="s">
        <v>47</v>
      </c>
      <c r="G148" s="2">
        <v>8284.09</v>
      </c>
      <c r="H148" s="2">
        <v>4305.37</v>
      </c>
      <c r="I148" s="2" t="s">
        <v>63</v>
      </c>
      <c r="J148" s="2" t="s">
        <v>54</v>
      </c>
      <c r="K148" s="2" t="s">
        <v>22</v>
      </c>
      <c r="L148" s="2" t="s">
        <v>64</v>
      </c>
      <c r="M148" s="2">
        <v>1</v>
      </c>
      <c r="N148" s="2" t="s">
        <v>24</v>
      </c>
      <c r="O148" s="2" t="s">
        <v>25</v>
      </c>
      <c r="P148" s="2" t="s">
        <v>49</v>
      </c>
    </row>
    <row r="149" spans="1:16" x14ac:dyDescent="0.25">
      <c r="A149" s="2" t="s">
        <v>453</v>
      </c>
      <c r="B149" s="2" t="s">
        <v>6896</v>
      </c>
      <c r="C149" s="2">
        <v>4385</v>
      </c>
      <c r="D149" s="2" t="s">
        <v>6897</v>
      </c>
      <c r="E149" s="2" t="s">
        <v>6756</v>
      </c>
      <c r="F149" s="2" t="s">
        <v>30</v>
      </c>
      <c r="G149" s="2">
        <v>84956.59</v>
      </c>
      <c r="H149" s="2">
        <v>47916.78</v>
      </c>
      <c r="I149" s="2" t="s">
        <v>84</v>
      </c>
      <c r="J149" s="2" t="s">
        <v>6729</v>
      </c>
      <c r="K149" s="2" t="s">
        <v>42</v>
      </c>
      <c r="L149" s="2" t="s">
        <v>43</v>
      </c>
      <c r="M149" s="2">
        <v>5</v>
      </c>
      <c r="N149" s="2" t="s">
        <v>33</v>
      </c>
      <c r="O149" s="2" t="s">
        <v>70</v>
      </c>
      <c r="P149" s="2" t="s">
        <v>34</v>
      </c>
    </row>
    <row r="150" spans="1:16" x14ac:dyDescent="0.25">
      <c r="A150" s="2" t="s">
        <v>456</v>
      </c>
      <c r="B150" s="2" t="s">
        <v>566</v>
      </c>
      <c r="C150" s="2">
        <v>3174</v>
      </c>
      <c r="D150" s="2" t="s">
        <v>6625</v>
      </c>
      <c r="E150" s="2" t="s">
        <v>18</v>
      </c>
      <c r="F150" s="2" t="s">
        <v>47</v>
      </c>
      <c r="G150" s="2">
        <v>4057.54</v>
      </c>
      <c r="H150" s="2">
        <v>2087.2800000000002</v>
      </c>
      <c r="I150" s="2" t="s">
        <v>59</v>
      </c>
      <c r="J150" s="2" t="s">
        <v>41</v>
      </c>
      <c r="K150" s="2" t="s">
        <v>32</v>
      </c>
      <c r="L150" s="2" t="s">
        <v>48</v>
      </c>
      <c r="M150" s="2">
        <v>4</v>
      </c>
      <c r="N150" s="2" t="s">
        <v>24</v>
      </c>
      <c r="O150" s="2" t="s">
        <v>25</v>
      </c>
      <c r="P150" s="2" t="s">
        <v>34</v>
      </c>
    </row>
    <row r="151" spans="1:16" x14ac:dyDescent="0.25">
      <c r="A151" s="2" t="s">
        <v>458</v>
      </c>
      <c r="B151" s="2" t="s">
        <v>6898</v>
      </c>
      <c r="C151" s="2">
        <v>9447</v>
      </c>
      <c r="D151" s="2" t="s">
        <v>6899</v>
      </c>
      <c r="E151" s="2" t="s">
        <v>6748</v>
      </c>
      <c r="F151" s="2" t="s">
        <v>19</v>
      </c>
      <c r="G151" s="2">
        <v>20359.8</v>
      </c>
      <c r="H151" s="2">
        <v>12734.31</v>
      </c>
      <c r="I151" s="2" t="s">
        <v>6720</v>
      </c>
      <c r="J151" s="2" t="s">
        <v>54</v>
      </c>
      <c r="K151" s="2" t="s">
        <v>80</v>
      </c>
      <c r="L151" s="2" t="s">
        <v>64</v>
      </c>
      <c r="M151" s="2">
        <v>3</v>
      </c>
      <c r="N151" s="2" t="s">
        <v>24</v>
      </c>
      <c r="O151" s="2" t="s">
        <v>70</v>
      </c>
      <c r="P151" s="2" t="s">
        <v>49</v>
      </c>
    </row>
    <row r="152" spans="1:16" x14ac:dyDescent="0.25">
      <c r="A152" s="2" t="s">
        <v>460</v>
      </c>
      <c r="B152" s="2" t="s">
        <v>6900</v>
      </c>
      <c r="C152" s="2">
        <v>5399</v>
      </c>
      <c r="D152" s="2" t="s">
        <v>6901</v>
      </c>
      <c r="E152" s="2" t="s">
        <v>38</v>
      </c>
      <c r="F152" s="2" t="s">
        <v>58</v>
      </c>
      <c r="G152" s="2">
        <v>38648.71</v>
      </c>
      <c r="H152" s="2">
        <v>20002.68</v>
      </c>
      <c r="I152" s="2" t="s">
        <v>6726</v>
      </c>
      <c r="J152" s="2" t="s">
        <v>6724</v>
      </c>
      <c r="K152" s="2" t="s">
        <v>32</v>
      </c>
      <c r="L152" s="2" t="s">
        <v>43</v>
      </c>
      <c r="M152" s="2">
        <v>4</v>
      </c>
      <c r="N152" s="2" t="s">
        <v>24</v>
      </c>
      <c r="O152" s="2" t="s">
        <v>70</v>
      </c>
      <c r="P152" s="2" t="s">
        <v>26</v>
      </c>
    </row>
    <row r="153" spans="1:16" x14ac:dyDescent="0.25">
      <c r="A153" s="2" t="s">
        <v>463</v>
      </c>
      <c r="B153" s="2" t="s">
        <v>6902</v>
      </c>
      <c r="C153" s="2">
        <v>5945</v>
      </c>
      <c r="D153" s="2" t="s">
        <v>6903</v>
      </c>
      <c r="E153" s="2" t="s">
        <v>6743</v>
      </c>
      <c r="F153" s="2" t="s">
        <v>58</v>
      </c>
      <c r="G153" s="2">
        <v>46406.71</v>
      </c>
      <c r="H153" s="2">
        <v>29019</v>
      </c>
      <c r="I153" s="2" t="s">
        <v>6726</v>
      </c>
      <c r="J153" s="2" t="s">
        <v>6724</v>
      </c>
      <c r="K153" s="2" t="s">
        <v>22</v>
      </c>
      <c r="L153" s="2" t="s">
        <v>48</v>
      </c>
      <c r="M153" s="2">
        <v>3</v>
      </c>
      <c r="N153" s="2" t="s">
        <v>33</v>
      </c>
      <c r="O153" s="2" t="s">
        <v>25</v>
      </c>
      <c r="P153" s="2" t="s">
        <v>49</v>
      </c>
    </row>
    <row r="155" spans="1:16" x14ac:dyDescent="0.25">
      <c r="A155" s="2" t="s">
        <v>465</v>
      </c>
      <c r="B155" s="2" t="s">
        <v>3204</v>
      </c>
      <c r="C155" s="2">
        <v>4705</v>
      </c>
      <c r="D155" s="2" t="s">
        <v>6904</v>
      </c>
      <c r="E155" s="2" t="s">
        <v>38</v>
      </c>
      <c r="F155" s="2" t="s">
        <v>58</v>
      </c>
      <c r="G155" s="2">
        <v>7092.07</v>
      </c>
      <c r="H155" s="2">
        <v>4178.08</v>
      </c>
      <c r="I155" s="2" t="s">
        <v>31</v>
      </c>
      <c r="J155" s="2" t="s">
        <v>21</v>
      </c>
      <c r="K155" s="2" t="s">
        <v>22</v>
      </c>
      <c r="L155" s="2" t="s">
        <v>64</v>
      </c>
      <c r="M155" s="2">
        <v>2</v>
      </c>
      <c r="N155" s="2" t="s">
        <v>24</v>
      </c>
      <c r="O155" s="2" t="s">
        <v>25</v>
      </c>
      <c r="P155" s="2" t="s">
        <v>26</v>
      </c>
    </row>
    <row r="156" spans="1:16" x14ac:dyDescent="0.25">
      <c r="A156" s="2" t="s">
        <v>467</v>
      </c>
      <c r="B156" s="2" t="s">
        <v>6905</v>
      </c>
      <c r="C156" s="2">
        <v>3340</v>
      </c>
      <c r="D156" s="2" t="s">
        <v>6906</v>
      </c>
      <c r="E156" s="2" t="s">
        <v>18</v>
      </c>
      <c r="F156" s="2" t="s">
        <v>39</v>
      </c>
      <c r="G156" s="2">
        <v>29408.13</v>
      </c>
      <c r="H156" s="2">
        <v>13283.5</v>
      </c>
      <c r="I156" s="2" t="s">
        <v>53</v>
      </c>
      <c r="J156" s="2" t="s">
        <v>54</v>
      </c>
      <c r="K156" s="2" t="s">
        <v>32</v>
      </c>
      <c r="L156" s="2" t="s">
        <v>64</v>
      </c>
      <c r="M156" s="2">
        <v>3</v>
      </c>
      <c r="N156" s="2" t="s">
        <v>24</v>
      </c>
      <c r="O156" s="2" t="s">
        <v>70</v>
      </c>
      <c r="P156" s="2" t="s">
        <v>26</v>
      </c>
    </row>
    <row r="157" spans="1:16" x14ac:dyDescent="0.25">
      <c r="A157" s="2" t="s">
        <v>469</v>
      </c>
      <c r="B157" s="2" t="s">
        <v>2177</v>
      </c>
      <c r="C157" s="2">
        <v>3017</v>
      </c>
      <c r="D157" s="2" t="s">
        <v>6907</v>
      </c>
      <c r="E157" s="2" t="s">
        <v>38</v>
      </c>
      <c r="F157" s="2" t="s">
        <v>47</v>
      </c>
      <c r="G157" s="2">
        <v>5170.6499999999996</v>
      </c>
      <c r="H157" s="2">
        <v>2770.84</v>
      </c>
      <c r="I157" s="2" t="s">
        <v>120</v>
      </c>
      <c r="J157" s="2" t="s">
        <v>21</v>
      </c>
      <c r="K157" s="2" t="s">
        <v>32</v>
      </c>
      <c r="L157" s="2" t="s">
        <v>23</v>
      </c>
      <c r="M157" s="2">
        <v>3</v>
      </c>
      <c r="N157" s="2" t="s">
        <v>24</v>
      </c>
      <c r="O157" s="2" t="s">
        <v>25</v>
      </c>
      <c r="P157" s="2" t="s">
        <v>49</v>
      </c>
    </row>
    <row r="158" spans="1:16" x14ac:dyDescent="0.25">
      <c r="A158" s="2" t="s">
        <v>471</v>
      </c>
      <c r="B158" s="2" t="s">
        <v>992</v>
      </c>
      <c r="C158" s="2">
        <v>9482</v>
      </c>
      <c r="D158" s="2" t="s">
        <v>6908</v>
      </c>
      <c r="E158" s="2" t="s">
        <v>18</v>
      </c>
      <c r="F158" s="2" t="s">
        <v>58</v>
      </c>
      <c r="G158" s="2">
        <v>44587.77</v>
      </c>
      <c r="H158" s="2">
        <v>22700.01</v>
      </c>
      <c r="I158" s="2" t="s">
        <v>31</v>
      </c>
      <c r="J158" s="2" t="s">
        <v>21</v>
      </c>
      <c r="K158" s="2" t="s">
        <v>22</v>
      </c>
      <c r="L158" s="2" t="s">
        <v>23</v>
      </c>
      <c r="M158" s="2">
        <v>4</v>
      </c>
      <c r="N158" s="2" t="s">
        <v>33</v>
      </c>
      <c r="O158" s="2" t="s">
        <v>25</v>
      </c>
      <c r="P158" s="2" t="s">
        <v>49</v>
      </c>
    </row>
    <row r="159" spans="1:16" x14ac:dyDescent="0.25">
      <c r="A159" s="2" t="s">
        <v>474</v>
      </c>
      <c r="B159" s="2" t="s">
        <v>3658</v>
      </c>
      <c r="C159" s="2">
        <v>7895</v>
      </c>
      <c r="D159" s="2" t="s">
        <v>6909</v>
      </c>
      <c r="E159" s="2" t="s">
        <v>6680</v>
      </c>
      <c r="F159" s="2" t="s">
        <v>47</v>
      </c>
      <c r="G159" s="2">
        <v>11661.82</v>
      </c>
      <c r="H159" s="2">
        <v>5650.78</v>
      </c>
      <c r="I159" s="2" t="s">
        <v>6910</v>
      </c>
      <c r="J159" s="2" t="s">
        <v>6724</v>
      </c>
      <c r="K159" s="2" t="s">
        <v>80</v>
      </c>
      <c r="L159" s="2" t="s">
        <v>55</v>
      </c>
      <c r="M159" s="2">
        <v>1</v>
      </c>
      <c r="N159" s="2" t="s">
        <v>24</v>
      </c>
      <c r="O159" s="2" t="s">
        <v>25</v>
      </c>
      <c r="P159" s="2" t="s">
        <v>26</v>
      </c>
    </row>
    <row r="160" spans="1:16" x14ac:dyDescent="0.25">
      <c r="A160" s="2" t="s">
        <v>477</v>
      </c>
      <c r="B160" s="2" t="s">
        <v>4955</v>
      </c>
      <c r="C160" s="2">
        <v>5546</v>
      </c>
      <c r="D160" s="2" t="s">
        <v>6911</v>
      </c>
      <c r="E160" s="2" t="s">
        <v>18</v>
      </c>
      <c r="F160" s="2" t="s">
        <v>58</v>
      </c>
      <c r="G160" s="2">
        <v>26863.85</v>
      </c>
      <c r="H160" s="2">
        <v>14835.86</v>
      </c>
      <c r="I160" s="2" t="s">
        <v>53</v>
      </c>
      <c r="J160" s="2" t="s">
        <v>54</v>
      </c>
      <c r="K160" s="2" t="s">
        <v>32</v>
      </c>
      <c r="L160" s="2" t="s">
        <v>23</v>
      </c>
      <c r="M160" s="2">
        <v>5</v>
      </c>
      <c r="N160" s="2" t="s">
        <v>33</v>
      </c>
      <c r="O160" s="2" t="s">
        <v>25</v>
      </c>
      <c r="P160" s="2" t="s">
        <v>49</v>
      </c>
    </row>
    <row r="162" spans="1:16" x14ac:dyDescent="0.25">
      <c r="A162" s="2" t="s">
        <v>479</v>
      </c>
      <c r="B162" s="2" t="s">
        <v>6912</v>
      </c>
      <c r="C162" s="2">
        <v>5005</v>
      </c>
      <c r="D162" s="2" t="s">
        <v>6913</v>
      </c>
      <c r="E162" s="2" t="s">
        <v>6694</v>
      </c>
      <c r="F162" s="2" t="s">
        <v>30</v>
      </c>
      <c r="G162" s="2">
        <v>119246.74</v>
      </c>
      <c r="H162" s="2">
        <v>56427.24</v>
      </c>
      <c r="I162" s="2" t="s">
        <v>6739</v>
      </c>
      <c r="J162" s="2" t="s">
        <v>6729</v>
      </c>
      <c r="K162" s="2" t="s">
        <v>22</v>
      </c>
      <c r="L162" s="2" t="s">
        <v>88</v>
      </c>
      <c r="M162" s="2">
        <v>2</v>
      </c>
      <c r="N162" s="2" t="s">
        <v>33</v>
      </c>
      <c r="O162" s="2" t="s">
        <v>70</v>
      </c>
      <c r="P162" s="2" t="s">
        <v>49</v>
      </c>
    </row>
    <row r="163" spans="1:16" x14ac:dyDescent="0.25">
      <c r="A163" s="2" t="s">
        <v>482</v>
      </c>
      <c r="B163" s="2" t="s">
        <v>3839</v>
      </c>
      <c r="C163" s="2">
        <v>6488</v>
      </c>
      <c r="D163" s="2" t="s">
        <v>6914</v>
      </c>
      <c r="E163" s="2" t="s">
        <v>38</v>
      </c>
      <c r="F163" s="2" t="s">
        <v>19</v>
      </c>
      <c r="G163" s="2">
        <v>8932.4599999999991</v>
      </c>
      <c r="H163" s="2">
        <v>4133.71</v>
      </c>
      <c r="I163" s="2" t="s">
        <v>84</v>
      </c>
      <c r="J163" s="2" t="s">
        <v>6729</v>
      </c>
      <c r="K163" s="2" t="s">
        <v>22</v>
      </c>
      <c r="L163" s="2" t="s">
        <v>64</v>
      </c>
      <c r="M163" s="2">
        <v>4</v>
      </c>
      <c r="N163" s="2" t="s">
        <v>24</v>
      </c>
      <c r="O163" s="2" t="s">
        <v>25</v>
      </c>
      <c r="P163" s="2" t="s">
        <v>49</v>
      </c>
    </row>
    <row r="164" spans="1:16" x14ac:dyDescent="0.25">
      <c r="A164" s="2" t="s">
        <v>485</v>
      </c>
      <c r="B164" s="2" t="s">
        <v>4755</v>
      </c>
      <c r="C164" s="2">
        <v>8729</v>
      </c>
      <c r="D164" s="2" t="s">
        <v>223</v>
      </c>
      <c r="E164" s="2" t="s">
        <v>6680</v>
      </c>
      <c r="F164" s="2" t="s">
        <v>58</v>
      </c>
      <c r="G164" s="2">
        <v>27712.799999999999</v>
      </c>
      <c r="H164" s="2">
        <v>13302.61</v>
      </c>
      <c r="I164" s="2" t="s">
        <v>6915</v>
      </c>
      <c r="J164" s="2" t="s">
        <v>21</v>
      </c>
      <c r="K164" s="2" t="s">
        <v>22</v>
      </c>
      <c r="L164" s="2" t="s">
        <v>43</v>
      </c>
      <c r="M164" s="2">
        <v>4</v>
      </c>
      <c r="N164" s="2" t="s">
        <v>33</v>
      </c>
      <c r="O164" s="2" t="s">
        <v>25</v>
      </c>
      <c r="P164" s="2" t="s">
        <v>49</v>
      </c>
    </row>
    <row r="165" spans="1:16" x14ac:dyDescent="0.25">
      <c r="A165" s="2" t="s">
        <v>488</v>
      </c>
      <c r="B165" s="2" t="s">
        <v>6916</v>
      </c>
      <c r="C165" s="2">
        <v>2129</v>
      </c>
      <c r="D165" s="2" t="s">
        <v>6917</v>
      </c>
      <c r="E165" s="2" t="s">
        <v>6680</v>
      </c>
      <c r="F165" s="2" t="s">
        <v>58</v>
      </c>
      <c r="G165" s="2">
        <v>50053.99</v>
      </c>
      <c r="H165" s="2">
        <v>30267.919999999998</v>
      </c>
      <c r="I165" s="2" t="s">
        <v>6918</v>
      </c>
      <c r="J165" s="2" t="s">
        <v>6724</v>
      </c>
      <c r="K165" s="2" t="s">
        <v>42</v>
      </c>
      <c r="L165" s="2" t="s">
        <v>88</v>
      </c>
      <c r="M165" s="2">
        <v>1</v>
      </c>
      <c r="N165" s="2" t="s">
        <v>24</v>
      </c>
      <c r="O165" s="2" t="s">
        <v>25</v>
      </c>
      <c r="P165" s="2" t="s">
        <v>26</v>
      </c>
    </row>
    <row r="166" spans="1:16" x14ac:dyDescent="0.25">
      <c r="A166" s="2" t="s">
        <v>491</v>
      </c>
      <c r="B166" s="2" t="s">
        <v>6919</v>
      </c>
      <c r="C166" s="2">
        <v>3466</v>
      </c>
      <c r="D166" s="2" t="s">
        <v>6920</v>
      </c>
      <c r="E166" s="2" t="s">
        <v>6756</v>
      </c>
      <c r="F166" s="2" t="s">
        <v>47</v>
      </c>
      <c r="G166" s="2">
        <v>21232.45</v>
      </c>
      <c r="H166" s="2">
        <v>9656.14</v>
      </c>
      <c r="I166" s="2" t="s">
        <v>6812</v>
      </c>
      <c r="J166" s="2" t="s">
        <v>54</v>
      </c>
      <c r="K166" s="2" t="s">
        <v>42</v>
      </c>
      <c r="L166" s="2" t="s">
        <v>48</v>
      </c>
      <c r="M166" s="2">
        <v>1</v>
      </c>
      <c r="N166" s="2" t="s">
        <v>69</v>
      </c>
      <c r="O166" s="2" t="s">
        <v>25</v>
      </c>
      <c r="P166" s="2" t="s">
        <v>49</v>
      </c>
    </row>
    <row r="167" spans="1:16" x14ac:dyDescent="0.25">
      <c r="A167" s="2" t="s">
        <v>493</v>
      </c>
      <c r="B167" s="2" t="s">
        <v>6921</v>
      </c>
      <c r="C167" s="2">
        <v>2524</v>
      </c>
      <c r="D167" s="2" t="s">
        <v>6922</v>
      </c>
      <c r="E167" s="2" t="s">
        <v>32</v>
      </c>
      <c r="F167" s="2" t="s">
        <v>39</v>
      </c>
      <c r="G167" s="2">
        <v>56103.08</v>
      </c>
      <c r="H167" s="2">
        <v>35314.5</v>
      </c>
      <c r="I167" s="2" t="s">
        <v>63</v>
      </c>
      <c r="J167" s="2" t="s">
        <v>6691</v>
      </c>
      <c r="K167" s="2" t="s">
        <v>80</v>
      </c>
      <c r="L167" s="2" t="s">
        <v>48</v>
      </c>
      <c r="M167" s="2">
        <v>3</v>
      </c>
      <c r="N167" s="2" t="s">
        <v>24</v>
      </c>
      <c r="O167" s="2" t="s">
        <v>70</v>
      </c>
      <c r="P167" s="2" t="s">
        <v>49</v>
      </c>
    </row>
    <row r="168" spans="1:16" x14ac:dyDescent="0.25">
      <c r="A168" s="2" t="s">
        <v>495</v>
      </c>
      <c r="B168" s="2" t="s">
        <v>581</v>
      </c>
      <c r="C168" s="2">
        <v>6161</v>
      </c>
      <c r="D168" s="2" t="s">
        <v>582</v>
      </c>
      <c r="E168" s="2" t="s">
        <v>38</v>
      </c>
      <c r="F168" s="2" t="s">
        <v>19</v>
      </c>
      <c r="G168" s="2">
        <v>11611.44</v>
      </c>
      <c r="H168" s="2">
        <v>6932.85</v>
      </c>
      <c r="I168" s="2" t="s">
        <v>120</v>
      </c>
      <c r="J168" s="2" t="s">
        <v>21</v>
      </c>
      <c r="K168" s="2" t="s">
        <v>42</v>
      </c>
      <c r="L168" s="2" t="s">
        <v>64</v>
      </c>
      <c r="M168" s="2">
        <v>3</v>
      </c>
      <c r="N168" s="2" t="s">
        <v>33</v>
      </c>
      <c r="O168" s="2" t="s">
        <v>70</v>
      </c>
      <c r="P168" s="2" t="s">
        <v>26</v>
      </c>
    </row>
    <row r="169" spans="1:16" x14ac:dyDescent="0.25">
      <c r="A169" s="2" t="s">
        <v>498</v>
      </c>
      <c r="B169" s="2" t="s">
        <v>6923</v>
      </c>
      <c r="C169" s="2">
        <v>2978</v>
      </c>
      <c r="D169" s="2" t="s">
        <v>6924</v>
      </c>
      <c r="E169" s="2" t="s">
        <v>6748</v>
      </c>
      <c r="F169" s="2" t="s">
        <v>58</v>
      </c>
      <c r="G169" s="2">
        <v>43691.48</v>
      </c>
      <c r="H169" s="2">
        <v>21475.55</v>
      </c>
      <c r="I169" s="2" t="s">
        <v>6910</v>
      </c>
      <c r="J169" s="2" t="s">
        <v>21</v>
      </c>
      <c r="K169" s="2" t="s">
        <v>42</v>
      </c>
      <c r="L169" s="2" t="s">
        <v>64</v>
      </c>
      <c r="M169" s="2">
        <v>3</v>
      </c>
      <c r="N169" s="2" t="s">
        <v>69</v>
      </c>
      <c r="O169" s="2" t="s">
        <v>25</v>
      </c>
      <c r="P169" s="2" t="s">
        <v>49</v>
      </c>
    </row>
    <row r="170" spans="1:16" x14ac:dyDescent="0.25">
      <c r="A170" s="2" t="s">
        <v>500</v>
      </c>
      <c r="B170" s="2" t="s">
        <v>6925</v>
      </c>
      <c r="C170" s="2">
        <v>9412</v>
      </c>
      <c r="D170" s="2" t="s">
        <v>6926</v>
      </c>
      <c r="E170" s="2" t="s">
        <v>6703</v>
      </c>
      <c r="F170" s="2" t="s">
        <v>58</v>
      </c>
      <c r="G170" s="2">
        <v>49583.68</v>
      </c>
      <c r="H170" s="2">
        <v>24892.66</v>
      </c>
      <c r="I170" s="2" t="s">
        <v>53</v>
      </c>
      <c r="J170" s="2" t="s">
        <v>54</v>
      </c>
      <c r="K170" s="2" t="s">
        <v>32</v>
      </c>
      <c r="L170" s="2" t="s">
        <v>55</v>
      </c>
      <c r="M170" s="2">
        <v>4</v>
      </c>
      <c r="N170" s="2" t="s">
        <v>69</v>
      </c>
      <c r="O170" s="2" t="s">
        <v>25</v>
      </c>
      <c r="P170" s="2" t="s">
        <v>49</v>
      </c>
    </row>
    <row r="171" spans="1:16" x14ac:dyDescent="0.25">
      <c r="A171" s="2" t="s">
        <v>503</v>
      </c>
      <c r="B171" s="2" t="s">
        <v>6927</v>
      </c>
      <c r="C171" s="2">
        <v>2376</v>
      </c>
      <c r="D171" s="2" t="s">
        <v>6928</v>
      </c>
      <c r="E171" s="2" t="s">
        <v>6719</v>
      </c>
      <c r="F171" s="2" t="s">
        <v>58</v>
      </c>
      <c r="G171" s="2">
        <v>62917.29</v>
      </c>
      <c r="H171" s="2">
        <v>29256.38</v>
      </c>
      <c r="I171" s="2" t="s">
        <v>6736</v>
      </c>
      <c r="J171" s="2" t="s">
        <v>6753</v>
      </c>
      <c r="K171" s="2" t="s">
        <v>22</v>
      </c>
      <c r="L171" s="2" t="s">
        <v>23</v>
      </c>
      <c r="M171" s="2">
        <v>4</v>
      </c>
      <c r="N171" s="2" t="s">
        <v>69</v>
      </c>
      <c r="O171" s="2" t="s">
        <v>25</v>
      </c>
      <c r="P171" s="2" t="s">
        <v>34</v>
      </c>
    </row>
    <row r="172" spans="1:16" x14ac:dyDescent="0.25">
      <c r="A172" s="2" t="s">
        <v>506</v>
      </c>
      <c r="B172" s="2" t="s">
        <v>6929</v>
      </c>
      <c r="C172" s="2">
        <v>6799</v>
      </c>
      <c r="D172" s="2" t="s">
        <v>6930</v>
      </c>
      <c r="E172" s="2" t="s">
        <v>32</v>
      </c>
      <c r="F172" s="2" t="s">
        <v>30</v>
      </c>
      <c r="G172" s="2">
        <v>58729.66</v>
      </c>
      <c r="H172" s="2">
        <v>29658.26</v>
      </c>
      <c r="I172" s="2" t="s">
        <v>59</v>
      </c>
      <c r="J172" s="2" t="s">
        <v>41</v>
      </c>
      <c r="K172" s="2" t="s">
        <v>80</v>
      </c>
      <c r="L172" s="2" t="s">
        <v>23</v>
      </c>
      <c r="M172" s="2">
        <v>1</v>
      </c>
      <c r="N172" s="2" t="s">
        <v>24</v>
      </c>
      <c r="O172" s="2" t="s">
        <v>70</v>
      </c>
      <c r="P172" s="2" t="s">
        <v>49</v>
      </c>
    </row>
    <row r="173" spans="1:16" x14ac:dyDescent="0.25">
      <c r="A173" s="2" t="s">
        <v>509</v>
      </c>
      <c r="B173" s="2" t="s">
        <v>278</v>
      </c>
      <c r="C173" s="2">
        <v>9907</v>
      </c>
      <c r="D173" s="2" t="s">
        <v>6931</v>
      </c>
      <c r="E173" s="2" t="s">
        <v>18</v>
      </c>
      <c r="F173" s="2" t="s">
        <v>39</v>
      </c>
      <c r="G173" s="2">
        <v>54717.440000000002</v>
      </c>
      <c r="H173" s="2">
        <v>33179.730000000003</v>
      </c>
      <c r="I173" s="2" t="s">
        <v>63</v>
      </c>
      <c r="J173" s="2" t="s">
        <v>54</v>
      </c>
      <c r="K173" s="2" t="s">
        <v>42</v>
      </c>
      <c r="L173" s="2" t="s">
        <v>64</v>
      </c>
      <c r="M173" s="2">
        <v>5</v>
      </c>
      <c r="N173" s="2" t="s">
        <v>24</v>
      </c>
      <c r="O173" s="2" t="s">
        <v>25</v>
      </c>
      <c r="P173" s="2" t="s">
        <v>49</v>
      </c>
    </row>
    <row r="174" spans="1:16" x14ac:dyDescent="0.25">
      <c r="A174" s="2" t="s">
        <v>512</v>
      </c>
      <c r="B174" s="2" t="s">
        <v>256</v>
      </c>
      <c r="C174" s="2">
        <v>1959</v>
      </c>
      <c r="D174" s="2" t="s">
        <v>4792</v>
      </c>
      <c r="E174" s="2" t="s">
        <v>38</v>
      </c>
      <c r="F174" s="2" t="s">
        <v>58</v>
      </c>
      <c r="G174" s="2">
        <v>38072.81</v>
      </c>
      <c r="H174" s="2">
        <v>22971.93</v>
      </c>
      <c r="I174" s="2" t="s">
        <v>63</v>
      </c>
      <c r="J174" s="2" t="s">
        <v>54</v>
      </c>
      <c r="K174" s="2" t="s">
        <v>32</v>
      </c>
      <c r="L174" s="2" t="s">
        <v>23</v>
      </c>
      <c r="M174" s="2">
        <v>1</v>
      </c>
      <c r="N174" s="2" t="s">
        <v>33</v>
      </c>
      <c r="O174" s="2" t="s">
        <v>25</v>
      </c>
      <c r="P174" s="2" t="s">
        <v>49</v>
      </c>
    </row>
    <row r="175" spans="1:16" x14ac:dyDescent="0.25">
      <c r="A175" s="2" t="s">
        <v>515</v>
      </c>
      <c r="B175" s="2" t="s">
        <v>1781</v>
      </c>
      <c r="C175" s="2">
        <v>6813</v>
      </c>
      <c r="D175" s="2" t="s">
        <v>6932</v>
      </c>
      <c r="E175" s="2" t="s">
        <v>18</v>
      </c>
      <c r="F175" s="2" t="s">
        <v>19</v>
      </c>
      <c r="G175" s="2">
        <v>5675.11</v>
      </c>
      <c r="H175" s="2">
        <v>3226.32</v>
      </c>
      <c r="I175" s="2" t="s">
        <v>68</v>
      </c>
      <c r="J175" s="2" t="s">
        <v>41</v>
      </c>
      <c r="K175" s="2" t="s">
        <v>42</v>
      </c>
      <c r="L175" s="2" t="s">
        <v>43</v>
      </c>
      <c r="M175" s="2">
        <v>1</v>
      </c>
      <c r="N175" s="2" t="s">
        <v>24</v>
      </c>
      <c r="O175" s="2" t="s">
        <v>25</v>
      </c>
      <c r="P175" s="2" t="s">
        <v>49</v>
      </c>
    </row>
    <row r="177" spans="1:16" x14ac:dyDescent="0.25">
      <c r="A177" s="2" t="s">
        <v>517</v>
      </c>
      <c r="B177" s="2" t="s">
        <v>1459</v>
      </c>
      <c r="C177" s="2">
        <v>6063</v>
      </c>
      <c r="D177" s="2" t="s">
        <v>6933</v>
      </c>
      <c r="E177" s="2" t="s">
        <v>18</v>
      </c>
      <c r="F177" s="2" t="s">
        <v>47</v>
      </c>
      <c r="G177" s="2">
        <v>10788.07</v>
      </c>
      <c r="H177" s="2">
        <v>5049.37</v>
      </c>
      <c r="I177" s="2" t="s">
        <v>20</v>
      </c>
      <c r="J177" s="2" t="s">
        <v>21</v>
      </c>
      <c r="K177" s="2" t="s">
        <v>32</v>
      </c>
      <c r="L177" s="2" t="s">
        <v>43</v>
      </c>
      <c r="M177" s="2">
        <v>2</v>
      </c>
      <c r="N177" s="2" t="s">
        <v>33</v>
      </c>
      <c r="O177" s="2" t="s">
        <v>25</v>
      </c>
      <c r="P177" s="2" t="s">
        <v>34</v>
      </c>
    </row>
    <row r="178" spans="1:16" x14ac:dyDescent="0.25">
      <c r="A178" s="2" t="s">
        <v>519</v>
      </c>
      <c r="B178" s="2" t="s">
        <v>415</v>
      </c>
      <c r="C178" s="2">
        <v>1359</v>
      </c>
      <c r="D178" s="2" t="s">
        <v>6934</v>
      </c>
      <c r="E178" s="2" t="s">
        <v>6743</v>
      </c>
      <c r="F178" s="2" t="s">
        <v>39</v>
      </c>
      <c r="G178" s="2">
        <v>26885.26</v>
      </c>
      <c r="H178" s="2">
        <v>17030.330000000002</v>
      </c>
      <c r="I178" s="2" t="s">
        <v>6720</v>
      </c>
      <c r="J178" s="2" t="s">
        <v>6700</v>
      </c>
      <c r="K178" s="2" t="s">
        <v>22</v>
      </c>
      <c r="L178" s="2" t="s">
        <v>43</v>
      </c>
      <c r="M178" s="2">
        <v>3</v>
      </c>
      <c r="N178" s="2" t="s">
        <v>69</v>
      </c>
      <c r="O178" s="2" t="s">
        <v>25</v>
      </c>
      <c r="P178" s="2" t="s">
        <v>49</v>
      </c>
    </row>
    <row r="179" spans="1:16" x14ac:dyDescent="0.25">
      <c r="A179" s="2" t="s">
        <v>522</v>
      </c>
      <c r="B179" s="2" t="s">
        <v>345</v>
      </c>
      <c r="C179" s="2">
        <v>6198</v>
      </c>
      <c r="D179" s="2" t="s">
        <v>1951</v>
      </c>
      <c r="E179" s="2" t="s">
        <v>18</v>
      </c>
      <c r="F179" s="2" t="s">
        <v>19</v>
      </c>
      <c r="G179" s="2">
        <v>16504.98</v>
      </c>
      <c r="H179" s="2">
        <v>9282.33</v>
      </c>
      <c r="I179" s="2" t="s">
        <v>63</v>
      </c>
      <c r="J179" s="2" t="s">
        <v>54</v>
      </c>
      <c r="K179" s="2" t="s">
        <v>42</v>
      </c>
      <c r="L179" s="2" t="s">
        <v>23</v>
      </c>
      <c r="M179" s="2">
        <v>5</v>
      </c>
      <c r="N179" s="2" t="s">
        <v>69</v>
      </c>
      <c r="O179" s="2" t="s">
        <v>25</v>
      </c>
      <c r="P179" s="2" t="s">
        <v>49</v>
      </c>
    </row>
    <row r="180" spans="1:16" x14ac:dyDescent="0.25">
      <c r="A180" s="2" t="s">
        <v>524</v>
      </c>
      <c r="B180" s="2" t="s">
        <v>638</v>
      </c>
      <c r="C180" s="2">
        <v>1530</v>
      </c>
      <c r="D180" s="2" t="s">
        <v>6935</v>
      </c>
      <c r="E180" s="2" t="s">
        <v>18</v>
      </c>
      <c r="F180" s="2" t="s">
        <v>58</v>
      </c>
      <c r="G180" s="2">
        <v>45432.57</v>
      </c>
      <c r="H180" s="2">
        <v>28813.68</v>
      </c>
      <c r="I180" s="2" t="s">
        <v>84</v>
      </c>
      <c r="J180" s="2" t="s">
        <v>54</v>
      </c>
      <c r="K180" s="2" t="s">
        <v>32</v>
      </c>
      <c r="L180" s="2" t="s">
        <v>48</v>
      </c>
      <c r="M180" s="2">
        <v>5</v>
      </c>
      <c r="N180" s="2" t="s">
        <v>33</v>
      </c>
      <c r="O180" s="2" t="s">
        <v>25</v>
      </c>
      <c r="P180" s="2" t="s">
        <v>34</v>
      </c>
    </row>
    <row r="181" spans="1:16" x14ac:dyDescent="0.25">
      <c r="A181" s="2" t="s">
        <v>527</v>
      </c>
      <c r="B181" s="2" t="s">
        <v>6936</v>
      </c>
      <c r="C181" s="2">
        <v>6500</v>
      </c>
      <c r="D181" s="2" t="s">
        <v>1969</v>
      </c>
      <c r="E181" s="2" t="s">
        <v>6708</v>
      </c>
      <c r="F181" s="2" t="s">
        <v>58</v>
      </c>
      <c r="G181" s="2">
        <v>12632.46</v>
      </c>
      <c r="H181" s="2">
        <v>6214.37</v>
      </c>
      <c r="I181" s="2" t="s">
        <v>6728</v>
      </c>
      <c r="J181" s="2" t="s">
        <v>6753</v>
      </c>
      <c r="K181" s="2" t="s">
        <v>22</v>
      </c>
      <c r="L181" s="2" t="s">
        <v>88</v>
      </c>
      <c r="M181" s="2">
        <v>3</v>
      </c>
      <c r="N181" s="2" t="s">
        <v>24</v>
      </c>
      <c r="O181" s="2" t="s">
        <v>70</v>
      </c>
      <c r="P181" s="2" t="s">
        <v>26</v>
      </c>
    </row>
    <row r="182" spans="1:16" x14ac:dyDescent="0.25">
      <c r="A182" s="2" t="s">
        <v>529</v>
      </c>
      <c r="B182" s="2" t="s">
        <v>6937</v>
      </c>
      <c r="C182" s="2">
        <v>4695</v>
      </c>
      <c r="D182" s="2" t="s">
        <v>6938</v>
      </c>
      <c r="E182" s="2" t="s">
        <v>6703</v>
      </c>
      <c r="F182" s="2" t="s">
        <v>39</v>
      </c>
      <c r="G182" s="2">
        <v>21892.48</v>
      </c>
      <c r="H182" s="2">
        <v>13350.89</v>
      </c>
      <c r="I182" s="2" t="s">
        <v>120</v>
      </c>
      <c r="J182" s="2" t="s">
        <v>6789</v>
      </c>
      <c r="K182" s="2" t="s">
        <v>22</v>
      </c>
      <c r="L182" s="2" t="s">
        <v>88</v>
      </c>
      <c r="M182" s="2">
        <v>1</v>
      </c>
      <c r="N182" s="2" t="s">
        <v>33</v>
      </c>
      <c r="O182" s="2" t="s">
        <v>70</v>
      </c>
      <c r="P182" s="2" t="s">
        <v>26</v>
      </c>
    </row>
    <row r="183" spans="1:16" x14ac:dyDescent="0.25">
      <c r="A183" s="2" t="s">
        <v>532</v>
      </c>
      <c r="B183" s="2" t="s">
        <v>6057</v>
      </c>
      <c r="C183" s="2">
        <v>8066</v>
      </c>
      <c r="D183" s="2" t="s">
        <v>6547</v>
      </c>
      <c r="E183" s="2" t="s">
        <v>18</v>
      </c>
      <c r="F183" s="2" t="s">
        <v>39</v>
      </c>
      <c r="G183" s="2">
        <v>25351.39</v>
      </c>
      <c r="H183" s="2">
        <v>13609.64</v>
      </c>
      <c r="I183" s="2" t="s">
        <v>68</v>
      </c>
      <c r="J183" s="2" t="s">
        <v>41</v>
      </c>
      <c r="K183" s="2" t="s">
        <v>22</v>
      </c>
      <c r="L183" s="2" t="s">
        <v>55</v>
      </c>
      <c r="M183" s="2">
        <v>3</v>
      </c>
      <c r="N183" s="2" t="s">
        <v>33</v>
      </c>
      <c r="O183" s="2" t="s">
        <v>25</v>
      </c>
      <c r="P183" s="2" t="s">
        <v>49</v>
      </c>
    </row>
    <row r="184" spans="1:16" x14ac:dyDescent="0.25">
      <c r="A184" s="2" t="s">
        <v>535</v>
      </c>
      <c r="B184" s="2" t="s">
        <v>6710</v>
      </c>
      <c r="C184" s="2">
        <v>1813</v>
      </c>
      <c r="D184" s="2" t="s">
        <v>6939</v>
      </c>
      <c r="E184" s="2" t="s">
        <v>38</v>
      </c>
      <c r="F184" s="2" t="s">
        <v>39</v>
      </c>
      <c r="G184" s="2">
        <v>19401.3</v>
      </c>
      <c r="H184" s="2">
        <v>11989.44</v>
      </c>
      <c r="I184" s="2" t="s">
        <v>40</v>
      </c>
      <c r="J184" s="2" t="s">
        <v>41</v>
      </c>
      <c r="K184" s="2" t="s">
        <v>32</v>
      </c>
      <c r="L184" s="2" t="s">
        <v>55</v>
      </c>
      <c r="M184" s="2">
        <v>3</v>
      </c>
      <c r="N184" s="2" t="s">
        <v>33</v>
      </c>
      <c r="O184" s="2" t="s">
        <v>25</v>
      </c>
      <c r="P184" s="2" t="s">
        <v>49</v>
      </c>
    </row>
    <row r="186" spans="1:16" x14ac:dyDescent="0.25">
      <c r="A186" s="2" t="s">
        <v>538</v>
      </c>
      <c r="B186" s="2" t="s">
        <v>6940</v>
      </c>
      <c r="C186" s="2">
        <v>8758</v>
      </c>
      <c r="D186" s="2" t="s">
        <v>4140</v>
      </c>
      <c r="E186" s="2" t="s">
        <v>6743</v>
      </c>
      <c r="F186" s="2" t="s">
        <v>58</v>
      </c>
      <c r="G186" s="2">
        <v>16497.71</v>
      </c>
      <c r="H186" s="2">
        <v>8735.43</v>
      </c>
      <c r="I186" s="2" t="s">
        <v>6918</v>
      </c>
      <c r="J186" s="2" t="s">
        <v>6724</v>
      </c>
      <c r="K186" s="2" t="s">
        <v>80</v>
      </c>
      <c r="L186" s="2" t="s">
        <v>48</v>
      </c>
      <c r="M186" s="2">
        <v>3</v>
      </c>
      <c r="N186" s="2" t="s">
        <v>33</v>
      </c>
      <c r="O186" s="2" t="s">
        <v>25</v>
      </c>
      <c r="P186" s="2" t="s">
        <v>26</v>
      </c>
    </row>
    <row r="187" spans="1:16" x14ac:dyDescent="0.25">
      <c r="A187" s="2" t="s">
        <v>540</v>
      </c>
      <c r="B187" s="2" t="s">
        <v>4806</v>
      </c>
      <c r="C187" s="2">
        <v>2009</v>
      </c>
      <c r="D187" s="2" t="s">
        <v>6941</v>
      </c>
      <c r="E187" s="2" t="s">
        <v>6694</v>
      </c>
      <c r="F187" s="2" t="s">
        <v>30</v>
      </c>
      <c r="G187" s="2">
        <v>68251.429999999993</v>
      </c>
      <c r="H187" s="2">
        <v>39824.28</v>
      </c>
      <c r="I187" s="2" t="s">
        <v>6759</v>
      </c>
      <c r="J187" s="2" t="s">
        <v>6691</v>
      </c>
      <c r="K187" s="2" t="s">
        <v>22</v>
      </c>
      <c r="L187" s="2" t="s">
        <v>48</v>
      </c>
      <c r="M187" s="2">
        <v>3</v>
      </c>
      <c r="N187" s="2" t="s">
        <v>69</v>
      </c>
      <c r="O187" s="2" t="s">
        <v>25</v>
      </c>
      <c r="P187" s="2" t="s">
        <v>49</v>
      </c>
    </row>
    <row r="188" spans="1:16" x14ac:dyDescent="0.25">
      <c r="A188" s="2" t="s">
        <v>543</v>
      </c>
      <c r="B188" s="2" t="s">
        <v>1563</v>
      </c>
      <c r="C188" s="2">
        <v>7468</v>
      </c>
      <c r="D188" s="2" t="s">
        <v>6942</v>
      </c>
      <c r="E188" s="2" t="s">
        <v>18</v>
      </c>
      <c r="F188" s="2" t="s">
        <v>30</v>
      </c>
      <c r="G188" s="2">
        <v>41355.4</v>
      </c>
      <c r="H188" s="2">
        <v>26057.67</v>
      </c>
      <c r="I188" s="2" t="s">
        <v>120</v>
      </c>
      <c r="J188" s="2" t="s">
        <v>21</v>
      </c>
      <c r="K188" s="2" t="s">
        <v>32</v>
      </c>
      <c r="L188" s="2" t="s">
        <v>55</v>
      </c>
      <c r="M188" s="2">
        <v>4</v>
      </c>
      <c r="N188" s="2" t="s">
        <v>33</v>
      </c>
      <c r="O188" s="2" t="s">
        <v>70</v>
      </c>
      <c r="P188" s="2" t="s">
        <v>26</v>
      </c>
    </row>
    <row r="189" spans="1:16" x14ac:dyDescent="0.25">
      <c r="A189" s="2" t="s">
        <v>546</v>
      </c>
      <c r="B189" s="2" t="s">
        <v>402</v>
      </c>
      <c r="C189" s="2">
        <v>3422</v>
      </c>
      <c r="D189" s="2" t="s">
        <v>6796</v>
      </c>
      <c r="E189" s="2" t="s">
        <v>38</v>
      </c>
      <c r="F189" s="2" t="s">
        <v>58</v>
      </c>
      <c r="G189" s="2">
        <v>27366.41</v>
      </c>
      <c r="H189" s="2">
        <v>16294.52</v>
      </c>
      <c r="I189" s="2" t="s">
        <v>53</v>
      </c>
      <c r="J189" s="2" t="s">
        <v>54</v>
      </c>
      <c r="K189" s="2" t="s">
        <v>22</v>
      </c>
      <c r="L189" s="2" t="s">
        <v>55</v>
      </c>
      <c r="M189" s="2">
        <v>4</v>
      </c>
      <c r="N189" s="2" t="s">
        <v>24</v>
      </c>
      <c r="O189" s="2" t="s">
        <v>25</v>
      </c>
      <c r="P189" s="2" t="s">
        <v>34</v>
      </c>
    </row>
    <row r="190" spans="1:16" x14ac:dyDescent="0.25">
      <c r="A190" s="2" t="s">
        <v>549</v>
      </c>
      <c r="B190" s="2" t="s">
        <v>3096</v>
      </c>
      <c r="C190" s="2">
        <v>2843</v>
      </c>
      <c r="D190" s="2" t="s">
        <v>2313</v>
      </c>
      <c r="E190" s="2" t="s">
        <v>38</v>
      </c>
      <c r="F190" s="2" t="s">
        <v>19</v>
      </c>
      <c r="G190" s="2">
        <v>4890.21</v>
      </c>
      <c r="H190" s="2">
        <v>2754.75</v>
      </c>
      <c r="I190" s="2" t="s">
        <v>68</v>
      </c>
      <c r="J190" s="2" t="s">
        <v>41</v>
      </c>
      <c r="K190" s="2" t="s">
        <v>22</v>
      </c>
      <c r="L190" s="2" t="s">
        <v>55</v>
      </c>
      <c r="M190" s="2">
        <v>5</v>
      </c>
      <c r="N190" s="2" t="s">
        <v>24</v>
      </c>
      <c r="O190" s="2" t="s">
        <v>70</v>
      </c>
      <c r="P190" s="2" t="s">
        <v>49</v>
      </c>
    </row>
    <row r="191" spans="1:16" x14ac:dyDescent="0.25">
      <c r="A191" s="2" t="s">
        <v>552</v>
      </c>
      <c r="B191" s="2" t="s">
        <v>6943</v>
      </c>
      <c r="C191" s="2">
        <v>1613</v>
      </c>
      <c r="D191" s="2" t="s">
        <v>6944</v>
      </c>
      <c r="E191" s="2" t="s">
        <v>6743</v>
      </c>
      <c r="F191" s="2" t="s">
        <v>39</v>
      </c>
      <c r="G191" s="2" t="s">
        <v>6945</v>
      </c>
      <c r="H191" s="2">
        <v>6643.65</v>
      </c>
      <c r="I191" s="2" t="s">
        <v>6681</v>
      </c>
      <c r="J191" s="2" t="s">
        <v>6682</v>
      </c>
      <c r="K191" s="2" t="s">
        <v>80</v>
      </c>
      <c r="L191" s="2" t="s">
        <v>55</v>
      </c>
      <c r="M191" s="2">
        <v>4</v>
      </c>
      <c r="N191" s="2" t="s">
        <v>69</v>
      </c>
      <c r="O191" s="2" t="s">
        <v>25</v>
      </c>
      <c r="P191" s="2" t="s">
        <v>26</v>
      </c>
    </row>
    <row r="192" spans="1:16" x14ac:dyDescent="0.25">
      <c r="A192" s="2" t="s">
        <v>555</v>
      </c>
      <c r="B192" s="2" t="s">
        <v>2426</v>
      </c>
      <c r="C192" s="2">
        <v>5923</v>
      </c>
      <c r="D192" s="2" t="s">
        <v>652</v>
      </c>
      <c r="E192" s="2" t="s">
        <v>38</v>
      </c>
      <c r="F192" s="2" t="s">
        <v>47</v>
      </c>
      <c r="G192" s="2">
        <v>16802.03</v>
      </c>
      <c r="H192" s="2">
        <v>8639.16</v>
      </c>
      <c r="I192" s="2" t="s">
        <v>53</v>
      </c>
      <c r="J192" s="2" t="s">
        <v>54</v>
      </c>
      <c r="K192" s="2" t="s">
        <v>80</v>
      </c>
      <c r="L192" s="2" t="s">
        <v>43</v>
      </c>
      <c r="M192" s="2">
        <v>1</v>
      </c>
      <c r="N192" s="2" t="s">
        <v>33</v>
      </c>
      <c r="O192" s="2" t="s">
        <v>25</v>
      </c>
      <c r="P192" s="2" t="s">
        <v>34</v>
      </c>
    </row>
    <row r="193" spans="1:16" x14ac:dyDescent="0.25">
      <c r="A193" s="2" t="s">
        <v>557</v>
      </c>
      <c r="B193" s="2" t="s">
        <v>6946</v>
      </c>
      <c r="C193" s="2">
        <v>6097</v>
      </c>
      <c r="D193" s="2" t="s">
        <v>6947</v>
      </c>
      <c r="E193" s="2" t="s">
        <v>6698</v>
      </c>
      <c r="F193" s="2" t="s">
        <v>47</v>
      </c>
      <c r="G193" s="2">
        <v>4824.97</v>
      </c>
      <c r="H193" s="2">
        <v>2992.73</v>
      </c>
      <c r="I193" s="2" t="s">
        <v>6726</v>
      </c>
      <c r="J193" s="2" t="s">
        <v>6696</v>
      </c>
      <c r="K193" s="2" t="s">
        <v>22</v>
      </c>
      <c r="L193" s="2" t="s">
        <v>23</v>
      </c>
      <c r="M193" s="2">
        <v>2</v>
      </c>
      <c r="N193" s="2" t="s">
        <v>69</v>
      </c>
      <c r="O193" s="2" t="s">
        <v>25</v>
      </c>
      <c r="P193" s="2" t="s">
        <v>26</v>
      </c>
    </row>
    <row r="194" spans="1:16" x14ac:dyDescent="0.25">
      <c r="A194" s="2" t="s">
        <v>559</v>
      </c>
      <c r="B194" s="2" t="s">
        <v>536</v>
      </c>
      <c r="C194" s="2">
        <v>1500</v>
      </c>
      <c r="D194" s="2" t="s">
        <v>405</v>
      </c>
      <c r="E194" s="2" t="s">
        <v>18</v>
      </c>
      <c r="F194" s="2" t="s">
        <v>30</v>
      </c>
      <c r="G194" s="2">
        <v>54082.3</v>
      </c>
      <c r="H194" s="2">
        <v>30762.48</v>
      </c>
      <c r="I194" s="2" t="s">
        <v>53</v>
      </c>
      <c r="J194" s="2" t="s">
        <v>54</v>
      </c>
      <c r="K194" s="2" t="s">
        <v>32</v>
      </c>
      <c r="L194" s="2" t="s">
        <v>64</v>
      </c>
      <c r="M194" s="2">
        <v>5</v>
      </c>
      <c r="N194" s="2" t="s">
        <v>24</v>
      </c>
      <c r="O194" s="2" t="s">
        <v>25</v>
      </c>
      <c r="P194" s="2" t="s">
        <v>34</v>
      </c>
    </row>
    <row r="195" spans="1:16" x14ac:dyDescent="0.25">
      <c r="A195" s="2" t="s">
        <v>560</v>
      </c>
      <c r="B195" s="2" t="s">
        <v>6948</v>
      </c>
      <c r="C195" s="2">
        <v>4626</v>
      </c>
      <c r="D195" s="2" t="s">
        <v>6949</v>
      </c>
      <c r="E195" s="2" t="s">
        <v>6703</v>
      </c>
      <c r="F195" s="2" t="s">
        <v>58</v>
      </c>
      <c r="G195" s="2">
        <v>24806.04</v>
      </c>
      <c r="H195" s="2">
        <v>12497.7</v>
      </c>
      <c r="I195" s="2" t="s">
        <v>120</v>
      </c>
      <c r="J195" s="2" t="s">
        <v>6802</v>
      </c>
      <c r="K195" s="2" t="s">
        <v>80</v>
      </c>
      <c r="L195" s="2" t="s">
        <v>43</v>
      </c>
      <c r="M195" s="2">
        <v>1</v>
      </c>
      <c r="N195" s="2" t="s">
        <v>69</v>
      </c>
      <c r="O195" s="2" t="s">
        <v>70</v>
      </c>
      <c r="P195" s="2" t="s">
        <v>49</v>
      </c>
    </row>
    <row r="196" spans="1:16" x14ac:dyDescent="0.25">
      <c r="A196" s="2" t="s">
        <v>563</v>
      </c>
      <c r="B196" s="2" t="s">
        <v>6950</v>
      </c>
      <c r="C196" s="2">
        <v>7168</v>
      </c>
      <c r="D196" s="2" t="s">
        <v>6951</v>
      </c>
      <c r="E196" s="2" t="s">
        <v>6680</v>
      </c>
      <c r="F196" s="2" t="s">
        <v>19</v>
      </c>
      <c r="G196" s="2">
        <v>15233.21</v>
      </c>
      <c r="H196" s="2">
        <v>7519.75</v>
      </c>
      <c r="I196" s="2" t="s">
        <v>6812</v>
      </c>
      <c r="J196" s="2" t="s">
        <v>6700</v>
      </c>
      <c r="K196" s="2" t="s">
        <v>42</v>
      </c>
      <c r="L196" s="2" t="s">
        <v>48</v>
      </c>
      <c r="M196" s="2">
        <v>5</v>
      </c>
      <c r="N196" s="2" t="s">
        <v>69</v>
      </c>
      <c r="O196" s="2" t="s">
        <v>25</v>
      </c>
      <c r="P196" s="2" t="s">
        <v>26</v>
      </c>
    </row>
    <row r="197" spans="1:16" x14ac:dyDescent="0.25">
      <c r="A197" s="2" t="s">
        <v>565</v>
      </c>
      <c r="B197" s="2" t="s">
        <v>51</v>
      </c>
      <c r="C197" s="2">
        <v>5536</v>
      </c>
      <c r="D197" s="2" t="s">
        <v>6952</v>
      </c>
      <c r="E197" s="2" t="s">
        <v>38</v>
      </c>
      <c r="F197" s="2" t="s">
        <v>58</v>
      </c>
      <c r="G197" s="2">
        <v>40345.53</v>
      </c>
      <c r="H197" s="2">
        <v>25838.79</v>
      </c>
      <c r="I197" s="2" t="s">
        <v>120</v>
      </c>
      <c r="J197" s="2" t="s">
        <v>21</v>
      </c>
      <c r="K197" s="2" t="s">
        <v>42</v>
      </c>
      <c r="L197" s="2" t="s">
        <v>23</v>
      </c>
      <c r="M197" s="2">
        <v>2</v>
      </c>
      <c r="N197" s="2" t="s">
        <v>24</v>
      </c>
      <c r="O197" s="2" t="s">
        <v>25</v>
      </c>
      <c r="P197" s="2" t="s">
        <v>26</v>
      </c>
    </row>
    <row r="198" spans="1:16" x14ac:dyDescent="0.25">
      <c r="A198" s="2" t="s">
        <v>568</v>
      </c>
      <c r="B198" s="2" t="s">
        <v>6953</v>
      </c>
      <c r="C198" s="2">
        <v>9148</v>
      </c>
      <c r="D198" s="2" t="s">
        <v>6954</v>
      </c>
      <c r="E198" s="2" t="s">
        <v>6719</v>
      </c>
      <c r="F198" s="2" t="s">
        <v>39</v>
      </c>
      <c r="G198" s="2">
        <v>11670.8</v>
      </c>
      <c r="H198" s="2">
        <v>6228.86</v>
      </c>
      <c r="I198" s="2" t="s">
        <v>6712</v>
      </c>
      <c r="J198" s="2" t="s">
        <v>6713</v>
      </c>
      <c r="K198" s="2" t="s">
        <v>80</v>
      </c>
      <c r="L198" s="2" t="s">
        <v>48</v>
      </c>
      <c r="M198" s="2">
        <v>1</v>
      </c>
      <c r="N198" s="2" t="s">
        <v>24</v>
      </c>
      <c r="O198" s="2" t="s">
        <v>70</v>
      </c>
      <c r="P198" s="2" t="s">
        <v>26</v>
      </c>
    </row>
    <row r="199" spans="1:16" x14ac:dyDescent="0.25">
      <c r="A199" s="2" t="s">
        <v>571</v>
      </c>
      <c r="B199" s="2" t="s">
        <v>3632</v>
      </c>
      <c r="C199" s="2">
        <v>5813</v>
      </c>
      <c r="D199" s="2" t="s">
        <v>6955</v>
      </c>
      <c r="E199" s="2" t="s">
        <v>18</v>
      </c>
      <c r="F199" s="2" t="s">
        <v>47</v>
      </c>
      <c r="G199" s="2">
        <v>12577.14</v>
      </c>
      <c r="H199" s="2">
        <v>7523.44</v>
      </c>
      <c r="I199" s="2" t="s">
        <v>53</v>
      </c>
      <c r="J199" s="2" t="s">
        <v>54</v>
      </c>
      <c r="K199" s="2" t="s">
        <v>32</v>
      </c>
      <c r="L199" s="2" t="s">
        <v>48</v>
      </c>
      <c r="M199" s="2">
        <v>3</v>
      </c>
      <c r="N199" s="2" t="s">
        <v>24</v>
      </c>
      <c r="O199" s="2" t="s">
        <v>25</v>
      </c>
      <c r="P199" s="2" t="s">
        <v>26</v>
      </c>
    </row>
    <row r="200" spans="1:16" x14ac:dyDescent="0.25">
      <c r="A200" s="2" t="s">
        <v>574</v>
      </c>
      <c r="B200" s="2" t="s">
        <v>3470</v>
      </c>
      <c r="C200" s="2">
        <v>8709</v>
      </c>
      <c r="D200" s="2" t="s">
        <v>6064</v>
      </c>
      <c r="E200" s="2" t="s">
        <v>18</v>
      </c>
      <c r="F200" s="2" t="s">
        <v>39</v>
      </c>
      <c r="G200" s="2">
        <v>49115.55</v>
      </c>
      <c r="H200" s="2">
        <v>27834.52</v>
      </c>
      <c r="I200" s="2" t="s">
        <v>53</v>
      </c>
      <c r="J200" s="2" t="s">
        <v>54</v>
      </c>
      <c r="K200" s="2" t="s">
        <v>22</v>
      </c>
      <c r="L200" s="2" t="s">
        <v>64</v>
      </c>
      <c r="M200" s="2">
        <v>2</v>
      </c>
      <c r="N200" s="2" t="s">
        <v>24</v>
      </c>
      <c r="O200" s="2" t="s">
        <v>70</v>
      </c>
      <c r="P200" s="2" t="s">
        <v>34</v>
      </c>
    </row>
    <row r="201" spans="1:16" x14ac:dyDescent="0.25">
      <c r="A201" s="2" t="s">
        <v>577</v>
      </c>
      <c r="B201" s="2" t="s">
        <v>6956</v>
      </c>
      <c r="C201" s="2">
        <v>8496</v>
      </c>
      <c r="D201" s="2" t="s">
        <v>6957</v>
      </c>
      <c r="E201" s="2" t="s">
        <v>6703</v>
      </c>
      <c r="F201" s="2" t="s">
        <v>58</v>
      </c>
      <c r="G201" s="2">
        <v>20100.310000000001</v>
      </c>
      <c r="H201" s="2">
        <v>11922.17</v>
      </c>
      <c r="I201" s="2" t="s">
        <v>6808</v>
      </c>
      <c r="J201" s="2" t="s">
        <v>6691</v>
      </c>
      <c r="K201" s="2" t="s">
        <v>22</v>
      </c>
      <c r="L201" s="2" t="s">
        <v>64</v>
      </c>
      <c r="M201" s="2">
        <v>3</v>
      </c>
      <c r="N201" s="2" t="s">
        <v>24</v>
      </c>
      <c r="O201" s="2" t="s">
        <v>25</v>
      </c>
      <c r="P201" s="2" t="s">
        <v>49</v>
      </c>
    </row>
    <row r="202" spans="1:16" x14ac:dyDescent="0.25">
      <c r="A202" s="2" t="s">
        <v>580</v>
      </c>
      <c r="B202" s="2" t="s">
        <v>1614</v>
      </c>
      <c r="C202" s="2">
        <v>8105</v>
      </c>
      <c r="D202" s="2" t="s">
        <v>6958</v>
      </c>
      <c r="E202" s="2" t="s">
        <v>38</v>
      </c>
      <c r="F202" s="2" t="s">
        <v>19</v>
      </c>
      <c r="G202" s="2">
        <v>11686.51</v>
      </c>
      <c r="H202" s="2">
        <v>7515.19</v>
      </c>
      <c r="I202" s="2" t="s">
        <v>120</v>
      </c>
      <c r="J202" s="2" t="s">
        <v>21</v>
      </c>
      <c r="K202" s="2" t="s">
        <v>80</v>
      </c>
      <c r="L202" s="2" t="s">
        <v>55</v>
      </c>
      <c r="M202" s="2">
        <v>1</v>
      </c>
      <c r="N202" s="2" t="s">
        <v>24</v>
      </c>
      <c r="O202" s="2" t="s">
        <v>70</v>
      </c>
      <c r="P202" s="2" t="s">
        <v>26</v>
      </c>
    </row>
    <row r="203" spans="1:16" x14ac:dyDescent="0.25">
      <c r="A203" s="2" t="s">
        <v>583</v>
      </c>
      <c r="B203" s="2" t="s">
        <v>1025</v>
      </c>
      <c r="C203" s="2">
        <v>4707</v>
      </c>
      <c r="D203" s="2" t="s">
        <v>2214</v>
      </c>
      <c r="E203" s="2" t="s">
        <v>6680</v>
      </c>
      <c r="F203" s="2" t="s">
        <v>58</v>
      </c>
      <c r="G203" s="2">
        <v>22479.53</v>
      </c>
      <c r="H203" s="2">
        <v>10577.56</v>
      </c>
      <c r="I203" s="2" t="s">
        <v>6695</v>
      </c>
      <c r="J203" s="2" t="s">
        <v>6724</v>
      </c>
      <c r="K203" s="2" t="s">
        <v>42</v>
      </c>
      <c r="L203" s="2" t="s">
        <v>23</v>
      </c>
      <c r="M203" s="2">
        <v>1</v>
      </c>
      <c r="N203" s="2" t="s">
        <v>69</v>
      </c>
      <c r="O203" s="2" t="s">
        <v>25</v>
      </c>
      <c r="P203" s="2" t="s">
        <v>34</v>
      </c>
    </row>
    <row r="204" spans="1:16" x14ac:dyDescent="0.25">
      <c r="A204" s="2" t="s">
        <v>585</v>
      </c>
      <c r="B204" s="2" t="s">
        <v>5241</v>
      </c>
      <c r="C204" s="2">
        <v>3701</v>
      </c>
      <c r="D204" s="2" t="s">
        <v>6959</v>
      </c>
      <c r="E204" s="2" t="s">
        <v>38</v>
      </c>
      <c r="F204" s="2" t="s">
        <v>39</v>
      </c>
      <c r="G204" s="2">
        <v>7154.17</v>
      </c>
      <c r="H204" s="2">
        <v>3540.34</v>
      </c>
      <c r="I204" s="2" t="s">
        <v>68</v>
      </c>
      <c r="J204" s="2" t="s">
        <v>41</v>
      </c>
      <c r="K204" s="2" t="s">
        <v>32</v>
      </c>
      <c r="L204" s="2" t="s">
        <v>23</v>
      </c>
      <c r="M204" s="2">
        <v>1</v>
      </c>
      <c r="N204" s="2" t="s">
        <v>24</v>
      </c>
      <c r="O204" s="2" t="s">
        <v>25</v>
      </c>
      <c r="P204" s="2" t="s">
        <v>34</v>
      </c>
    </row>
    <row r="205" spans="1:16" x14ac:dyDescent="0.25">
      <c r="A205" s="2" t="s">
        <v>588</v>
      </c>
      <c r="B205" s="2" t="s">
        <v>6960</v>
      </c>
      <c r="C205" s="2">
        <v>1796</v>
      </c>
      <c r="D205" s="2" t="s">
        <v>6961</v>
      </c>
      <c r="E205" s="2" t="s">
        <v>6703</v>
      </c>
      <c r="F205" s="2" t="s">
        <v>47</v>
      </c>
      <c r="G205" s="2">
        <v>10774.62</v>
      </c>
      <c r="H205" s="2">
        <v>6256.97</v>
      </c>
      <c r="I205" s="2" t="s">
        <v>120</v>
      </c>
      <c r="J205" s="2" t="s">
        <v>6696</v>
      </c>
      <c r="K205" s="2" t="s">
        <v>22</v>
      </c>
      <c r="L205" s="2" t="s">
        <v>55</v>
      </c>
      <c r="M205" s="2">
        <v>1</v>
      </c>
      <c r="N205" s="2" t="s">
        <v>33</v>
      </c>
      <c r="O205" s="2" t="s">
        <v>25</v>
      </c>
      <c r="P205" s="2" t="s">
        <v>49</v>
      </c>
    </row>
    <row r="206" spans="1:16" x14ac:dyDescent="0.25">
      <c r="A206" s="2" t="s">
        <v>590</v>
      </c>
      <c r="B206" s="2" t="s">
        <v>3899</v>
      </c>
      <c r="C206" s="2">
        <v>7862</v>
      </c>
      <c r="D206" s="2" t="s">
        <v>6962</v>
      </c>
      <c r="E206" s="2" t="s">
        <v>18</v>
      </c>
      <c r="F206" s="2" t="s">
        <v>19</v>
      </c>
      <c r="G206" s="2">
        <v>13101.58</v>
      </c>
      <c r="H206" s="2">
        <v>7514.27</v>
      </c>
      <c r="I206" s="2" t="s">
        <v>63</v>
      </c>
      <c r="J206" s="2" t="s">
        <v>54</v>
      </c>
      <c r="K206" s="2" t="s">
        <v>42</v>
      </c>
      <c r="L206" s="2" t="s">
        <v>55</v>
      </c>
      <c r="M206" s="2">
        <v>1</v>
      </c>
      <c r="N206" s="2" t="s">
        <v>24</v>
      </c>
      <c r="O206" s="2" t="s">
        <v>70</v>
      </c>
      <c r="P206" s="2" t="s">
        <v>34</v>
      </c>
    </row>
    <row r="207" spans="1:16" x14ac:dyDescent="0.25">
      <c r="A207" s="2" t="s">
        <v>593</v>
      </c>
      <c r="B207" s="2" t="s">
        <v>2693</v>
      </c>
      <c r="C207" s="2">
        <v>9132</v>
      </c>
      <c r="D207" s="2" t="s">
        <v>6963</v>
      </c>
      <c r="E207" s="2" t="s">
        <v>18</v>
      </c>
      <c r="F207" s="2" t="s">
        <v>19</v>
      </c>
      <c r="G207" s="2">
        <v>10109.219999999999</v>
      </c>
      <c r="H207" s="2">
        <v>5520.98</v>
      </c>
      <c r="I207" s="2" t="s">
        <v>59</v>
      </c>
      <c r="J207" s="2" t="s">
        <v>41</v>
      </c>
      <c r="K207" s="2" t="s">
        <v>32</v>
      </c>
      <c r="L207" s="2" t="s">
        <v>55</v>
      </c>
      <c r="M207" s="2">
        <v>1</v>
      </c>
      <c r="N207" s="2" t="s">
        <v>24</v>
      </c>
      <c r="O207" s="2" t="s">
        <v>70</v>
      </c>
      <c r="P207" s="2" t="s">
        <v>49</v>
      </c>
    </row>
    <row r="208" spans="1:16" x14ac:dyDescent="0.25">
      <c r="A208" s="2" t="s">
        <v>596</v>
      </c>
      <c r="B208" s="2" t="s">
        <v>6964</v>
      </c>
      <c r="C208" s="2">
        <v>4787</v>
      </c>
      <c r="D208" s="2" t="s">
        <v>6965</v>
      </c>
      <c r="E208" s="2" t="s">
        <v>6698</v>
      </c>
      <c r="F208" s="2" t="s">
        <v>19</v>
      </c>
      <c r="G208" s="2">
        <v>16052.09</v>
      </c>
      <c r="H208" s="2">
        <v>8173.8</v>
      </c>
      <c r="I208" s="2" t="s">
        <v>6690</v>
      </c>
      <c r="J208" s="2" t="s">
        <v>6686</v>
      </c>
      <c r="K208" s="2" t="s">
        <v>80</v>
      </c>
      <c r="L208" s="2" t="s">
        <v>55</v>
      </c>
      <c r="M208" s="2">
        <v>1</v>
      </c>
      <c r="N208" s="2" t="s">
        <v>69</v>
      </c>
      <c r="O208" s="2" t="s">
        <v>70</v>
      </c>
      <c r="P208" s="2" t="s">
        <v>34</v>
      </c>
    </row>
    <row r="209" spans="1:16" x14ac:dyDescent="0.25">
      <c r="A209" s="2" t="s">
        <v>599</v>
      </c>
      <c r="B209" s="2" t="s">
        <v>6966</v>
      </c>
      <c r="C209" s="2">
        <v>6384</v>
      </c>
      <c r="D209" s="2" t="s">
        <v>6967</v>
      </c>
      <c r="E209" s="2" t="s">
        <v>6708</v>
      </c>
      <c r="F209" s="2" t="s">
        <v>58</v>
      </c>
      <c r="G209" s="2">
        <v>41919.47</v>
      </c>
      <c r="H209" s="2">
        <v>26871.13</v>
      </c>
      <c r="I209" s="2" t="s">
        <v>6720</v>
      </c>
      <c r="J209" s="2" t="s">
        <v>6753</v>
      </c>
      <c r="K209" s="2" t="s">
        <v>42</v>
      </c>
      <c r="L209" s="2" t="s">
        <v>48</v>
      </c>
      <c r="M209" s="2">
        <v>1</v>
      </c>
      <c r="N209" s="2" t="s">
        <v>33</v>
      </c>
      <c r="O209" s="2" t="s">
        <v>25</v>
      </c>
      <c r="P209" s="2" t="s">
        <v>26</v>
      </c>
    </row>
    <row r="210" spans="1:16" x14ac:dyDescent="0.25">
      <c r="A210" s="2" t="s">
        <v>602</v>
      </c>
      <c r="B210" s="2" t="s">
        <v>6968</v>
      </c>
      <c r="C210" s="2">
        <v>3171</v>
      </c>
      <c r="D210" s="2" t="s">
        <v>6969</v>
      </c>
      <c r="E210" s="2" t="s">
        <v>6694</v>
      </c>
      <c r="F210" s="2" t="s">
        <v>19</v>
      </c>
      <c r="G210" s="2">
        <v>20392.669999999998</v>
      </c>
      <c r="H210" s="2">
        <v>12620.41</v>
      </c>
      <c r="I210" s="2" t="s">
        <v>120</v>
      </c>
      <c r="J210" s="2" t="s">
        <v>6795</v>
      </c>
      <c r="K210" s="2" t="s">
        <v>22</v>
      </c>
      <c r="L210" s="2" t="s">
        <v>64</v>
      </c>
      <c r="M210" s="2">
        <v>5</v>
      </c>
      <c r="N210" s="2" t="s">
        <v>24</v>
      </c>
      <c r="O210" s="2" t="s">
        <v>25</v>
      </c>
      <c r="P210" s="2" t="s">
        <v>34</v>
      </c>
    </row>
    <row r="211" spans="1:16" x14ac:dyDescent="0.25">
      <c r="A211" s="2" t="s">
        <v>604</v>
      </c>
      <c r="B211" s="2" t="s">
        <v>6970</v>
      </c>
      <c r="C211" s="2">
        <v>7738</v>
      </c>
      <c r="D211" s="2" t="s">
        <v>6971</v>
      </c>
      <c r="E211" s="2" t="s">
        <v>6680</v>
      </c>
      <c r="F211" s="2" t="s">
        <v>47</v>
      </c>
      <c r="G211" s="2">
        <v>1960.09</v>
      </c>
      <c r="H211" s="2">
        <v>984.6</v>
      </c>
      <c r="I211" s="2" t="s">
        <v>40</v>
      </c>
      <c r="J211" s="2" t="s">
        <v>6732</v>
      </c>
      <c r="K211" s="2" t="s">
        <v>42</v>
      </c>
      <c r="L211" s="2" t="s">
        <v>55</v>
      </c>
      <c r="M211" s="2">
        <v>5</v>
      </c>
      <c r="N211" s="2" t="s">
        <v>24</v>
      </c>
      <c r="O211" s="2" t="s">
        <v>25</v>
      </c>
      <c r="P211" s="2" t="s">
        <v>49</v>
      </c>
    </row>
    <row r="212" spans="1:16" x14ac:dyDescent="0.25">
      <c r="A212" s="2" t="s">
        <v>607</v>
      </c>
      <c r="B212" s="2" t="s">
        <v>6972</v>
      </c>
      <c r="C212" s="2">
        <v>3435</v>
      </c>
      <c r="D212" s="2" t="s">
        <v>5387</v>
      </c>
      <c r="E212" s="2" t="s">
        <v>18</v>
      </c>
      <c r="F212" s="2" t="s">
        <v>30</v>
      </c>
      <c r="G212" s="2">
        <v>14777.59</v>
      </c>
      <c r="H212" s="2">
        <v>9411.4699999999993</v>
      </c>
      <c r="I212" s="2" t="s">
        <v>6910</v>
      </c>
      <c r="J212" s="2" t="s">
        <v>6802</v>
      </c>
      <c r="K212" s="2" t="s">
        <v>80</v>
      </c>
      <c r="L212" s="2" t="s">
        <v>64</v>
      </c>
      <c r="M212" s="2">
        <v>2</v>
      </c>
      <c r="N212" s="2" t="s">
        <v>33</v>
      </c>
      <c r="O212" s="2" t="s">
        <v>25</v>
      </c>
      <c r="P212" s="2" t="s">
        <v>26</v>
      </c>
    </row>
    <row r="213" spans="1:16" x14ac:dyDescent="0.25">
      <c r="A213" s="2" t="s">
        <v>610</v>
      </c>
      <c r="B213" s="2" t="s">
        <v>1165</v>
      </c>
      <c r="C213" s="2">
        <v>8341</v>
      </c>
      <c r="D213" s="2" t="s">
        <v>6973</v>
      </c>
      <c r="E213" s="2" t="s">
        <v>18</v>
      </c>
      <c r="F213" s="2" t="s">
        <v>39</v>
      </c>
      <c r="G213" s="2">
        <v>29977.33</v>
      </c>
      <c r="H213" s="2">
        <v>16170.18</v>
      </c>
      <c r="I213" s="2" t="s">
        <v>120</v>
      </c>
      <c r="J213" s="2" t="s">
        <v>21</v>
      </c>
      <c r="K213" s="2" t="s">
        <v>22</v>
      </c>
      <c r="L213" s="2" t="s">
        <v>64</v>
      </c>
      <c r="M213" s="2">
        <v>1</v>
      </c>
      <c r="N213" s="2" t="s">
        <v>33</v>
      </c>
      <c r="O213" s="2" t="s">
        <v>25</v>
      </c>
      <c r="P213" s="2" t="s">
        <v>49</v>
      </c>
    </row>
    <row r="214" spans="1:16" x14ac:dyDescent="0.25">
      <c r="A214" s="2" t="s">
        <v>613</v>
      </c>
      <c r="B214" s="2" t="s">
        <v>3112</v>
      </c>
      <c r="C214" s="2">
        <v>4389</v>
      </c>
      <c r="D214" s="2" t="s">
        <v>6974</v>
      </c>
      <c r="E214" s="2" t="s">
        <v>6748</v>
      </c>
      <c r="F214" s="2" t="s">
        <v>47</v>
      </c>
      <c r="G214" s="2">
        <v>12402.27</v>
      </c>
      <c r="H214" s="2">
        <v>6482.28</v>
      </c>
      <c r="I214" s="2" t="s">
        <v>6777</v>
      </c>
      <c r="J214" s="2" t="s">
        <v>6713</v>
      </c>
      <c r="K214" s="2" t="s">
        <v>22</v>
      </c>
      <c r="L214" s="2" t="s">
        <v>23</v>
      </c>
      <c r="M214" s="2">
        <v>4</v>
      </c>
      <c r="N214" s="2" t="s">
        <v>33</v>
      </c>
      <c r="O214" s="2" t="s">
        <v>70</v>
      </c>
      <c r="P214" s="2" t="s">
        <v>49</v>
      </c>
    </row>
    <row r="215" spans="1:16" x14ac:dyDescent="0.25">
      <c r="A215" s="2" t="s">
        <v>616</v>
      </c>
      <c r="B215" s="2" t="s">
        <v>6975</v>
      </c>
      <c r="C215" s="2">
        <v>5783</v>
      </c>
      <c r="D215" s="2" t="s">
        <v>6976</v>
      </c>
      <c r="E215" s="2" t="s">
        <v>6719</v>
      </c>
      <c r="F215" s="2" t="s">
        <v>19</v>
      </c>
      <c r="G215" s="2">
        <v>11628.33</v>
      </c>
      <c r="H215" s="2">
        <v>5339.21</v>
      </c>
      <c r="I215" s="2" t="s">
        <v>20</v>
      </c>
      <c r="J215" s="2" t="s">
        <v>6724</v>
      </c>
      <c r="K215" s="2" t="s">
        <v>32</v>
      </c>
      <c r="L215" s="2" t="s">
        <v>64</v>
      </c>
      <c r="M215" s="2">
        <v>2</v>
      </c>
      <c r="N215" s="2" t="s">
        <v>69</v>
      </c>
      <c r="O215" s="2" t="s">
        <v>70</v>
      </c>
      <c r="P215" s="2" t="s">
        <v>34</v>
      </c>
    </row>
    <row r="216" spans="1:16" x14ac:dyDescent="0.25">
      <c r="A216" s="2" t="s">
        <v>618</v>
      </c>
      <c r="B216" s="2" t="s">
        <v>2033</v>
      </c>
      <c r="C216" s="2">
        <v>3018</v>
      </c>
      <c r="D216" s="2" t="s">
        <v>6977</v>
      </c>
      <c r="E216" s="2" t="s">
        <v>38</v>
      </c>
      <c r="F216" s="2" t="s">
        <v>19</v>
      </c>
      <c r="G216" s="2">
        <v>10334.77</v>
      </c>
      <c r="H216" s="2">
        <v>5868.74</v>
      </c>
      <c r="I216" s="2" t="s">
        <v>63</v>
      </c>
      <c r="J216" s="2" t="s">
        <v>54</v>
      </c>
      <c r="K216" s="2" t="s">
        <v>32</v>
      </c>
      <c r="L216" s="2" t="s">
        <v>64</v>
      </c>
      <c r="M216" s="2">
        <v>1</v>
      </c>
      <c r="N216" s="2" t="s">
        <v>24</v>
      </c>
      <c r="O216" s="2" t="s">
        <v>25</v>
      </c>
      <c r="P216" s="2" t="s">
        <v>34</v>
      </c>
    </row>
    <row r="217" spans="1:16" x14ac:dyDescent="0.25">
      <c r="A217" s="2" t="s">
        <v>621</v>
      </c>
      <c r="B217" s="2" t="s">
        <v>5052</v>
      </c>
      <c r="C217" s="2">
        <v>3845</v>
      </c>
      <c r="D217" s="2" t="s">
        <v>728</v>
      </c>
      <c r="E217" s="2" t="s">
        <v>18</v>
      </c>
      <c r="F217" s="2" t="s">
        <v>19</v>
      </c>
      <c r="G217" s="2">
        <v>6251.92</v>
      </c>
      <c r="H217" s="2">
        <v>3635.52</v>
      </c>
      <c r="I217" s="2" t="s">
        <v>31</v>
      </c>
      <c r="J217" s="2" t="s">
        <v>21</v>
      </c>
      <c r="K217" s="2" t="s">
        <v>42</v>
      </c>
      <c r="L217" s="2" t="s">
        <v>43</v>
      </c>
      <c r="M217" s="2">
        <v>4</v>
      </c>
      <c r="N217" s="2" t="s">
        <v>33</v>
      </c>
      <c r="O217" s="2" t="s">
        <v>70</v>
      </c>
      <c r="P217" s="2" t="s">
        <v>49</v>
      </c>
    </row>
    <row r="218" spans="1:16" x14ac:dyDescent="0.25">
      <c r="A218" s="2" t="s">
        <v>624</v>
      </c>
      <c r="B218" s="2" t="s">
        <v>6978</v>
      </c>
      <c r="C218" s="2">
        <v>7762</v>
      </c>
      <c r="D218" s="2" t="s">
        <v>6979</v>
      </c>
      <c r="E218" s="2" t="s">
        <v>38</v>
      </c>
      <c r="F218" s="2" t="s">
        <v>47</v>
      </c>
      <c r="G218" s="2">
        <v>17993.03</v>
      </c>
      <c r="H218" s="2">
        <v>10068.200000000001</v>
      </c>
      <c r="I218" s="2" t="s">
        <v>53</v>
      </c>
      <c r="J218" s="2" t="s">
        <v>54</v>
      </c>
      <c r="K218" s="2" t="s">
        <v>42</v>
      </c>
      <c r="L218" s="2" t="s">
        <v>48</v>
      </c>
      <c r="M218" s="2">
        <v>5</v>
      </c>
      <c r="N218" s="2" t="s">
        <v>24</v>
      </c>
      <c r="O218" s="2" t="s">
        <v>25</v>
      </c>
      <c r="P218" s="2" t="s">
        <v>49</v>
      </c>
    </row>
    <row r="219" spans="1:16" x14ac:dyDescent="0.25">
      <c r="A219" s="2" t="s">
        <v>627</v>
      </c>
      <c r="B219" s="2" t="s">
        <v>461</v>
      </c>
      <c r="C219" s="2">
        <v>9888</v>
      </c>
      <c r="D219" s="2" t="s">
        <v>6980</v>
      </c>
      <c r="E219" s="2" t="s">
        <v>38</v>
      </c>
      <c r="F219" s="2" t="s">
        <v>58</v>
      </c>
      <c r="G219" s="2">
        <v>42853.81</v>
      </c>
      <c r="H219" s="2">
        <v>25804.639999999999</v>
      </c>
      <c r="I219" s="2" t="s">
        <v>31</v>
      </c>
      <c r="J219" s="2" t="s">
        <v>21</v>
      </c>
      <c r="K219" s="2" t="s">
        <v>80</v>
      </c>
      <c r="L219" s="2" t="s">
        <v>43</v>
      </c>
      <c r="M219" s="2">
        <v>5</v>
      </c>
      <c r="N219" s="2" t="s">
        <v>69</v>
      </c>
      <c r="O219" s="2" t="s">
        <v>70</v>
      </c>
      <c r="P219" s="2" t="s">
        <v>49</v>
      </c>
    </row>
    <row r="220" spans="1:16" x14ac:dyDescent="0.25">
      <c r="A220" s="2" t="s">
        <v>630</v>
      </c>
      <c r="B220" s="2" t="s">
        <v>2319</v>
      </c>
      <c r="C220" s="2">
        <v>2744</v>
      </c>
      <c r="D220" s="2" t="s">
        <v>2183</v>
      </c>
      <c r="E220" s="2" t="s">
        <v>18</v>
      </c>
      <c r="F220" s="2" t="s">
        <v>47</v>
      </c>
      <c r="G220" s="2">
        <v>5445.66</v>
      </c>
      <c r="H220" s="2">
        <v>2508.34</v>
      </c>
      <c r="I220" s="2" t="s">
        <v>59</v>
      </c>
      <c r="J220" s="2" t="s">
        <v>41</v>
      </c>
      <c r="K220" s="2" t="s">
        <v>22</v>
      </c>
      <c r="L220" s="2" t="s">
        <v>23</v>
      </c>
      <c r="M220" s="2">
        <v>3</v>
      </c>
      <c r="N220" s="2" t="s">
        <v>24</v>
      </c>
      <c r="O220" s="2" t="s">
        <v>25</v>
      </c>
      <c r="P220" s="2" t="s">
        <v>34</v>
      </c>
    </row>
    <row r="221" spans="1:16" x14ac:dyDescent="0.25">
      <c r="A221" s="2" t="s">
        <v>632</v>
      </c>
      <c r="B221" s="2" t="s">
        <v>6981</v>
      </c>
      <c r="C221" s="2">
        <v>6876</v>
      </c>
      <c r="D221" s="2" t="s">
        <v>6982</v>
      </c>
      <c r="E221" s="2" t="s">
        <v>6708</v>
      </c>
      <c r="F221" s="2" t="s">
        <v>19</v>
      </c>
      <c r="G221" s="2">
        <v>5983.15</v>
      </c>
      <c r="H221" s="2">
        <v>3731.13</v>
      </c>
      <c r="I221" s="2" t="s">
        <v>6690</v>
      </c>
      <c r="J221" s="2" t="s">
        <v>6753</v>
      </c>
      <c r="K221" s="2" t="s">
        <v>32</v>
      </c>
      <c r="L221" s="2" t="s">
        <v>48</v>
      </c>
      <c r="M221" s="2">
        <v>5</v>
      </c>
      <c r="N221" s="2" t="s">
        <v>33</v>
      </c>
      <c r="O221" s="2" t="s">
        <v>25</v>
      </c>
      <c r="P221" s="2" t="s">
        <v>49</v>
      </c>
    </row>
    <row r="222" spans="1:16" x14ac:dyDescent="0.25">
      <c r="A222" s="2" t="s">
        <v>635</v>
      </c>
      <c r="B222" s="2" t="s">
        <v>181</v>
      </c>
      <c r="C222" s="2">
        <v>4327</v>
      </c>
      <c r="D222" s="2" t="s">
        <v>5118</v>
      </c>
      <c r="E222" s="2" t="s">
        <v>38</v>
      </c>
      <c r="F222" s="2" t="s">
        <v>39</v>
      </c>
      <c r="G222" s="2">
        <v>29660.9</v>
      </c>
      <c r="H222" s="2">
        <v>18754.509999999998</v>
      </c>
      <c r="I222" s="2" t="s">
        <v>40</v>
      </c>
      <c r="J222" s="2" t="s">
        <v>41</v>
      </c>
      <c r="K222" s="2" t="s">
        <v>42</v>
      </c>
      <c r="L222" s="2" t="s">
        <v>43</v>
      </c>
      <c r="M222" s="2">
        <v>5</v>
      </c>
      <c r="N222" s="2" t="s">
        <v>24</v>
      </c>
      <c r="O222" s="2" t="s">
        <v>25</v>
      </c>
      <c r="P222" s="2" t="s">
        <v>49</v>
      </c>
    </row>
    <row r="223" spans="1:16" x14ac:dyDescent="0.25">
      <c r="A223" s="2" t="s">
        <v>637</v>
      </c>
      <c r="B223" s="2" t="s">
        <v>5620</v>
      </c>
      <c r="C223" s="2">
        <v>2955</v>
      </c>
      <c r="D223" s="2" t="s">
        <v>6983</v>
      </c>
      <c r="E223" s="2" t="s">
        <v>6719</v>
      </c>
      <c r="F223" s="2" t="s">
        <v>47</v>
      </c>
      <c r="G223" s="2">
        <v>2707.14</v>
      </c>
      <c r="H223" s="2">
        <v>1369.33</v>
      </c>
      <c r="I223" s="2" t="s">
        <v>63</v>
      </c>
      <c r="J223" s="2" t="s">
        <v>6729</v>
      </c>
      <c r="K223" s="2" t="s">
        <v>42</v>
      </c>
      <c r="L223" s="2" t="s">
        <v>23</v>
      </c>
      <c r="M223" s="2">
        <v>2</v>
      </c>
      <c r="N223" s="2" t="s">
        <v>24</v>
      </c>
      <c r="O223" s="2" t="s">
        <v>25</v>
      </c>
      <c r="P223" s="2" t="s">
        <v>34</v>
      </c>
    </row>
    <row r="224" spans="1:16" x14ac:dyDescent="0.25">
      <c r="A224" s="2" t="s">
        <v>640</v>
      </c>
      <c r="B224" s="2" t="s">
        <v>6984</v>
      </c>
      <c r="C224" s="2">
        <v>5934</v>
      </c>
      <c r="D224" s="2" t="s">
        <v>6985</v>
      </c>
      <c r="E224" s="2" t="s">
        <v>6708</v>
      </c>
      <c r="F224" s="2" t="s">
        <v>58</v>
      </c>
      <c r="G224" s="2">
        <v>34899.94</v>
      </c>
      <c r="H224" s="2">
        <v>19545.080000000002</v>
      </c>
      <c r="I224" s="2" t="s">
        <v>6712</v>
      </c>
      <c r="J224" s="2" t="s">
        <v>41</v>
      </c>
      <c r="K224" s="2" t="s">
        <v>22</v>
      </c>
      <c r="L224" s="2" t="s">
        <v>48</v>
      </c>
      <c r="M224" s="2">
        <v>3</v>
      </c>
      <c r="N224" s="2" t="s">
        <v>24</v>
      </c>
      <c r="O224" s="2" t="s">
        <v>70</v>
      </c>
      <c r="P224" s="2" t="s">
        <v>49</v>
      </c>
    </row>
    <row r="225" spans="1:16" x14ac:dyDescent="0.25">
      <c r="A225" s="2" t="s">
        <v>643</v>
      </c>
      <c r="B225" s="2" t="s">
        <v>730</v>
      </c>
      <c r="C225" s="2">
        <v>9691</v>
      </c>
      <c r="D225" s="2" t="s">
        <v>6986</v>
      </c>
      <c r="E225" s="2" t="s">
        <v>38</v>
      </c>
      <c r="F225" s="2" t="s">
        <v>19</v>
      </c>
      <c r="G225" s="2">
        <v>21541.38</v>
      </c>
      <c r="H225" s="2">
        <v>13242.3</v>
      </c>
      <c r="I225" s="2" t="s">
        <v>63</v>
      </c>
      <c r="J225" s="2" t="s">
        <v>54</v>
      </c>
      <c r="K225" s="2" t="s">
        <v>22</v>
      </c>
      <c r="L225" s="2" t="s">
        <v>55</v>
      </c>
      <c r="M225" s="2">
        <v>3</v>
      </c>
      <c r="N225" s="2" t="s">
        <v>33</v>
      </c>
      <c r="O225" s="2" t="s">
        <v>70</v>
      </c>
      <c r="P225" s="2" t="s">
        <v>49</v>
      </c>
    </row>
    <row r="226" spans="1:16" x14ac:dyDescent="0.25">
      <c r="A226" s="2" t="s">
        <v>646</v>
      </c>
      <c r="B226" s="2" t="s">
        <v>6987</v>
      </c>
      <c r="C226" s="2">
        <v>5203</v>
      </c>
      <c r="D226" s="2" t="s">
        <v>6988</v>
      </c>
      <c r="E226" s="2" t="s">
        <v>38</v>
      </c>
      <c r="F226" s="2" t="s">
        <v>19</v>
      </c>
      <c r="G226" s="2">
        <v>4629.88</v>
      </c>
      <c r="H226" s="2">
        <v>2562.0500000000002</v>
      </c>
      <c r="I226" s="2" t="s">
        <v>6808</v>
      </c>
      <c r="J226" s="2" t="s">
        <v>6691</v>
      </c>
      <c r="K226" s="2" t="s">
        <v>42</v>
      </c>
      <c r="L226" s="2" t="s">
        <v>43</v>
      </c>
      <c r="M226" s="2">
        <v>5</v>
      </c>
      <c r="N226" s="2" t="s">
        <v>33</v>
      </c>
      <c r="O226" s="2" t="s">
        <v>25</v>
      </c>
      <c r="P226" s="2" t="s">
        <v>49</v>
      </c>
    </row>
    <row r="227" spans="1:16" x14ac:dyDescent="0.25">
      <c r="A227" s="2" t="s">
        <v>648</v>
      </c>
      <c r="B227" s="2" t="s">
        <v>755</v>
      </c>
      <c r="C227" s="2">
        <v>7950</v>
      </c>
      <c r="D227" s="2" t="s">
        <v>756</v>
      </c>
      <c r="E227" s="2" t="s">
        <v>18</v>
      </c>
      <c r="F227" s="2" t="s">
        <v>58</v>
      </c>
      <c r="G227" s="2">
        <v>17947.41</v>
      </c>
      <c r="H227" s="2">
        <v>11051.11</v>
      </c>
      <c r="I227" s="2" t="s">
        <v>31</v>
      </c>
      <c r="J227" s="2" t="s">
        <v>21</v>
      </c>
      <c r="K227" s="2" t="s">
        <v>80</v>
      </c>
      <c r="L227" s="2" t="s">
        <v>48</v>
      </c>
      <c r="M227" s="2">
        <v>1</v>
      </c>
      <c r="N227" s="2" t="s">
        <v>24</v>
      </c>
      <c r="O227" s="2" t="s">
        <v>25</v>
      </c>
      <c r="P227" s="2" t="s">
        <v>34</v>
      </c>
    </row>
    <row r="228" spans="1:16" x14ac:dyDescent="0.25">
      <c r="A228" s="2" t="s">
        <v>650</v>
      </c>
      <c r="B228" s="2" t="s">
        <v>6989</v>
      </c>
      <c r="C228" s="2">
        <v>4729</v>
      </c>
      <c r="D228" s="2" t="s">
        <v>6990</v>
      </c>
      <c r="E228" s="2" t="s">
        <v>38</v>
      </c>
      <c r="F228" s="2" t="s">
        <v>58</v>
      </c>
      <c r="G228" s="2">
        <v>34623.620000000003</v>
      </c>
      <c r="H228" s="2">
        <v>18704.55</v>
      </c>
      <c r="I228" s="2" t="s">
        <v>6736</v>
      </c>
      <c r="J228" s="2" t="s">
        <v>54</v>
      </c>
      <c r="K228" s="2" t="s">
        <v>80</v>
      </c>
      <c r="L228" s="2" t="s">
        <v>64</v>
      </c>
      <c r="M228" s="2">
        <v>3</v>
      </c>
      <c r="N228" s="2" t="s">
        <v>33</v>
      </c>
      <c r="O228" s="2" t="s">
        <v>70</v>
      </c>
      <c r="P228" s="2" t="s">
        <v>49</v>
      </c>
    </row>
    <row r="229" spans="1:16" x14ac:dyDescent="0.25">
      <c r="A229" s="2" t="s">
        <v>653</v>
      </c>
      <c r="B229" s="2" t="s">
        <v>2857</v>
      </c>
      <c r="C229" s="2">
        <v>5937</v>
      </c>
      <c r="D229" s="2" t="s">
        <v>6991</v>
      </c>
      <c r="E229" s="2" t="s">
        <v>18</v>
      </c>
      <c r="F229" s="2" t="s">
        <v>39</v>
      </c>
      <c r="G229" s="2">
        <v>18733.59</v>
      </c>
      <c r="H229" s="2">
        <v>11902.16</v>
      </c>
      <c r="I229" s="2" t="s">
        <v>20</v>
      </c>
      <c r="J229" s="2" t="s">
        <v>21</v>
      </c>
      <c r="K229" s="2" t="s">
        <v>80</v>
      </c>
      <c r="L229" s="2" t="s">
        <v>64</v>
      </c>
      <c r="M229" s="2">
        <v>1</v>
      </c>
      <c r="N229" s="2" t="s">
        <v>24</v>
      </c>
      <c r="O229" s="2" t="s">
        <v>25</v>
      </c>
      <c r="P229" s="2" t="s">
        <v>26</v>
      </c>
    </row>
    <row r="230" spans="1:16" x14ac:dyDescent="0.25">
      <c r="A230" s="2" t="s">
        <v>655</v>
      </c>
      <c r="B230" s="2" t="s">
        <v>2353</v>
      </c>
      <c r="C230" s="2">
        <v>7113</v>
      </c>
      <c r="D230" s="2" t="s">
        <v>6992</v>
      </c>
      <c r="E230" s="2" t="s">
        <v>18</v>
      </c>
      <c r="F230" s="2" t="s">
        <v>39</v>
      </c>
      <c r="G230" s="2">
        <v>29056.240000000002</v>
      </c>
      <c r="H230" s="2">
        <v>16300.96</v>
      </c>
      <c r="I230" s="2" t="s">
        <v>31</v>
      </c>
      <c r="J230" s="2" t="s">
        <v>21</v>
      </c>
      <c r="K230" s="2" t="s">
        <v>22</v>
      </c>
      <c r="L230" s="2" t="s">
        <v>55</v>
      </c>
      <c r="M230" s="2">
        <v>1</v>
      </c>
      <c r="N230" s="2" t="s">
        <v>24</v>
      </c>
      <c r="O230" s="2" t="s">
        <v>25</v>
      </c>
      <c r="P230" s="2" t="s">
        <v>49</v>
      </c>
    </row>
    <row r="231" spans="1:16" x14ac:dyDescent="0.25">
      <c r="A231" s="2" t="s">
        <v>657</v>
      </c>
      <c r="B231" s="2" t="s">
        <v>2601</v>
      </c>
      <c r="C231" s="2">
        <v>9397</v>
      </c>
      <c r="D231" s="2" t="s">
        <v>6993</v>
      </c>
      <c r="E231" s="2" t="s">
        <v>18</v>
      </c>
      <c r="F231" s="2" t="s">
        <v>19</v>
      </c>
      <c r="G231" s="2">
        <v>8750.76</v>
      </c>
      <c r="H231" s="2">
        <v>4324.25</v>
      </c>
      <c r="I231" s="2" t="s">
        <v>84</v>
      </c>
      <c r="J231" s="2" t="s">
        <v>54</v>
      </c>
      <c r="K231" s="2" t="s">
        <v>42</v>
      </c>
      <c r="L231" s="2" t="s">
        <v>23</v>
      </c>
      <c r="M231" s="2">
        <v>1</v>
      </c>
      <c r="N231" s="2" t="s">
        <v>33</v>
      </c>
      <c r="O231" s="2" t="s">
        <v>70</v>
      </c>
      <c r="P231" s="2" t="s">
        <v>26</v>
      </c>
    </row>
    <row r="232" spans="1:16" x14ac:dyDescent="0.25">
      <c r="A232" s="2" t="s">
        <v>660</v>
      </c>
      <c r="B232" s="2" t="s">
        <v>2857</v>
      </c>
      <c r="C232" s="2">
        <v>2103</v>
      </c>
      <c r="D232" s="2" t="s">
        <v>6994</v>
      </c>
      <c r="E232" s="2" t="s">
        <v>6698</v>
      </c>
      <c r="F232" s="2" t="s">
        <v>30</v>
      </c>
      <c r="G232" s="2">
        <v>16533.07</v>
      </c>
      <c r="H232" s="2">
        <v>9839.1299999999992</v>
      </c>
      <c r="I232" s="2" t="s">
        <v>6712</v>
      </c>
      <c r="J232" s="2" t="s">
        <v>6732</v>
      </c>
      <c r="K232" s="2" t="s">
        <v>80</v>
      </c>
      <c r="L232" s="2" t="s">
        <v>88</v>
      </c>
      <c r="M232" s="2">
        <v>3</v>
      </c>
      <c r="N232" s="2" t="s">
        <v>33</v>
      </c>
      <c r="O232" s="2" t="s">
        <v>70</v>
      </c>
      <c r="P232" s="2" t="s">
        <v>26</v>
      </c>
    </row>
    <row r="233" spans="1:16" x14ac:dyDescent="0.25">
      <c r="A233" s="2" t="s">
        <v>663</v>
      </c>
      <c r="B233" s="2" t="s">
        <v>101</v>
      </c>
      <c r="C233" s="2">
        <v>6971</v>
      </c>
      <c r="D233" s="2" t="s">
        <v>6995</v>
      </c>
      <c r="E233" s="2" t="s">
        <v>38</v>
      </c>
      <c r="F233" s="2" t="s">
        <v>39</v>
      </c>
      <c r="G233" s="2">
        <v>53317.33</v>
      </c>
      <c r="H233" s="2">
        <v>25791.08</v>
      </c>
      <c r="I233" s="2" t="s">
        <v>84</v>
      </c>
      <c r="J233" s="2" t="s">
        <v>54</v>
      </c>
      <c r="K233" s="2" t="s">
        <v>42</v>
      </c>
      <c r="L233" s="2" t="s">
        <v>23</v>
      </c>
      <c r="M233" s="2">
        <v>2</v>
      </c>
      <c r="N233" s="2" t="s">
        <v>24</v>
      </c>
      <c r="O233" s="2" t="s">
        <v>70</v>
      </c>
      <c r="P233" s="2" t="s">
        <v>34</v>
      </c>
    </row>
    <row r="234" spans="1:16" x14ac:dyDescent="0.25">
      <c r="A234" s="2" t="s">
        <v>665</v>
      </c>
      <c r="B234" s="2" t="s">
        <v>4405</v>
      </c>
      <c r="C234" s="2">
        <v>6004</v>
      </c>
      <c r="D234" s="2" t="s">
        <v>6996</v>
      </c>
      <c r="E234" s="2" t="s">
        <v>38</v>
      </c>
      <c r="F234" s="2" t="s">
        <v>39</v>
      </c>
      <c r="G234" s="2">
        <v>34783.129999999997</v>
      </c>
      <c r="H234" s="2">
        <v>16875.18</v>
      </c>
      <c r="I234" s="2" t="s">
        <v>84</v>
      </c>
      <c r="J234" s="2" t="s">
        <v>54</v>
      </c>
      <c r="K234" s="2" t="s">
        <v>22</v>
      </c>
      <c r="L234" s="2" t="s">
        <v>88</v>
      </c>
      <c r="M234" s="2">
        <v>2</v>
      </c>
      <c r="N234" s="2" t="s">
        <v>69</v>
      </c>
      <c r="O234" s="2" t="s">
        <v>25</v>
      </c>
      <c r="P234" s="2" t="s">
        <v>49</v>
      </c>
    </row>
    <row r="235" spans="1:16" x14ac:dyDescent="0.25">
      <c r="A235" s="2" t="s">
        <v>667</v>
      </c>
      <c r="B235" s="2" t="s">
        <v>5687</v>
      </c>
      <c r="C235" s="2">
        <v>7637</v>
      </c>
      <c r="D235" s="2" t="s">
        <v>2359</v>
      </c>
      <c r="E235" s="2" t="s">
        <v>18</v>
      </c>
      <c r="F235" s="2" t="s">
        <v>47</v>
      </c>
      <c r="G235" s="2">
        <v>20743.189999999999</v>
      </c>
      <c r="H235" s="2">
        <v>11622.8</v>
      </c>
      <c r="I235" s="2" t="s">
        <v>63</v>
      </c>
      <c r="J235" s="2" t="s">
        <v>54</v>
      </c>
      <c r="K235" s="2" t="s">
        <v>80</v>
      </c>
      <c r="L235" s="2" t="s">
        <v>48</v>
      </c>
      <c r="M235" s="2">
        <v>2</v>
      </c>
      <c r="N235" s="2" t="s">
        <v>33</v>
      </c>
      <c r="O235" s="2" t="s">
        <v>25</v>
      </c>
      <c r="P235" s="2" t="s">
        <v>49</v>
      </c>
    </row>
    <row r="236" spans="1:16" x14ac:dyDescent="0.25">
      <c r="A236" s="2" t="s">
        <v>669</v>
      </c>
      <c r="B236" s="2" t="s">
        <v>4078</v>
      </c>
      <c r="C236" s="2">
        <v>1173</v>
      </c>
      <c r="D236" s="2" t="s">
        <v>6997</v>
      </c>
      <c r="E236" s="2" t="s">
        <v>18</v>
      </c>
      <c r="F236" s="2" t="s">
        <v>30</v>
      </c>
      <c r="G236" s="2">
        <v>66512.41</v>
      </c>
      <c r="H236" s="2">
        <v>40659.57</v>
      </c>
      <c r="I236" s="2" t="s">
        <v>53</v>
      </c>
      <c r="J236" s="2" t="s">
        <v>54</v>
      </c>
      <c r="K236" s="2" t="s">
        <v>32</v>
      </c>
      <c r="L236" s="2" t="s">
        <v>43</v>
      </c>
      <c r="M236" s="2">
        <v>2</v>
      </c>
      <c r="N236" s="2" t="s">
        <v>33</v>
      </c>
      <c r="O236" s="2" t="s">
        <v>25</v>
      </c>
      <c r="P236" s="2" t="s">
        <v>49</v>
      </c>
    </row>
    <row r="237" spans="1:16" x14ac:dyDescent="0.25">
      <c r="A237" s="2" t="s">
        <v>671</v>
      </c>
      <c r="B237" s="2" t="s">
        <v>4768</v>
      </c>
      <c r="C237" s="2">
        <v>8989</v>
      </c>
      <c r="D237" s="2" t="s">
        <v>6998</v>
      </c>
      <c r="E237" s="2" t="s">
        <v>32</v>
      </c>
      <c r="F237" s="2" t="s">
        <v>19</v>
      </c>
      <c r="G237" s="2">
        <v>4135.7700000000004</v>
      </c>
      <c r="H237" s="2">
        <v>2166.6799999999998</v>
      </c>
      <c r="I237" s="2" t="s">
        <v>40</v>
      </c>
      <c r="J237" s="2" t="s">
        <v>41</v>
      </c>
      <c r="K237" s="2" t="s">
        <v>22</v>
      </c>
      <c r="L237" s="2" t="s">
        <v>48</v>
      </c>
      <c r="M237" s="2">
        <v>2</v>
      </c>
      <c r="N237" s="2" t="s">
        <v>24</v>
      </c>
      <c r="O237" s="2" t="s">
        <v>70</v>
      </c>
      <c r="P237" s="2" t="s">
        <v>34</v>
      </c>
    </row>
    <row r="238" spans="1:16" x14ac:dyDescent="0.25">
      <c r="A238" s="2" t="s">
        <v>673</v>
      </c>
      <c r="B238" s="2" t="s">
        <v>1734</v>
      </c>
      <c r="C238" s="2">
        <v>5314</v>
      </c>
      <c r="D238" s="2" t="s">
        <v>6999</v>
      </c>
      <c r="E238" s="2" t="s">
        <v>6743</v>
      </c>
      <c r="F238" s="2" t="s">
        <v>58</v>
      </c>
      <c r="G238" s="2">
        <v>20565.38</v>
      </c>
      <c r="H238" s="2">
        <v>10811.3</v>
      </c>
      <c r="I238" s="2" t="s">
        <v>6681</v>
      </c>
      <c r="J238" s="2" t="s">
        <v>6732</v>
      </c>
      <c r="K238" s="2" t="s">
        <v>22</v>
      </c>
      <c r="L238" s="2" t="s">
        <v>43</v>
      </c>
      <c r="M238" s="2">
        <v>3</v>
      </c>
      <c r="N238" s="2" t="s">
        <v>33</v>
      </c>
      <c r="O238" s="2" t="s">
        <v>70</v>
      </c>
      <c r="P238" s="2" t="s">
        <v>49</v>
      </c>
    </row>
    <row r="239" spans="1:16" x14ac:dyDescent="0.25">
      <c r="A239" s="2" t="s">
        <v>675</v>
      </c>
      <c r="B239" s="2" t="s">
        <v>6229</v>
      </c>
      <c r="C239" s="2">
        <v>2263</v>
      </c>
      <c r="D239" s="2" t="s">
        <v>7000</v>
      </c>
      <c r="E239" s="2" t="s">
        <v>38</v>
      </c>
      <c r="F239" s="2" t="s">
        <v>30</v>
      </c>
      <c r="G239" s="2">
        <v>17493.48</v>
      </c>
      <c r="H239" s="2">
        <v>8525.99</v>
      </c>
      <c r="I239" s="2" t="s">
        <v>68</v>
      </c>
      <c r="J239" s="2" t="s">
        <v>41</v>
      </c>
      <c r="K239" s="2" t="s">
        <v>42</v>
      </c>
      <c r="L239" s="2" t="s">
        <v>43</v>
      </c>
      <c r="M239" s="2">
        <v>1</v>
      </c>
      <c r="N239" s="2" t="s">
        <v>24</v>
      </c>
      <c r="O239" s="2" t="s">
        <v>25</v>
      </c>
      <c r="P239" s="2" t="s">
        <v>34</v>
      </c>
    </row>
    <row r="240" spans="1:16" x14ac:dyDescent="0.25">
      <c r="A240" s="2" t="s">
        <v>678</v>
      </c>
      <c r="B240" s="2" t="s">
        <v>7001</v>
      </c>
      <c r="C240" s="2">
        <v>1367</v>
      </c>
      <c r="D240" s="2" t="s">
        <v>7002</v>
      </c>
      <c r="E240" s="2" t="s">
        <v>32</v>
      </c>
      <c r="F240" s="2" t="s">
        <v>30</v>
      </c>
      <c r="G240" s="2">
        <v>17421.97</v>
      </c>
      <c r="H240" s="2">
        <v>9838.14</v>
      </c>
      <c r="I240" s="2" t="s">
        <v>120</v>
      </c>
      <c r="J240" s="2" t="s">
        <v>6795</v>
      </c>
      <c r="K240" s="2" t="s">
        <v>32</v>
      </c>
      <c r="L240" s="2" t="s">
        <v>23</v>
      </c>
      <c r="M240" s="2">
        <v>5</v>
      </c>
      <c r="N240" s="2" t="s">
        <v>33</v>
      </c>
      <c r="O240" s="2" t="s">
        <v>25</v>
      </c>
      <c r="P240" s="2" t="s">
        <v>26</v>
      </c>
    </row>
    <row r="241" spans="1:16" x14ac:dyDescent="0.25">
      <c r="A241" s="2" t="s">
        <v>681</v>
      </c>
      <c r="B241" s="2" t="s">
        <v>2335</v>
      </c>
      <c r="C241" s="2">
        <v>8891</v>
      </c>
      <c r="D241" s="2" t="s">
        <v>7003</v>
      </c>
      <c r="E241" s="2" t="s">
        <v>18</v>
      </c>
      <c r="F241" s="2" t="s">
        <v>47</v>
      </c>
      <c r="G241" s="2">
        <v>4455.74</v>
      </c>
      <c r="H241" s="2">
        <v>2371.14</v>
      </c>
      <c r="I241" s="2" t="s">
        <v>120</v>
      </c>
      <c r="J241" s="2" t="s">
        <v>21</v>
      </c>
      <c r="K241" s="2" t="s">
        <v>32</v>
      </c>
      <c r="L241" s="2" t="s">
        <v>43</v>
      </c>
      <c r="M241" s="2">
        <v>2</v>
      </c>
      <c r="N241" s="2" t="s">
        <v>24</v>
      </c>
      <c r="O241" s="2" t="s">
        <v>25</v>
      </c>
      <c r="P241" s="2" t="s">
        <v>26</v>
      </c>
    </row>
    <row r="242" spans="1:16" x14ac:dyDescent="0.25">
      <c r="A242" s="2" t="s">
        <v>684</v>
      </c>
      <c r="B242" s="2" t="s">
        <v>1666</v>
      </c>
      <c r="C242" s="2">
        <v>3166</v>
      </c>
      <c r="D242" s="2" t="s">
        <v>7004</v>
      </c>
      <c r="E242" s="2" t="s">
        <v>18</v>
      </c>
      <c r="F242" s="2" t="s">
        <v>30</v>
      </c>
      <c r="G242" s="2">
        <v>11888.16</v>
      </c>
      <c r="H242" s="2">
        <v>6592.49</v>
      </c>
      <c r="I242" s="2" t="s">
        <v>53</v>
      </c>
      <c r="J242" s="2" t="s">
        <v>54</v>
      </c>
      <c r="K242" s="2" t="s">
        <v>80</v>
      </c>
      <c r="L242" s="2" t="s">
        <v>23</v>
      </c>
      <c r="M242" s="2">
        <v>5</v>
      </c>
      <c r="N242" s="2" t="s">
        <v>33</v>
      </c>
      <c r="O242" s="2" t="s">
        <v>25</v>
      </c>
      <c r="P242" s="2" t="s">
        <v>49</v>
      </c>
    </row>
    <row r="243" spans="1:16" x14ac:dyDescent="0.25">
      <c r="A243" s="2" t="s">
        <v>687</v>
      </c>
      <c r="B243" s="2" t="s">
        <v>7005</v>
      </c>
      <c r="C243" s="2">
        <v>3135</v>
      </c>
      <c r="D243" s="2" t="s">
        <v>5291</v>
      </c>
      <c r="E243" s="2" t="s">
        <v>32</v>
      </c>
      <c r="F243" s="2" t="s">
        <v>30</v>
      </c>
      <c r="G243" s="2">
        <v>49392.69</v>
      </c>
      <c r="H243" s="2">
        <v>29881.3</v>
      </c>
      <c r="I243" s="2" t="s">
        <v>6712</v>
      </c>
      <c r="J243" s="2" t="s">
        <v>6682</v>
      </c>
      <c r="K243" s="2" t="s">
        <v>80</v>
      </c>
      <c r="L243" s="2" t="s">
        <v>43</v>
      </c>
      <c r="M243" s="2">
        <v>4</v>
      </c>
      <c r="N243" s="2" t="s">
        <v>33</v>
      </c>
      <c r="O243" s="2" t="s">
        <v>25</v>
      </c>
      <c r="P243" s="2" t="s">
        <v>49</v>
      </c>
    </row>
    <row r="244" spans="1:16" x14ac:dyDescent="0.25">
      <c r="A244" s="2" t="s">
        <v>690</v>
      </c>
      <c r="B244" s="2" t="s">
        <v>7006</v>
      </c>
      <c r="C244" s="2">
        <v>7971</v>
      </c>
      <c r="D244" s="2" t="s">
        <v>7007</v>
      </c>
      <c r="E244" s="2" t="s">
        <v>6694</v>
      </c>
      <c r="F244" s="2" t="s">
        <v>47</v>
      </c>
      <c r="G244" s="2">
        <v>7101.84</v>
      </c>
      <c r="H244" s="2">
        <v>4283.63</v>
      </c>
      <c r="I244" s="2" t="s">
        <v>31</v>
      </c>
      <c r="J244" s="2" t="s">
        <v>6724</v>
      </c>
      <c r="K244" s="2" t="s">
        <v>22</v>
      </c>
      <c r="L244" s="2" t="s">
        <v>88</v>
      </c>
      <c r="M244" s="2">
        <v>5</v>
      </c>
      <c r="N244" s="2" t="s">
        <v>69</v>
      </c>
      <c r="O244" s="2" t="s">
        <v>25</v>
      </c>
      <c r="P244" s="2" t="s">
        <v>26</v>
      </c>
    </row>
    <row r="245" spans="1:16" x14ac:dyDescent="0.25">
      <c r="A245" s="2" t="s">
        <v>692</v>
      </c>
      <c r="B245" s="2" t="s">
        <v>900</v>
      </c>
      <c r="C245" s="2">
        <v>7980</v>
      </c>
      <c r="D245" s="2" t="s">
        <v>7008</v>
      </c>
      <c r="E245" s="2" t="s">
        <v>6680</v>
      </c>
      <c r="F245" s="2" t="s">
        <v>47</v>
      </c>
      <c r="G245" s="2">
        <v>5766.29</v>
      </c>
      <c r="H245" s="2">
        <v>3213.1</v>
      </c>
      <c r="I245" s="2" t="s">
        <v>6771</v>
      </c>
      <c r="J245" s="2" t="s">
        <v>6802</v>
      </c>
      <c r="K245" s="2" t="s">
        <v>42</v>
      </c>
      <c r="L245" s="2" t="s">
        <v>43</v>
      </c>
      <c r="M245" s="2">
        <v>3</v>
      </c>
      <c r="N245" s="2" t="s">
        <v>69</v>
      </c>
      <c r="O245" s="2" t="s">
        <v>25</v>
      </c>
      <c r="P245" s="2" t="s">
        <v>26</v>
      </c>
    </row>
    <row r="246" spans="1:16" x14ac:dyDescent="0.25">
      <c r="A246" s="2" t="s">
        <v>695</v>
      </c>
      <c r="B246" s="2" t="s">
        <v>1104</v>
      </c>
      <c r="C246" s="2">
        <v>7522</v>
      </c>
      <c r="D246" s="2" t="s">
        <v>6976</v>
      </c>
      <c r="E246" s="2" t="s">
        <v>18</v>
      </c>
      <c r="F246" s="2" t="s">
        <v>30</v>
      </c>
      <c r="G246" s="2">
        <v>111622.38</v>
      </c>
      <c r="H246" s="2">
        <v>64948.22</v>
      </c>
      <c r="I246" s="2" t="s">
        <v>84</v>
      </c>
      <c r="J246" s="2" t="s">
        <v>54</v>
      </c>
      <c r="K246" s="2" t="s">
        <v>32</v>
      </c>
      <c r="L246" s="2" t="s">
        <v>64</v>
      </c>
      <c r="M246" s="2">
        <v>2</v>
      </c>
      <c r="N246" s="2" t="s">
        <v>33</v>
      </c>
      <c r="O246" s="2" t="s">
        <v>25</v>
      </c>
      <c r="P246" s="2" t="s">
        <v>34</v>
      </c>
    </row>
    <row r="247" spans="1:16" x14ac:dyDescent="0.25">
      <c r="A247" s="2" t="s">
        <v>697</v>
      </c>
      <c r="B247" s="2" t="s">
        <v>7009</v>
      </c>
      <c r="C247" s="2">
        <v>2492</v>
      </c>
      <c r="D247" s="2" t="s">
        <v>7010</v>
      </c>
      <c r="E247" s="2" t="s">
        <v>18</v>
      </c>
      <c r="F247" s="2" t="s">
        <v>19</v>
      </c>
      <c r="G247" s="2">
        <v>8788.32</v>
      </c>
      <c r="H247" s="2">
        <v>5009.7700000000004</v>
      </c>
      <c r="I247" s="2" t="s">
        <v>31</v>
      </c>
      <c r="J247" s="2" t="s">
        <v>21</v>
      </c>
      <c r="K247" s="2" t="s">
        <v>22</v>
      </c>
      <c r="L247" s="2" t="s">
        <v>55</v>
      </c>
      <c r="M247" s="2">
        <v>3</v>
      </c>
      <c r="N247" s="2" t="s">
        <v>33</v>
      </c>
      <c r="O247" s="2" t="s">
        <v>25</v>
      </c>
      <c r="P247" s="2" t="s">
        <v>26</v>
      </c>
    </row>
    <row r="248" spans="1:16" x14ac:dyDescent="0.25">
      <c r="A248" s="2" t="s">
        <v>699</v>
      </c>
      <c r="B248" s="2" t="s">
        <v>4005</v>
      </c>
      <c r="C248" s="2">
        <v>1941</v>
      </c>
      <c r="D248" s="2" t="s">
        <v>7011</v>
      </c>
      <c r="E248" s="2" t="s">
        <v>18</v>
      </c>
      <c r="F248" s="2" t="s">
        <v>30</v>
      </c>
      <c r="G248" s="2">
        <v>50664.34</v>
      </c>
      <c r="H248" s="2">
        <v>27247</v>
      </c>
      <c r="I248" s="2" t="s">
        <v>59</v>
      </c>
      <c r="J248" s="2" t="s">
        <v>41</v>
      </c>
      <c r="K248" s="2" t="s">
        <v>32</v>
      </c>
      <c r="L248" s="2" t="s">
        <v>48</v>
      </c>
      <c r="M248" s="2">
        <v>5</v>
      </c>
      <c r="N248" s="2" t="s">
        <v>33</v>
      </c>
      <c r="O248" s="2" t="s">
        <v>25</v>
      </c>
      <c r="P248" s="2" t="s">
        <v>49</v>
      </c>
    </row>
    <row r="249" spans="1:16" x14ac:dyDescent="0.25">
      <c r="A249" s="2" t="s">
        <v>701</v>
      </c>
      <c r="B249" s="2" t="s">
        <v>2535</v>
      </c>
      <c r="C249" s="2">
        <v>1004</v>
      </c>
      <c r="D249" s="2" t="s">
        <v>7012</v>
      </c>
      <c r="E249" s="2" t="s">
        <v>18</v>
      </c>
      <c r="F249" s="2" t="s">
        <v>58</v>
      </c>
      <c r="G249" s="2">
        <v>8409.89</v>
      </c>
      <c r="H249" s="2">
        <v>4248.57</v>
      </c>
      <c r="I249" s="2" t="s">
        <v>31</v>
      </c>
      <c r="J249" s="2" t="s">
        <v>21</v>
      </c>
      <c r="K249" s="2" t="s">
        <v>80</v>
      </c>
      <c r="L249" s="2" t="s">
        <v>88</v>
      </c>
      <c r="M249" s="2">
        <v>4</v>
      </c>
      <c r="N249" s="2" t="s">
        <v>33</v>
      </c>
      <c r="O249" s="2" t="s">
        <v>25</v>
      </c>
      <c r="P249" s="2" t="s">
        <v>26</v>
      </c>
    </row>
    <row r="250" spans="1:16" x14ac:dyDescent="0.25">
      <c r="A250" s="2" t="s">
        <v>703</v>
      </c>
      <c r="B250" s="2" t="s">
        <v>1406</v>
      </c>
      <c r="C250" s="2">
        <v>6703</v>
      </c>
      <c r="D250" s="2" t="s">
        <v>7013</v>
      </c>
      <c r="E250" s="2" t="s">
        <v>38</v>
      </c>
      <c r="F250" s="2" t="s">
        <v>30</v>
      </c>
      <c r="G250" s="2">
        <v>123480</v>
      </c>
      <c r="H250" s="2">
        <v>62394.64</v>
      </c>
      <c r="I250" s="2" t="s">
        <v>63</v>
      </c>
      <c r="J250" s="2" t="s">
        <v>54</v>
      </c>
      <c r="K250" s="2" t="s">
        <v>32</v>
      </c>
      <c r="L250" s="2" t="s">
        <v>64</v>
      </c>
      <c r="M250" s="2">
        <v>4</v>
      </c>
      <c r="N250" s="2" t="s">
        <v>24</v>
      </c>
      <c r="O250" s="2" t="s">
        <v>25</v>
      </c>
      <c r="P250" s="2" t="s">
        <v>34</v>
      </c>
    </row>
    <row r="251" spans="1:16" x14ac:dyDescent="0.25">
      <c r="A251" s="2" t="s">
        <v>706</v>
      </c>
      <c r="B251" s="2" t="s">
        <v>7014</v>
      </c>
      <c r="C251" s="2">
        <v>9813</v>
      </c>
      <c r="D251" s="2" t="s">
        <v>7015</v>
      </c>
      <c r="E251" s="2" t="s">
        <v>38</v>
      </c>
      <c r="F251" s="2" t="s">
        <v>39</v>
      </c>
      <c r="G251" s="2">
        <v>37385.410000000003</v>
      </c>
      <c r="H251" s="2">
        <v>24046.71</v>
      </c>
      <c r="I251" s="2" t="s">
        <v>31</v>
      </c>
      <c r="J251" s="2" t="s">
        <v>21</v>
      </c>
      <c r="K251" s="2" t="s">
        <v>80</v>
      </c>
      <c r="L251" s="2" t="s">
        <v>23</v>
      </c>
      <c r="M251" s="2">
        <v>3</v>
      </c>
      <c r="N251" s="2" t="s">
        <v>69</v>
      </c>
      <c r="O251" s="2" t="s">
        <v>25</v>
      </c>
      <c r="P251" s="2" t="s">
        <v>34</v>
      </c>
    </row>
    <row r="252" spans="1:16" x14ac:dyDescent="0.25">
      <c r="A252" s="2" t="s">
        <v>709</v>
      </c>
      <c r="B252" s="2" t="s">
        <v>3886</v>
      </c>
      <c r="C252" s="2">
        <v>4767</v>
      </c>
      <c r="D252" s="2" t="s">
        <v>7016</v>
      </c>
      <c r="E252" s="2" t="s">
        <v>38</v>
      </c>
      <c r="F252" s="2" t="s">
        <v>58</v>
      </c>
      <c r="G252" s="2">
        <v>13083.62</v>
      </c>
      <c r="H252" s="2">
        <v>6811.58</v>
      </c>
      <c r="I252" s="2" t="s">
        <v>59</v>
      </c>
      <c r="J252" s="2" t="s">
        <v>41</v>
      </c>
      <c r="K252" s="2" t="s">
        <v>22</v>
      </c>
      <c r="L252" s="2" t="s">
        <v>48</v>
      </c>
      <c r="M252" s="2">
        <v>3</v>
      </c>
      <c r="N252" s="2" t="s">
        <v>33</v>
      </c>
      <c r="O252" s="2" t="s">
        <v>25</v>
      </c>
      <c r="P252" s="2" t="s">
        <v>49</v>
      </c>
    </row>
    <row r="253" spans="1:16" x14ac:dyDescent="0.25">
      <c r="A253" s="2" t="s">
        <v>712</v>
      </c>
      <c r="B253" s="2" t="s">
        <v>181</v>
      </c>
      <c r="C253" s="2">
        <v>5408</v>
      </c>
      <c r="D253" s="2" t="s">
        <v>7017</v>
      </c>
      <c r="E253" s="2" t="s">
        <v>6694</v>
      </c>
      <c r="F253" s="2" t="s">
        <v>47</v>
      </c>
      <c r="G253" s="2">
        <v>19787.79</v>
      </c>
      <c r="H253" s="2">
        <v>11607.94</v>
      </c>
      <c r="I253" s="2" t="s">
        <v>6739</v>
      </c>
      <c r="J253" s="2" t="s">
        <v>6729</v>
      </c>
      <c r="K253" s="2" t="s">
        <v>32</v>
      </c>
      <c r="L253" s="2" t="s">
        <v>64</v>
      </c>
      <c r="M253" s="2">
        <v>2</v>
      </c>
      <c r="N253" s="2" t="s">
        <v>33</v>
      </c>
      <c r="O253" s="2" t="s">
        <v>25</v>
      </c>
      <c r="P253" s="2" t="s">
        <v>34</v>
      </c>
    </row>
    <row r="254" spans="1:16" x14ac:dyDescent="0.25">
      <c r="A254" s="2" t="s">
        <v>715</v>
      </c>
      <c r="B254" s="2" t="s">
        <v>7018</v>
      </c>
      <c r="C254" s="2">
        <v>1108</v>
      </c>
      <c r="D254" s="2" t="s">
        <v>7019</v>
      </c>
      <c r="E254" s="2" t="s">
        <v>6703</v>
      </c>
      <c r="F254" s="2" t="s">
        <v>47</v>
      </c>
      <c r="G254" s="2">
        <v>15065.15</v>
      </c>
      <c r="H254" s="2">
        <v>7897.74</v>
      </c>
      <c r="I254" s="2" t="s">
        <v>20</v>
      </c>
      <c r="J254" s="2" t="s">
        <v>6789</v>
      </c>
      <c r="K254" s="2" t="s">
        <v>42</v>
      </c>
      <c r="L254" s="2" t="s">
        <v>64</v>
      </c>
      <c r="M254" s="2">
        <v>5</v>
      </c>
      <c r="N254" s="2" t="s">
        <v>69</v>
      </c>
      <c r="O254" s="2" t="s">
        <v>25</v>
      </c>
      <c r="P254" s="2" t="s">
        <v>49</v>
      </c>
    </row>
    <row r="255" spans="1:16" x14ac:dyDescent="0.25">
      <c r="A255" s="2" t="s">
        <v>717</v>
      </c>
      <c r="B255" s="2" t="s">
        <v>7020</v>
      </c>
      <c r="C255" s="2">
        <v>3863</v>
      </c>
      <c r="D255" s="2" t="s">
        <v>7021</v>
      </c>
      <c r="E255" s="2" t="s">
        <v>6698</v>
      </c>
      <c r="F255" s="2" t="s">
        <v>47</v>
      </c>
      <c r="G255" s="2">
        <v>11029.75</v>
      </c>
      <c r="H255" s="2">
        <v>6503.68</v>
      </c>
      <c r="I255" s="2" t="s">
        <v>6726</v>
      </c>
      <c r="J255" s="2" t="s">
        <v>6789</v>
      </c>
      <c r="K255" s="2" t="s">
        <v>80</v>
      </c>
      <c r="L255" s="2" t="s">
        <v>88</v>
      </c>
      <c r="M255" s="2">
        <v>1</v>
      </c>
      <c r="N255" s="2" t="s">
        <v>33</v>
      </c>
      <c r="O255" s="2" t="s">
        <v>25</v>
      </c>
      <c r="P255" s="2" t="s">
        <v>49</v>
      </c>
    </row>
    <row r="256" spans="1:16" x14ac:dyDescent="0.25">
      <c r="A256" s="2" t="s">
        <v>720</v>
      </c>
      <c r="B256" s="2" t="s">
        <v>5790</v>
      </c>
      <c r="C256" s="2">
        <v>9171</v>
      </c>
      <c r="D256" s="2" t="s">
        <v>2028</v>
      </c>
      <c r="E256" s="2" t="s">
        <v>38</v>
      </c>
      <c r="F256" s="2" t="s">
        <v>30</v>
      </c>
      <c r="G256" s="2">
        <v>37769.040000000001</v>
      </c>
      <c r="H256" s="2">
        <v>22289.119999999999</v>
      </c>
      <c r="I256" s="2" t="s">
        <v>53</v>
      </c>
      <c r="J256" s="2" t="s">
        <v>54</v>
      </c>
      <c r="K256" s="2" t="s">
        <v>42</v>
      </c>
      <c r="L256" s="2" t="s">
        <v>88</v>
      </c>
      <c r="M256" s="2">
        <v>4</v>
      </c>
      <c r="N256" s="2" t="s">
        <v>33</v>
      </c>
      <c r="O256" s="2" t="s">
        <v>25</v>
      </c>
      <c r="P256" s="2" t="s">
        <v>26</v>
      </c>
    </row>
    <row r="257" spans="1:16" x14ac:dyDescent="0.25">
      <c r="A257" s="2" t="s">
        <v>723</v>
      </c>
      <c r="B257" s="2" t="s">
        <v>5501</v>
      </c>
      <c r="C257" s="2">
        <v>7240</v>
      </c>
      <c r="D257" s="2" t="s">
        <v>7022</v>
      </c>
      <c r="E257" s="2" t="s">
        <v>18</v>
      </c>
      <c r="F257" s="2" t="s">
        <v>19</v>
      </c>
      <c r="G257" s="2">
        <v>7018.42</v>
      </c>
      <c r="H257" s="2">
        <v>4504.63</v>
      </c>
      <c r="I257" s="2" t="s">
        <v>20</v>
      </c>
      <c r="J257" s="2" t="s">
        <v>21</v>
      </c>
      <c r="K257" s="2" t="s">
        <v>32</v>
      </c>
      <c r="L257" s="2" t="s">
        <v>64</v>
      </c>
      <c r="M257" s="2">
        <v>1</v>
      </c>
      <c r="N257" s="2" t="s">
        <v>33</v>
      </c>
      <c r="O257" s="2" t="s">
        <v>25</v>
      </c>
      <c r="P257" s="2" t="s">
        <v>49</v>
      </c>
    </row>
    <row r="258" spans="1:16" x14ac:dyDescent="0.25">
      <c r="A258" s="2" t="s">
        <v>726</v>
      </c>
      <c r="B258" s="2" t="s">
        <v>7023</v>
      </c>
      <c r="C258" s="2">
        <v>7527</v>
      </c>
      <c r="D258" s="2" t="s">
        <v>7024</v>
      </c>
      <c r="E258" s="2" t="s">
        <v>6743</v>
      </c>
      <c r="F258" s="2" t="s">
        <v>39</v>
      </c>
      <c r="G258" s="2">
        <v>34256.11</v>
      </c>
      <c r="H258" s="2">
        <v>15826.57</v>
      </c>
      <c r="I258" s="2" t="s">
        <v>6845</v>
      </c>
      <c r="J258" s="2" t="s">
        <v>21</v>
      </c>
      <c r="K258" s="2" t="s">
        <v>42</v>
      </c>
      <c r="L258" s="2" t="s">
        <v>64</v>
      </c>
      <c r="M258" s="2">
        <v>1</v>
      </c>
      <c r="N258" s="2" t="s">
        <v>33</v>
      </c>
      <c r="O258" s="2" t="s">
        <v>25</v>
      </c>
      <c r="P258" s="2" t="s">
        <v>34</v>
      </c>
    </row>
    <row r="259" spans="1:16" x14ac:dyDescent="0.25">
      <c r="A259" s="2" t="s">
        <v>729</v>
      </c>
      <c r="B259" s="2" t="s">
        <v>7025</v>
      </c>
      <c r="C259" s="2">
        <v>9821</v>
      </c>
      <c r="D259" s="2" t="s">
        <v>1218</v>
      </c>
      <c r="E259" s="2" t="s">
        <v>32</v>
      </c>
      <c r="F259" s="2" t="s">
        <v>47</v>
      </c>
      <c r="G259" s="2">
        <v>22113.25</v>
      </c>
      <c r="H259" s="2">
        <v>11209.69</v>
      </c>
      <c r="I259" s="2" t="s">
        <v>6728</v>
      </c>
      <c r="J259" s="2" t="s">
        <v>6729</v>
      </c>
      <c r="K259" s="2" t="s">
        <v>42</v>
      </c>
      <c r="L259" s="2" t="s">
        <v>48</v>
      </c>
      <c r="M259" s="2">
        <v>5</v>
      </c>
      <c r="N259" s="2" t="s">
        <v>24</v>
      </c>
      <c r="O259" s="2" t="s">
        <v>70</v>
      </c>
      <c r="P259" s="2" t="s">
        <v>26</v>
      </c>
    </row>
    <row r="260" spans="1:16" x14ac:dyDescent="0.25">
      <c r="A260" s="2" t="s">
        <v>732</v>
      </c>
      <c r="B260" s="2" t="s">
        <v>2469</v>
      </c>
      <c r="C260" s="2">
        <v>2296</v>
      </c>
      <c r="D260" s="2" t="s">
        <v>7026</v>
      </c>
      <c r="E260" s="2" t="s">
        <v>18</v>
      </c>
      <c r="F260" s="2" t="s">
        <v>30</v>
      </c>
      <c r="G260" s="2">
        <v>42647.360000000001</v>
      </c>
      <c r="H260" s="2">
        <v>21865.15</v>
      </c>
      <c r="I260" s="2" t="s">
        <v>120</v>
      </c>
      <c r="J260" s="2" t="s">
        <v>21</v>
      </c>
      <c r="K260" s="2" t="s">
        <v>42</v>
      </c>
      <c r="L260" s="2" t="s">
        <v>48</v>
      </c>
      <c r="M260" s="2">
        <v>3</v>
      </c>
      <c r="N260" s="2" t="s">
        <v>24</v>
      </c>
      <c r="O260" s="2" t="s">
        <v>25</v>
      </c>
      <c r="P260" s="2" t="s">
        <v>34</v>
      </c>
    </row>
    <row r="261" spans="1:16" x14ac:dyDescent="0.25">
      <c r="A261" s="2" t="s">
        <v>735</v>
      </c>
      <c r="B261" s="2" t="s">
        <v>7027</v>
      </c>
      <c r="C261" s="2">
        <v>4012</v>
      </c>
      <c r="D261" s="2" t="s">
        <v>7028</v>
      </c>
      <c r="E261" s="2" t="s">
        <v>18</v>
      </c>
      <c r="F261" s="2" t="s">
        <v>30</v>
      </c>
      <c r="G261" s="2">
        <v>19807.419999999998</v>
      </c>
      <c r="H261" s="2">
        <v>9842.81</v>
      </c>
      <c r="I261" s="2" t="s">
        <v>40</v>
      </c>
      <c r="J261" s="2" t="s">
        <v>6732</v>
      </c>
      <c r="K261" s="2" t="s">
        <v>42</v>
      </c>
      <c r="L261" s="2" t="s">
        <v>48</v>
      </c>
      <c r="M261" s="2">
        <v>1</v>
      </c>
      <c r="N261" s="2" t="s">
        <v>33</v>
      </c>
      <c r="O261" s="2" t="s">
        <v>25</v>
      </c>
      <c r="P261" s="2" t="s">
        <v>26</v>
      </c>
    </row>
    <row r="262" spans="1:16" x14ac:dyDescent="0.25">
      <c r="A262" s="2" t="s">
        <v>738</v>
      </c>
      <c r="B262" s="2" t="s">
        <v>7029</v>
      </c>
      <c r="C262" s="2">
        <v>7387</v>
      </c>
      <c r="D262" s="2" t="s">
        <v>7030</v>
      </c>
      <c r="E262" s="2" t="s">
        <v>6708</v>
      </c>
      <c r="F262" s="2" t="s">
        <v>58</v>
      </c>
      <c r="G262" s="2">
        <v>18959.099999999999</v>
      </c>
      <c r="H262" s="2">
        <v>11328.42</v>
      </c>
      <c r="I262" s="2" t="s">
        <v>6910</v>
      </c>
      <c r="J262" s="2" t="s">
        <v>6696</v>
      </c>
      <c r="K262" s="2" t="s">
        <v>80</v>
      </c>
      <c r="L262" s="2" t="s">
        <v>48</v>
      </c>
      <c r="M262" s="2">
        <v>2</v>
      </c>
      <c r="N262" s="2" t="s">
        <v>33</v>
      </c>
      <c r="O262" s="2" t="s">
        <v>70</v>
      </c>
      <c r="P262" s="2" t="s">
        <v>26</v>
      </c>
    </row>
    <row r="263" spans="1:16" x14ac:dyDescent="0.25">
      <c r="A263" s="2" t="s">
        <v>740</v>
      </c>
      <c r="B263" s="2" t="s">
        <v>7031</v>
      </c>
      <c r="C263" s="2">
        <v>8480</v>
      </c>
      <c r="D263" s="2" t="s">
        <v>7032</v>
      </c>
      <c r="E263" s="2" t="s">
        <v>6698</v>
      </c>
      <c r="F263" s="2" t="s">
        <v>47</v>
      </c>
      <c r="G263" s="2">
        <v>10399.73</v>
      </c>
      <c r="H263" s="2">
        <v>6010.06</v>
      </c>
      <c r="I263" s="2" t="s">
        <v>6918</v>
      </c>
      <c r="J263" s="2" t="s">
        <v>6696</v>
      </c>
      <c r="K263" s="2" t="s">
        <v>42</v>
      </c>
      <c r="L263" s="2" t="s">
        <v>88</v>
      </c>
      <c r="M263" s="2">
        <v>4</v>
      </c>
      <c r="N263" s="2" t="s">
        <v>24</v>
      </c>
      <c r="O263" s="2" t="s">
        <v>70</v>
      </c>
      <c r="P263" s="2" t="s">
        <v>34</v>
      </c>
    </row>
    <row r="264" spans="1:16" x14ac:dyDescent="0.25">
      <c r="A264" s="2" t="s">
        <v>743</v>
      </c>
      <c r="B264" s="2" t="s">
        <v>2924</v>
      </c>
      <c r="C264" s="2">
        <v>8687</v>
      </c>
      <c r="D264" s="2" t="s">
        <v>7033</v>
      </c>
      <c r="E264" s="2" t="s">
        <v>6743</v>
      </c>
      <c r="F264" s="2" t="s">
        <v>47</v>
      </c>
      <c r="G264" s="2">
        <v>16645.689999999999</v>
      </c>
      <c r="H264" s="2">
        <v>9128.27</v>
      </c>
      <c r="I264" s="2" t="s">
        <v>6699</v>
      </c>
      <c r="J264" s="2" t="s">
        <v>6753</v>
      </c>
      <c r="K264" s="2" t="s">
        <v>80</v>
      </c>
      <c r="L264" s="2" t="s">
        <v>88</v>
      </c>
      <c r="M264" s="2">
        <v>1</v>
      </c>
      <c r="N264" s="2" t="s">
        <v>24</v>
      </c>
      <c r="O264" s="2" t="s">
        <v>70</v>
      </c>
      <c r="P264" s="2" t="s">
        <v>49</v>
      </c>
    </row>
    <row r="265" spans="1:16" x14ac:dyDescent="0.25">
      <c r="A265" s="2" t="s">
        <v>746</v>
      </c>
      <c r="B265" s="2" t="s">
        <v>865</v>
      </c>
      <c r="C265" s="2">
        <v>7199</v>
      </c>
      <c r="D265" s="2" t="s">
        <v>866</v>
      </c>
      <c r="E265" s="2" t="s">
        <v>18</v>
      </c>
      <c r="F265" s="2" t="s">
        <v>39</v>
      </c>
      <c r="G265" s="2">
        <v>9994.9500000000007</v>
      </c>
      <c r="H265" s="2">
        <v>5341.78</v>
      </c>
      <c r="I265" s="2" t="s">
        <v>59</v>
      </c>
      <c r="J265" s="2" t="s">
        <v>41</v>
      </c>
      <c r="K265" s="2" t="s">
        <v>32</v>
      </c>
      <c r="L265" s="2" t="s">
        <v>43</v>
      </c>
      <c r="M265" s="2">
        <v>5</v>
      </c>
      <c r="N265" s="2" t="s">
        <v>69</v>
      </c>
      <c r="O265" s="2" t="s">
        <v>70</v>
      </c>
      <c r="P265" s="2" t="s">
        <v>34</v>
      </c>
    </row>
    <row r="266" spans="1:16" x14ac:dyDescent="0.25">
      <c r="A266" s="2" t="s">
        <v>748</v>
      </c>
      <c r="B266" s="2" t="s">
        <v>7034</v>
      </c>
      <c r="C266" s="2">
        <v>5744</v>
      </c>
      <c r="D266" s="2" t="s">
        <v>7035</v>
      </c>
      <c r="E266" s="2" t="s">
        <v>6703</v>
      </c>
      <c r="F266" s="2" t="s">
        <v>39</v>
      </c>
      <c r="G266" s="2">
        <v>35021.82</v>
      </c>
      <c r="H266" s="2">
        <v>20086.62</v>
      </c>
      <c r="I266" s="2" t="s">
        <v>6845</v>
      </c>
      <c r="J266" s="2" t="s">
        <v>6696</v>
      </c>
      <c r="K266" s="2" t="s">
        <v>42</v>
      </c>
      <c r="L266" s="2" t="s">
        <v>48</v>
      </c>
      <c r="M266" s="2">
        <v>5</v>
      </c>
      <c r="N266" s="2" t="s">
        <v>24</v>
      </c>
      <c r="O266" s="2" t="s">
        <v>25</v>
      </c>
      <c r="P266" s="2" t="s">
        <v>26</v>
      </c>
    </row>
    <row r="267" spans="1:16" x14ac:dyDescent="0.25">
      <c r="A267" s="2" t="s">
        <v>750</v>
      </c>
      <c r="B267" s="2" t="s">
        <v>3341</v>
      </c>
      <c r="C267" s="2">
        <v>9086</v>
      </c>
      <c r="D267" s="2" t="s">
        <v>93</v>
      </c>
      <c r="E267" s="2" t="s">
        <v>18</v>
      </c>
      <c r="F267" s="2" t="s">
        <v>19</v>
      </c>
      <c r="G267" s="2">
        <v>8626.89</v>
      </c>
      <c r="H267" s="2">
        <v>4419.6899999999996</v>
      </c>
      <c r="I267" s="2" t="s">
        <v>53</v>
      </c>
      <c r="J267" s="2" t="s">
        <v>54</v>
      </c>
      <c r="K267" s="2" t="s">
        <v>80</v>
      </c>
      <c r="L267" s="2" t="s">
        <v>88</v>
      </c>
      <c r="M267" s="2">
        <v>4</v>
      </c>
      <c r="N267" s="2" t="s">
        <v>24</v>
      </c>
      <c r="O267" s="2" t="s">
        <v>25</v>
      </c>
      <c r="P267" s="2" t="s">
        <v>26</v>
      </c>
    </row>
    <row r="268" spans="1:16" x14ac:dyDescent="0.25">
      <c r="A268" s="2" t="s">
        <v>752</v>
      </c>
      <c r="B268" s="2" t="s">
        <v>600</v>
      </c>
      <c r="C268" s="2">
        <v>3975</v>
      </c>
      <c r="D268" s="2" t="s">
        <v>7036</v>
      </c>
      <c r="E268" s="2" t="s">
        <v>18</v>
      </c>
      <c r="F268" s="2" t="s">
        <v>39</v>
      </c>
      <c r="G268" s="2">
        <v>27418.55</v>
      </c>
      <c r="H268" s="2">
        <v>13709.71</v>
      </c>
      <c r="I268" s="2" t="s">
        <v>68</v>
      </c>
      <c r="J268" s="2" t="s">
        <v>41</v>
      </c>
      <c r="K268" s="2" t="s">
        <v>80</v>
      </c>
      <c r="L268" s="2" t="s">
        <v>55</v>
      </c>
      <c r="M268" s="2">
        <v>1</v>
      </c>
      <c r="N268" s="2" t="s">
        <v>69</v>
      </c>
      <c r="O268" s="2" t="s">
        <v>70</v>
      </c>
      <c r="P268" s="2" t="s">
        <v>34</v>
      </c>
    </row>
    <row r="269" spans="1:16" x14ac:dyDescent="0.25">
      <c r="A269" s="2" t="s">
        <v>754</v>
      </c>
      <c r="B269" s="2" t="s">
        <v>7037</v>
      </c>
      <c r="C269" s="2">
        <v>4415</v>
      </c>
      <c r="D269" s="2" t="s">
        <v>7038</v>
      </c>
      <c r="E269" s="2" t="s">
        <v>6719</v>
      </c>
      <c r="F269" s="2" t="s">
        <v>47</v>
      </c>
      <c r="G269" s="2">
        <v>7511.32</v>
      </c>
      <c r="H269" s="2">
        <v>4824.09</v>
      </c>
      <c r="I269" s="2" t="s">
        <v>6739</v>
      </c>
      <c r="J269" s="2" t="s">
        <v>54</v>
      </c>
      <c r="K269" s="2" t="s">
        <v>42</v>
      </c>
      <c r="L269" s="2" t="s">
        <v>23</v>
      </c>
      <c r="M269" s="2">
        <v>1</v>
      </c>
      <c r="N269" s="2" t="s">
        <v>24</v>
      </c>
      <c r="O269" s="2" t="s">
        <v>25</v>
      </c>
      <c r="P269" s="2" t="s">
        <v>26</v>
      </c>
    </row>
    <row r="270" spans="1:16" x14ac:dyDescent="0.25">
      <c r="A270" s="2" t="s">
        <v>757</v>
      </c>
      <c r="B270" s="2" t="s">
        <v>7039</v>
      </c>
      <c r="C270" s="2">
        <v>1246</v>
      </c>
      <c r="D270" s="2" t="s">
        <v>7040</v>
      </c>
      <c r="E270" s="2" t="s">
        <v>6694</v>
      </c>
      <c r="F270" s="2" t="s">
        <v>47</v>
      </c>
      <c r="G270" s="2">
        <v>7924.05</v>
      </c>
      <c r="H270" s="2">
        <v>4492.46</v>
      </c>
      <c r="I270" s="2" t="s">
        <v>6822</v>
      </c>
      <c r="J270" s="2" t="s">
        <v>6682</v>
      </c>
      <c r="K270" s="2" t="s">
        <v>80</v>
      </c>
      <c r="L270" s="2" t="s">
        <v>23</v>
      </c>
      <c r="M270" s="2">
        <v>1</v>
      </c>
      <c r="N270" s="2" t="s">
        <v>69</v>
      </c>
      <c r="O270" s="2" t="s">
        <v>25</v>
      </c>
      <c r="P270" s="2" t="s">
        <v>49</v>
      </c>
    </row>
    <row r="271" spans="1:16" x14ac:dyDescent="0.25">
      <c r="A271" s="2" t="s">
        <v>759</v>
      </c>
      <c r="B271" s="2" t="s">
        <v>4702</v>
      </c>
      <c r="C271" s="2">
        <v>1983</v>
      </c>
      <c r="D271" s="2" t="s">
        <v>7041</v>
      </c>
      <c r="E271" s="2" t="s">
        <v>18</v>
      </c>
      <c r="F271" s="2" t="s">
        <v>58</v>
      </c>
      <c r="G271" s="2">
        <v>15865.62</v>
      </c>
      <c r="H271" s="2">
        <v>7627.93</v>
      </c>
      <c r="I271" s="2" t="s">
        <v>20</v>
      </c>
      <c r="J271" s="2" t="s">
        <v>21</v>
      </c>
      <c r="K271" s="2" t="s">
        <v>22</v>
      </c>
      <c r="L271" s="2" t="s">
        <v>23</v>
      </c>
      <c r="M271" s="2">
        <v>4</v>
      </c>
      <c r="N271" s="2" t="s">
        <v>33</v>
      </c>
      <c r="O271" s="2" t="s">
        <v>70</v>
      </c>
      <c r="P271" s="2" t="s">
        <v>49</v>
      </c>
    </row>
    <row r="272" spans="1:16" x14ac:dyDescent="0.25">
      <c r="A272" s="2" t="s">
        <v>761</v>
      </c>
      <c r="B272" s="2" t="s">
        <v>7042</v>
      </c>
      <c r="C272" s="2">
        <v>3207</v>
      </c>
      <c r="D272" s="2" t="s">
        <v>7043</v>
      </c>
      <c r="E272" s="2" t="s">
        <v>6748</v>
      </c>
      <c r="F272" s="2" t="s">
        <v>19</v>
      </c>
      <c r="G272" s="2">
        <v>9298.4699999999993</v>
      </c>
      <c r="H272" s="2">
        <v>5086.82</v>
      </c>
      <c r="I272" s="2" t="s">
        <v>6681</v>
      </c>
      <c r="J272" s="2" t="s">
        <v>6682</v>
      </c>
      <c r="K272" s="2" t="s">
        <v>80</v>
      </c>
      <c r="L272" s="2" t="s">
        <v>43</v>
      </c>
      <c r="M272" s="2">
        <v>3</v>
      </c>
      <c r="N272" s="2" t="s">
        <v>24</v>
      </c>
      <c r="O272" s="2" t="s">
        <v>25</v>
      </c>
      <c r="P272" s="2" t="s">
        <v>49</v>
      </c>
    </row>
    <row r="273" spans="1:16" x14ac:dyDescent="0.25">
      <c r="A273" s="2" t="s">
        <v>763</v>
      </c>
      <c r="B273" s="2" t="s">
        <v>2123</v>
      </c>
      <c r="C273" s="2">
        <v>3539</v>
      </c>
      <c r="D273" s="2" t="s">
        <v>7044</v>
      </c>
      <c r="E273" s="2" t="s">
        <v>6698</v>
      </c>
      <c r="F273" s="2" t="s">
        <v>47</v>
      </c>
      <c r="G273" s="2">
        <v>5343.97</v>
      </c>
      <c r="H273" s="2">
        <v>2686.25</v>
      </c>
      <c r="I273" s="2" t="s">
        <v>6761</v>
      </c>
      <c r="J273" s="2" t="s">
        <v>6682</v>
      </c>
      <c r="K273" s="2" t="s">
        <v>42</v>
      </c>
      <c r="L273" s="2" t="s">
        <v>64</v>
      </c>
      <c r="M273" s="2">
        <v>1</v>
      </c>
      <c r="N273" s="2" t="s">
        <v>24</v>
      </c>
      <c r="O273" s="2" t="s">
        <v>25</v>
      </c>
      <c r="P273" s="2" t="s">
        <v>49</v>
      </c>
    </row>
    <row r="274" spans="1:16" x14ac:dyDescent="0.25">
      <c r="A274" s="2" t="s">
        <v>766</v>
      </c>
      <c r="B274" s="2" t="s">
        <v>5449</v>
      </c>
      <c r="C274" s="2">
        <v>9151</v>
      </c>
      <c r="D274" s="2" t="s">
        <v>7045</v>
      </c>
      <c r="E274" s="2" t="s">
        <v>18</v>
      </c>
      <c r="F274" s="2" t="s">
        <v>47</v>
      </c>
      <c r="G274" s="2">
        <v>12703.74</v>
      </c>
      <c r="H274" s="2">
        <v>6536.33</v>
      </c>
      <c r="I274" s="2" t="s">
        <v>6771</v>
      </c>
      <c r="J274" s="2" t="s">
        <v>6802</v>
      </c>
      <c r="K274" s="2" t="s">
        <v>42</v>
      </c>
      <c r="L274" s="2" t="s">
        <v>55</v>
      </c>
      <c r="M274" s="2">
        <v>1</v>
      </c>
      <c r="N274" s="2" t="s">
        <v>24</v>
      </c>
      <c r="O274" s="2" t="s">
        <v>25</v>
      </c>
      <c r="P274" s="2" t="s">
        <v>26</v>
      </c>
    </row>
    <row r="275" spans="1:16" x14ac:dyDescent="0.25">
      <c r="A275" s="2" t="s">
        <v>768</v>
      </c>
      <c r="B275" s="2" t="s">
        <v>685</v>
      </c>
      <c r="C275" s="2">
        <v>5193</v>
      </c>
      <c r="D275" s="2" t="s">
        <v>7046</v>
      </c>
      <c r="E275" s="2" t="s">
        <v>6756</v>
      </c>
      <c r="F275" s="2" t="s">
        <v>19</v>
      </c>
      <c r="G275" s="2">
        <v>10574.56</v>
      </c>
      <c r="H275" s="2">
        <v>6040.09</v>
      </c>
      <c r="I275" s="2" t="s">
        <v>84</v>
      </c>
      <c r="J275" s="2" t="s">
        <v>6700</v>
      </c>
      <c r="K275" s="2" t="s">
        <v>22</v>
      </c>
      <c r="L275" s="2" t="s">
        <v>55</v>
      </c>
      <c r="M275" s="2">
        <v>2</v>
      </c>
      <c r="N275" s="2" t="s">
        <v>24</v>
      </c>
      <c r="O275" s="2" t="s">
        <v>70</v>
      </c>
      <c r="P275" s="2" t="s">
        <v>26</v>
      </c>
    </row>
    <row r="276" spans="1:16" x14ac:dyDescent="0.25">
      <c r="A276" s="2" t="s">
        <v>771</v>
      </c>
      <c r="B276" s="2" t="s">
        <v>7047</v>
      </c>
      <c r="C276" s="2">
        <v>5355</v>
      </c>
      <c r="D276" s="2" t="s">
        <v>7048</v>
      </c>
      <c r="E276" s="2" t="s">
        <v>6694</v>
      </c>
      <c r="F276" s="2" t="s">
        <v>47</v>
      </c>
      <c r="G276" s="2">
        <v>14598.44</v>
      </c>
      <c r="H276" s="2">
        <v>9005.65</v>
      </c>
      <c r="I276" s="2" t="s">
        <v>6726</v>
      </c>
      <c r="J276" s="2" t="s">
        <v>6789</v>
      </c>
      <c r="K276" s="2" t="s">
        <v>22</v>
      </c>
      <c r="L276" s="2" t="s">
        <v>23</v>
      </c>
      <c r="M276" s="2">
        <v>5</v>
      </c>
      <c r="N276" s="2" t="s">
        <v>33</v>
      </c>
      <c r="O276" s="2" t="s">
        <v>70</v>
      </c>
      <c r="P276" s="2" t="s">
        <v>49</v>
      </c>
    </row>
    <row r="277" spans="1:16" x14ac:dyDescent="0.25">
      <c r="A277" s="2" t="s">
        <v>774</v>
      </c>
      <c r="B277" s="2" t="s">
        <v>7049</v>
      </c>
      <c r="C277" s="2">
        <v>6864</v>
      </c>
      <c r="D277" s="2" t="s">
        <v>7050</v>
      </c>
      <c r="E277" s="2" t="s">
        <v>6698</v>
      </c>
      <c r="F277" s="2" t="s">
        <v>30</v>
      </c>
      <c r="G277" s="2">
        <v>72779.11</v>
      </c>
      <c r="H277" s="2">
        <v>38967.03</v>
      </c>
      <c r="I277" s="2" t="s">
        <v>6915</v>
      </c>
      <c r="J277" s="2" t="s">
        <v>6789</v>
      </c>
      <c r="K277" s="2" t="s">
        <v>22</v>
      </c>
      <c r="L277" s="2" t="s">
        <v>23</v>
      </c>
      <c r="M277" s="2">
        <v>2</v>
      </c>
      <c r="N277" s="2" t="s">
        <v>24</v>
      </c>
      <c r="O277" s="2" t="s">
        <v>25</v>
      </c>
      <c r="P277" s="2" t="s">
        <v>49</v>
      </c>
    </row>
    <row r="278" spans="1:16" x14ac:dyDescent="0.25">
      <c r="A278" s="2" t="s">
        <v>775</v>
      </c>
      <c r="B278" s="2" t="s">
        <v>7051</v>
      </c>
      <c r="C278" s="2">
        <v>6299</v>
      </c>
      <c r="D278" s="2" t="s">
        <v>7052</v>
      </c>
      <c r="E278" s="2" t="s">
        <v>18</v>
      </c>
      <c r="F278" s="2" t="s">
        <v>47</v>
      </c>
      <c r="G278" s="2">
        <v>7154.48</v>
      </c>
      <c r="H278" s="2">
        <v>3525.62</v>
      </c>
      <c r="I278" s="2" t="s">
        <v>6681</v>
      </c>
      <c r="J278" s="2" t="s">
        <v>41</v>
      </c>
      <c r="K278" s="2" t="s">
        <v>42</v>
      </c>
      <c r="L278" s="2" t="s">
        <v>88</v>
      </c>
      <c r="M278" s="2">
        <v>4</v>
      </c>
      <c r="N278" s="2" t="s">
        <v>33</v>
      </c>
      <c r="O278" s="2" t="s">
        <v>25</v>
      </c>
      <c r="P278" s="2" t="s">
        <v>49</v>
      </c>
    </row>
    <row r="279" spans="1:16" x14ac:dyDescent="0.25">
      <c r="A279" s="2" t="s">
        <v>777</v>
      </c>
      <c r="B279" s="2" t="s">
        <v>7053</v>
      </c>
      <c r="C279" s="2">
        <v>9376</v>
      </c>
      <c r="D279" s="2" t="s">
        <v>7054</v>
      </c>
      <c r="E279" s="2" t="s">
        <v>6694</v>
      </c>
      <c r="F279" s="2" t="s">
        <v>58</v>
      </c>
      <c r="G279" s="2">
        <v>13786.35</v>
      </c>
      <c r="H279" s="2">
        <v>7473.22</v>
      </c>
      <c r="I279" s="2" t="s">
        <v>6690</v>
      </c>
      <c r="J279" s="2" t="s">
        <v>6691</v>
      </c>
      <c r="K279" s="2" t="s">
        <v>32</v>
      </c>
      <c r="L279" s="2" t="s">
        <v>23</v>
      </c>
      <c r="M279" s="2">
        <v>3</v>
      </c>
      <c r="N279" s="2" t="s">
        <v>33</v>
      </c>
      <c r="O279" s="2" t="s">
        <v>25</v>
      </c>
      <c r="P279" s="2" t="s">
        <v>26</v>
      </c>
    </row>
    <row r="280" spans="1:16" x14ac:dyDescent="0.25">
      <c r="A280" s="2" t="s">
        <v>780</v>
      </c>
      <c r="B280" s="2" t="s">
        <v>1766</v>
      </c>
      <c r="C280" s="2">
        <v>8999</v>
      </c>
      <c r="D280" s="2" t="s">
        <v>7055</v>
      </c>
      <c r="E280" s="2" t="s">
        <v>18</v>
      </c>
      <c r="F280" s="2" t="s">
        <v>58</v>
      </c>
      <c r="G280" s="2">
        <v>22517.67</v>
      </c>
      <c r="H280" s="2">
        <v>11485.78</v>
      </c>
      <c r="I280" s="2" t="s">
        <v>6761</v>
      </c>
      <c r="J280" s="2" t="s">
        <v>6713</v>
      </c>
      <c r="K280" s="2" t="s">
        <v>80</v>
      </c>
      <c r="L280" s="2" t="s">
        <v>55</v>
      </c>
      <c r="M280" s="2">
        <v>1</v>
      </c>
      <c r="N280" s="2" t="s">
        <v>69</v>
      </c>
      <c r="O280" s="2" t="s">
        <v>25</v>
      </c>
      <c r="P280" s="2" t="s">
        <v>34</v>
      </c>
    </row>
    <row r="281" spans="1:16" x14ac:dyDescent="0.25">
      <c r="A281" s="2" t="s">
        <v>783</v>
      </c>
      <c r="B281" s="2" t="s">
        <v>3289</v>
      </c>
      <c r="C281" s="2">
        <v>1886</v>
      </c>
      <c r="D281" s="2" t="s">
        <v>7056</v>
      </c>
      <c r="E281" s="2" t="s">
        <v>38</v>
      </c>
      <c r="F281" s="2" t="s">
        <v>47</v>
      </c>
      <c r="G281" s="2">
        <v>10413.01</v>
      </c>
      <c r="H281" s="2">
        <v>5350.86</v>
      </c>
      <c r="I281" s="2" t="s">
        <v>31</v>
      </c>
      <c r="J281" s="2" t="s">
        <v>21</v>
      </c>
      <c r="K281" s="2" t="s">
        <v>32</v>
      </c>
      <c r="L281" s="2" t="s">
        <v>88</v>
      </c>
      <c r="M281" s="2">
        <v>5</v>
      </c>
      <c r="N281" s="2" t="s">
        <v>24</v>
      </c>
      <c r="O281" s="2" t="s">
        <v>25</v>
      </c>
      <c r="P281" s="2" t="s">
        <v>49</v>
      </c>
    </row>
    <row r="282" spans="1:16" x14ac:dyDescent="0.25">
      <c r="A282" s="2" t="s">
        <v>786</v>
      </c>
      <c r="B282" s="2" t="s">
        <v>7057</v>
      </c>
      <c r="C282" s="2">
        <v>8076</v>
      </c>
      <c r="D282" s="2" t="s">
        <v>7058</v>
      </c>
      <c r="E282" s="2" t="s">
        <v>6708</v>
      </c>
      <c r="F282" s="2" t="s">
        <v>19</v>
      </c>
      <c r="G282" s="2">
        <v>20565.23</v>
      </c>
      <c r="H282" s="2">
        <v>9863.14</v>
      </c>
      <c r="I282" s="2" t="s">
        <v>6728</v>
      </c>
      <c r="J282" s="2" t="s">
        <v>6729</v>
      </c>
      <c r="K282" s="2" t="s">
        <v>42</v>
      </c>
      <c r="L282" s="2" t="s">
        <v>55</v>
      </c>
      <c r="M282" s="2">
        <v>4</v>
      </c>
      <c r="N282" s="2" t="s">
        <v>24</v>
      </c>
      <c r="O282" s="2" t="s">
        <v>25</v>
      </c>
      <c r="P282" s="2" t="s">
        <v>34</v>
      </c>
    </row>
    <row r="283" spans="1:16" x14ac:dyDescent="0.25">
      <c r="A283" s="2" t="s">
        <v>788</v>
      </c>
      <c r="B283" s="2" t="s">
        <v>2242</v>
      </c>
      <c r="C283" s="2">
        <v>9589</v>
      </c>
      <c r="D283" s="2" t="s">
        <v>7059</v>
      </c>
      <c r="E283" s="2" t="s">
        <v>6743</v>
      </c>
      <c r="F283" s="2" t="s">
        <v>30</v>
      </c>
      <c r="G283" s="2">
        <v>34142.35</v>
      </c>
      <c r="H283" s="2">
        <v>17182.189999999999</v>
      </c>
      <c r="I283" s="2" t="s">
        <v>6915</v>
      </c>
      <c r="J283" s="2" t="s">
        <v>6789</v>
      </c>
      <c r="K283" s="2" t="s">
        <v>80</v>
      </c>
      <c r="L283" s="2" t="s">
        <v>88</v>
      </c>
      <c r="M283" s="2">
        <v>5</v>
      </c>
      <c r="N283" s="2" t="s">
        <v>33</v>
      </c>
      <c r="O283" s="2" t="s">
        <v>70</v>
      </c>
      <c r="P283" s="2" t="s">
        <v>34</v>
      </c>
    </row>
    <row r="284" spans="1:16" x14ac:dyDescent="0.25">
      <c r="A284" s="2" t="s">
        <v>791</v>
      </c>
      <c r="B284" s="2" t="s">
        <v>3855</v>
      </c>
      <c r="C284" s="2">
        <v>3389</v>
      </c>
      <c r="D284" s="2" t="s">
        <v>7060</v>
      </c>
      <c r="E284" s="2" t="s">
        <v>6680</v>
      </c>
      <c r="F284" s="2" t="s">
        <v>58</v>
      </c>
      <c r="G284" s="2">
        <v>9660.4699999999993</v>
      </c>
      <c r="H284" s="2">
        <v>5928</v>
      </c>
      <c r="I284" s="2" t="s">
        <v>6726</v>
      </c>
      <c r="J284" s="2" t="s">
        <v>6696</v>
      </c>
      <c r="K284" s="2" t="s">
        <v>32</v>
      </c>
      <c r="L284" s="2" t="s">
        <v>48</v>
      </c>
      <c r="M284" s="2">
        <v>3</v>
      </c>
      <c r="N284" s="2" t="s">
        <v>33</v>
      </c>
      <c r="O284" s="2" t="s">
        <v>70</v>
      </c>
      <c r="P284" s="2" t="s">
        <v>26</v>
      </c>
    </row>
    <row r="285" spans="1:16" x14ac:dyDescent="0.25">
      <c r="A285" s="2" t="s">
        <v>793</v>
      </c>
      <c r="B285" s="2" t="s">
        <v>322</v>
      </c>
      <c r="C285" s="2">
        <v>6437</v>
      </c>
      <c r="D285" s="2" t="s">
        <v>7061</v>
      </c>
      <c r="E285" s="2" t="s">
        <v>18</v>
      </c>
      <c r="F285" s="2" t="s">
        <v>47</v>
      </c>
      <c r="G285" s="2">
        <v>14100.19</v>
      </c>
      <c r="H285" s="2">
        <v>6942.58</v>
      </c>
      <c r="I285" s="2" t="s">
        <v>84</v>
      </c>
      <c r="J285" s="2" t="s">
        <v>54</v>
      </c>
      <c r="K285" s="2" t="s">
        <v>42</v>
      </c>
      <c r="L285" s="2" t="s">
        <v>43</v>
      </c>
      <c r="M285" s="2">
        <v>4</v>
      </c>
      <c r="N285" s="2" t="s">
        <v>24</v>
      </c>
      <c r="O285" s="2" t="s">
        <v>70</v>
      </c>
      <c r="P285" s="2" t="s">
        <v>49</v>
      </c>
    </row>
    <row r="286" spans="1:16" x14ac:dyDescent="0.25">
      <c r="A286" s="2" t="s">
        <v>796</v>
      </c>
      <c r="B286" s="2" t="s">
        <v>4973</v>
      </c>
      <c r="C286" s="2">
        <v>1984</v>
      </c>
      <c r="D286" s="2" t="s">
        <v>7062</v>
      </c>
      <c r="E286" s="2" t="s">
        <v>38</v>
      </c>
      <c r="F286" s="2" t="s">
        <v>47</v>
      </c>
      <c r="G286" s="2">
        <v>6912.01</v>
      </c>
      <c r="H286" s="2">
        <v>4073.28</v>
      </c>
      <c r="I286" s="2" t="s">
        <v>84</v>
      </c>
      <c r="J286" s="2" t="s">
        <v>54</v>
      </c>
      <c r="K286" s="2" t="s">
        <v>42</v>
      </c>
      <c r="L286" s="2" t="s">
        <v>55</v>
      </c>
      <c r="M286" s="2">
        <v>4</v>
      </c>
      <c r="N286" s="2" t="s">
        <v>24</v>
      </c>
      <c r="O286" s="2" t="s">
        <v>25</v>
      </c>
      <c r="P286" s="2" t="s">
        <v>34</v>
      </c>
    </row>
    <row r="287" spans="1:16" x14ac:dyDescent="0.25">
      <c r="A287" s="2" t="s">
        <v>799</v>
      </c>
      <c r="B287" s="2" t="s">
        <v>6940</v>
      </c>
      <c r="C287" s="2">
        <v>7332</v>
      </c>
      <c r="D287" s="2" t="s">
        <v>7063</v>
      </c>
      <c r="E287" s="2" t="s">
        <v>6756</v>
      </c>
      <c r="F287" s="2" t="s">
        <v>39</v>
      </c>
      <c r="G287" s="2">
        <v>33433.19</v>
      </c>
      <c r="H287" s="2">
        <v>18445.36</v>
      </c>
      <c r="I287" s="2" t="s">
        <v>31</v>
      </c>
      <c r="J287" s="2" t="s">
        <v>21</v>
      </c>
      <c r="K287" s="2" t="s">
        <v>22</v>
      </c>
      <c r="L287" s="2" t="s">
        <v>88</v>
      </c>
      <c r="M287" s="2">
        <v>4</v>
      </c>
      <c r="N287" s="2" t="s">
        <v>69</v>
      </c>
      <c r="O287" s="2" t="s">
        <v>25</v>
      </c>
      <c r="P287" s="2" t="s">
        <v>26</v>
      </c>
    </row>
    <row r="288" spans="1:16" x14ac:dyDescent="0.25">
      <c r="A288" s="2" t="s">
        <v>801</v>
      </c>
      <c r="B288" s="2" t="s">
        <v>4098</v>
      </c>
      <c r="C288" s="2">
        <v>6681</v>
      </c>
      <c r="D288" s="2" t="s">
        <v>3639</v>
      </c>
      <c r="E288" s="2" t="s">
        <v>38</v>
      </c>
      <c r="F288" s="2" t="s">
        <v>39</v>
      </c>
      <c r="G288" s="2">
        <v>25843.919999999998</v>
      </c>
      <c r="H288" s="2">
        <v>13192.42</v>
      </c>
      <c r="I288" s="2" t="s">
        <v>84</v>
      </c>
      <c r="J288" s="2" t="s">
        <v>54</v>
      </c>
      <c r="K288" s="2" t="s">
        <v>42</v>
      </c>
      <c r="L288" s="2" t="s">
        <v>55</v>
      </c>
      <c r="M288" s="2">
        <v>3</v>
      </c>
      <c r="N288" s="2" t="s">
        <v>69</v>
      </c>
      <c r="O288" s="2" t="s">
        <v>70</v>
      </c>
      <c r="P288" s="2" t="s">
        <v>26</v>
      </c>
    </row>
    <row r="289" spans="1:16" x14ac:dyDescent="0.25">
      <c r="A289" s="2" t="s">
        <v>804</v>
      </c>
      <c r="B289" s="2" t="s">
        <v>2543</v>
      </c>
      <c r="C289" s="2">
        <v>2438</v>
      </c>
      <c r="D289" s="2" t="s">
        <v>7064</v>
      </c>
      <c r="E289" s="2" t="s">
        <v>38</v>
      </c>
      <c r="F289" s="2" t="s">
        <v>58</v>
      </c>
      <c r="G289" s="2">
        <v>25562.400000000001</v>
      </c>
      <c r="H289" s="2">
        <v>14969.32</v>
      </c>
      <c r="I289" s="2" t="s">
        <v>68</v>
      </c>
      <c r="J289" s="2" t="s">
        <v>41</v>
      </c>
      <c r="K289" s="2" t="s">
        <v>32</v>
      </c>
      <c r="L289" s="2" t="s">
        <v>64</v>
      </c>
      <c r="M289" s="2">
        <v>2</v>
      </c>
      <c r="N289" s="2" t="s">
        <v>24</v>
      </c>
      <c r="O289" s="2" t="s">
        <v>25</v>
      </c>
      <c r="P289" s="2" t="s">
        <v>34</v>
      </c>
    </row>
    <row r="290" spans="1:16" x14ac:dyDescent="0.25">
      <c r="A290" s="2" t="s">
        <v>807</v>
      </c>
      <c r="B290" s="2" t="s">
        <v>7065</v>
      </c>
      <c r="C290" s="2">
        <v>4314</v>
      </c>
      <c r="D290" s="2" t="s">
        <v>7066</v>
      </c>
      <c r="E290" s="2" t="s">
        <v>6694</v>
      </c>
      <c r="F290" s="2" t="s">
        <v>58</v>
      </c>
      <c r="G290" s="2">
        <v>26817.46</v>
      </c>
      <c r="H290" s="2">
        <v>15849.85</v>
      </c>
      <c r="I290" s="2" t="s">
        <v>84</v>
      </c>
      <c r="J290" s="2" t="s">
        <v>6729</v>
      </c>
      <c r="K290" s="2" t="s">
        <v>32</v>
      </c>
      <c r="L290" s="2" t="s">
        <v>64</v>
      </c>
      <c r="M290" s="2">
        <v>2</v>
      </c>
      <c r="N290" s="2" t="s">
        <v>24</v>
      </c>
      <c r="O290" s="2" t="s">
        <v>25</v>
      </c>
      <c r="P290" s="2" t="s">
        <v>26</v>
      </c>
    </row>
    <row r="291" spans="1:16" x14ac:dyDescent="0.25">
      <c r="A291" s="2" t="s">
        <v>810</v>
      </c>
      <c r="B291" s="2" t="s">
        <v>262</v>
      </c>
      <c r="C291" s="2">
        <v>5970</v>
      </c>
      <c r="D291" s="2" t="s">
        <v>7067</v>
      </c>
      <c r="E291" s="2" t="s">
        <v>38</v>
      </c>
      <c r="F291" s="2" t="s">
        <v>19</v>
      </c>
      <c r="G291" s="2">
        <v>21467.01</v>
      </c>
      <c r="H291" s="2">
        <v>13188.04</v>
      </c>
      <c r="I291" s="2" t="s">
        <v>63</v>
      </c>
      <c r="J291" s="2" t="s">
        <v>54</v>
      </c>
      <c r="K291" s="2" t="s">
        <v>42</v>
      </c>
      <c r="L291" s="2" t="s">
        <v>23</v>
      </c>
      <c r="M291" s="2">
        <v>2</v>
      </c>
      <c r="N291" s="2" t="s">
        <v>33</v>
      </c>
      <c r="O291" s="2" t="s">
        <v>25</v>
      </c>
      <c r="P291" s="2" t="s">
        <v>49</v>
      </c>
    </row>
    <row r="292" spans="1:16" x14ac:dyDescent="0.25">
      <c r="A292" s="2" t="s">
        <v>813</v>
      </c>
      <c r="B292" s="2" t="s">
        <v>7068</v>
      </c>
      <c r="C292" s="2">
        <v>6886</v>
      </c>
      <c r="D292" s="2" t="s">
        <v>7069</v>
      </c>
      <c r="E292" s="2" t="s">
        <v>18</v>
      </c>
      <c r="F292" s="2" t="s">
        <v>39</v>
      </c>
      <c r="G292" s="2">
        <v>25252.36</v>
      </c>
      <c r="H292" s="2">
        <v>13770.63</v>
      </c>
      <c r="I292" s="2" t="s">
        <v>6771</v>
      </c>
      <c r="J292" s="2" t="s">
        <v>21</v>
      </c>
      <c r="K292" s="2" t="s">
        <v>80</v>
      </c>
      <c r="L292" s="2" t="s">
        <v>48</v>
      </c>
      <c r="M292" s="2">
        <v>3</v>
      </c>
      <c r="N292" s="2" t="s">
        <v>33</v>
      </c>
      <c r="O292" s="2" t="s">
        <v>25</v>
      </c>
      <c r="P292" s="2" t="s">
        <v>34</v>
      </c>
    </row>
    <row r="293" spans="1:16" x14ac:dyDescent="0.25">
      <c r="A293" s="2" t="s">
        <v>815</v>
      </c>
      <c r="B293" s="2" t="s">
        <v>402</v>
      </c>
      <c r="C293" s="2">
        <v>2083</v>
      </c>
      <c r="D293" s="2" t="s">
        <v>7070</v>
      </c>
      <c r="E293" s="2" t="s">
        <v>18</v>
      </c>
      <c r="F293" s="2" t="s">
        <v>39</v>
      </c>
      <c r="G293" s="2">
        <v>32425.18</v>
      </c>
      <c r="H293" s="2">
        <v>20983.16</v>
      </c>
      <c r="I293" s="2" t="s">
        <v>6799</v>
      </c>
      <c r="J293" s="2" t="s">
        <v>6713</v>
      </c>
      <c r="K293" s="2" t="s">
        <v>80</v>
      </c>
      <c r="L293" s="2" t="s">
        <v>48</v>
      </c>
      <c r="M293" s="2">
        <v>3</v>
      </c>
      <c r="N293" s="2" t="s">
        <v>69</v>
      </c>
      <c r="O293" s="2" t="s">
        <v>70</v>
      </c>
      <c r="P293" s="2" t="s">
        <v>34</v>
      </c>
    </row>
    <row r="294" spans="1:16" x14ac:dyDescent="0.25">
      <c r="A294" s="2" t="s">
        <v>817</v>
      </c>
      <c r="B294" s="2" t="s">
        <v>2440</v>
      </c>
      <c r="C294" s="2">
        <v>9784</v>
      </c>
      <c r="D294" s="2" t="s">
        <v>7071</v>
      </c>
      <c r="E294" s="2" t="s">
        <v>18</v>
      </c>
      <c r="F294" s="2" t="s">
        <v>39</v>
      </c>
      <c r="G294" s="2">
        <v>20856.47</v>
      </c>
      <c r="H294" s="2">
        <v>11269.21</v>
      </c>
      <c r="I294" s="2" t="s">
        <v>40</v>
      </c>
      <c r="J294" s="2" t="s">
        <v>41</v>
      </c>
      <c r="K294" s="2" t="s">
        <v>22</v>
      </c>
      <c r="L294" s="2" t="s">
        <v>23</v>
      </c>
      <c r="M294" s="2">
        <v>5</v>
      </c>
      <c r="N294" s="2" t="s">
        <v>24</v>
      </c>
      <c r="O294" s="2" t="s">
        <v>70</v>
      </c>
      <c r="P294" s="2" t="s">
        <v>26</v>
      </c>
    </row>
    <row r="295" spans="1:16" x14ac:dyDescent="0.25">
      <c r="A295" s="2" t="s">
        <v>820</v>
      </c>
      <c r="B295" s="2" t="s">
        <v>1492</v>
      </c>
      <c r="C295" s="2">
        <v>5989</v>
      </c>
      <c r="D295" s="2" t="s">
        <v>7072</v>
      </c>
      <c r="E295" s="2" t="s">
        <v>6748</v>
      </c>
      <c r="F295" s="2" t="s">
        <v>47</v>
      </c>
      <c r="G295" s="2">
        <v>7026.81</v>
      </c>
      <c r="H295" s="2">
        <v>3755.78</v>
      </c>
      <c r="I295" s="2" t="s">
        <v>31</v>
      </c>
      <c r="J295" s="2" t="s">
        <v>6802</v>
      </c>
      <c r="K295" s="2" t="s">
        <v>22</v>
      </c>
      <c r="L295" s="2" t="s">
        <v>48</v>
      </c>
      <c r="M295" s="2">
        <v>5</v>
      </c>
      <c r="N295" s="2" t="s">
        <v>69</v>
      </c>
      <c r="O295" s="2" t="s">
        <v>25</v>
      </c>
      <c r="P295" s="2" t="s">
        <v>49</v>
      </c>
    </row>
    <row r="296" spans="1:16" x14ac:dyDescent="0.25">
      <c r="A296" s="2" t="s">
        <v>822</v>
      </c>
      <c r="B296" s="2" t="s">
        <v>960</v>
      </c>
      <c r="C296" s="2">
        <v>1408</v>
      </c>
      <c r="D296" s="2" t="s">
        <v>961</v>
      </c>
      <c r="E296" s="2" t="s">
        <v>18</v>
      </c>
      <c r="F296" s="2" t="s">
        <v>30</v>
      </c>
      <c r="G296" s="2">
        <v>45118.69</v>
      </c>
      <c r="H296" s="2">
        <v>28394.25</v>
      </c>
      <c r="I296" s="2" t="s">
        <v>31</v>
      </c>
      <c r="J296" s="2" t="s">
        <v>21</v>
      </c>
      <c r="K296" s="2" t="s">
        <v>32</v>
      </c>
      <c r="L296" s="2" t="s">
        <v>64</v>
      </c>
      <c r="M296" s="2">
        <v>1</v>
      </c>
      <c r="N296" s="2" t="s">
        <v>33</v>
      </c>
      <c r="O296" s="2" t="s">
        <v>70</v>
      </c>
      <c r="P296" s="2" t="s">
        <v>49</v>
      </c>
    </row>
    <row r="297" spans="1:16" x14ac:dyDescent="0.25">
      <c r="A297" s="2" t="s">
        <v>825</v>
      </c>
      <c r="B297" s="2" t="s">
        <v>1734</v>
      </c>
      <c r="C297" s="2">
        <v>2397</v>
      </c>
      <c r="D297" s="2" t="s">
        <v>7073</v>
      </c>
      <c r="E297" s="2" t="s">
        <v>38</v>
      </c>
      <c r="F297" s="2" t="s">
        <v>58</v>
      </c>
      <c r="G297" s="2">
        <v>43617.91</v>
      </c>
      <c r="H297" s="2">
        <v>28135.22</v>
      </c>
      <c r="I297" s="2" t="s">
        <v>20</v>
      </c>
      <c r="J297" s="2" t="s">
        <v>21</v>
      </c>
      <c r="K297" s="2" t="s">
        <v>32</v>
      </c>
      <c r="L297" s="2" t="s">
        <v>64</v>
      </c>
      <c r="M297" s="2">
        <v>5</v>
      </c>
      <c r="N297" s="2" t="s">
        <v>33</v>
      </c>
      <c r="O297" s="2" t="s">
        <v>70</v>
      </c>
      <c r="P297" s="2" t="s">
        <v>34</v>
      </c>
    </row>
    <row r="298" spans="1:16" x14ac:dyDescent="0.25">
      <c r="A298" s="2" t="s">
        <v>828</v>
      </c>
      <c r="B298" s="2" t="s">
        <v>7074</v>
      </c>
      <c r="C298" s="2">
        <v>7874</v>
      </c>
      <c r="D298" s="2" t="s">
        <v>7075</v>
      </c>
      <c r="E298" s="2" t="s">
        <v>6708</v>
      </c>
      <c r="F298" s="2" t="s">
        <v>58</v>
      </c>
      <c r="G298" s="2">
        <v>16534.349999999999</v>
      </c>
      <c r="H298" s="2">
        <v>9982.2199999999993</v>
      </c>
      <c r="I298" s="2" t="s">
        <v>6723</v>
      </c>
      <c r="J298" s="2" t="s">
        <v>6789</v>
      </c>
      <c r="K298" s="2" t="s">
        <v>80</v>
      </c>
      <c r="L298" s="2" t="s">
        <v>88</v>
      </c>
      <c r="M298" s="2">
        <v>2</v>
      </c>
      <c r="N298" s="2" t="s">
        <v>33</v>
      </c>
      <c r="O298" s="2" t="s">
        <v>25</v>
      </c>
      <c r="P298" s="2" t="s">
        <v>26</v>
      </c>
    </row>
    <row r="299" spans="1:16" x14ac:dyDescent="0.25">
      <c r="A299" s="2" t="s">
        <v>831</v>
      </c>
      <c r="B299" s="2" t="s">
        <v>7076</v>
      </c>
      <c r="C299" s="2">
        <v>8794</v>
      </c>
      <c r="D299" s="2" t="s">
        <v>7077</v>
      </c>
      <c r="E299" s="2" t="s">
        <v>6748</v>
      </c>
      <c r="F299" s="2" t="s">
        <v>47</v>
      </c>
      <c r="G299" s="2">
        <v>4862.1400000000003</v>
      </c>
      <c r="H299" s="2">
        <v>2265.1799999999998</v>
      </c>
      <c r="I299" s="2" t="s">
        <v>6761</v>
      </c>
      <c r="J299" s="2" t="s">
        <v>41</v>
      </c>
      <c r="K299" s="2" t="s">
        <v>22</v>
      </c>
      <c r="L299" s="2" t="s">
        <v>23</v>
      </c>
      <c r="M299" s="2">
        <v>5</v>
      </c>
      <c r="N299" s="2" t="s">
        <v>33</v>
      </c>
      <c r="O299" s="2" t="s">
        <v>70</v>
      </c>
      <c r="P299" s="2" t="s">
        <v>26</v>
      </c>
    </row>
    <row r="300" spans="1:16" x14ac:dyDescent="0.25">
      <c r="A300" s="2" t="s">
        <v>834</v>
      </c>
      <c r="B300" s="2" t="s">
        <v>7078</v>
      </c>
      <c r="C300" s="2">
        <v>7831</v>
      </c>
      <c r="D300" s="2" t="s">
        <v>7079</v>
      </c>
      <c r="E300" s="2" t="s">
        <v>18</v>
      </c>
      <c r="F300" s="2" t="s">
        <v>39</v>
      </c>
      <c r="G300" s="2">
        <v>15405.08</v>
      </c>
      <c r="H300" s="2">
        <v>7808.47</v>
      </c>
      <c r="I300" s="2" t="s">
        <v>6771</v>
      </c>
      <c r="J300" s="2" t="s">
        <v>6789</v>
      </c>
      <c r="K300" s="2" t="s">
        <v>32</v>
      </c>
      <c r="L300" s="2" t="s">
        <v>64</v>
      </c>
      <c r="M300" s="2">
        <v>5</v>
      </c>
      <c r="N300" s="2" t="s">
        <v>33</v>
      </c>
      <c r="O300" s="2" t="s">
        <v>25</v>
      </c>
      <c r="P300" s="2" t="s">
        <v>34</v>
      </c>
    </row>
    <row r="301" spans="1:16" x14ac:dyDescent="0.25">
      <c r="A301" s="2" t="s">
        <v>836</v>
      </c>
      <c r="B301" s="2" t="s">
        <v>2882</v>
      </c>
      <c r="C301" s="2">
        <v>9635</v>
      </c>
      <c r="D301" s="2" t="s">
        <v>7080</v>
      </c>
      <c r="E301" s="2" t="s">
        <v>6748</v>
      </c>
      <c r="F301" s="2" t="s">
        <v>58</v>
      </c>
      <c r="G301" s="2">
        <v>37828.44</v>
      </c>
      <c r="H301" s="2">
        <v>22287.23</v>
      </c>
      <c r="I301" s="2" t="s">
        <v>6812</v>
      </c>
      <c r="J301" s="2" t="s">
        <v>6753</v>
      </c>
      <c r="K301" s="2" t="s">
        <v>22</v>
      </c>
      <c r="L301" s="2" t="s">
        <v>55</v>
      </c>
      <c r="M301" s="2">
        <v>5</v>
      </c>
      <c r="N301" s="2" t="s">
        <v>24</v>
      </c>
      <c r="O301" s="2" t="s">
        <v>70</v>
      </c>
      <c r="P301" s="2" t="s">
        <v>26</v>
      </c>
    </row>
    <row r="302" spans="1:16" x14ac:dyDescent="0.25">
      <c r="A302" s="2" t="s">
        <v>838</v>
      </c>
      <c r="B302" s="2" t="s">
        <v>310</v>
      </c>
      <c r="C302" s="2">
        <v>3125</v>
      </c>
      <c r="D302" s="2" t="s">
        <v>7081</v>
      </c>
      <c r="E302" s="2" t="s">
        <v>6748</v>
      </c>
      <c r="F302" s="2" t="s">
        <v>39</v>
      </c>
      <c r="G302" s="2">
        <v>27772.84</v>
      </c>
      <c r="H302" s="2">
        <v>16007.47</v>
      </c>
      <c r="I302" s="2" t="s">
        <v>6726</v>
      </c>
      <c r="J302" s="2" t="s">
        <v>6789</v>
      </c>
      <c r="K302" s="2" t="s">
        <v>80</v>
      </c>
      <c r="L302" s="2" t="s">
        <v>23</v>
      </c>
      <c r="M302" s="2">
        <v>5</v>
      </c>
      <c r="N302" s="2" t="s">
        <v>33</v>
      </c>
      <c r="O302" s="2" t="s">
        <v>25</v>
      </c>
      <c r="P302" s="2" t="s">
        <v>26</v>
      </c>
    </row>
    <row r="303" spans="1:16" x14ac:dyDescent="0.25">
      <c r="A303" s="2" t="s">
        <v>840</v>
      </c>
      <c r="B303" s="2" t="s">
        <v>7082</v>
      </c>
      <c r="C303" s="2">
        <v>1185</v>
      </c>
      <c r="D303" s="2" t="s">
        <v>7083</v>
      </c>
      <c r="E303" s="2" t="s">
        <v>32</v>
      </c>
      <c r="F303" s="2" t="s">
        <v>58</v>
      </c>
      <c r="G303" s="2">
        <v>25147.97</v>
      </c>
      <c r="H303" s="2">
        <v>12596.2</v>
      </c>
      <c r="I303" s="2" t="s">
        <v>6799</v>
      </c>
      <c r="J303" s="2" t="s">
        <v>6793</v>
      </c>
      <c r="K303" s="2" t="s">
        <v>22</v>
      </c>
      <c r="L303" s="2" t="s">
        <v>88</v>
      </c>
      <c r="M303" s="2">
        <v>3</v>
      </c>
      <c r="N303" s="2" t="s">
        <v>24</v>
      </c>
      <c r="O303" s="2" t="s">
        <v>25</v>
      </c>
      <c r="P303" s="2" t="s">
        <v>26</v>
      </c>
    </row>
    <row r="304" spans="1:16" x14ac:dyDescent="0.25">
      <c r="A304" s="2" t="s">
        <v>842</v>
      </c>
      <c r="B304" s="2" t="s">
        <v>7084</v>
      </c>
      <c r="C304" s="2">
        <v>8849</v>
      </c>
      <c r="D304" s="2" t="s">
        <v>7085</v>
      </c>
      <c r="E304" s="2" t="s">
        <v>6708</v>
      </c>
      <c r="F304" s="2" t="s">
        <v>47</v>
      </c>
      <c r="G304" s="2">
        <v>10595.83</v>
      </c>
      <c r="H304" s="2">
        <v>6136.37</v>
      </c>
      <c r="I304" s="2" t="s">
        <v>20</v>
      </c>
      <c r="J304" s="2" t="s">
        <v>6789</v>
      </c>
      <c r="K304" s="2" t="s">
        <v>80</v>
      </c>
      <c r="L304" s="2" t="s">
        <v>23</v>
      </c>
      <c r="M304" s="2">
        <v>4</v>
      </c>
      <c r="N304" s="2" t="s">
        <v>69</v>
      </c>
      <c r="O304" s="2" t="s">
        <v>25</v>
      </c>
      <c r="P304" s="2" t="s">
        <v>34</v>
      </c>
    </row>
    <row r="305" spans="1:16" x14ac:dyDescent="0.25">
      <c r="A305" s="2" t="s">
        <v>845</v>
      </c>
      <c r="B305" s="2" t="s">
        <v>4589</v>
      </c>
      <c r="C305" s="2">
        <v>6434</v>
      </c>
      <c r="D305" s="2" t="s">
        <v>5634</v>
      </c>
      <c r="E305" s="2" t="s">
        <v>38</v>
      </c>
      <c r="F305" s="2" t="s">
        <v>19</v>
      </c>
      <c r="G305" s="2">
        <v>6154.92</v>
      </c>
      <c r="H305" s="2">
        <v>2953.51</v>
      </c>
      <c r="I305" s="2" t="s">
        <v>84</v>
      </c>
      <c r="J305" s="2" t="s">
        <v>54</v>
      </c>
      <c r="K305" s="2" t="s">
        <v>22</v>
      </c>
      <c r="L305" s="2" t="s">
        <v>88</v>
      </c>
      <c r="M305" s="2">
        <v>4</v>
      </c>
      <c r="N305" s="2" t="s">
        <v>24</v>
      </c>
      <c r="O305" s="2" t="s">
        <v>70</v>
      </c>
      <c r="P305" s="2" t="s">
        <v>49</v>
      </c>
    </row>
    <row r="306" spans="1:16" x14ac:dyDescent="0.25">
      <c r="A306" s="2" t="s">
        <v>848</v>
      </c>
      <c r="B306" s="2" t="s">
        <v>977</v>
      </c>
      <c r="C306" s="2">
        <v>1518</v>
      </c>
      <c r="D306" s="2" t="s">
        <v>7086</v>
      </c>
      <c r="E306" s="2" t="s">
        <v>6698</v>
      </c>
      <c r="F306" s="2" t="s">
        <v>47</v>
      </c>
      <c r="G306" s="2">
        <v>11510.05</v>
      </c>
      <c r="H306" s="2">
        <v>6323.75</v>
      </c>
      <c r="I306" s="2" t="s">
        <v>63</v>
      </c>
      <c r="J306" s="2" t="s">
        <v>6729</v>
      </c>
      <c r="K306" s="2" t="s">
        <v>32</v>
      </c>
      <c r="L306" s="2" t="s">
        <v>88</v>
      </c>
      <c r="M306" s="2">
        <v>4</v>
      </c>
      <c r="N306" s="2" t="s">
        <v>69</v>
      </c>
      <c r="O306" s="2" t="s">
        <v>25</v>
      </c>
      <c r="P306" s="2" t="s">
        <v>49</v>
      </c>
    </row>
    <row r="307" spans="1:16" x14ac:dyDescent="0.25">
      <c r="A307" s="2" t="s">
        <v>851</v>
      </c>
      <c r="B307" s="2" t="s">
        <v>936</v>
      </c>
      <c r="C307" s="2">
        <v>4116</v>
      </c>
      <c r="D307" s="2" t="s">
        <v>7087</v>
      </c>
      <c r="E307" s="2" t="s">
        <v>38</v>
      </c>
      <c r="F307" s="2" t="s">
        <v>30</v>
      </c>
      <c r="G307" s="2">
        <v>74461.39</v>
      </c>
      <c r="H307" s="2">
        <v>44415.34</v>
      </c>
      <c r="I307" s="2" t="s">
        <v>59</v>
      </c>
      <c r="J307" s="2" t="s">
        <v>41</v>
      </c>
      <c r="K307" s="2" t="s">
        <v>42</v>
      </c>
      <c r="L307" s="2" t="s">
        <v>88</v>
      </c>
      <c r="M307" s="2">
        <v>2</v>
      </c>
      <c r="N307" s="2" t="s">
        <v>24</v>
      </c>
      <c r="O307" s="2" t="s">
        <v>25</v>
      </c>
      <c r="P307" s="2" t="s">
        <v>49</v>
      </c>
    </row>
    <row r="308" spans="1:16" x14ac:dyDescent="0.25">
      <c r="A308" s="2" t="s">
        <v>853</v>
      </c>
      <c r="B308" s="2" t="s">
        <v>3465</v>
      </c>
      <c r="C308" s="2">
        <v>1067</v>
      </c>
      <c r="D308" s="2" t="s">
        <v>7088</v>
      </c>
      <c r="E308" s="2" t="s">
        <v>38</v>
      </c>
      <c r="F308" s="2" t="s">
        <v>58</v>
      </c>
      <c r="G308" s="2">
        <v>50995.78</v>
      </c>
      <c r="H308" s="2">
        <v>29955.45</v>
      </c>
      <c r="I308" s="2" t="s">
        <v>84</v>
      </c>
      <c r="J308" s="2" t="s">
        <v>54</v>
      </c>
      <c r="K308" s="2" t="s">
        <v>22</v>
      </c>
      <c r="L308" s="2" t="s">
        <v>88</v>
      </c>
      <c r="M308" s="2">
        <v>4</v>
      </c>
      <c r="N308" s="2" t="s">
        <v>69</v>
      </c>
      <c r="O308" s="2" t="s">
        <v>25</v>
      </c>
      <c r="P308" s="2" t="s">
        <v>49</v>
      </c>
    </row>
    <row r="309" spans="1:16" x14ac:dyDescent="0.25">
      <c r="A309" s="2" t="s">
        <v>855</v>
      </c>
      <c r="B309" s="2" t="s">
        <v>6815</v>
      </c>
      <c r="C309" s="2">
        <v>5695</v>
      </c>
      <c r="D309" s="2" t="s">
        <v>7089</v>
      </c>
      <c r="E309" s="2" t="s">
        <v>38</v>
      </c>
      <c r="F309" s="2" t="s">
        <v>19</v>
      </c>
      <c r="G309" s="2">
        <v>11442.36</v>
      </c>
      <c r="H309" s="2">
        <v>6917.56</v>
      </c>
      <c r="I309" s="2" t="s">
        <v>53</v>
      </c>
      <c r="J309" s="2" t="s">
        <v>54</v>
      </c>
      <c r="K309" s="2" t="s">
        <v>22</v>
      </c>
      <c r="L309" s="2" t="s">
        <v>88</v>
      </c>
      <c r="M309" s="2">
        <v>2</v>
      </c>
      <c r="N309" s="2" t="s">
        <v>33</v>
      </c>
      <c r="O309" s="2" t="s">
        <v>25</v>
      </c>
      <c r="P309" s="2" t="s">
        <v>49</v>
      </c>
    </row>
    <row r="310" spans="1:16" x14ac:dyDescent="0.25">
      <c r="A310" s="2" t="s">
        <v>858</v>
      </c>
      <c r="B310" s="2" t="s">
        <v>7090</v>
      </c>
      <c r="C310" s="2">
        <v>5011</v>
      </c>
      <c r="D310" s="2" t="s">
        <v>1054</v>
      </c>
      <c r="E310" s="2" t="s">
        <v>18</v>
      </c>
      <c r="F310" s="2" t="s">
        <v>39</v>
      </c>
      <c r="G310" s="2">
        <v>11221.22</v>
      </c>
      <c r="H310" s="2">
        <v>6425.86</v>
      </c>
      <c r="I310" s="2" t="s">
        <v>6699</v>
      </c>
      <c r="J310" s="2" t="s">
        <v>6686</v>
      </c>
      <c r="K310" s="2" t="s">
        <v>42</v>
      </c>
      <c r="L310" s="2" t="s">
        <v>43</v>
      </c>
      <c r="M310" s="2">
        <v>4</v>
      </c>
      <c r="N310" s="2" t="s">
        <v>33</v>
      </c>
      <c r="O310" s="2" t="s">
        <v>25</v>
      </c>
      <c r="P310" s="2" t="s">
        <v>49</v>
      </c>
    </row>
    <row r="311" spans="1:16" x14ac:dyDescent="0.25">
      <c r="A311" s="2" t="s">
        <v>860</v>
      </c>
      <c r="B311" s="2" t="s">
        <v>4405</v>
      </c>
      <c r="C311" s="2">
        <v>6826</v>
      </c>
      <c r="D311" s="2" t="s">
        <v>7091</v>
      </c>
      <c r="E311" s="2" t="s">
        <v>6708</v>
      </c>
      <c r="F311" s="2" t="s">
        <v>19</v>
      </c>
      <c r="G311" s="2">
        <v>9566.64</v>
      </c>
      <c r="H311" s="2">
        <v>4684.1099999999997</v>
      </c>
      <c r="I311" s="2" t="s">
        <v>6695</v>
      </c>
      <c r="J311" s="2" t="s">
        <v>6795</v>
      </c>
      <c r="K311" s="2" t="s">
        <v>22</v>
      </c>
      <c r="L311" s="2" t="s">
        <v>64</v>
      </c>
      <c r="M311" s="2">
        <v>5</v>
      </c>
      <c r="N311" s="2" t="s">
        <v>33</v>
      </c>
      <c r="O311" s="2" t="s">
        <v>70</v>
      </c>
      <c r="P311" s="2" t="s">
        <v>49</v>
      </c>
    </row>
    <row r="312" spans="1:16" x14ac:dyDescent="0.25">
      <c r="A312" s="2" t="s">
        <v>863</v>
      </c>
      <c r="B312" s="2" t="s">
        <v>7092</v>
      </c>
      <c r="C312" s="2">
        <v>5227</v>
      </c>
      <c r="D312" s="2" t="s">
        <v>7048</v>
      </c>
      <c r="E312" s="2" t="s">
        <v>6719</v>
      </c>
      <c r="F312" s="2" t="s">
        <v>30</v>
      </c>
      <c r="G312" s="2">
        <v>50777.02</v>
      </c>
      <c r="H312" s="2">
        <v>29954.53</v>
      </c>
      <c r="I312" s="2" t="s">
        <v>6845</v>
      </c>
      <c r="J312" s="2" t="s">
        <v>6696</v>
      </c>
      <c r="K312" s="2" t="s">
        <v>42</v>
      </c>
      <c r="L312" s="2" t="s">
        <v>88</v>
      </c>
      <c r="M312" s="2">
        <v>4</v>
      </c>
      <c r="N312" s="2" t="s">
        <v>24</v>
      </c>
      <c r="O312" s="2" t="s">
        <v>25</v>
      </c>
      <c r="P312" s="2" t="s">
        <v>26</v>
      </c>
    </row>
    <row r="313" spans="1:16" x14ac:dyDescent="0.25">
      <c r="A313" s="2" t="s">
        <v>864</v>
      </c>
      <c r="B313" s="2" t="s">
        <v>7093</v>
      </c>
      <c r="C313" s="2">
        <v>2162</v>
      </c>
      <c r="D313" s="2" t="s">
        <v>7094</v>
      </c>
      <c r="E313" s="2" t="s">
        <v>6719</v>
      </c>
      <c r="F313" s="2" t="s">
        <v>30</v>
      </c>
      <c r="G313" s="2">
        <v>50890.43</v>
      </c>
      <c r="H313" s="2">
        <v>26980.240000000002</v>
      </c>
      <c r="I313" s="2" t="s">
        <v>6910</v>
      </c>
      <c r="J313" s="2" t="s">
        <v>6724</v>
      </c>
      <c r="K313" s="2" t="s">
        <v>80</v>
      </c>
      <c r="L313" s="2" t="s">
        <v>23</v>
      </c>
      <c r="M313" s="2">
        <v>5</v>
      </c>
      <c r="N313" s="2" t="s">
        <v>33</v>
      </c>
      <c r="O313" s="2" t="s">
        <v>25</v>
      </c>
      <c r="P313" s="2" t="s">
        <v>34</v>
      </c>
    </row>
    <row r="314" spans="1:16" x14ac:dyDescent="0.25">
      <c r="A314" s="2" t="s">
        <v>867</v>
      </c>
      <c r="B314" s="2" t="s">
        <v>3320</v>
      </c>
      <c r="C314" s="2">
        <v>3835</v>
      </c>
      <c r="D314" s="2" t="s">
        <v>7095</v>
      </c>
      <c r="E314" s="2" t="s">
        <v>18</v>
      </c>
      <c r="F314" s="2" t="s">
        <v>30</v>
      </c>
      <c r="G314" s="2">
        <v>65973.789999999994</v>
      </c>
      <c r="H314" s="2">
        <v>39081.67</v>
      </c>
      <c r="I314" s="2" t="s">
        <v>120</v>
      </c>
      <c r="J314" s="2" t="s">
        <v>21</v>
      </c>
      <c r="K314" s="2" t="s">
        <v>80</v>
      </c>
      <c r="L314" s="2" t="s">
        <v>55</v>
      </c>
      <c r="M314" s="2">
        <v>5</v>
      </c>
      <c r="N314" s="2" t="s">
        <v>24</v>
      </c>
      <c r="O314" s="2" t="s">
        <v>25</v>
      </c>
      <c r="P314" s="2" t="s">
        <v>26</v>
      </c>
    </row>
    <row r="315" spans="1:16" x14ac:dyDescent="0.25">
      <c r="A315" s="2" t="s">
        <v>870</v>
      </c>
      <c r="B315" s="2" t="s">
        <v>251</v>
      </c>
      <c r="C315" s="2">
        <v>6364</v>
      </c>
      <c r="D315" s="2" t="s">
        <v>1568</v>
      </c>
      <c r="E315" s="2" t="s">
        <v>38</v>
      </c>
      <c r="F315" s="2" t="s">
        <v>58</v>
      </c>
      <c r="G315" s="2">
        <v>32501.89</v>
      </c>
      <c r="H315" s="2">
        <v>15025.51</v>
      </c>
      <c r="I315" s="2" t="s">
        <v>53</v>
      </c>
      <c r="J315" s="2" t="s">
        <v>54</v>
      </c>
      <c r="K315" s="2" t="s">
        <v>32</v>
      </c>
      <c r="L315" s="2" t="s">
        <v>23</v>
      </c>
      <c r="M315" s="2">
        <v>5</v>
      </c>
      <c r="N315" s="2" t="s">
        <v>69</v>
      </c>
      <c r="O315" s="2" t="s">
        <v>70</v>
      </c>
      <c r="P315" s="2" t="s">
        <v>26</v>
      </c>
    </row>
    <row r="316" spans="1:16" x14ac:dyDescent="0.25">
      <c r="A316" s="2" t="s">
        <v>873</v>
      </c>
      <c r="B316" s="2" t="s">
        <v>4707</v>
      </c>
      <c r="C316" s="2">
        <v>4205</v>
      </c>
      <c r="D316" s="2" t="s">
        <v>7096</v>
      </c>
      <c r="E316" s="2" t="s">
        <v>18</v>
      </c>
      <c r="F316" s="2" t="s">
        <v>30</v>
      </c>
      <c r="G316" s="2">
        <v>61750.73</v>
      </c>
      <c r="H316" s="2">
        <v>31697.86</v>
      </c>
      <c r="I316" s="2" t="s">
        <v>120</v>
      </c>
      <c r="J316" s="2" t="s">
        <v>21</v>
      </c>
      <c r="K316" s="2" t="s">
        <v>42</v>
      </c>
      <c r="L316" s="2" t="s">
        <v>64</v>
      </c>
      <c r="M316" s="2">
        <v>3</v>
      </c>
      <c r="N316" s="2" t="s">
        <v>69</v>
      </c>
      <c r="O316" s="2" t="s">
        <v>25</v>
      </c>
      <c r="P316" s="2" t="s">
        <v>49</v>
      </c>
    </row>
    <row r="317" spans="1:16" x14ac:dyDescent="0.25">
      <c r="A317" s="2" t="s">
        <v>875</v>
      </c>
      <c r="B317" s="2" t="s">
        <v>879</v>
      </c>
      <c r="C317" s="2">
        <v>1013</v>
      </c>
      <c r="D317" s="2" t="s">
        <v>7097</v>
      </c>
      <c r="E317" s="2" t="s">
        <v>38</v>
      </c>
      <c r="F317" s="2" t="s">
        <v>47</v>
      </c>
      <c r="G317" s="2">
        <v>3484.11</v>
      </c>
      <c r="H317" s="2">
        <v>1764.5</v>
      </c>
      <c r="I317" s="2" t="s">
        <v>63</v>
      </c>
      <c r="J317" s="2" t="s">
        <v>54</v>
      </c>
      <c r="K317" s="2" t="s">
        <v>22</v>
      </c>
      <c r="L317" s="2" t="s">
        <v>23</v>
      </c>
      <c r="M317" s="2">
        <v>4</v>
      </c>
      <c r="N317" s="2" t="s">
        <v>24</v>
      </c>
      <c r="O317" s="2" t="s">
        <v>25</v>
      </c>
      <c r="P317" s="2" t="s">
        <v>34</v>
      </c>
    </row>
    <row r="318" spans="1:16" x14ac:dyDescent="0.25">
      <c r="A318" s="2" t="s">
        <v>878</v>
      </c>
      <c r="B318" s="2" t="s">
        <v>7098</v>
      </c>
      <c r="C318" s="2">
        <v>4083</v>
      </c>
      <c r="D318" s="2" t="s">
        <v>7099</v>
      </c>
      <c r="E318" s="2" t="s">
        <v>6719</v>
      </c>
      <c r="F318" s="2" t="s">
        <v>30</v>
      </c>
      <c r="G318" s="2">
        <v>101516.83</v>
      </c>
      <c r="H318" s="2">
        <v>52997.63</v>
      </c>
      <c r="I318" s="2" t="s">
        <v>6759</v>
      </c>
      <c r="J318" s="2" t="s">
        <v>6686</v>
      </c>
      <c r="K318" s="2" t="s">
        <v>80</v>
      </c>
      <c r="L318" s="2" t="s">
        <v>23</v>
      </c>
      <c r="M318" s="2">
        <v>3</v>
      </c>
      <c r="N318" s="2" t="s">
        <v>69</v>
      </c>
      <c r="O318" s="2" t="s">
        <v>70</v>
      </c>
      <c r="P318" s="2" t="s">
        <v>26</v>
      </c>
    </row>
    <row r="319" spans="1:16" x14ac:dyDescent="0.25">
      <c r="A319" s="2" t="s">
        <v>881</v>
      </c>
      <c r="B319" s="2" t="s">
        <v>3753</v>
      </c>
      <c r="C319" s="2">
        <v>7974</v>
      </c>
      <c r="D319" s="2" t="s">
        <v>7100</v>
      </c>
      <c r="E319" s="2" t="s">
        <v>18</v>
      </c>
      <c r="F319" s="2" t="s">
        <v>58</v>
      </c>
      <c r="G319" s="2">
        <v>34241.379999999997</v>
      </c>
      <c r="H319" s="2">
        <v>18313.14</v>
      </c>
      <c r="I319" s="2" t="s">
        <v>63</v>
      </c>
      <c r="J319" s="2" t="s">
        <v>54</v>
      </c>
      <c r="K319" s="2" t="s">
        <v>80</v>
      </c>
      <c r="L319" s="2" t="s">
        <v>64</v>
      </c>
      <c r="M319" s="2">
        <v>3</v>
      </c>
      <c r="N319" s="2" t="s">
        <v>33</v>
      </c>
      <c r="O319" s="2" t="s">
        <v>25</v>
      </c>
      <c r="P319" s="2" t="s">
        <v>26</v>
      </c>
    </row>
    <row r="320" spans="1:16" x14ac:dyDescent="0.25">
      <c r="A320" s="2" t="s">
        <v>884</v>
      </c>
      <c r="B320" s="2" t="s">
        <v>622</v>
      </c>
      <c r="C320" s="2">
        <v>7012</v>
      </c>
      <c r="D320" s="2" t="s">
        <v>7101</v>
      </c>
      <c r="E320" s="2" t="s">
        <v>18</v>
      </c>
      <c r="F320" s="2" t="s">
        <v>19</v>
      </c>
      <c r="G320" s="2">
        <v>13263.29</v>
      </c>
      <c r="H320" s="2">
        <v>7475.59</v>
      </c>
      <c r="I320" s="2" t="s">
        <v>68</v>
      </c>
      <c r="J320" s="2" t="s">
        <v>41</v>
      </c>
      <c r="K320" s="2" t="s">
        <v>42</v>
      </c>
      <c r="L320" s="2" t="s">
        <v>55</v>
      </c>
      <c r="M320" s="2">
        <v>5</v>
      </c>
      <c r="N320" s="2" t="s">
        <v>24</v>
      </c>
      <c r="O320" s="2" t="s">
        <v>70</v>
      </c>
      <c r="P320" s="2" t="s">
        <v>26</v>
      </c>
    </row>
    <row r="321" spans="1:16" x14ac:dyDescent="0.25">
      <c r="A321" s="2" t="s">
        <v>886</v>
      </c>
      <c r="B321" s="2" t="s">
        <v>3416</v>
      </c>
      <c r="C321" s="2">
        <v>5017</v>
      </c>
      <c r="D321" s="2" t="s">
        <v>7102</v>
      </c>
      <c r="E321" s="2" t="s">
        <v>38</v>
      </c>
      <c r="F321" s="2" t="s">
        <v>30</v>
      </c>
      <c r="G321" s="2">
        <v>43528.79</v>
      </c>
      <c r="H321" s="2">
        <v>25366.29</v>
      </c>
      <c r="I321" s="2" t="s">
        <v>120</v>
      </c>
      <c r="J321" s="2" t="s">
        <v>21</v>
      </c>
      <c r="K321" s="2" t="s">
        <v>22</v>
      </c>
      <c r="L321" s="2" t="s">
        <v>48</v>
      </c>
      <c r="M321" s="2">
        <v>5</v>
      </c>
      <c r="N321" s="2" t="s">
        <v>24</v>
      </c>
      <c r="O321" s="2" t="s">
        <v>25</v>
      </c>
      <c r="P321" s="2" t="s">
        <v>26</v>
      </c>
    </row>
    <row r="322" spans="1:16" x14ac:dyDescent="0.25">
      <c r="A322" s="2" t="s">
        <v>888</v>
      </c>
      <c r="B322" s="2" t="s">
        <v>7103</v>
      </c>
      <c r="C322" s="2">
        <v>6431</v>
      </c>
      <c r="D322" s="2" t="s">
        <v>7104</v>
      </c>
      <c r="E322" s="2" t="s">
        <v>6698</v>
      </c>
      <c r="F322" s="2" t="s">
        <v>30</v>
      </c>
      <c r="G322" s="2">
        <v>43427.18</v>
      </c>
      <c r="H322" s="2">
        <v>28034.51</v>
      </c>
      <c r="I322" s="2" t="s">
        <v>20</v>
      </c>
      <c r="J322" s="2" t="s">
        <v>6795</v>
      </c>
      <c r="K322" s="2" t="s">
        <v>42</v>
      </c>
      <c r="L322" s="2" t="s">
        <v>88</v>
      </c>
      <c r="M322" s="2">
        <v>2</v>
      </c>
      <c r="N322" s="2" t="s">
        <v>33</v>
      </c>
      <c r="O322" s="2" t="s">
        <v>70</v>
      </c>
      <c r="P322" s="2" t="s">
        <v>49</v>
      </c>
    </row>
    <row r="323" spans="1:16" x14ac:dyDescent="0.25">
      <c r="A323" s="2" t="s">
        <v>890</v>
      </c>
      <c r="B323" s="2" t="s">
        <v>1020</v>
      </c>
      <c r="C323" s="2">
        <v>1447</v>
      </c>
      <c r="D323" s="2" t="s">
        <v>7105</v>
      </c>
      <c r="E323" s="2" t="s">
        <v>6719</v>
      </c>
      <c r="F323" s="2" t="s">
        <v>30</v>
      </c>
      <c r="G323" s="2">
        <v>54495.62</v>
      </c>
      <c r="H323" s="2">
        <v>25905.27</v>
      </c>
      <c r="I323" s="2" t="s">
        <v>6918</v>
      </c>
      <c r="J323" s="2" t="s">
        <v>6795</v>
      </c>
      <c r="K323" s="2" t="s">
        <v>22</v>
      </c>
      <c r="L323" s="2" t="s">
        <v>88</v>
      </c>
      <c r="M323" s="2">
        <v>3</v>
      </c>
      <c r="N323" s="2" t="s">
        <v>33</v>
      </c>
      <c r="O323" s="2" t="s">
        <v>25</v>
      </c>
      <c r="P323" s="2" t="s">
        <v>34</v>
      </c>
    </row>
    <row r="324" spans="1:16" x14ac:dyDescent="0.25">
      <c r="A324" s="2" t="s">
        <v>892</v>
      </c>
      <c r="B324" s="2" t="s">
        <v>3093</v>
      </c>
      <c r="C324" s="2">
        <v>9640</v>
      </c>
      <c r="D324" s="2" t="s">
        <v>7106</v>
      </c>
      <c r="E324" s="2" t="s">
        <v>18</v>
      </c>
      <c r="F324" s="2" t="s">
        <v>39</v>
      </c>
      <c r="G324" s="2">
        <v>27470.98</v>
      </c>
      <c r="H324" s="2">
        <v>12825.66</v>
      </c>
      <c r="I324" s="2" t="s">
        <v>63</v>
      </c>
      <c r="J324" s="2" t="s">
        <v>54</v>
      </c>
      <c r="K324" s="2" t="s">
        <v>32</v>
      </c>
      <c r="L324" s="2" t="s">
        <v>43</v>
      </c>
      <c r="M324" s="2">
        <v>2</v>
      </c>
      <c r="N324" s="2" t="s">
        <v>69</v>
      </c>
      <c r="O324" s="2" t="s">
        <v>70</v>
      </c>
      <c r="P324" s="2" t="s">
        <v>34</v>
      </c>
    </row>
    <row r="325" spans="1:16" x14ac:dyDescent="0.25">
      <c r="A325" s="2" t="s">
        <v>894</v>
      </c>
      <c r="B325" s="2" t="s">
        <v>7107</v>
      </c>
      <c r="C325" s="2">
        <v>1890</v>
      </c>
      <c r="D325" s="2" t="s">
        <v>7108</v>
      </c>
      <c r="E325" s="2" t="s">
        <v>6708</v>
      </c>
      <c r="F325" s="2" t="s">
        <v>19</v>
      </c>
      <c r="G325" s="2">
        <v>14743.61</v>
      </c>
      <c r="H325" s="2">
        <v>6976.66</v>
      </c>
      <c r="I325" s="2" t="s">
        <v>6759</v>
      </c>
      <c r="J325" s="2" t="s">
        <v>6700</v>
      </c>
      <c r="K325" s="2" t="s">
        <v>32</v>
      </c>
      <c r="L325" s="2" t="s">
        <v>64</v>
      </c>
      <c r="M325" s="2">
        <v>4</v>
      </c>
      <c r="N325" s="2" t="s">
        <v>24</v>
      </c>
      <c r="O325" s="2" t="s">
        <v>25</v>
      </c>
      <c r="P325" s="2" t="s">
        <v>49</v>
      </c>
    </row>
    <row r="326" spans="1:16" x14ac:dyDescent="0.25">
      <c r="A326" s="2" t="s">
        <v>896</v>
      </c>
      <c r="B326" s="2" t="s">
        <v>431</v>
      </c>
      <c r="C326" s="2">
        <v>6172</v>
      </c>
      <c r="D326" s="2" t="s">
        <v>7109</v>
      </c>
      <c r="E326" s="2" t="s">
        <v>6756</v>
      </c>
      <c r="F326" s="2" t="s">
        <v>58</v>
      </c>
      <c r="G326" s="2">
        <v>17403.72</v>
      </c>
      <c r="H326" s="2">
        <v>9680.9699999999993</v>
      </c>
      <c r="I326" s="2" t="s">
        <v>6759</v>
      </c>
      <c r="J326" s="2" t="s">
        <v>6753</v>
      </c>
      <c r="K326" s="2" t="s">
        <v>42</v>
      </c>
      <c r="L326" s="2" t="s">
        <v>64</v>
      </c>
      <c r="M326" s="2">
        <v>5</v>
      </c>
      <c r="N326" s="2" t="s">
        <v>69</v>
      </c>
      <c r="O326" s="2" t="s">
        <v>70</v>
      </c>
      <c r="P326" s="2" t="s">
        <v>34</v>
      </c>
    </row>
    <row r="327" spans="1:16" x14ac:dyDescent="0.25">
      <c r="A327" s="2" t="s">
        <v>899</v>
      </c>
      <c r="B327" s="2" t="s">
        <v>769</v>
      </c>
      <c r="C327" s="2">
        <v>6528</v>
      </c>
      <c r="D327" s="2" t="s">
        <v>5462</v>
      </c>
      <c r="E327" s="2" t="s">
        <v>6703</v>
      </c>
      <c r="F327" s="2" t="s">
        <v>39</v>
      </c>
      <c r="G327" s="2">
        <v>19938.59</v>
      </c>
      <c r="H327" s="2">
        <v>9014.5499999999993</v>
      </c>
      <c r="I327" s="2" t="s">
        <v>6695</v>
      </c>
      <c r="J327" s="2" t="s">
        <v>6696</v>
      </c>
      <c r="K327" s="2" t="s">
        <v>22</v>
      </c>
      <c r="L327" s="2" t="s">
        <v>55</v>
      </c>
      <c r="M327" s="2">
        <v>1</v>
      </c>
      <c r="N327" s="2" t="s">
        <v>33</v>
      </c>
      <c r="O327" s="2" t="s">
        <v>25</v>
      </c>
      <c r="P327" s="2" t="s">
        <v>49</v>
      </c>
    </row>
    <row r="328" spans="1:16" x14ac:dyDescent="0.25">
      <c r="A328" s="2" t="s">
        <v>902</v>
      </c>
      <c r="B328" s="2" t="s">
        <v>7110</v>
      </c>
      <c r="C328" s="2">
        <v>4552</v>
      </c>
      <c r="D328" s="2" t="s">
        <v>7111</v>
      </c>
      <c r="E328" s="2" t="s">
        <v>18</v>
      </c>
      <c r="F328" s="2" t="s">
        <v>30</v>
      </c>
      <c r="G328" s="2">
        <v>57320.53</v>
      </c>
      <c r="H328" s="2">
        <v>27169.67</v>
      </c>
      <c r="I328" s="2" t="s">
        <v>63</v>
      </c>
      <c r="J328" s="2" t="s">
        <v>54</v>
      </c>
      <c r="K328" s="2" t="s">
        <v>32</v>
      </c>
      <c r="L328" s="2" t="s">
        <v>64</v>
      </c>
      <c r="M328" s="2">
        <v>5</v>
      </c>
      <c r="N328" s="2" t="s">
        <v>69</v>
      </c>
      <c r="O328" s="2" t="s">
        <v>25</v>
      </c>
      <c r="P328" s="2" t="s">
        <v>26</v>
      </c>
    </row>
    <row r="329" spans="1:16" x14ac:dyDescent="0.25">
      <c r="A329" s="2" t="s">
        <v>904</v>
      </c>
      <c r="B329" s="2" t="s">
        <v>1113</v>
      </c>
      <c r="C329" s="2">
        <v>7995</v>
      </c>
      <c r="D329" s="2" t="s">
        <v>3409</v>
      </c>
      <c r="E329" s="2" t="s">
        <v>38</v>
      </c>
      <c r="F329" s="2" t="s">
        <v>19</v>
      </c>
      <c r="G329" s="2">
        <v>6508.24</v>
      </c>
      <c r="H329" s="2">
        <v>3944.95</v>
      </c>
      <c r="I329" s="2" t="s">
        <v>53</v>
      </c>
      <c r="J329" s="2" t="s">
        <v>54</v>
      </c>
      <c r="K329" s="2" t="s">
        <v>42</v>
      </c>
      <c r="L329" s="2" t="s">
        <v>55</v>
      </c>
      <c r="M329" s="2">
        <v>4</v>
      </c>
      <c r="N329" s="2" t="s">
        <v>33</v>
      </c>
      <c r="O329" s="2" t="s">
        <v>70</v>
      </c>
      <c r="P329" s="2" t="s">
        <v>34</v>
      </c>
    </row>
    <row r="330" spans="1:16" x14ac:dyDescent="0.25">
      <c r="A330" s="2" t="s">
        <v>907</v>
      </c>
      <c r="B330" s="2" t="s">
        <v>489</v>
      </c>
      <c r="C330" s="2">
        <v>7432</v>
      </c>
      <c r="D330" s="2" t="s">
        <v>7112</v>
      </c>
      <c r="E330" s="2" t="s">
        <v>18</v>
      </c>
      <c r="F330" s="2" t="s">
        <v>58</v>
      </c>
      <c r="G330" s="2">
        <v>47824.32</v>
      </c>
      <c r="H330" s="2">
        <v>22558.07</v>
      </c>
      <c r="I330" s="2" t="s">
        <v>6812</v>
      </c>
      <c r="J330" s="2" t="s">
        <v>6753</v>
      </c>
      <c r="K330" s="2" t="s">
        <v>80</v>
      </c>
      <c r="L330" s="2" t="s">
        <v>23</v>
      </c>
      <c r="M330" s="2">
        <v>5</v>
      </c>
      <c r="N330" s="2" t="s">
        <v>24</v>
      </c>
      <c r="O330" s="2" t="s">
        <v>70</v>
      </c>
      <c r="P330" s="2" t="s">
        <v>49</v>
      </c>
    </row>
    <row r="331" spans="1:16" x14ac:dyDescent="0.25">
      <c r="A331" s="2" t="s">
        <v>910</v>
      </c>
      <c r="B331" s="2" t="s">
        <v>1090</v>
      </c>
      <c r="C331" s="2">
        <v>7397</v>
      </c>
      <c r="D331" s="2" t="s">
        <v>7113</v>
      </c>
      <c r="E331" s="2" t="s">
        <v>6708</v>
      </c>
      <c r="F331" s="2" t="s">
        <v>58</v>
      </c>
      <c r="G331" s="2">
        <v>18781.080000000002</v>
      </c>
      <c r="H331" s="2">
        <v>9690.4</v>
      </c>
      <c r="I331" s="2" t="s">
        <v>53</v>
      </c>
      <c r="J331" s="2" t="s">
        <v>6691</v>
      </c>
      <c r="K331" s="2" t="s">
        <v>80</v>
      </c>
      <c r="L331" s="2" t="s">
        <v>43</v>
      </c>
      <c r="M331" s="2">
        <v>1</v>
      </c>
      <c r="N331" s="2" t="s">
        <v>24</v>
      </c>
      <c r="O331" s="2" t="s">
        <v>70</v>
      </c>
      <c r="P331" s="2" t="s">
        <v>34</v>
      </c>
    </row>
    <row r="332" spans="1:16" x14ac:dyDescent="0.25">
      <c r="A332" s="2" t="s">
        <v>911</v>
      </c>
      <c r="B332" s="2" t="s">
        <v>7114</v>
      </c>
      <c r="C332" s="2">
        <v>9770</v>
      </c>
      <c r="D332" s="2" t="s">
        <v>7115</v>
      </c>
      <c r="E332" s="2" t="s">
        <v>6748</v>
      </c>
      <c r="F332" s="2" t="s">
        <v>47</v>
      </c>
      <c r="G332" s="2">
        <v>10001.99</v>
      </c>
      <c r="H332" s="2">
        <v>5106.67</v>
      </c>
      <c r="I332" s="2" t="s">
        <v>6728</v>
      </c>
      <c r="J332" s="2" t="s">
        <v>6729</v>
      </c>
      <c r="K332" s="2" t="s">
        <v>22</v>
      </c>
      <c r="L332" s="2" t="s">
        <v>48</v>
      </c>
      <c r="M332" s="2">
        <v>1</v>
      </c>
      <c r="N332" s="2" t="s">
        <v>33</v>
      </c>
      <c r="O332" s="2" t="s">
        <v>70</v>
      </c>
      <c r="P332" s="2" t="s">
        <v>34</v>
      </c>
    </row>
    <row r="333" spans="1:16" x14ac:dyDescent="0.25">
      <c r="A333" s="2" t="s">
        <v>914</v>
      </c>
      <c r="B333" s="2" t="s">
        <v>7116</v>
      </c>
      <c r="C333" s="2">
        <v>6886</v>
      </c>
      <c r="D333" s="2" t="s">
        <v>7117</v>
      </c>
      <c r="E333" s="2" t="s">
        <v>6680</v>
      </c>
      <c r="F333" s="2" t="s">
        <v>19</v>
      </c>
      <c r="G333" s="2">
        <v>4730.51</v>
      </c>
      <c r="H333" s="2">
        <v>2727.41</v>
      </c>
      <c r="I333" s="2" t="s">
        <v>6845</v>
      </c>
      <c r="J333" s="2" t="s">
        <v>6724</v>
      </c>
      <c r="K333" s="2" t="s">
        <v>32</v>
      </c>
      <c r="L333" s="2" t="s">
        <v>23</v>
      </c>
      <c r="M333" s="2">
        <v>1</v>
      </c>
      <c r="N333" s="2" t="s">
        <v>33</v>
      </c>
      <c r="O333" s="2" t="s">
        <v>70</v>
      </c>
      <c r="P333" s="2" t="s">
        <v>49</v>
      </c>
    </row>
    <row r="334" spans="1:16" x14ac:dyDescent="0.25">
      <c r="A334" s="2" t="s">
        <v>917</v>
      </c>
      <c r="B334" s="2" t="s">
        <v>7118</v>
      </c>
      <c r="C334" s="2">
        <v>6533</v>
      </c>
      <c r="D334" s="2" t="s">
        <v>7119</v>
      </c>
      <c r="E334" s="2" t="s">
        <v>6756</v>
      </c>
      <c r="F334" s="2" t="s">
        <v>47</v>
      </c>
      <c r="G334" s="2" t="s">
        <v>7120</v>
      </c>
      <c r="H334" s="2">
        <v>2794.81</v>
      </c>
      <c r="I334" s="2" t="s">
        <v>120</v>
      </c>
      <c r="J334" s="2" t="s">
        <v>6802</v>
      </c>
      <c r="K334" s="2" t="s">
        <v>80</v>
      </c>
      <c r="L334" s="2" t="s">
        <v>48</v>
      </c>
      <c r="M334" s="2">
        <v>5</v>
      </c>
      <c r="N334" s="2" t="s">
        <v>33</v>
      </c>
      <c r="O334" s="2" t="s">
        <v>25</v>
      </c>
      <c r="P334" s="2" t="s">
        <v>26</v>
      </c>
    </row>
    <row r="335" spans="1:16" x14ac:dyDescent="0.25">
      <c r="A335" s="2" t="s">
        <v>919</v>
      </c>
      <c r="B335" s="2" t="s">
        <v>1075</v>
      </c>
      <c r="C335" s="2">
        <v>8474</v>
      </c>
      <c r="D335" s="2" t="s">
        <v>7121</v>
      </c>
      <c r="E335" s="2" t="s">
        <v>18</v>
      </c>
      <c r="F335" s="2" t="s">
        <v>58</v>
      </c>
      <c r="G335" s="2">
        <v>44744.23</v>
      </c>
      <c r="H335" s="2">
        <v>20707.25</v>
      </c>
      <c r="I335" s="2" t="s">
        <v>20</v>
      </c>
      <c r="J335" s="2" t="s">
        <v>21</v>
      </c>
      <c r="K335" s="2" t="s">
        <v>22</v>
      </c>
      <c r="L335" s="2" t="s">
        <v>55</v>
      </c>
      <c r="M335" s="2">
        <v>4</v>
      </c>
      <c r="N335" s="2" t="s">
        <v>24</v>
      </c>
      <c r="O335" s="2" t="s">
        <v>70</v>
      </c>
      <c r="P335" s="2" t="s">
        <v>26</v>
      </c>
    </row>
    <row r="336" spans="1:16" x14ac:dyDescent="0.25">
      <c r="A336" s="2" t="s">
        <v>922</v>
      </c>
      <c r="B336" s="2" t="s">
        <v>7122</v>
      </c>
      <c r="C336" s="2">
        <v>9943</v>
      </c>
      <c r="D336" s="2" t="s">
        <v>7123</v>
      </c>
      <c r="E336" s="2" t="s">
        <v>6756</v>
      </c>
      <c r="F336" s="2" t="s">
        <v>19</v>
      </c>
      <c r="G336" s="2">
        <v>9795.66</v>
      </c>
      <c r="H336" s="2">
        <v>6298.01</v>
      </c>
      <c r="I336" s="2" t="s">
        <v>6739</v>
      </c>
      <c r="J336" s="2" t="s">
        <v>6691</v>
      </c>
      <c r="K336" s="2" t="s">
        <v>32</v>
      </c>
      <c r="L336" s="2" t="s">
        <v>55</v>
      </c>
      <c r="M336" s="2">
        <v>5</v>
      </c>
      <c r="N336" s="2" t="s">
        <v>33</v>
      </c>
      <c r="O336" s="2" t="s">
        <v>25</v>
      </c>
      <c r="P336" s="2" t="s">
        <v>34</v>
      </c>
    </row>
    <row r="337" spans="1:16" x14ac:dyDescent="0.25">
      <c r="A337" s="2" t="s">
        <v>925</v>
      </c>
      <c r="B337" s="2" t="s">
        <v>2177</v>
      </c>
      <c r="C337" s="2">
        <v>7162</v>
      </c>
      <c r="D337" s="2" t="s">
        <v>7124</v>
      </c>
      <c r="E337" s="2" t="s">
        <v>18</v>
      </c>
      <c r="F337" s="2" t="s">
        <v>47</v>
      </c>
      <c r="G337" s="2">
        <v>2425.84</v>
      </c>
      <c r="H337" s="2">
        <v>1327.89</v>
      </c>
      <c r="I337" s="2" t="s">
        <v>63</v>
      </c>
      <c r="J337" s="2" t="s">
        <v>54</v>
      </c>
      <c r="K337" s="2" t="s">
        <v>22</v>
      </c>
      <c r="L337" s="2" t="s">
        <v>55</v>
      </c>
      <c r="M337" s="2">
        <v>2</v>
      </c>
      <c r="N337" s="2" t="s">
        <v>69</v>
      </c>
      <c r="O337" s="2" t="s">
        <v>70</v>
      </c>
      <c r="P337" s="2" t="s">
        <v>49</v>
      </c>
    </row>
    <row r="338" spans="1:16" x14ac:dyDescent="0.25">
      <c r="A338" s="2" t="s">
        <v>928</v>
      </c>
      <c r="B338" s="2" t="s">
        <v>4630</v>
      </c>
      <c r="C338" s="2">
        <v>9570</v>
      </c>
      <c r="D338" s="2" t="s">
        <v>7125</v>
      </c>
      <c r="E338" s="2" t="s">
        <v>38</v>
      </c>
      <c r="F338" s="2" t="s">
        <v>19</v>
      </c>
      <c r="G338" s="2">
        <v>9663.94</v>
      </c>
      <c r="H338" s="2">
        <v>6161.9</v>
      </c>
      <c r="I338" s="2" t="s">
        <v>53</v>
      </c>
      <c r="J338" s="2" t="s">
        <v>54</v>
      </c>
      <c r="K338" s="2" t="s">
        <v>22</v>
      </c>
      <c r="L338" s="2" t="s">
        <v>43</v>
      </c>
      <c r="M338" s="2">
        <v>2</v>
      </c>
      <c r="N338" s="2" t="s">
        <v>24</v>
      </c>
      <c r="O338" s="2" t="s">
        <v>70</v>
      </c>
      <c r="P338" s="2" t="s">
        <v>26</v>
      </c>
    </row>
    <row r="339" spans="1:16" x14ac:dyDescent="0.25">
      <c r="A339" s="2" t="s">
        <v>930</v>
      </c>
      <c r="B339" s="2" t="s">
        <v>7126</v>
      </c>
      <c r="C339" s="2">
        <v>9686</v>
      </c>
      <c r="D339" s="2" t="s">
        <v>7127</v>
      </c>
      <c r="E339" s="2" t="s">
        <v>18</v>
      </c>
      <c r="F339" s="2" t="s">
        <v>39</v>
      </c>
      <c r="G339" s="2">
        <v>31538.05</v>
      </c>
      <c r="H339" s="2">
        <v>19633.89</v>
      </c>
      <c r="I339" s="2" t="s">
        <v>120</v>
      </c>
      <c r="J339" s="2" t="s">
        <v>21</v>
      </c>
      <c r="K339" s="2" t="s">
        <v>32</v>
      </c>
      <c r="L339" s="2" t="s">
        <v>64</v>
      </c>
      <c r="M339" s="2">
        <v>2</v>
      </c>
      <c r="N339" s="2" t="s">
        <v>33</v>
      </c>
      <c r="O339" s="2" t="s">
        <v>25</v>
      </c>
      <c r="P339" s="2" t="s">
        <v>26</v>
      </c>
    </row>
    <row r="340" spans="1:16" x14ac:dyDescent="0.25">
      <c r="A340" s="2" t="s">
        <v>933</v>
      </c>
      <c r="B340" s="2" t="s">
        <v>2586</v>
      </c>
      <c r="C340" s="2">
        <v>6966</v>
      </c>
      <c r="D340" s="2" t="s">
        <v>7128</v>
      </c>
      <c r="E340" s="2" t="s">
        <v>6680</v>
      </c>
      <c r="F340" s="2" t="s">
        <v>30</v>
      </c>
      <c r="G340" s="2">
        <v>17403.78</v>
      </c>
      <c r="H340" s="2">
        <v>8706.7000000000007</v>
      </c>
      <c r="I340" s="2" t="s">
        <v>59</v>
      </c>
      <c r="J340" s="2" t="s">
        <v>41</v>
      </c>
      <c r="K340" s="2" t="s">
        <v>80</v>
      </c>
      <c r="L340" s="2" t="s">
        <v>55</v>
      </c>
      <c r="M340" s="2">
        <v>1</v>
      </c>
      <c r="N340" s="2" t="s">
        <v>24</v>
      </c>
      <c r="O340" s="2" t="s">
        <v>70</v>
      </c>
      <c r="P340" s="2" t="s">
        <v>26</v>
      </c>
    </row>
    <row r="341" spans="1:16" x14ac:dyDescent="0.25">
      <c r="A341" s="2" t="s">
        <v>935</v>
      </c>
      <c r="B341" s="2" t="s">
        <v>7129</v>
      </c>
      <c r="C341" s="2">
        <v>6336</v>
      </c>
      <c r="D341" s="2" t="s">
        <v>7130</v>
      </c>
      <c r="E341" s="2" t="s">
        <v>18</v>
      </c>
      <c r="F341" s="2" t="s">
        <v>30</v>
      </c>
      <c r="G341" s="2">
        <v>59396.23</v>
      </c>
      <c r="H341" s="2">
        <v>30602.51</v>
      </c>
      <c r="I341" s="2" t="s">
        <v>6712</v>
      </c>
      <c r="J341" s="2" t="s">
        <v>6705</v>
      </c>
      <c r="K341" s="2" t="s">
        <v>22</v>
      </c>
      <c r="L341" s="2" t="s">
        <v>23</v>
      </c>
      <c r="M341" s="2">
        <v>4</v>
      </c>
      <c r="N341" s="2" t="s">
        <v>69</v>
      </c>
      <c r="O341" s="2" t="s">
        <v>25</v>
      </c>
      <c r="P341" s="2" t="s">
        <v>26</v>
      </c>
    </row>
    <row r="342" spans="1:16" x14ac:dyDescent="0.25">
      <c r="A342" s="2" t="s">
        <v>938</v>
      </c>
      <c r="B342" s="2" t="s">
        <v>5095</v>
      </c>
      <c r="C342" s="2">
        <v>4181</v>
      </c>
      <c r="D342" s="2" t="s">
        <v>4523</v>
      </c>
      <c r="E342" s="2" t="s">
        <v>6719</v>
      </c>
      <c r="F342" s="2" t="s">
        <v>30</v>
      </c>
      <c r="G342" s="2">
        <v>99858.7</v>
      </c>
      <c r="H342" s="2">
        <v>48974.92</v>
      </c>
      <c r="I342" s="2" t="s">
        <v>6739</v>
      </c>
      <c r="J342" s="2" t="s">
        <v>6729</v>
      </c>
      <c r="K342" s="2" t="s">
        <v>32</v>
      </c>
      <c r="L342" s="2" t="s">
        <v>55</v>
      </c>
      <c r="M342" s="2">
        <v>5</v>
      </c>
      <c r="N342" s="2" t="s">
        <v>33</v>
      </c>
      <c r="O342" s="2" t="s">
        <v>25</v>
      </c>
      <c r="P342" s="2" t="s">
        <v>34</v>
      </c>
    </row>
    <row r="343" spans="1:16" x14ac:dyDescent="0.25">
      <c r="A343" s="2" t="s">
        <v>940</v>
      </c>
      <c r="B343" s="2" t="s">
        <v>3503</v>
      </c>
      <c r="C343" s="2">
        <v>4763</v>
      </c>
      <c r="D343" s="2" t="s">
        <v>4600</v>
      </c>
      <c r="E343" s="2" t="s">
        <v>6703</v>
      </c>
      <c r="F343" s="2" t="s">
        <v>58</v>
      </c>
      <c r="G343" s="2">
        <v>21780.71</v>
      </c>
      <c r="H343" s="2">
        <v>12074.22</v>
      </c>
      <c r="I343" s="2" t="s">
        <v>6761</v>
      </c>
      <c r="J343" s="2" t="s">
        <v>6682</v>
      </c>
      <c r="K343" s="2" t="s">
        <v>32</v>
      </c>
      <c r="L343" s="2" t="s">
        <v>43</v>
      </c>
      <c r="M343" s="2">
        <v>4</v>
      </c>
      <c r="N343" s="2" t="s">
        <v>69</v>
      </c>
      <c r="O343" s="2" t="s">
        <v>25</v>
      </c>
      <c r="P343" s="2" t="s">
        <v>49</v>
      </c>
    </row>
    <row r="344" spans="1:16" x14ac:dyDescent="0.25">
      <c r="A344" s="2" t="s">
        <v>942</v>
      </c>
      <c r="B344" s="2" t="s">
        <v>212</v>
      </c>
      <c r="C344" s="2">
        <v>1083</v>
      </c>
      <c r="D344" s="2" t="s">
        <v>2379</v>
      </c>
      <c r="E344" s="2" t="s">
        <v>38</v>
      </c>
      <c r="F344" s="2" t="s">
        <v>47</v>
      </c>
      <c r="G344" s="2">
        <v>20358.169999999998</v>
      </c>
      <c r="H344" s="2">
        <v>9324.2800000000007</v>
      </c>
      <c r="I344" s="2" t="s">
        <v>63</v>
      </c>
      <c r="J344" s="2" t="s">
        <v>54</v>
      </c>
      <c r="K344" s="2" t="s">
        <v>80</v>
      </c>
      <c r="L344" s="2" t="s">
        <v>48</v>
      </c>
      <c r="M344" s="2">
        <v>5</v>
      </c>
      <c r="N344" s="2" t="s">
        <v>33</v>
      </c>
      <c r="O344" s="2" t="s">
        <v>25</v>
      </c>
      <c r="P344" s="2" t="s">
        <v>34</v>
      </c>
    </row>
    <row r="345" spans="1:16" x14ac:dyDescent="0.25">
      <c r="A345" s="2" t="s">
        <v>945</v>
      </c>
      <c r="B345" s="2" t="s">
        <v>2187</v>
      </c>
      <c r="C345" s="2">
        <v>7662</v>
      </c>
      <c r="D345" s="2" t="s">
        <v>7131</v>
      </c>
      <c r="E345" s="2" t="s">
        <v>18</v>
      </c>
      <c r="F345" s="2" t="s">
        <v>30</v>
      </c>
      <c r="G345" s="2">
        <v>18434.78</v>
      </c>
      <c r="H345" s="2">
        <v>9386.2199999999993</v>
      </c>
      <c r="I345" s="2" t="s">
        <v>20</v>
      </c>
      <c r="J345" s="2" t="s">
        <v>21</v>
      </c>
      <c r="K345" s="2" t="s">
        <v>22</v>
      </c>
      <c r="L345" s="2" t="s">
        <v>55</v>
      </c>
      <c r="M345" s="2">
        <v>4</v>
      </c>
      <c r="N345" s="2" t="s">
        <v>24</v>
      </c>
      <c r="O345" s="2" t="s">
        <v>25</v>
      </c>
      <c r="P345" s="2" t="s">
        <v>34</v>
      </c>
    </row>
    <row r="346" spans="1:16" x14ac:dyDescent="0.25">
      <c r="A346" s="2" t="s">
        <v>948</v>
      </c>
      <c r="B346" s="2" t="s">
        <v>7132</v>
      </c>
      <c r="C346" s="2">
        <v>4030</v>
      </c>
      <c r="D346" s="2" t="s">
        <v>7133</v>
      </c>
      <c r="E346" s="2" t="s">
        <v>6748</v>
      </c>
      <c r="F346" s="2" t="s">
        <v>47</v>
      </c>
      <c r="G346" s="2">
        <v>11885.41</v>
      </c>
      <c r="H346" s="2">
        <v>7021.67</v>
      </c>
      <c r="I346" s="2" t="s">
        <v>6910</v>
      </c>
      <c r="J346" s="2" t="s">
        <v>6789</v>
      </c>
      <c r="K346" s="2" t="s">
        <v>22</v>
      </c>
      <c r="L346" s="2" t="s">
        <v>48</v>
      </c>
      <c r="M346" s="2">
        <v>1</v>
      </c>
      <c r="N346" s="2" t="s">
        <v>33</v>
      </c>
      <c r="O346" s="2" t="s">
        <v>70</v>
      </c>
      <c r="P346" s="2" t="s">
        <v>49</v>
      </c>
    </row>
    <row r="347" spans="1:16" x14ac:dyDescent="0.25">
      <c r="A347" s="2" t="s">
        <v>951</v>
      </c>
      <c r="B347" s="2" t="s">
        <v>1397</v>
      </c>
      <c r="C347" s="2">
        <v>6963</v>
      </c>
      <c r="D347" s="2" t="s">
        <v>6831</v>
      </c>
      <c r="E347" s="2" t="s">
        <v>18</v>
      </c>
      <c r="F347" s="2" t="s">
        <v>58</v>
      </c>
      <c r="G347" s="2">
        <v>15132.2</v>
      </c>
      <c r="H347" s="2">
        <v>7915.93</v>
      </c>
      <c r="I347" s="2" t="s">
        <v>31</v>
      </c>
      <c r="J347" s="2" t="s">
        <v>21</v>
      </c>
      <c r="K347" s="2" t="s">
        <v>22</v>
      </c>
      <c r="L347" s="2" t="s">
        <v>88</v>
      </c>
      <c r="M347" s="2">
        <v>3</v>
      </c>
      <c r="N347" s="2" t="s">
        <v>33</v>
      </c>
      <c r="O347" s="2" t="s">
        <v>25</v>
      </c>
      <c r="P347" s="2" t="s">
        <v>26</v>
      </c>
    </row>
    <row r="348" spans="1:16" x14ac:dyDescent="0.25">
      <c r="A348" s="2" t="s">
        <v>953</v>
      </c>
      <c r="B348" s="2" t="s">
        <v>7134</v>
      </c>
      <c r="C348" s="2">
        <v>8839</v>
      </c>
      <c r="D348" s="2" t="s">
        <v>7135</v>
      </c>
      <c r="E348" s="2" t="s">
        <v>32</v>
      </c>
      <c r="F348" s="2" t="s">
        <v>47</v>
      </c>
      <c r="G348" s="2">
        <v>10127.469999999999</v>
      </c>
      <c r="H348" s="2">
        <v>6098.53</v>
      </c>
      <c r="I348" s="2" t="s">
        <v>6910</v>
      </c>
      <c r="J348" s="2" t="s">
        <v>6789</v>
      </c>
      <c r="K348" s="2" t="s">
        <v>42</v>
      </c>
      <c r="L348" s="2" t="s">
        <v>88</v>
      </c>
      <c r="M348" s="2">
        <v>3</v>
      </c>
      <c r="N348" s="2" t="s">
        <v>24</v>
      </c>
      <c r="O348" s="2" t="s">
        <v>25</v>
      </c>
      <c r="P348" s="2" t="s">
        <v>26</v>
      </c>
    </row>
    <row r="349" spans="1:16" x14ac:dyDescent="0.25">
      <c r="A349" s="2" t="s">
        <v>956</v>
      </c>
      <c r="B349" s="2" t="s">
        <v>1125</v>
      </c>
      <c r="C349" s="2">
        <v>8405</v>
      </c>
      <c r="D349" s="2" t="s">
        <v>1126</v>
      </c>
      <c r="E349" s="2" t="s">
        <v>6719</v>
      </c>
      <c r="F349" s="2" t="s">
        <v>19</v>
      </c>
      <c r="G349" s="2">
        <v>13022.55</v>
      </c>
      <c r="H349" s="2">
        <v>8322.36</v>
      </c>
      <c r="I349" s="2" t="s">
        <v>6681</v>
      </c>
      <c r="J349" s="2" t="s">
        <v>41</v>
      </c>
      <c r="K349" s="2" t="s">
        <v>22</v>
      </c>
      <c r="L349" s="2" t="s">
        <v>23</v>
      </c>
      <c r="M349" s="2">
        <v>4</v>
      </c>
      <c r="N349" s="2" t="s">
        <v>33</v>
      </c>
      <c r="O349" s="2" t="s">
        <v>25</v>
      </c>
      <c r="P349" s="2" t="s">
        <v>26</v>
      </c>
    </row>
    <row r="350" spans="1:16" x14ac:dyDescent="0.25">
      <c r="A350" s="2" t="s">
        <v>959</v>
      </c>
      <c r="B350" s="2" t="s">
        <v>5335</v>
      </c>
      <c r="C350" s="2">
        <v>5803</v>
      </c>
      <c r="D350" s="2" t="s">
        <v>7136</v>
      </c>
      <c r="E350" s="2" t="s">
        <v>6719</v>
      </c>
      <c r="F350" s="2" t="s">
        <v>58</v>
      </c>
      <c r="G350" s="2">
        <v>37293.120000000003</v>
      </c>
      <c r="H350" s="2">
        <v>20820.259999999998</v>
      </c>
      <c r="I350" s="2" t="s">
        <v>6845</v>
      </c>
      <c r="J350" s="2" t="s">
        <v>6724</v>
      </c>
      <c r="K350" s="2" t="s">
        <v>32</v>
      </c>
      <c r="L350" s="2" t="s">
        <v>64</v>
      </c>
      <c r="M350" s="2">
        <v>3</v>
      </c>
      <c r="N350" s="2" t="s">
        <v>33</v>
      </c>
      <c r="O350" s="2" t="s">
        <v>70</v>
      </c>
      <c r="P350" s="2" t="s">
        <v>26</v>
      </c>
    </row>
    <row r="351" spans="1:16" x14ac:dyDescent="0.25">
      <c r="A351" s="2" t="s">
        <v>962</v>
      </c>
      <c r="B351" s="2" t="s">
        <v>4753</v>
      </c>
      <c r="C351" s="2">
        <v>9686</v>
      </c>
      <c r="D351" s="2" t="s">
        <v>3559</v>
      </c>
      <c r="E351" s="2" t="s">
        <v>38</v>
      </c>
      <c r="F351" s="2" t="s">
        <v>19</v>
      </c>
      <c r="G351" s="2">
        <v>10141.1</v>
      </c>
      <c r="H351" s="2">
        <v>5714.01</v>
      </c>
      <c r="I351" s="2" t="s">
        <v>31</v>
      </c>
      <c r="J351" s="2" t="s">
        <v>21</v>
      </c>
      <c r="K351" s="2" t="s">
        <v>42</v>
      </c>
      <c r="L351" s="2" t="s">
        <v>23</v>
      </c>
      <c r="M351" s="2">
        <v>3</v>
      </c>
      <c r="N351" s="2" t="s">
        <v>33</v>
      </c>
      <c r="O351" s="2" t="s">
        <v>25</v>
      </c>
      <c r="P351" s="2" t="s">
        <v>34</v>
      </c>
    </row>
    <row r="352" spans="1:16" x14ac:dyDescent="0.25">
      <c r="A352" s="2" t="s">
        <v>964</v>
      </c>
      <c r="B352" s="2" t="s">
        <v>7137</v>
      </c>
      <c r="C352" s="2">
        <v>9770</v>
      </c>
      <c r="D352" s="2" t="s">
        <v>7138</v>
      </c>
      <c r="E352" s="2" t="s">
        <v>6719</v>
      </c>
      <c r="F352" s="2" t="s">
        <v>39</v>
      </c>
      <c r="G352" s="2">
        <v>19522.89</v>
      </c>
      <c r="H352" s="2">
        <v>9470</v>
      </c>
      <c r="I352" s="2" t="s">
        <v>6728</v>
      </c>
      <c r="J352" s="2" t="s">
        <v>6691</v>
      </c>
      <c r="K352" s="2" t="s">
        <v>32</v>
      </c>
      <c r="L352" s="2" t="s">
        <v>23</v>
      </c>
      <c r="M352" s="2">
        <v>2</v>
      </c>
      <c r="N352" s="2" t="s">
        <v>33</v>
      </c>
      <c r="O352" s="2" t="s">
        <v>70</v>
      </c>
      <c r="P352" s="2" t="s">
        <v>49</v>
      </c>
    </row>
    <row r="353" spans="1:16" x14ac:dyDescent="0.25">
      <c r="A353" s="2" t="s">
        <v>966</v>
      </c>
      <c r="B353" s="2" t="s">
        <v>7139</v>
      </c>
      <c r="C353" s="2">
        <v>9845</v>
      </c>
      <c r="D353" s="2" t="s">
        <v>7140</v>
      </c>
      <c r="E353" s="2" t="s">
        <v>6694</v>
      </c>
      <c r="F353" s="2" t="s">
        <v>39</v>
      </c>
      <c r="G353" s="2">
        <v>24610.22</v>
      </c>
      <c r="H353" s="2">
        <v>11672.58</v>
      </c>
      <c r="I353" s="2" t="s">
        <v>6695</v>
      </c>
      <c r="J353" s="2" t="s">
        <v>6795</v>
      </c>
      <c r="K353" s="2" t="s">
        <v>22</v>
      </c>
      <c r="L353" s="2" t="s">
        <v>64</v>
      </c>
      <c r="M353" s="2">
        <v>4</v>
      </c>
      <c r="N353" s="2" t="s">
        <v>24</v>
      </c>
      <c r="O353" s="2" t="s">
        <v>70</v>
      </c>
      <c r="P353" s="2" t="s">
        <v>34</v>
      </c>
    </row>
    <row r="354" spans="1:16" x14ac:dyDescent="0.25">
      <c r="A354" s="2" t="s">
        <v>967</v>
      </c>
      <c r="B354" s="2" t="s">
        <v>638</v>
      </c>
      <c r="C354" s="2">
        <v>3409</v>
      </c>
      <c r="D354" s="2" t="s">
        <v>7141</v>
      </c>
      <c r="E354" s="2" t="s">
        <v>6719</v>
      </c>
      <c r="F354" s="2" t="s">
        <v>47</v>
      </c>
      <c r="G354" s="2">
        <v>8416.94</v>
      </c>
      <c r="H354" s="2">
        <v>3976.69</v>
      </c>
      <c r="I354" s="2" t="s">
        <v>6794</v>
      </c>
      <c r="J354" s="2" t="s">
        <v>6696</v>
      </c>
      <c r="K354" s="2" t="s">
        <v>80</v>
      </c>
      <c r="L354" s="2" t="s">
        <v>55</v>
      </c>
      <c r="M354" s="2">
        <v>2</v>
      </c>
      <c r="N354" s="2" t="s">
        <v>24</v>
      </c>
      <c r="O354" s="2" t="s">
        <v>25</v>
      </c>
      <c r="P354" s="2" t="s">
        <v>26</v>
      </c>
    </row>
    <row r="355" spans="1:16" x14ac:dyDescent="0.25">
      <c r="A355" s="2" t="s">
        <v>970</v>
      </c>
      <c r="B355" s="2" t="s">
        <v>7142</v>
      </c>
      <c r="C355" s="2">
        <v>5553</v>
      </c>
      <c r="D355" s="2" t="s">
        <v>3550</v>
      </c>
      <c r="E355" s="2" t="s">
        <v>6694</v>
      </c>
      <c r="F355" s="2" t="s">
        <v>30</v>
      </c>
      <c r="G355" s="2">
        <v>13918.97</v>
      </c>
      <c r="H355" s="2">
        <v>7762.37</v>
      </c>
      <c r="I355" s="2" t="s">
        <v>63</v>
      </c>
      <c r="J355" s="2" t="s">
        <v>6686</v>
      </c>
      <c r="K355" s="2" t="s">
        <v>80</v>
      </c>
      <c r="L355" s="2" t="s">
        <v>48</v>
      </c>
      <c r="M355" s="2">
        <v>1</v>
      </c>
      <c r="N355" s="2" t="s">
        <v>69</v>
      </c>
      <c r="O355" s="2" t="s">
        <v>25</v>
      </c>
      <c r="P355" s="2" t="s">
        <v>34</v>
      </c>
    </row>
    <row r="356" spans="1:16" x14ac:dyDescent="0.25">
      <c r="A356" s="2" t="s">
        <v>973</v>
      </c>
      <c r="B356" s="2" t="s">
        <v>7143</v>
      </c>
      <c r="C356" s="2">
        <v>1199</v>
      </c>
      <c r="D356" s="2" t="s">
        <v>300</v>
      </c>
      <c r="E356" s="2" t="s">
        <v>38</v>
      </c>
      <c r="F356" s="2" t="s">
        <v>19</v>
      </c>
      <c r="G356" s="2">
        <v>10201.61</v>
      </c>
      <c r="H356" s="2">
        <v>5219.32</v>
      </c>
      <c r="I356" s="2" t="s">
        <v>63</v>
      </c>
      <c r="J356" s="2" t="s">
        <v>54</v>
      </c>
      <c r="K356" s="2" t="s">
        <v>80</v>
      </c>
      <c r="L356" s="2" t="s">
        <v>43</v>
      </c>
      <c r="M356" s="2">
        <v>1</v>
      </c>
      <c r="N356" s="2" t="s">
        <v>33</v>
      </c>
      <c r="O356" s="2" t="s">
        <v>70</v>
      </c>
      <c r="P356" s="2" t="s">
        <v>49</v>
      </c>
    </row>
    <row r="357" spans="1:16" x14ac:dyDescent="0.25">
      <c r="A357" s="2" t="s">
        <v>976</v>
      </c>
      <c r="B357" s="2" t="s">
        <v>1964</v>
      </c>
      <c r="C357" s="2">
        <v>3286</v>
      </c>
      <c r="D357" s="2" t="s">
        <v>7144</v>
      </c>
      <c r="E357" s="2" t="s">
        <v>18</v>
      </c>
      <c r="F357" s="2" t="s">
        <v>58</v>
      </c>
      <c r="G357" s="2">
        <v>12482.49</v>
      </c>
      <c r="H357" s="2">
        <v>6374.14</v>
      </c>
      <c r="I357" s="2" t="s">
        <v>59</v>
      </c>
      <c r="J357" s="2" t="s">
        <v>41</v>
      </c>
      <c r="K357" s="2" t="s">
        <v>42</v>
      </c>
      <c r="L357" s="2" t="s">
        <v>55</v>
      </c>
      <c r="M357" s="2">
        <v>5</v>
      </c>
      <c r="N357" s="2" t="s">
        <v>24</v>
      </c>
      <c r="O357" s="2" t="s">
        <v>25</v>
      </c>
      <c r="P357" s="2" t="s">
        <v>34</v>
      </c>
    </row>
    <row r="358" spans="1:16" x14ac:dyDescent="0.25">
      <c r="A358" s="2" t="s">
        <v>979</v>
      </c>
      <c r="B358" s="2" t="s">
        <v>2685</v>
      </c>
      <c r="C358" s="2">
        <v>4047</v>
      </c>
      <c r="D358" s="2" t="s">
        <v>5889</v>
      </c>
      <c r="E358" s="2" t="s">
        <v>6698</v>
      </c>
      <c r="F358" s="2" t="s">
        <v>30</v>
      </c>
      <c r="G358" s="2">
        <v>49696.22</v>
      </c>
      <c r="H358" s="2">
        <v>27239.35</v>
      </c>
      <c r="I358" s="2" t="s">
        <v>6690</v>
      </c>
      <c r="J358" s="2" t="s">
        <v>54</v>
      </c>
      <c r="K358" s="2" t="s">
        <v>42</v>
      </c>
      <c r="L358" s="2" t="s">
        <v>43</v>
      </c>
      <c r="M358" s="2">
        <v>3</v>
      </c>
      <c r="N358" s="2" t="s">
        <v>24</v>
      </c>
      <c r="O358" s="2" t="s">
        <v>70</v>
      </c>
      <c r="P358" s="2" t="s">
        <v>26</v>
      </c>
    </row>
    <row r="359" spans="1:16" x14ac:dyDescent="0.25">
      <c r="A359" s="2" t="s">
        <v>982</v>
      </c>
      <c r="B359" s="2" t="s">
        <v>388</v>
      </c>
      <c r="C359" s="2">
        <v>5009</v>
      </c>
      <c r="D359" s="2" t="s">
        <v>6629</v>
      </c>
      <c r="E359" s="2" t="s">
        <v>18</v>
      </c>
      <c r="F359" s="2" t="s">
        <v>39</v>
      </c>
      <c r="G359" s="2">
        <v>12579.51</v>
      </c>
      <c r="H359" s="2">
        <v>6358.23</v>
      </c>
      <c r="I359" s="2" t="s">
        <v>120</v>
      </c>
      <c r="J359" s="2" t="s">
        <v>21</v>
      </c>
      <c r="K359" s="2" t="s">
        <v>22</v>
      </c>
      <c r="L359" s="2" t="s">
        <v>43</v>
      </c>
      <c r="M359" s="2">
        <v>3</v>
      </c>
      <c r="N359" s="2" t="s">
        <v>24</v>
      </c>
      <c r="O359" s="2" t="s">
        <v>25</v>
      </c>
      <c r="P359" s="2" t="s">
        <v>34</v>
      </c>
    </row>
    <row r="360" spans="1:16" x14ac:dyDescent="0.25">
      <c r="A360" s="2" t="s">
        <v>984</v>
      </c>
      <c r="B360" s="2" t="s">
        <v>5475</v>
      </c>
      <c r="C360" s="2">
        <v>5252</v>
      </c>
      <c r="D360" s="2" t="s">
        <v>3197</v>
      </c>
      <c r="E360" s="2" t="s">
        <v>6743</v>
      </c>
      <c r="F360" s="2" t="s">
        <v>47</v>
      </c>
      <c r="G360" s="2">
        <v>9770.68</v>
      </c>
      <c r="H360" s="2">
        <v>4682.38</v>
      </c>
      <c r="I360" s="2" t="s">
        <v>31</v>
      </c>
      <c r="J360" s="2" t="s">
        <v>6696</v>
      </c>
      <c r="K360" s="2" t="s">
        <v>80</v>
      </c>
      <c r="L360" s="2" t="s">
        <v>48</v>
      </c>
      <c r="M360" s="2">
        <v>2</v>
      </c>
      <c r="N360" s="2" t="s">
        <v>33</v>
      </c>
      <c r="O360" s="2" t="s">
        <v>25</v>
      </c>
      <c r="P360" s="2" t="s">
        <v>34</v>
      </c>
    </row>
    <row r="361" spans="1:16" x14ac:dyDescent="0.25">
      <c r="A361" s="2" t="s">
        <v>986</v>
      </c>
      <c r="B361" s="2" t="s">
        <v>7145</v>
      </c>
      <c r="C361" s="2">
        <v>2548</v>
      </c>
      <c r="D361" s="2" t="s">
        <v>7146</v>
      </c>
      <c r="E361" s="2" t="s">
        <v>6743</v>
      </c>
      <c r="F361" s="2" t="s">
        <v>47</v>
      </c>
      <c r="G361" s="2">
        <v>12829.04</v>
      </c>
      <c r="H361" s="2">
        <v>8011.59</v>
      </c>
      <c r="I361" s="2" t="s">
        <v>6752</v>
      </c>
      <c r="J361" s="2" t="s">
        <v>6700</v>
      </c>
      <c r="K361" s="2" t="s">
        <v>42</v>
      </c>
      <c r="L361" s="2" t="s">
        <v>88</v>
      </c>
      <c r="M361" s="2">
        <v>3</v>
      </c>
      <c r="N361" s="2" t="s">
        <v>33</v>
      </c>
      <c r="O361" s="2" t="s">
        <v>25</v>
      </c>
      <c r="P361" s="2" t="s">
        <v>26</v>
      </c>
    </row>
    <row r="362" spans="1:16" x14ac:dyDescent="0.25">
      <c r="A362" s="2" t="s">
        <v>989</v>
      </c>
      <c r="B362" s="2" t="s">
        <v>7147</v>
      </c>
      <c r="C362" s="2">
        <v>9612</v>
      </c>
      <c r="D362" s="2" t="s">
        <v>7148</v>
      </c>
      <c r="E362" s="2" t="s">
        <v>6694</v>
      </c>
      <c r="F362" s="2" t="s">
        <v>58</v>
      </c>
      <c r="G362" s="2">
        <v>14944.15</v>
      </c>
      <c r="H362" s="2">
        <v>9462.73</v>
      </c>
      <c r="I362" s="2" t="s">
        <v>6704</v>
      </c>
      <c r="J362" s="2" t="s">
        <v>6705</v>
      </c>
      <c r="K362" s="2" t="s">
        <v>22</v>
      </c>
      <c r="L362" s="2" t="s">
        <v>23</v>
      </c>
      <c r="M362" s="2">
        <v>1</v>
      </c>
      <c r="N362" s="2" t="s">
        <v>24</v>
      </c>
      <c r="O362" s="2" t="s">
        <v>25</v>
      </c>
      <c r="P362" s="2" t="s">
        <v>34</v>
      </c>
    </row>
    <row r="363" spans="1:16" x14ac:dyDescent="0.25">
      <c r="A363" s="2" t="s">
        <v>991</v>
      </c>
      <c r="B363" s="2" t="s">
        <v>1557</v>
      </c>
      <c r="C363" s="2">
        <v>4712</v>
      </c>
      <c r="D363" s="2" t="s">
        <v>7149</v>
      </c>
      <c r="E363" s="2" t="s">
        <v>6748</v>
      </c>
      <c r="F363" s="2" t="s">
        <v>19</v>
      </c>
      <c r="G363" s="2">
        <v>4519.87</v>
      </c>
      <c r="H363" s="2">
        <v>2151.66</v>
      </c>
      <c r="I363" s="2" t="s">
        <v>20</v>
      </c>
      <c r="J363" s="2" t="s">
        <v>6724</v>
      </c>
      <c r="K363" s="2" t="s">
        <v>22</v>
      </c>
      <c r="L363" s="2" t="s">
        <v>64</v>
      </c>
      <c r="M363" s="2">
        <v>1</v>
      </c>
      <c r="N363" s="2" t="s">
        <v>33</v>
      </c>
      <c r="O363" s="2" t="s">
        <v>70</v>
      </c>
      <c r="P363" s="2" t="s">
        <v>34</v>
      </c>
    </row>
    <row r="364" spans="1:16" x14ac:dyDescent="0.25">
      <c r="A364" s="2" t="s">
        <v>994</v>
      </c>
      <c r="B364" s="2" t="s">
        <v>496</v>
      </c>
      <c r="C364" s="2">
        <v>3028</v>
      </c>
      <c r="D364" s="2" t="s">
        <v>1922</v>
      </c>
      <c r="E364" s="2" t="s">
        <v>18</v>
      </c>
      <c r="F364" s="2" t="s">
        <v>58</v>
      </c>
      <c r="G364" s="2">
        <v>35689.58</v>
      </c>
      <c r="H364" s="2">
        <v>17488.07</v>
      </c>
      <c r="I364" s="2" t="s">
        <v>53</v>
      </c>
      <c r="J364" s="2" t="s">
        <v>54</v>
      </c>
      <c r="K364" s="2" t="s">
        <v>42</v>
      </c>
      <c r="L364" s="2" t="s">
        <v>55</v>
      </c>
      <c r="M364" s="2">
        <v>1</v>
      </c>
      <c r="N364" s="2" t="s">
        <v>33</v>
      </c>
      <c r="O364" s="2" t="s">
        <v>70</v>
      </c>
      <c r="P364" s="2" t="s">
        <v>34</v>
      </c>
    </row>
    <row r="365" spans="1:16" x14ac:dyDescent="0.25">
      <c r="A365" s="2" t="s">
        <v>997</v>
      </c>
      <c r="B365" s="2" t="s">
        <v>3503</v>
      </c>
      <c r="C365" s="2">
        <v>9272</v>
      </c>
      <c r="D365" s="2" t="s">
        <v>7150</v>
      </c>
      <c r="E365" s="2" t="s">
        <v>18</v>
      </c>
      <c r="F365" s="2" t="s">
        <v>47</v>
      </c>
      <c r="G365" s="2">
        <v>5608.23</v>
      </c>
      <c r="H365" s="2">
        <v>3172.16</v>
      </c>
      <c r="I365" s="2" t="s">
        <v>63</v>
      </c>
      <c r="J365" s="2" t="s">
        <v>54</v>
      </c>
      <c r="K365" s="2" t="s">
        <v>22</v>
      </c>
      <c r="L365" s="2" t="s">
        <v>43</v>
      </c>
      <c r="M365" s="2">
        <v>2</v>
      </c>
      <c r="N365" s="2" t="s">
        <v>24</v>
      </c>
      <c r="O365" s="2" t="s">
        <v>70</v>
      </c>
      <c r="P365" s="2" t="s">
        <v>26</v>
      </c>
    </row>
    <row r="366" spans="1:16" x14ac:dyDescent="0.25">
      <c r="A366" s="2" t="s">
        <v>1000</v>
      </c>
      <c r="B366" s="2" t="s">
        <v>7151</v>
      </c>
      <c r="C366" s="2">
        <v>7004</v>
      </c>
      <c r="D366" s="2" t="s">
        <v>7152</v>
      </c>
      <c r="E366" s="2" t="s">
        <v>32</v>
      </c>
      <c r="F366" s="2" t="s">
        <v>58</v>
      </c>
      <c r="G366" s="2">
        <v>20627.490000000002</v>
      </c>
      <c r="H366" s="2">
        <v>13233.56</v>
      </c>
      <c r="I366" s="2" t="s">
        <v>31</v>
      </c>
      <c r="J366" s="2" t="s">
        <v>6789</v>
      </c>
      <c r="K366" s="2" t="s">
        <v>32</v>
      </c>
      <c r="L366" s="2" t="s">
        <v>88</v>
      </c>
      <c r="M366" s="2">
        <v>4</v>
      </c>
      <c r="N366" s="2" t="s">
        <v>33</v>
      </c>
      <c r="O366" s="2" t="s">
        <v>25</v>
      </c>
      <c r="P366" s="2" t="s">
        <v>34</v>
      </c>
    </row>
    <row r="367" spans="1:16" x14ac:dyDescent="0.25">
      <c r="A367" s="2" t="s">
        <v>1003</v>
      </c>
      <c r="B367" s="2" t="s">
        <v>1119</v>
      </c>
      <c r="C367" s="2">
        <v>6375</v>
      </c>
      <c r="D367" s="2" t="s">
        <v>7153</v>
      </c>
      <c r="E367" s="2" t="s">
        <v>6748</v>
      </c>
      <c r="F367" s="2" t="s">
        <v>19</v>
      </c>
      <c r="G367" s="2">
        <v>7145.61</v>
      </c>
      <c r="H367" s="2">
        <v>3620.84</v>
      </c>
      <c r="I367" s="2" t="s">
        <v>6812</v>
      </c>
      <c r="J367" s="2" t="s">
        <v>6729</v>
      </c>
      <c r="K367" s="2" t="s">
        <v>42</v>
      </c>
      <c r="L367" s="2" t="s">
        <v>48</v>
      </c>
      <c r="M367" s="2">
        <v>4</v>
      </c>
      <c r="N367" s="2" t="s">
        <v>33</v>
      </c>
      <c r="O367" s="2" t="s">
        <v>25</v>
      </c>
      <c r="P367" s="2" t="s">
        <v>34</v>
      </c>
    </row>
    <row r="368" spans="1:16" x14ac:dyDescent="0.25">
      <c r="A368" s="2" t="s">
        <v>1004</v>
      </c>
      <c r="B368" s="2" t="s">
        <v>7154</v>
      </c>
      <c r="C368" s="2">
        <v>2392</v>
      </c>
      <c r="D368" s="2" t="s">
        <v>3439</v>
      </c>
      <c r="E368" s="2" t="s">
        <v>6703</v>
      </c>
      <c r="F368" s="2" t="s">
        <v>30</v>
      </c>
      <c r="G368" s="2">
        <v>22915.15</v>
      </c>
      <c r="H368" s="2">
        <v>12147.89</v>
      </c>
      <c r="I368" s="2" t="s">
        <v>6752</v>
      </c>
      <c r="J368" s="2" t="s">
        <v>6686</v>
      </c>
      <c r="K368" s="2" t="s">
        <v>22</v>
      </c>
      <c r="L368" s="2" t="s">
        <v>48</v>
      </c>
      <c r="M368" s="2">
        <v>2</v>
      </c>
      <c r="N368" s="2" t="s">
        <v>33</v>
      </c>
      <c r="O368" s="2" t="s">
        <v>70</v>
      </c>
      <c r="P368" s="2" t="s">
        <v>34</v>
      </c>
    </row>
    <row r="369" spans="1:16" x14ac:dyDescent="0.25">
      <c r="A369" s="2" t="s">
        <v>1006</v>
      </c>
      <c r="B369" s="2" t="s">
        <v>7155</v>
      </c>
      <c r="C369" s="2">
        <v>6834</v>
      </c>
      <c r="D369" s="2" t="s">
        <v>7156</v>
      </c>
      <c r="E369" s="2" t="s">
        <v>6748</v>
      </c>
      <c r="F369" s="2" t="s">
        <v>19</v>
      </c>
      <c r="G369" s="2">
        <v>15141.84</v>
      </c>
      <c r="H369" s="2">
        <v>9691.2000000000007</v>
      </c>
      <c r="I369" s="2" t="s">
        <v>6867</v>
      </c>
      <c r="J369" s="2" t="s">
        <v>21</v>
      </c>
      <c r="K369" s="2" t="s">
        <v>80</v>
      </c>
      <c r="L369" s="2" t="s">
        <v>43</v>
      </c>
      <c r="M369" s="2">
        <v>3</v>
      </c>
      <c r="N369" s="2" t="s">
        <v>33</v>
      </c>
      <c r="O369" s="2" t="s">
        <v>25</v>
      </c>
      <c r="P369" s="2" t="s">
        <v>26</v>
      </c>
    </row>
    <row r="370" spans="1:16" x14ac:dyDescent="0.25">
      <c r="A370" s="2" t="s">
        <v>1008</v>
      </c>
      <c r="B370" s="2" t="s">
        <v>7157</v>
      </c>
      <c r="C370" s="2">
        <v>7269</v>
      </c>
      <c r="D370" s="2" t="s">
        <v>7158</v>
      </c>
      <c r="E370" s="2" t="s">
        <v>6680</v>
      </c>
      <c r="F370" s="2" t="s">
        <v>47</v>
      </c>
      <c r="G370" s="2">
        <v>6084.71</v>
      </c>
      <c r="H370" s="2">
        <v>3495.02</v>
      </c>
      <c r="I370" s="2" t="s">
        <v>6720</v>
      </c>
      <c r="J370" s="2" t="s">
        <v>6691</v>
      </c>
      <c r="K370" s="2" t="s">
        <v>22</v>
      </c>
      <c r="L370" s="2" t="s">
        <v>55</v>
      </c>
      <c r="M370" s="2">
        <v>5</v>
      </c>
      <c r="N370" s="2" t="s">
        <v>24</v>
      </c>
      <c r="O370" s="2" t="s">
        <v>70</v>
      </c>
      <c r="P370" s="2" t="s">
        <v>26</v>
      </c>
    </row>
    <row r="371" spans="1:16" x14ac:dyDescent="0.25">
      <c r="A371" s="2" t="s">
        <v>1010</v>
      </c>
      <c r="B371" s="2" t="s">
        <v>5151</v>
      </c>
      <c r="C371" s="2">
        <v>2951</v>
      </c>
      <c r="D371" s="2" t="s">
        <v>7159</v>
      </c>
      <c r="E371" s="2" t="s">
        <v>38</v>
      </c>
      <c r="F371" s="2" t="s">
        <v>30</v>
      </c>
      <c r="G371" s="2">
        <v>67287.649999999994</v>
      </c>
      <c r="H371" s="2">
        <v>41757.019999999997</v>
      </c>
      <c r="I371" s="2" t="s">
        <v>84</v>
      </c>
      <c r="J371" s="2" t="s">
        <v>54</v>
      </c>
      <c r="K371" s="2" t="s">
        <v>80</v>
      </c>
      <c r="L371" s="2" t="s">
        <v>64</v>
      </c>
      <c r="M371" s="2">
        <v>1</v>
      </c>
      <c r="N371" s="2" t="s">
        <v>33</v>
      </c>
      <c r="O371" s="2" t="s">
        <v>25</v>
      </c>
      <c r="P371" s="2" t="s">
        <v>34</v>
      </c>
    </row>
    <row r="372" spans="1:16" x14ac:dyDescent="0.25">
      <c r="A372" s="2" t="s">
        <v>1013</v>
      </c>
      <c r="B372" s="2" t="s">
        <v>1688</v>
      </c>
      <c r="C372" s="2">
        <v>9037</v>
      </c>
      <c r="D372" s="2" t="s">
        <v>7160</v>
      </c>
      <c r="E372" s="2" t="s">
        <v>38</v>
      </c>
      <c r="F372" s="2" t="s">
        <v>58</v>
      </c>
      <c r="G372" s="2">
        <v>38413.06</v>
      </c>
      <c r="H372" s="2">
        <v>23849.53</v>
      </c>
      <c r="I372" s="2" t="s">
        <v>53</v>
      </c>
      <c r="J372" s="2" t="s">
        <v>54</v>
      </c>
      <c r="K372" s="2" t="s">
        <v>22</v>
      </c>
      <c r="L372" s="2" t="s">
        <v>64</v>
      </c>
      <c r="M372" s="2">
        <v>3</v>
      </c>
      <c r="N372" s="2" t="s">
        <v>24</v>
      </c>
      <c r="O372" s="2" t="s">
        <v>70</v>
      </c>
      <c r="P372" s="2" t="s">
        <v>49</v>
      </c>
    </row>
    <row r="373" spans="1:16" x14ac:dyDescent="0.25">
      <c r="A373" s="2" t="s">
        <v>1016</v>
      </c>
      <c r="B373" s="2" t="s">
        <v>7161</v>
      </c>
      <c r="C373" s="2">
        <v>7003</v>
      </c>
      <c r="D373" s="2" t="s">
        <v>2145</v>
      </c>
      <c r="E373" s="2" t="s">
        <v>6719</v>
      </c>
      <c r="F373" s="2" t="s">
        <v>39</v>
      </c>
      <c r="G373" s="2">
        <v>25286.45</v>
      </c>
      <c r="H373" s="2">
        <v>14332.19</v>
      </c>
      <c r="I373" s="2" t="s">
        <v>6726</v>
      </c>
      <c r="J373" s="2" t="s">
        <v>6802</v>
      </c>
      <c r="K373" s="2" t="s">
        <v>42</v>
      </c>
      <c r="L373" s="2" t="s">
        <v>64</v>
      </c>
      <c r="M373" s="2">
        <v>1</v>
      </c>
      <c r="N373" s="2" t="s">
        <v>33</v>
      </c>
      <c r="O373" s="2" t="s">
        <v>70</v>
      </c>
      <c r="P373" s="2" t="s">
        <v>34</v>
      </c>
    </row>
    <row r="374" spans="1:16" x14ac:dyDescent="0.25">
      <c r="A374" s="2" t="s">
        <v>1019</v>
      </c>
      <c r="B374" s="2" t="s">
        <v>7162</v>
      </c>
      <c r="C374" s="2">
        <v>6531</v>
      </c>
      <c r="D374" s="2" t="s">
        <v>7163</v>
      </c>
      <c r="E374" s="2" t="s">
        <v>18</v>
      </c>
      <c r="F374" s="2" t="s">
        <v>58</v>
      </c>
      <c r="G374" s="2">
        <v>10038.75</v>
      </c>
      <c r="H374" s="2">
        <v>5172.2</v>
      </c>
      <c r="I374" s="2" t="s">
        <v>6771</v>
      </c>
      <c r="J374" s="2" t="s">
        <v>6789</v>
      </c>
      <c r="K374" s="2" t="s">
        <v>80</v>
      </c>
      <c r="L374" s="2" t="s">
        <v>48</v>
      </c>
      <c r="M374" s="2">
        <v>4</v>
      </c>
      <c r="N374" s="2" t="s">
        <v>24</v>
      </c>
      <c r="O374" s="2" t="s">
        <v>70</v>
      </c>
      <c r="P374" s="2" t="s">
        <v>34</v>
      </c>
    </row>
    <row r="375" spans="1:16" x14ac:dyDescent="0.25">
      <c r="A375" s="2" t="s">
        <v>1022</v>
      </c>
      <c r="B375" s="2" t="s">
        <v>7164</v>
      </c>
      <c r="C375" s="2">
        <v>4373</v>
      </c>
      <c r="D375" s="2" t="s">
        <v>7165</v>
      </c>
      <c r="E375" s="2" t="s">
        <v>38</v>
      </c>
      <c r="F375" s="2" t="s">
        <v>58</v>
      </c>
      <c r="G375" s="2">
        <v>36403.11</v>
      </c>
      <c r="H375" s="2">
        <v>22289.31</v>
      </c>
      <c r="I375" s="2" t="s">
        <v>6699</v>
      </c>
      <c r="J375" s="2" t="s">
        <v>6700</v>
      </c>
      <c r="K375" s="2" t="s">
        <v>42</v>
      </c>
      <c r="L375" s="2" t="s">
        <v>23</v>
      </c>
      <c r="M375" s="2">
        <v>5</v>
      </c>
      <c r="N375" s="2" t="s">
        <v>33</v>
      </c>
      <c r="O375" s="2" t="s">
        <v>70</v>
      </c>
      <c r="P375" s="2" t="s">
        <v>26</v>
      </c>
    </row>
    <row r="376" spans="1:16" x14ac:dyDescent="0.25">
      <c r="A376" s="2" t="s">
        <v>1024</v>
      </c>
      <c r="B376" s="2" t="s">
        <v>2167</v>
      </c>
      <c r="C376" s="2">
        <v>2506</v>
      </c>
      <c r="D376" s="2" t="s">
        <v>7166</v>
      </c>
      <c r="E376" s="2" t="s">
        <v>18</v>
      </c>
      <c r="F376" s="2" t="s">
        <v>47</v>
      </c>
      <c r="G376" s="2">
        <v>11877.97</v>
      </c>
      <c r="H376" s="2">
        <v>5994.49</v>
      </c>
      <c r="I376" s="2" t="s">
        <v>53</v>
      </c>
      <c r="J376" s="2" t="s">
        <v>54</v>
      </c>
      <c r="K376" s="2" t="s">
        <v>80</v>
      </c>
      <c r="L376" s="2" t="s">
        <v>64</v>
      </c>
      <c r="M376" s="2">
        <v>2</v>
      </c>
      <c r="N376" s="2" t="s">
        <v>33</v>
      </c>
      <c r="O376" s="2" t="s">
        <v>25</v>
      </c>
      <c r="P376" s="2" t="s">
        <v>34</v>
      </c>
    </row>
    <row r="377" spans="1:16" x14ac:dyDescent="0.25">
      <c r="A377" s="2" t="s">
        <v>1027</v>
      </c>
      <c r="B377" s="2" t="s">
        <v>4128</v>
      </c>
      <c r="C377" s="2">
        <v>9443</v>
      </c>
      <c r="D377" s="2" t="s">
        <v>7167</v>
      </c>
      <c r="E377" s="2" t="s">
        <v>38</v>
      </c>
      <c r="F377" s="2" t="s">
        <v>30</v>
      </c>
      <c r="G377" s="2">
        <v>62244.38</v>
      </c>
      <c r="H377" s="2">
        <v>34826.51</v>
      </c>
      <c r="I377" s="2" t="s">
        <v>84</v>
      </c>
      <c r="J377" s="2" t="s">
        <v>54</v>
      </c>
      <c r="K377" s="2" t="s">
        <v>22</v>
      </c>
      <c r="L377" s="2" t="s">
        <v>48</v>
      </c>
      <c r="M377" s="2">
        <v>5</v>
      </c>
      <c r="N377" s="2" t="s">
        <v>69</v>
      </c>
      <c r="O377" s="2" t="s">
        <v>25</v>
      </c>
      <c r="P377" s="2" t="s">
        <v>26</v>
      </c>
    </row>
    <row r="378" spans="1:16" x14ac:dyDescent="0.25">
      <c r="A378" s="2" t="s">
        <v>1029</v>
      </c>
      <c r="B378" s="2" t="s">
        <v>614</v>
      </c>
      <c r="C378" s="2">
        <v>1981</v>
      </c>
      <c r="D378" s="2" t="s">
        <v>7168</v>
      </c>
      <c r="E378" s="2" t="s">
        <v>18</v>
      </c>
      <c r="F378" s="2" t="s">
        <v>39</v>
      </c>
      <c r="G378" s="2">
        <v>16405.669999999998</v>
      </c>
      <c r="H378" s="2">
        <v>7867.32</v>
      </c>
      <c r="I378" s="2" t="s">
        <v>59</v>
      </c>
      <c r="J378" s="2" t="s">
        <v>41</v>
      </c>
      <c r="K378" s="2" t="s">
        <v>32</v>
      </c>
      <c r="L378" s="2" t="s">
        <v>48</v>
      </c>
      <c r="M378" s="2">
        <v>3</v>
      </c>
      <c r="N378" s="2" t="s">
        <v>69</v>
      </c>
      <c r="O378" s="2" t="s">
        <v>25</v>
      </c>
      <c r="P378" s="2" t="s">
        <v>26</v>
      </c>
    </row>
    <row r="379" spans="1:16" x14ac:dyDescent="0.25">
      <c r="A379" s="2" t="s">
        <v>1031</v>
      </c>
      <c r="B379" s="2" t="s">
        <v>2144</v>
      </c>
      <c r="C379" s="2">
        <v>4868</v>
      </c>
      <c r="D379" s="2" t="s">
        <v>1257</v>
      </c>
      <c r="E379" s="2" t="s">
        <v>38</v>
      </c>
      <c r="F379" s="2" t="s">
        <v>47</v>
      </c>
      <c r="G379" s="2">
        <v>4727.3999999999996</v>
      </c>
      <c r="H379" s="2">
        <v>2269.12</v>
      </c>
      <c r="I379" s="2" t="s">
        <v>59</v>
      </c>
      <c r="J379" s="2" t="s">
        <v>6705</v>
      </c>
      <c r="K379" s="2" t="s">
        <v>22</v>
      </c>
      <c r="L379" s="2" t="s">
        <v>23</v>
      </c>
      <c r="M379" s="2">
        <v>3</v>
      </c>
      <c r="N379" s="2" t="s">
        <v>24</v>
      </c>
      <c r="O379" s="2" t="s">
        <v>25</v>
      </c>
      <c r="P379" s="2" t="s">
        <v>34</v>
      </c>
    </row>
    <row r="380" spans="1:16" x14ac:dyDescent="0.25">
      <c r="A380" s="2" t="s">
        <v>1033</v>
      </c>
      <c r="B380" s="2" t="s">
        <v>231</v>
      </c>
      <c r="C380" s="2">
        <v>3883</v>
      </c>
      <c r="D380" s="2" t="s">
        <v>7169</v>
      </c>
      <c r="E380" s="2" t="s">
        <v>18</v>
      </c>
      <c r="F380" s="2" t="s">
        <v>39</v>
      </c>
      <c r="G380" s="2">
        <v>58207.45</v>
      </c>
      <c r="H380" s="2">
        <v>31849.279999999999</v>
      </c>
      <c r="I380" s="2" t="s">
        <v>63</v>
      </c>
      <c r="J380" s="2" t="s">
        <v>54</v>
      </c>
      <c r="K380" s="2" t="s">
        <v>22</v>
      </c>
      <c r="L380" s="2" t="s">
        <v>55</v>
      </c>
      <c r="M380" s="2">
        <v>1</v>
      </c>
      <c r="N380" s="2" t="s">
        <v>33</v>
      </c>
      <c r="O380" s="2" t="s">
        <v>25</v>
      </c>
      <c r="P380" s="2" t="s">
        <v>26</v>
      </c>
    </row>
    <row r="381" spans="1:16" x14ac:dyDescent="0.25">
      <c r="A381" s="2" t="s">
        <v>1036</v>
      </c>
      <c r="B381" s="2" t="s">
        <v>239</v>
      </c>
      <c r="C381" s="2">
        <v>4867</v>
      </c>
      <c r="D381" s="2" t="s">
        <v>7170</v>
      </c>
      <c r="E381" s="2" t="s">
        <v>18</v>
      </c>
      <c r="F381" s="2" t="s">
        <v>19</v>
      </c>
      <c r="G381" s="2">
        <v>17668.669999999998</v>
      </c>
      <c r="H381" s="2">
        <v>9718.65</v>
      </c>
      <c r="I381" s="2" t="s">
        <v>6728</v>
      </c>
      <c r="J381" s="2" t="s">
        <v>6691</v>
      </c>
      <c r="K381" s="2" t="s">
        <v>22</v>
      </c>
      <c r="L381" s="2" t="s">
        <v>43</v>
      </c>
      <c r="M381" s="2">
        <v>5</v>
      </c>
      <c r="N381" s="2" t="s">
        <v>69</v>
      </c>
      <c r="O381" s="2" t="s">
        <v>70</v>
      </c>
      <c r="P381" s="2" t="s">
        <v>34</v>
      </c>
    </row>
    <row r="382" spans="1:16" x14ac:dyDescent="0.25">
      <c r="A382" s="2" t="s">
        <v>1038</v>
      </c>
      <c r="B382" s="2" t="s">
        <v>856</v>
      </c>
      <c r="C382" s="2">
        <v>7928</v>
      </c>
      <c r="D382" s="2" t="s">
        <v>7171</v>
      </c>
      <c r="E382" s="2" t="s">
        <v>18</v>
      </c>
      <c r="F382" s="2" t="s">
        <v>39</v>
      </c>
      <c r="G382" s="2">
        <v>16230.42</v>
      </c>
      <c r="H382" s="2">
        <v>7872.25</v>
      </c>
      <c r="I382" s="2" t="s">
        <v>53</v>
      </c>
      <c r="J382" s="2" t="s">
        <v>54</v>
      </c>
      <c r="K382" s="2" t="s">
        <v>42</v>
      </c>
      <c r="L382" s="2" t="s">
        <v>64</v>
      </c>
      <c r="M382" s="2">
        <v>4</v>
      </c>
      <c r="N382" s="2" t="s">
        <v>33</v>
      </c>
      <c r="O382" s="2" t="s">
        <v>25</v>
      </c>
      <c r="P382" s="2" t="s">
        <v>34</v>
      </c>
    </row>
    <row r="383" spans="1:16" x14ac:dyDescent="0.25">
      <c r="A383" s="2" t="s">
        <v>1040</v>
      </c>
      <c r="B383" s="2" t="s">
        <v>225</v>
      </c>
      <c r="C383" s="2">
        <v>5550</v>
      </c>
      <c r="D383" s="2" t="s">
        <v>7172</v>
      </c>
      <c r="E383" s="2" t="s">
        <v>18</v>
      </c>
      <c r="F383" s="2" t="s">
        <v>39</v>
      </c>
      <c r="G383" s="2">
        <v>18978.93</v>
      </c>
      <c r="H383" s="2">
        <v>11257.05</v>
      </c>
      <c r="I383" s="2" t="s">
        <v>20</v>
      </c>
      <c r="J383" s="2" t="s">
        <v>21</v>
      </c>
      <c r="K383" s="2" t="s">
        <v>42</v>
      </c>
      <c r="L383" s="2" t="s">
        <v>55</v>
      </c>
      <c r="M383" s="2">
        <v>5</v>
      </c>
      <c r="N383" s="2" t="s">
        <v>33</v>
      </c>
      <c r="O383" s="2" t="s">
        <v>70</v>
      </c>
      <c r="P383" s="2" t="s">
        <v>26</v>
      </c>
    </row>
    <row r="384" spans="1:16" x14ac:dyDescent="0.25">
      <c r="A384" s="2" t="s">
        <v>1042</v>
      </c>
      <c r="B384" s="2" t="s">
        <v>7173</v>
      </c>
      <c r="C384" s="2">
        <v>2999</v>
      </c>
      <c r="D384" s="2" t="s">
        <v>7174</v>
      </c>
      <c r="E384" s="2" t="s">
        <v>6756</v>
      </c>
      <c r="F384" s="2" t="s">
        <v>39</v>
      </c>
      <c r="G384" s="2">
        <v>35302.36</v>
      </c>
      <c r="H384" s="2">
        <v>18628.849999999999</v>
      </c>
      <c r="I384" s="2" t="s">
        <v>6915</v>
      </c>
      <c r="J384" s="2" t="s">
        <v>6795</v>
      </c>
      <c r="K384" s="2" t="s">
        <v>80</v>
      </c>
      <c r="L384" s="2" t="s">
        <v>88</v>
      </c>
      <c r="M384" s="2">
        <v>3</v>
      </c>
      <c r="N384" s="2" t="s">
        <v>33</v>
      </c>
      <c r="O384" s="2" t="s">
        <v>70</v>
      </c>
      <c r="P384" s="2" t="s">
        <v>26</v>
      </c>
    </row>
    <row r="385" spans="1:16" x14ac:dyDescent="0.25">
      <c r="A385" s="2" t="s">
        <v>1044</v>
      </c>
      <c r="B385" s="2" t="s">
        <v>7175</v>
      </c>
      <c r="C385" s="2">
        <v>7765</v>
      </c>
      <c r="D385" s="2" t="s">
        <v>7176</v>
      </c>
      <c r="E385" s="2" t="s">
        <v>38</v>
      </c>
      <c r="F385" s="2" t="s">
        <v>39</v>
      </c>
      <c r="G385" s="2">
        <v>27606.36</v>
      </c>
      <c r="H385" s="2">
        <v>17263.7</v>
      </c>
      <c r="I385" s="2" t="s">
        <v>63</v>
      </c>
      <c r="J385" s="2" t="s">
        <v>54</v>
      </c>
      <c r="K385" s="2" t="s">
        <v>22</v>
      </c>
      <c r="L385" s="2" t="s">
        <v>23</v>
      </c>
      <c r="M385" s="2">
        <v>3</v>
      </c>
      <c r="N385" s="2" t="s">
        <v>24</v>
      </c>
      <c r="O385" s="2" t="s">
        <v>25</v>
      </c>
      <c r="P385" s="2" t="s">
        <v>49</v>
      </c>
    </row>
    <row r="386" spans="1:16" x14ac:dyDescent="0.25">
      <c r="A386" s="2" t="s">
        <v>1047</v>
      </c>
      <c r="B386" s="2" t="s">
        <v>7177</v>
      </c>
      <c r="C386" s="2">
        <v>4010</v>
      </c>
      <c r="D386" s="2" t="s">
        <v>7178</v>
      </c>
      <c r="E386" s="2" t="s">
        <v>6719</v>
      </c>
      <c r="F386" s="2" t="s">
        <v>30</v>
      </c>
      <c r="G386" s="2">
        <v>52308.31</v>
      </c>
      <c r="H386" s="2">
        <v>24962.49</v>
      </c>
      <c r="I386" s="2" t="s">
        <v>6794</v>
      </c>
      <c r="J386" s="2" t="s">
        <v>6696</v>
      </c>
      <c r="K386" s="2" t="s">
        <v>80</v>
      </c>
      <c r="L386" s="2" t="s">
        <v>23</v>
      </c>
      <c r="M386" s="2">
        <v>3</v>
      </c>
      <c r="N386" s="2" t="s">
        <v>33</v>
      </c>
      <c r="O386" s="2" t="s">
        <v>25</v>
      </c>
      <c r="P386" s="2" t="s">
        <v>26</v>
      </c>
    </row>
    <row r="387" spans="1:16" x14ac:dyDescent="0.25">
      <c r="A387" s="2" t="s">
        <v>1050</v>
      </c>
      <c r="B387" s="2" t="s">
        <v>7179</v>
      </c>
      <c r="C387" s="2">
        <v>5616</v>
      </c>
      <c r="D387" s="2" t="s">
        <v>3923</v>
      </c>
      <c r="E387" s="2" t="s">
        <v>18</v>
      </c>
      <c r="F387" s="2" t="s">
        <v>58</v>
      </c>
      <c r="G387" s="2">
        <v>9454.35</v>
      </c>
      <c r="H387" s="2">
        <v>4949.54</v>
      </c>
      <c r="I387" s="2" t="s">
        <v>31</v>
      </c>
      <c r="J387" s="2" t="s">
        <v>21</v>
      </c>
      <c r="K387" s="2" t="s">
        <v>80</v>
      </c>
      <c r="L387" s="2" t="s">
        <v>64</v>
      </c>
      <c r="M387" s="2">
        <v>5</v>
      </c>
      <c r="N387" s="2" t="s">
        <v>33</v>
      </c>
      <c r="O387" s="2" t="s">
        <v>70</v>
      </c>
      <c r="P387" s="2" t="s">
        <v>49</v>
      </c>
    </row>
    <row r="388" spans="1:16" x14ac:dyDescent="0.25">
      <c r="A388" s="2" t="s">
        <v>1053</v>
      </c>
      <c r="B388" s="2" t="s">
        <v>3570</v>
      </c>
      <c r="C388" s="2">
        <v>1815</v>
      </c>
      <c r="D388" s="2" t="s">
        <v>1186</v>
      </c>
      <c r="E388" s="2" t="s">
        <v>38</v>
      </c>
      <c r="F388" s="2" t="s">
        <v>47</v>
      </c>
      <c r="G388" s="2">
        <v>8691.2900000000009</v>
      </c>
      <c r="H388" s="2">
        <v>4954.72</v>
      </c>
      <c r="I388" s="2" t="s">
        <v>20</v>
      </c>
      <c r="J388" s="2" t="s">
        <v>21</v>
      </c>
      <c r="K388" s="2" t="s">
        <v>32</v>
      </c>
      <c r="L388" s="2" t="s">
        <v>55</v>
      </c>
      <c r="M388" s="2">
        <v>3</v>
      </c>
      <c r="N388" s="2" t="s">
        <v>33</v>
      </c>
      <c r="O388" s="2" t="s">
        <v>25</v>
      </c>
      <c r="P388" s="2" t="s">
        <v>26</v>
      </c>
    </row>
    <row r="389" spans="1:16" x14ac:dyDescent="0.25">
      <c r="A389" s="2" t="s">
        <v>1055</v>
      </c>
      <c r="B389" s="2" t="s">
        <v>267</v>
      </c>
      <c r="C389" s="2">
        <v>4121</v>
      </c>
      <c r="D389" s="2" t="s">
        <v>7180</v>
      </c>
      <c r="E389" s="2" t="s">
        <v>38</v>
      </c>
      <c r="F389" s="2" t="s">
        <v>47</v>
      </c>
      <c r="G389" s="2">
        <v>8417.34</v>
      </c>
      <c r="H389" s="2">
        <v>4619.72</v>
      </c>
      <c r="I389" s="2" t="s">
        <v>53</v>
      </c>
      <c r="J389" s="2" t="s">
        <v>54</v>
      </c>
      <c r="K389" s="2" t="s">
        <v>32</v>
      </c>
      <c r="L389" s="2" t="s">
        <v>64</v>
      </c>
      <c r="M389" s="2">
        <v>2</v>
      </c>
      <c r="N389" s="2" t="s">
        <v>24</v>
      </c>
      <c r="O389" s="2" t="s">
        <v>70</v>
      </c>
      <c r="P389" s="2" t="s">
        <v>34</v>
      </c>
    </row>
    <row r="390" spans="1:16" x14ac:dyDescent="0.25">
      <c r="A390" s="2" t="s">
        <v>1058</v>
      </c>
      <c r="B390" s="2" t="s">
        <v>7181</v>
      </c>
      <c r="C390" s="2">
        <v>4858</v>
      </c>
      <c r="D390" s="2" t="s">
        <v>7182</v>
      </c>
      <c r="E390" s="2" t="s">
        <v>6748</v>
      </c>
      <c r="F390" s="2" t="s">
        <v>39</v>
      </c>
      <c r="G390" s="2">
        <v>37680.67</v>
      </c>
      <c r="H390" s="2">
        <v>19741.939999999999</v>
      </c>
      <c r="I390" s="2" t="s">
        <v>6690</v>
      </c>
      <c r="J390" s="2" t="s">
        <v>6686</v>
      </c>
      <c r="K390" s="2" t="s">
        <v>80</v>
      </c>
      <c r="L390" s="2" t="s">
        <v>55</v>
      </c>
      <c r="M390" s="2">
        <v>1</v>
      </c>
      <c r="N390" s="2" t="s">
        <v>24</v>
      </c>
      <c r="O390" s="2" t="s">
        <v>70</v>
      </c>
      <c r="P390" s="2" t="s">
        <v>49</v>
      </c>
    </row>
    <row r="391" spans="1:16" x14ac:dyDescent="0.25">
      <c r="A391" s="2" t="s">
        <v>1061</v>
      </c>
      <c r="B391" s="2" t="s">
        <v>3554</v>
      </c>
      <c r="C391" s="2">
        <v>6453</v>
      </c>
      <c r="D391" s="2" t="s">
        <v>7183</v>
      </c>
      <c r="E391" s="2" t="s">
        <v>18</v>
      </c>
      <c r="F391" s="2" t="s">
        <v>39</v>
      </c>
      <c r="G391" s="2">
        <v>20286.689999999999</v>
      </c>
      <c r="H391" s="2">
        <v>10566.53</v>
      </c>
      <c r="I391" s="2" t="s">
        <v>84</v>
      </c>
      <c r="J391" s="2" t="s">
        <v>54</v>
      </c>
      <c r="K391" s="2" t="s">
        <v>22</v>
      </c>
      <c r="L391" s="2" t="s">
        <v>55</v>
      </c>
      <c r="M391" s="2">
        <v>3</v>
      </c>
      <c r="N391" s="2" t="s">
        <v>24</v>
      </c>
      <c r="O391" s="2" t="s">
        <v>25</v>
      </c>
      <c r="P391" s="2" t="s">
        <v>34</v>
      </c>
    </row>
    <row r="392" spans="1:16" x14ac:dyDescent="0.25">
      <c r="A392" s="2" t="s">
        <v>1064</v>
      </c>
      <c r="B392" s="2" t="s">
        <v>7184</v>
      </c>
      <c r="C392" s="2">
        <v>9074</v>
      </c>
      <c r="D392" s="2" t="s">
        <v>7185</v>
      </c>
      <c r="E392" s="2" t="s">
        <v>6698</v>
      </c>
      <c r="F392" s="2" t="s">
        <v>58</v>
      </c>
      <c r="G392" s="2">
        <v>41291.82</v>
      </c>
      <c r="H392" s="2">
        <v>19670.759999999998</v>
      </c>
      <c r="I392" s="2" t="s">
        <v>6752</v>
      </c>
      <c r="J392" s="2" t="s">
        <v>6700</v>
      </c>
      <c r="K392" s="2" t="s">
        <v>42</v>
      </c>
      <c r="L392" s="2" t="s">
        <v>48</v>
      </c>
      <c r="M392" s="2">
        <v>5</v>
      </c>
      <c r="N392" s="2" t="s">
        <v>33</v>
      </c>
      <c r="O392" s="2" t="s">
        <v>25</v>
      </c>
      <c r="P392" s="2" t="s">
        <v>34</v>
      </c>
    </row>
    <row r="393" spans="1:16" x14ac:dyDescent="0.25">
      <c r="A393" s="2" t="s">
        <v>1067</v>
      </c>
      <c r="B393" s="2" t="s">
        <v>7186</v>
      </c>
      <c r="C393" s="2">
        <v>6128</v>
      </c>
      <c r="D393" s="2" t="s">
        <v>844</v>
      </c>
      <c r="E393" s="2" t="s">
        <v>6719</v>
      </c>
      <c r="F393" s="2" t="s">
        <v>30</v>
      </c>
      <c r="G393" s="2">
        <v>72342.23</v>
      </c>
      <c r="H393" s="2">
        <v>37119.42</v>
      </c>
      <c r="I393" s="2" t="s">
        <v>6681</v>
      </c>
      <c r="J393" s="2" t="s">
        <v>6682</v>
      </c>
      <c r="K393" s="2" t="s">
        <v>80</v>
      </c>
      <c r="L393" s="2" t="s">
        <v>23</v>
      </c>
      <c r="M393" s="2">
        <v>5</v>
      </c>
      <c r="N393" s="2" t="s">
        <v>69</v>
      </c>
      <c r="O393" s="2" t="s">
        <v>70</v>
      </c>
      <c r="P393" s="2" t="s">
        <v>34</v>
      </c>
    </row>
    <row r="394" spans="1:16" x14ac:dyDescent="0.25">
      <c r="A394" s="2" t="s">
        <v>1070</v>
      </c>
      <c r="B394" s="2" t="s">
        <v>5824</v>
      </c>
      <c r="C394" s="2">
        <v>8233</v>
      </c>
      <c r="D394" s="2" t="s">
        <v>7187</v>
      </c>
      <c r="E394" s="2" t="s">
        <v>6698</v>
      </c>
      <c r="F394" s="2" t="s">
        <v>30</v>
      </c>
      <c r="G394" s="2">
        <v>126275.63</v>
      </c>
      <c r="H394" s="2">
        <v>70988.490000000005</v>
      </c>
      <c r="I394" s="2" t="s">
        <v>6728</v>
      </c>
      <c r="J394" s="2" t="s">
        <v>6729</v>
      </c>
      <c r="K394" s="2" t="s">
        <v>80</v>
      </c>
      <c r="L394" s="2" t="s">
        <v>64</v>
      </c>
      <c r="M394" s="2">
        <v>1</v>
      </c>
      <c r="N394" s="2" t="s">
        <v>69</v>
      </c>
      <c r="O394" s="2" t="s">
        <v>70</v>
      </c>
      <c r="P394" s="2" t="s">
        <v>26</v>
      </c>
    </row>
    <row r="395" spans="1:16" x14ac:dyDescent="0.25">
      <c r="A395" s="2" t="s">
        <v>1072</v>
      </c>
      <c r="B395" s="2" t="s">
        <v>3934</v>
      </c>
      <c r="C395" s="2">
        <v>1067</v>
      </c>
      <c r="D395" s="2" t="s">
        <v>5277</v>
      </c>
      <c r="E395" s="2" t="s">
        <v>18</v>
      </c>
      <c r="F395" s="2" t="s">
        <v>30</v>
      </c>
      <c r="G395" s="2">
        <v>48758.37</v>
      </c>
      <c r="H395" s="2">
        <v>22690.54</v>
      </c>
      <c r="I395" s="2" t="s">
        <v>120</v>
      </c>
      <c r="J395" s="2" t="s">
        <v>21</v>
      </c>
      <c r="K395" s="2" t="s">
        <v>80</v>
      </c>
      <c r="L395" s="2" t="s">
        <v>48</v>
      </c>
      <c r="M395" s="2">
        <v>1</v>
      </c>
      <c r="N395" s="2" t="s">
        <v>69</v>
      </c>
      <c r="O395" s="2" t="s">
        <v>25</v>
      </c>
      <c r="P395" s="2" t="s">
        <v>49</v>
      </c>
    </row>
    <row r="396" spans="1:16" x14ac:dyDescent="0.25">
      <c r="A396" s="2" t="s">
        <v>1074</v>
      </c>
      <c r="B396" s="2" t="s">
        <v>1059</v>
      </c>
      <c r="C396" s="2">
        <v>1473</v>
      </c>
      <c r="D396" s="2" t="s">
        <v>1274</v>
      </c>
      <c r="E396" s="2" t="s">
        <v>18</v>
      </c>
      <c r="F396" s="2" t="s">
        <v>30</v>
      </c>
      <c r="G396" s="2">
        <v>68395.53</v>
      </c>
      <c r="H396" s="2">
        <v>40458.78</v>
      </c>
      <c r="I396" s="2" t="s">
        <v>53</v>
      </c>
      <c r="J396" s="2" t="s">
        <v>54</v>
      </c>
      <c r="K396" s="2" t="s">
        <v>80</v>
      </c>
      <c r="L396" s="2" t="s">
        <v>64</v>
      </c>
      <c r="M396" s="2">
        <v>3</v>
      </c>
      <c r="N396" s="2" t="s">
        <v>24</v>
      </c>
      <c r="O396" s="2" t="s">
        <v>25</v>
      </c>
      <c r="P396" s="2" t="s">
        <v>26</v>
      </c>
    </row>
    <row r="397" spans="1:16" x14ac:dyDescent="0.25">
      <c r="A397" s="2" t="s">
        <v>1077</v>
      </c>
      <c r="B397" s="2" t="s">
        <v>7188</v>
      </c>
      <c r="C397" s="2">
        <v>4463</v>
      </c>
      <c r="D397" s="2" t="s">
        <v>1277</v>
      </c>
      <c r="E397" s="2" t="s">
        <v>6703</v>
      </c>
      <c r="F397" s="2" t="s">
        <v>47</v>
      </c>
      <c r="G397" s="2">
        <v>11737.01</v>
      </c>
      <c r="H397" s="2">
        <v>5945.86</v>
      </c>
      <c r="I397" s="2" t="s">
        <v>6681</v>
      </c>
      <c r="J397" s="2" t="s">
        <v>41</v>
      </c>
      <c r="K397" s="2" t="s">
        <v>22</v>
      </c>
      <c r="L397" s="2" t="s">
        <v>48</v>
      </c>
      <c r="M397" s="2">
        <v>1</v>
      </c>
      <c r="N397" s="2" t="s">
        <v>24</v>
      </c>
      <c r="O397" s="2" t="s">
        <v>70</v>
      </c>
      <c r="P397" s="2" t="s">
        <v>26</v>
      </c>
    </row>
    <row r="398" spans="1:16" x14ac:dyDescent="0.25">
      <c r="A398" s="2" t="s">
        <v>1079</v>
      </c>
      <c r="B398" s="2" t="s">
        <v>364</v>
      </c>
      <c r="C398" s="2">
        <v>3525</v>
      </c>
      <c r="D398" s="2" t="s">
        <v>7189</v>
      </c>
      <c r="E398" s="2" t="s">
        <v>18</v>
      </c>
      <c r="F398" s="2" t="s">
        <v>58</v>
      </c>
      <c r="G398" s="2">
        <v>28569.34</v>
      </c>
      <c r="H398" s="2">
        <v>17433.59</v>
      </c>
      <c r="I398" s="2" t="s">
        <v>63</v>
      </c>
      <c r="J398" s="2" t="s">
        <v>54</v>
      </c>
      <c r="K398" s="2" t="s">
        <v>42</v>
      </c>
      <c r="L398" s="2" t="s">
        <v>48</v>
      </c>
      <c r="M398" s="2">
        <v>5</v>
      </c>
      <c r="N398" s="2" t="s">
        <v>33</v>
      </c>
      <c r="O398" s="2" t="s">
        <v>70</v>
      </c>
      <c r="P398" s="2" t="s">
        <v>34</v>
      </c>
    </row>
    <row r="399" spans="1:16" x14ac:dyDescent="0.25">
      <c r="A399" s="2" t="s">
        <v>1082</v>
      </c>
      <c r="B399" s="2" t="s">
        <v>7190</v>
      </c>
      <c r="C399" s="2">
        <v>7922</v>
      </c>
      <c r="D399" s="2" t="s">
        <v>7191</v>
      </c>
      <c r="E399" s="2" t="s">
        <v>6719</v>
      </c>
      <c r="F399" s="2" t="s">
        <v>30</v>
      </c>
      <c r="G399" s="2">
        <v>65334.2</v>
      </c>
      <c r="H399" s="2">
        <v>35072.78</v>
      </c>
      <c r="I399" s="2" t="s">
        <v>6794</v>
      </c>
      <c r="J399" s="2" t="s">
        <v>6789</v>
      </c>
      <c r="K399" s="2" t="s">
        <v>80</v>
      </c>
      <c r="L399" s="2" t="s">
        <v>55</v>
      </c>
      <c r="M399" s="2">
        <v>1</v>
      </c>
      <c r="N399" s="2" t="s">
        <v>24</v>
      </c>
      <c r="O399" s="2" t="s">
        <v>70</v>
      </c>
      <c r="P399" s="2" t="s">
        <v>49</v>
      </c>
    </row>
    <row r="400" spans="1:16" x14ac:dyDescent="0.25">
      <c r="A400" s="2" t="s">
        <v>1084</v>
      </c>
      <c r="B400" s="2" t="s">
        <v>4699</v>
      </c>
      <c r="C400" s="2">
        <v>5921</v>
      </c>
      <c r="D400" s="2" t="s">
        <v>7192</v>
      </c>
      <c r="E400" s="2" t="s">
        <v>18</v>
      </c>
      <c r="F400" s="2" t="s">
        <v>58</v>
      </c>
      <c r="G400" s="2">
        <v>51077.120000000003</v>
      </c>
      <c r="H400" s="2">
        <v>29975.26</v>
      </c>
      <c r="I400" s="2" t="s">
        <v>6771</v>
      </c>
      <c r="J400" s="2" t="s">
        <v>6724</v>
      </c>
      <c r="K400" s="2" t="s">
        <v>42</v>
      </c>
      <c r="L400" s="2" t="s">
        <v>23</v>
      </c>
      <c r="M400" s="2">
        <v>5</v>
      </c>
      <c r="N400" s="2" t="s">
        <v>33</v>
      </c>
      <c r="O400" s="2" t="s">
        <v>25</v>
      </c>
      <c r="P400" s="2" t="s">
        <v>49</v>
      </c>
    </row>
    <row r="401" spans="1:16" x14ac:dyDescent="0.25">
      <c r="A401" s="2" t="s">
        <v>1087</v>
      </c>
      <c r="B401" s="2" t="s">
        <v>7193</v>
      </c>
      <c r="C401" s="2">
        <v>2339</v>
      </c>
      <c r="D401" s="2" t="s">
        <v>7194</v>
      </c>
      <c r="E401" s="2" t="s">
        <v>32</v>
      </c>
      <c r="F401" s="2" t="s">
        <v>19</v>
      </c>
      <c r="G401" s="2">
        <v>7728.1</v>
      </c>
      <c r="H401" s="2">
        <v>4500.1899999999996</v>
      </c>
      <c r="I401" s="2" t="s">
        <v>6752</v>
      </c>
      <c r="J401" s="2" t="s">
        <v>6691</v>
      </c>
      <c r="K401" s="2" t="s">
        <v>32</v>
      </c>
      <c r="L401" s="2" t="s">
        <v>23</v>
      </c>
      <c r="M401" s="2">
        <v>4</v>
      </c>
      <c r="N401" s="2" t="s">
        <v>33</v>
      </c>
      <c r="O401" s="2" t="s">
        <v>25</v>
      </c>
      <c r="P401" s="2" t="s">
        <v>49</v>
      </c>
    </row>
    <row r="402" spans="1:16" x14ac:dyDescent="0.25">
      <c r="A402" s="2" t="s">
        <v>1089</v>
      </c>
      <c r="B402" s="2" t="s">
        <v>7195</v>
      </c>
      <c r="C402" s="2">
        <v>4032</v>
      </c>
      <c r="D402" s="2" t="s">
        <v>7196</v>
      </c>
      <c r="E402" s="2" t="s">
        <v>6756</v>
      </c>
      <c r="F402" s="2" t="s">
        <v>47</v>
      </c>
      <c r="G402" s="2">
        <v>11098</v>
      </c>
      <c r="H402" s="2">
        <v>6334.86</v>
      </c>
      <c r="I402" s="2" t="s">
        <v>6681</v>
      </c>
      <c r="J402" s="2" t="s">
        <v>6713</v>
      </c>
      <c r="K402" s="2" t="s">
        <v>22</v>
      </c>
      <c r="L402" s="2" t="s">
        <v>64</v>
      </c>
      <c r="M402" s="2">
        <v>5</v>
      </c>
      <c r="N402" s="2" t="s">
        <v>33</v>
      </c>
      <c r="O402" s="2" t="s">
        <v>25</v>
      </c>
      <c r="P402" s="2" t="s">
        <v>26</v>
      </c>
    </row>
    <row r="403" spans="1:16" x14ac:dyDescent="0.25">
      <c r="A403" s="2" t="s">
        <v>1092</v>
      </c>
      <c r="B403" s="2" t="s">
        <v>7197</v>
      </c>
      <c r="C403" s="2">
        <v>7471</v>
      </c>
      <c r="D403" s="2" t="s">
        <v>7198</v>
      </c>
      <c r="E403" s="2" t="s">
        <v>6748</v>
      </c>
      <c r="F403" s="2" t="s">
        <v>19</v>
      </c>
      <c r="G403" s="2">
        <v>3578.03</v>
      </c>
      <c r="H403" s="2">
        <v>1706.8</v>
      </c>
      <c r="I403" s="2" t="s">
        <v>6761</v>
      </c>
      <c r="J403" s="2" t="s">
        <v>6732</v>
      </c>
      <c r="K403" s="2" t="s">
        <v>32</v>
      </c>
      <c r="L403" s="2" t="s">
        <v>55</v>
      </c>
      <c r="M403" s="2">
        <v>1</v>
      </c>
      <c r="N403" s="2" t="s">
        <v>24</v>
      </c>
      <c r="O403" s="2" t="s">
        <v>25</v>
      </c>
      <c r="P403" s="2" t="s">
        <v>26</v>
      </c>
    </row>
    <row r="404" spans="1:16" x14ac:dyDescent="0.25">
      <c r="A404" s="2" t="s">
        <v>1095</v>
      </c>
      <c r="B404" s="2" t="s">
        <v>4316</v>
      </c>
      <c r="C404" s="2">
        <v>8765</v>
      </c>
      <c r="D404" s="2" t="s">
        <v>7199</v>
      </c>
      <c r="E404" s="2" t="s">
        <v>38</v>
      </c>
      <c r="F404" s="2" t="s">
        <v>58</v>
      </c>
      <c r="G404" s="2">
        <v>6605.42</v>
      </c>
      <c r="H404" s="2">
        <v>3191.88</v>
      </c>
      <c r="I404" s="2" t="s">
        <v>40</v>
      </c>
      <c r="J404" s="2" t="s">
        <v>41</v>
      </c>
      <c r="K404" s="2" t="s">
        <v>32</v>
      </c>
      <c r="L404" s="2" t="s">
        <v>48</v>
      </c>
      <c r="M404" s="2">
        <v>4</v>
      </c>
      <c r="N404" s="2" t="s">
        <v>69</v>
      </c>
      <c r="O404" s="2" t="s">
        <v>25</v>
      </c>
      <c r="P404" s="2" t="s">
        <v>34</v>
      </c>
    </row>
    <row r="405" spans="1:16" x14ac:dyDescent="0.25">
      <c r="A405" s="2" t="s">
        <v>1097</v>
      </c>
      <c r="B405" s="2" t="s">
        <v>5793</v>
      </c>
      <c r="C405" s="2">
        <v>2682</v>
      </c>
      <c r="D405" s="2" t="s">
        <v>5096</v>
      </c>
      <c r="E405" s="2" t="s">
        <v>38</v>
      </c>
      <c r="F405" s="2" t="s">
        <v>47</v>
      </c>
      <c r="G405" s="2">
        <v>17692.3</v>
      </c>
      <c r="H405" s="2">
        <v>10964.33</v>
      </c>
      <c r="I405" s="2" t="s">
        <v>84</v>
      </c>
      <c r="J405" s="2" t="s">
        <v>54</v>
      </c>
      <c r="K405" s="2" t="s">
        <v>42</v>
      </c>
      <c r="L405" s="2" t="s">
        <v>55</v>
      </c>
      <c r="M405" s="2">
        <v>4</v>
      </c>
      <c r="N405" s="2" t="s">
        <v>33</v>
      </c>
      <c r="O405" s="2" t="s">
        <v>25</v>
      </c>
      <c r="P405" s="2" t="s">
        <v>49</v>
      </c>
    </row>
    <row r="406" spans="1:16" x14ac:dyDescent="0.25">
      <c r="A406" s="2" t="s">
        <v>1099</v>
      </c>
      <c r="B406" s="2" t="s">
        <v>1753</v>
      </c>
      <c r="C406" s="2">
        <v>6174</v>
      </c>
      <c r="D406" s="2" t="s">
        <v>7200</v>
      </c>
      <c r="E406" s="2" t="s">
        <v>18</v>
      </c>
      <c r="F406" s="2" t="s">
        <v>39</v>
      </c>
      <c r="G406" s="2">
        <v>11879.26</v>
      </c>
      <c r="H406" s="2">
        <v>6885.93</v>
      </c>
      <c r="I406" s="2" t="s">
        <v>120</v>
      </c>
      <c r="J406" s="2" t="s">
        <v>21</v>
      </c>
      <c r="K406" s="2" t="s">
        <v>80</v>
      </c>
      <c r="L406" s="2" t="s">
        <v>55</v>
      </c>
      <c r="M406" s="2">
        <v>4</v>
      </c>
      <c r="N406" s="2" t="s">
        <v>24</v>
      </c>
      <c r="O406" s="2" t="s">
        <v>70</v>
      </c>
      <c r="P406" s="2" t="s">
        <v>34</v>
      </c>
    </row>
    <row r="407" spans="1:16" x14ac:dyDescent="0.25">
      <c r="A407" s="2" t="s">
        <v>1101</v>
      </c>
      <c r="B407" s="2" t="s">
        <v>704</v>
      </c>
      <c r="C407" s="2">
        <v>9317</v>
      </c>
      <c r="D407" s="2" t="s">
        <v>7201</v>
      </c>
      <c r="E407" s="2" t="s">
        <v>18</v>
      </c>
      <c r="F407" s="2" t="s">
        <v>19</v>
      </c>
      <c r="G407" s="2">
        <v>16589.05</v>
      </c>
      <c r="H407" s="2">
        <v>9737.69</v>
      </c>
      <c r="I407" s="2" t="s">
        <v>53</v>
      </c>
      <c r="J407" s="2" t="s">
        <v>54</v>
      </c>
      <c r="K407" s="2" t="s">
        <v>80</v>
      </c>
      <c r="L407" s="2" t="s">
        <v>23</v>
      </c>
      <c r="M407" s="2">
        <v>3</v>
      </c>
      <c r="N407" s="2" t="s">
        <v>24</v>
      </c>
      <c r="O407" s="2" t="s">
        <v>25</v>
      </c>
      <c r="P407" s="2" t="s">
        <v>34</v>
      </c>
    </row>
    <row r="408" spans="1:16" x14ac:dyDescent="0.25">
      <c r="A408" s="2" t="s">
        <v>1103</v>
      </c>
      <c r="B408" s="2" t="s">
        <v>6745</v>
      </c>
      <c r="C408" s="2">
        <v>4394</v>
      </c>
      <c r="D408" s="2" t="s">
        <v>3339</v>
      </c>
      <c r="E408" s="2" t="s">
        <v>38</v>
      </c>
      <c r="F408" s="2" t="s">
        <v>39</v>
      </c>
      <c r="G408" s="2">
        <v>34261.97</v>
      </c>
      <c r="H408" s="2">
        <v>16008.51</v>
      </c>
      <c r="I408" s="2" t="s">
        <v>31</v>
      </c>
      <c r="J408" s="2" t="s">
        <v>21</v>
      </c>
      <c r="K408" s="2" t="s">
        <v>80</v>
      </c>
      <c r="L408" s="2" t="s">
        <v>23</v>
      </c>
      <c r="M408" s="2">
        <v>2</v>
      </c>
      <c r="N408" s="2" t="s">
        <v>33</v>
      </c>
      <c r="O408" s="2" t="s">
        <v>70</v>
      </c>
      <c r="P408" s="2" t="s">
        <v>26</v>
      </c>
    </row>
    <row r="409" spans="1:16" x14ac:dyDescent="0.25">
      <c r="A409" s="2" t="s">
        <v>1106</v>
      </c>
      <c r="B409" s="2" t="s">
        <v>2370</v>
      </c>
      <c r="C409" s="2">
        <v>6878</v>
      </c>
      <c r="D409" s="2" t="s">
        <v>7202</v>
      </c>
      <c r="E409" s="2" t="s">
        <v>38</v>
      </c>
      <c r="F409" s="2" t="s">
        <v>39</v>
      </c>
      <c r="G409" s="2">
        <v>11973.81</v>
      </c>
      <c r="H409" s="2">
        <v>5768.04</v>
      </c>
      <c r="I409" s="2" t="s">
        <v>59</v>
      </c>
      <c r="J409" s="2" t="s">
        <v>41</v>
      </c>
      <c r="K409" s="2" t="s">
        <v>22</v>
      </c>
      <c r="L409" s="2" t="s">
        <v>55</v>
      </c>
      <c r="M409" s="2">
        <v>3</v>
      </c>
      <c r="N409" s="2" t="s">
        <v>33</v>
      </c>
      <c r="O409" s="2" t="s">
        <v>70</v>
      </c>
      <c r="P409" s="2" t="s">
        <v>26</v>
      </c>
    </row>
    <row r="410" spans="1:16" x14ac:dyDescent="0.25">
      <c r="A410" s="2" t="s">
        <v>1109</v>
      </c>
      <c r="B410" s="2" t="s">
        <v>3632</v>
      </c>
      <c r="C410" s="2">
        <v>3476</v>
      </c>
      <c r="D410" s="2" t="s">
        <v>3840</v>
      </c>
      <c r="E410" s="2" t="s">
        <v>18</v>
      </c>
      <c r="F410" s="2" t="s">
        <v>19</v>
      </c>
      <c r="G410" s="2">
        <v>17178.59</v>
      </c>
      <c r="H410" s="2">
        <v>10914.01</v>
      </c>
      <c r="I410" s="2" t="s">
        <v>120</v>
      </c>
      <c r="J410" s="2" t="s">
        <v>21</v>
      </c>
      <c r="K410" s="2" t="s">
        <v>80</v>
      </c>
      <c r="L410" s="2" t="s">
        <v>64</v>
      </c>
      <c r="M410" s="2">
        <v>1</v>
      </c>
      <c r="N410" s="2" t="s">
        <v>69</v>
      </c>
      <c r="O410" s="2" t="s">
        <v>70</v>
      </c>
      <c r="P410" s="2" t="s">
        <v>49</v>
      </c>
    </row>
    <row r="411" spans="1:16" x14ac:dyDescent="0.25">
      <c r="A411" s="2" t="s">
        <v>1112</v>
      </c>
      <c r="B411" s="2" t="s">
        <v>7203</v>
      </c>
      <c r="C411" s="2">
        <v>4365</v>
      </c>
      <c r="D411" s="2" t="s">
        <v>562</v>
      </c>
      <c r="E411" s="2" t="s">
        <v>38</v>
      </c>
      <c r="F411" s="2" t="s">
        <v>58</v>
      </c>
      <c r="G411" s="2">
        <v>8804.01</v>
      </c>
      <c r="H411" s="2">
        <v>4476.18</v>
      </c>
      <c r="I411" s="2" t="s">
        <v>6761</v>
      </c>
      <c r="J411" s="2" t="s">
        <v>6732</v>
      </c>
      <c r="K411" s="2" t="s">
        <v>80</v>
      </c>
      <c r="L411" s="2" t="s">
        <v>43</v>
      </c>
      <c r="M411" s="2">
        <v>4</v>
      </c>
      <c r="N411" s="2" t="s">
        <v>24</v>
      </c>
      <c r="O411" s="2" t="s">
        <v>25</v>
      </c>
      <c r="P411" s="2" t="s">
        <v>49</v>
      </c>
    </row>
    <row r="413" spans="1:16" x14ac:dyDescent="0.25">
      <c r="A413" s="2" t="s">
        <v>1115</v>
      </c>
      <c r="B413" s="2" t="s">
        <v>5547</v>
      </c>
      <c r="C413" s="2">
        <v>9274</v>
      </c>
      <c r="D413" s="2" t="s">
        <v>7204</v>
      </c>
      <c r="E413" s="2" t="s">
        <v>18</v>
      </c>
      <c r="F413" s="2" t="s">
        <v>39</v>
      </c>
      <c r="G413" s="2">
        <v>9199.42</v>
      </c>
      <c r="H413" s="2">
        <v>4824.9799999999996</v>
      </c>
      <c r="I413" s="2" t="s">
        <v>68</v>
      </c>
      <c r="J413" s="2" t="s">
        <v>41</v>
      </c>
      <c r="K413" s="2" t="s">
        <v>80</v>
      </c>
      <c r="L413" s="2" t="s">
        <v>88</v>
      </c>
      <c r="M413" s="2">
        <v>2</v>
      </c>
      <c r="N413" s="2" t="s">
        <v>33</v>
      </c>
      <c r="O413" s="2" t="s">
        <v>70</v>
      </c>
      <c r="P413" s="2" t="s">
        <v>34</v>
      </c>
    </row>
    <row r="414" spans="1:16" x14ac:dyDescent="0.25">
      <c r="A414" s="2" t="s">
        <v>1118</v>
      </c>
      <c r="B414" s="2" t="s">
        <v>510</v>
      </c>
      <c r="C414" s="2">
        <v>6927</v>
      </c>
      <c r="D414" s="2" t="s">
        <v>7205</v>
      </c>
      <c r="E414" s="2" t="s">
        <v>32</v>
      </c>
      <c r="F414" s="2" t="s">
        <v>39</v>
      </c>
      <c r="G414" s="2">
        <v>25926.12</v>
      </c>
      <c r="H414" s="2">
        <v>15660.16</v>
      </c>
      <c r="I414" s="2" t="s">
        <v>53</v>
      </c>
      <c r="J414" s="2" t="s">
        <v>6686</v>
      </c>
      <c r="K414" s="2" t="s">
        <v>22</v>
      </c>
      <c r="L414" s="2" t="s">
        <v>55</v>
      </c>
      <c r="M414" s="2">
        <v>3</v>
      </c>
      <c r="N414" s="2" t="s">
        <v>33</v>
      </c>
      <c r="O414" s="2" t="s">
        <v>70</v>
      </c>
      <c r="P414" s="2" t="s">
        <v>26</v>
      </c>
    </row>
    <row r="415" spans="1:16" x14ac:dyDescent="0.25">
      <c r="A415" s="2" t="s">
        <v>1121</v>
      </c>
      <c r="B415" s="2" t="s">
        <v>7206</v>
      </c>
      <c r="C415" s="2">
        <v>9516</v>
      </c>
      <c r="D415" s="2" t="s">
        <v>7207</v>
      </c>
      <c r="E415" s="2" t="s">
        <v>38</v>
      </c>
      <c r="F415" s="2" t="s">
        <v>47</v>
      </c>
      <c r="G415" s="2">
        <v>4354.49</v>
      </c>
      <c r="H415" s="2">
        <v>2730.95</v>
      </c>
      <c r="I415" s="2" t="s">
        <v>68</v>
      </c>
      <c r="J415" s="2" t="s">
        <v>41</v>
      </c>
      <c r="K415" s="2" t="s">
        <v>42</v>
      </c>
      <c r="L415" s="2" t="s">
        <v>48</v>
      </c>
      <c r="M415" s="2">
        <v>3</v>
      </c>
      <c r="N415" s="2" t="s">
        <v>69</v>
      </c>
      <c r="O415" s="2" t="s">
        <v>25</v>
      </c>
      <c r="P415" s="2" t="s">
        <v>34</v>
      </c>
    </row>
    <row r="416" spans="1:16" x14ac:dyDescent="0.25">
      <c r="A416" s="2" t="s">
        <v>1124</v>
      </c>
      <c r="B416" s="2" t="s">
        <v>805</v>
      </c>
      <c r="C416" s="2">
        <v>8244</v>
      </c>
      <c r="D416" s="2" t="s">
        <v>5147</v>
      </c>
      <c r="E416" s="2" t="s">
        <v>38</v>
      </c>
      <c r="F416" s="2" t="s">
        <v>19</v>
      </c>
      <c r="G416" s="2">
        <v>16371.29</v>
      </c>
      <c r="H416" s="2">
        <v>9926.1200000000008</v>
      </c>
      <c r="I416" s="2" t="s">
        <v>20</v>
      </c>
      <c r="J416" s="2" t="s">
        <v>21</v>
      </c>
      <c r="K416" s="2" t="s">
        <v>80</v>
      </c>
      <c r="L416" s="2" t="s">
        <v>23</v>
      </c>
      <c r="M416" s="2">
        <v>3</v>
      </c>
      <c r="N416" s="2" t="s">
        <v>33</v>
      </c>
      <c r="O416" s="2" t="s">
        <v>25</v>
      </c>
      <c r="P416" s="2" t="s">
        <v>34</v>
      </c>
    </row>
    <row r="417" spans="1:16" x14ac:dyDescent="0.25">
      <c r="A417" s="2" t="s">
        <v>1127</v>
      </c>
      <c r="B417" s="2" t="s">
        <v>7208</v>
      </c>
      <c r="C417" s="2">
        <v>9383</v>
      </c>
      <c r="D417" s="2" t="s">
        <v>7209</v>
      </c>
      <c r="E417" s="2" t="s">
        <v>6708</v>
      </c>
      <c r="F417" s="2" t="s">
        <v>30</v>
      </c>
      <c r="G417" s="2">
        <v>57566.15</v>
      </c>
      <c r="H417" s="2">
        <v>34620.82</v>
      </c>
      <c r="I417" s="2" t="s">
        <v>6910</v>
      </c>
      <c r="J417" s="2" t="s">
        <v>21</v>
      </c>
      <c r="K417" s="2" t="s">
        <v>32</v>
      </c>
      <c r="L417" s="2" t="s">
        <v>55</v>
      </c>
      <c r="M417" s="2">
        <v>1</v>
      </c>
      <c r="N417" s="2" t="s">
        <v>69</v>
      </c>
      <c r="O417" s="2" t="s">
        <v>25</v>
      </c>
      <c r="P417" s="2" t="s">
        <v>34</v>
      </c>
    </row>
    <row r="418" spans="1:16" x14ac:dyDescent="0.25">
      <c r="A418" s="2" t="s">
        <v>1129</v>
      </c>
      <c r="B418" s="2" t="s">
        <v>536</v>
      </c>
      <c r="C418" s="2">
        <v>3043</v>
      </c>
      <c r="D418" s="2" t="s">
        <v>1337</v>
      </c>
      <c r="E418" s="2" t="s">
        <v>38</v>
      </c>
      <c r="F418" s="2" t="s">
        <v>39</v>
      </c>
      <c r="G418" s="2">
        <v>19357.62</v>
      </c>
      <c r="H418" s="2">
        <v>11563.7</v>
      </c>
      <c r="I418" s="2" t="s">
        <v>120</v>
      </c>
      <c r="J418" s="2" t="s">
        <v>21</v>
      </c>
      <c r="K418" s="2" t="s">
        <v>80</v>
      </c>
      <c r="L418" s="2" t="s">
        <v>88</v>
      </c>
      <c r="M418" s="2">
        <v>2</v>
      </c>
      <c r="N418" s="2" t="s">
        <v>69</v>
      </c>
      <c r="O418" s="2" t="s">
        <v>70</v>
      </c>
      <c r="P418" s="2" t="s">
        <v>49</v>
      </c>
    </row>
    <row r="419" spans="1:16" x14ac:dyDescent="0.25">
      <c r="A419" s="2" t="s">
        <v>1131</v>
      </c>
      <c r="B419" s="2" t="s">
        <v>1790</v>
      </c>
      <c r="C419" s="2">
        <v>5661</v>
      </c>
      <c r="D419" s="2" t="s">
        <v>7210</v>
      </c>
      <c r="E419" s="2" t="s">
        <v>6703</v>
      </c>
      <c r="F419" s="2" t="s">
        <v>30</v>
      </c>
      <c r="G419" s="2">
        <v>55327.32</v>
      </c>
      <c r="H419" s="2">
        <v>30647.65</v>
      </c>
      <c r="I419" s="2" t="s">
        <v>6712</v>
      </c>
      <c r="J419" s="2" t="s">
        <v>6732</v>
      </c>
      <c r="K419" s="2" t="s">
        <v>32</v>
      </c>
      <c r="L419" s="2" t="s">
        <v>55</v>
      </c>
      <c r="M419" s="2">
        <v>3</v>
      </c>
      <c r="N419" s="2" t="s">
        <v>24</v>
      </c>
      <c r="O419" s="2" t="s">
        <v>25</v>
      </c>
      <c r="P419" s="2" t="s">
        <v>34</v>
      </c>
    </row>
    <row r="420" spans="1:16" x14ac:dyDescent="0.25">
      <c r="A420" s="2" t="s">
        <v>1133</v>
      </c>
      <c r="B420" s="2" t="s">
        <v>1232</v>
      </c>
      <c r="C420" s="2">
        <v>2279</v>
      </c>
      <c r="D420" s="2" t="s">
        <v>7211</v>
      </c>
      <c r="E420" s="2" t="s">
        <v>38</v>
      </c>
      <c r="F420" s="2" t="s">
        <v>30</v>
      </c>
      <c r="G420" s="2">
        <v>62636.2</v>
      </c>
      <c r="H420" s="2">
        <v>33231.68</v>
      </c>
      <c r="I420" s="2" t="s">
        <v>63</v>
      </c>
      <c r="J420" s="2" t="s">
        <v>54</v>
      </c>
      <c r="K420" s="2" t="s">
        <v>80</v>
      </c>
      <c r="L420" s="2" t="s">
        <v>88</v>
      </c>
      <c r="M420" s="2">
        <v>5</v>
      </c>
      <c r="N420" s="2" t="s">
        <v>24</v>
      </c>
      <c r="O420" s="2" t="s">
        <v>25</v>
      </c>
      <c r="P420" s="2" t="s">
        <v>34</v>
      </c>
    </row>
    <row r="421" spans="1:16" x14ac:dyDescent="0.25">
      <c r="A421" s="2" t="s">
        <v>1135</v>
      </c>
      <c r="B421" s="2" t="s">
        <v>7212</v>
      </c>
      <c r="C421" s="2">
        <v>3082</v>
      </c>
      <c r="D421" s="2" t="s">
        <v>5454</v>
      </c>
      <c r="E421" s="2" t="s">
        <v>38</v>
      </c>
      <c r="F421" s="2" t="s">
        <v>47</v>
      </c>
      <c r="G421" s="2">
        <v>10677.55</v>
      </c>
      <c r="H421" s="2">
        <v>5081.2</v>
      </c>
      <c r="I421" s="2" t="s">
        <v>40</v>
      </c>
      <c r="J421" s="2" t="s">
        <v>41</v>
      </c>
      <c r="K421" s="2" t="s">
        <v>22</v>
      </c>
      <c r="L421" s="2" t="s">
        <v>48</v>
      </c>
      <c r="M421" s="2">
        <v>2</v>
      </c>
      <c r="N421" s="2" t="s">
        <v>24</v>
      </c>
      <c r="O421" s="2" t="s">
        <v>25</v>
      </c>
      <c r="P421" s="2" t="s">
        <v>26</v>
      </c>
    </row>
    <row r="422" spans="1:16" x14ac:dyDescent="0.25">
      <c r="A422" s="2" t="s">
        <v>1138</v>
      </c>
      <c r="B422" s="2" t="s">
        <v>7213</v>
      </c>
      <c r="C422" s="2">
        <v>5744</v>
      </c>
      <c r="D422" s="2" t="s">
        <v>7214</v>
      </c>
      <c r="E422" s="2" t="s">
        <v>18</v>
      </c>
      <c r="F422" s="2" t="s">
        <v>30</v>
      </c>
      <c r="G422" s="2">
        <v>60195.31</v>
      </c>
      <c r="H422" s="2">
        <v>28505.4</v>
      </c>
      <c r="I422" s="2" t="s">
        <v>6720</v>
      </c>
      <c r="J422" s="2" t="s">
        <v>6700</v>
      </c>
      <c r="K422" s="2" t="s">
        <v>42</v>
      </c>
      <c r="L422" s="2" t="s">
        <v>88</v>
      </c>
      <c r="M422" s="2">
        <v>3</v>
      </c>
      <c r="N422" s="2" t="s">
        <v>33</v>
      </c>
      <c r="O422" s="2" t="s">
        <v>25</v>
      </c>
      <c r="P422" s="2" t="s">
        <v>26</v>
      </c>
    </row>
    <row r="423" spans="1:16" x14ac:dyDescent="0.25">
      <c r="A423" s="2" t="s">
        <v>1140</v>
      </c>
      <c r="B423" s="2" t="s">
        <v>7215</v>
      </c>
      <c r="C423" s="2">
        <v>1732</v>
      </c>
      <c r="D423" s="2" t="s">
        <v>7216</v>
      </c>
      <c r="E423" s="2" t="s">
        <v>6748</v>
      </c>
      <c r="F423" s="2" t="s">
        <v>30</v>
      </c>
      <c r="G423" s="2">
        <v>48068.4</v>
      </c>
      <c r="H423" s="2">
        <v>24608.15</v>
      </c>
      <c r="I423" s="2" t="s">
        <v>6752</v>
      </c>
      <c r="J423" s="2" t="s">
        <v>6753</v>
      </c>
      <c r="K423" s="2" t="s">
        <v>80</v>
      </c>
      <c r="L423" s="2" t="s">
        <v>88</v>
      </c>
      <c r="M423" s="2">
        <v>4</v>
      </c>
      <c r="N423" s="2" t="s">
        <v>24</v>
      </c>
      <c r="O423" s="2" t="s">
        <v>70</v>
      </c>
      <c r="P423" s="2" t="s">
        <v>49</v>
      </c>
    </row>
    <row r="424" spans="1:16" x14ac:dyDescent="0.25">
      <c r="A424" s="2" t="s">
        <v>1142</v>
      </c>
      <c r="B424" s="2" t="s">
        <v>7217</v>
      </c>
      <c r="C424" s="2">
        <v>7711</v>
      </c>
      <c r="D424" s="2" t="s">
        <v>6597</v>
      </c>
      <c r="E424" s="2" t="s">
        <v>38</v>
      </c>
      <c r="F424" s="2" t="s">
        <v>47</v>
      </c>
      <c r="G424" s="2">
        <v>5410.28</v>
      </c>
      <c r="H424" s="2">
        <v>2862.47</v>
      </c>
      <c r="I424" s="2" t="s">
        <v>20</v>
      </c>
      <c r="J424" s="2" t="s">
        <v>21</v>
      </c>
      <c r="K424" s="2" t="s">
        <v>22</v>
      </c>
      <c r="L424" s="2" t="s">
        <v>48</v>
      </c>
      <c r="M424" s="2">
        <v>4</v>
      </c>
      <c r="N424" s="2" t="s">
        <v>24</v>
      </c>
      <c r="O424" s="2" t="s">
        <v>70</v>
      </c>
      <c r="P424" s="2" t="s">
        <v>26</v>
      </c>
    </row>
    <row r="425" spans="1:16" x14ac:dyDescent="0.25">
      <c r="A425" s="2" t="s">
        <v>1144</v>
      </c>
      <c r="B425" s="2" t="s">
        <v>7218</v>
      </c>
      <c r="C425" s="2">
        <v>2395</v>
      </c>
      <c r="D425" s="2" t="s">
        <v>7219</v>
      </c>
      <c r="E425" s="2" t="s">
        <v>18</v>
      </c>
      <c r="F425" s="2" t="s">
        <v>39</v>
      </c>
      <c r="G425" s="2">
        <v>44298.64</v>
      </c>
      <c r="H425" s="2">
        <v>24734.89</v>
      </c>
      <c r="I425" s="2" t="s">
        <v>6695</v>
      </c>
      <c r="J425" s="2" t="s">
        <v>6802</v>
      </c>
      <c r="K425" s="2" t="s">
        <v>22</v>
      </c>
      <c r="L425" s="2" t="s">
        <v>43</v>
      </c>
      <c r="M425" s="2">
        <v>5</v>
      </c>
      <c r="N425" s="2" t="s">
        <v>33</v>
      </c>
      <c r="O425" s="2" t="s">
        <v>25</v>
      </c>
      <c r="P425" s="2" t="s">
        <v>26</v>
      </c>
    </row>
    <row r="426" spans="1:16" x14ac:dyDescent="0.25">
      <c r="A426" s="2" t="s">
        <v>1146</v>
      </c>
      <c r="B426" s="2" t="s">
        <v>7029</v>
      </c>
      <c r="C426" s="2">
        <v>6249</v>
      </c>
      <c r="D426" s="2" t="s">
        <v>1618</v>
      </c>
      <c r="E426" s="2" t="s">
        <v>38</v>
      </c>
      <c r="F426" s="2" t="s">
        <v>47</v>
      </c>
      <c r="G426" s="2">
        <v>13608.4</v>
      </c>
      <c r="H426" s="2">
        <v>7461.41</v>
      </c>
      <c r="I426" s="2" t="s">
        <v>84</v>
      </c>
      <c r="J426" s="2" t="s">
        <v>54</v>
      </c>
      <c r="K426" s="2" t="s">
        <v>22</v>
      </c>
      <c r="L426" s="2" t="s">
        <v>88</v>
      </c>
      <c r="M426" s="2">
        <v>4</v>
      </c>
      <c r="N426" s="2" t="s">
        <v>33</v>
      </c>
      <c r="O426" s="2" t="s">
        <v>25</v>
      </c>
      <c r="P426" s="2" t="s">
        <v>49</v>
      </c>
    </row>
    <row r="427" spans="1:16" x14ac:dyDescent="0.25">
      <c r="A427" s="2" t="s">
        <v>1149</v>
      </c>
      <c r="B427" s="2" t="s">
        <v>7220</v>
      </c>
      <c r="C427" s="2">
        <v>6026</v>
      </c>
      <c r="D427" s="2" t="s">
        <v>7221</v>
      </c>
      <c r="E427" s="2" t="s">
        <v>6698</v>
      </c>
      <c r="F427" s="2" t="s">
        <v>58</v>
      </c>
      <c r="G427" s="2">
        <v>33108.519999999997</v>
      </c>
      <c r="H427" s="2">
        <v>15288.94</v>
      </c>
      <c r="I427" s="2" t="s">
        <v>6845</v>
      </c>
      <c r="J427" s="2" t="s">
        <v>6724</v>
      </c>
      <c r="K427" s="2" t="s">
        <v>42</v>
      </c>
      <c r="L427" s="2" t="s">
        <v>23</v>
      </c>
      <c r="M427" s="2">
        <v>1</v>
      </c>
      <c r="N427" s="2" t="s">
        <v>24</v>
      </c>
      <c r="O427" s="2" t="s">
        <v>25</v>
      </c>
      <c r="P427" s="2" t="s">
        <v>26</v>
      </c>
    </row>
    <row r="428" spans="1:16" x14ac:dyDescent="0.25">
      <c r="A428" s="2" t="s">
        <v>1152</v>
      </c>
      <c r="B428" s="2" t="s">
        <v>251</v>
      </c>
      <c r="C428" s="2">
        <v>4874</v>
      </c>
      <c r="D428" s="2" t="s">
        <v>7222</v>
      </c>
      <c r="E428" s="2" t="s">
        <v>6708</v>
      </c>
      <c r="F428" s="2" t="s">
        <v>58</v>
      </c>
      <c r="G428" s="2">
        <v>17097.099999999999</v>
      </c>
      <c r="H428" s="2">
        <v>9418.52</v>
      </c>
      <c r="I428" s="2" t="s">
        <v>6822</v>
      </c>
      <c r="J428" s="2" t="s">
        <v>41</v>
      </c>
      <c r="K428" s="2" t="s">
        <v>22</v>
      </c>
      <c r="L428" s="2" t="s">
        <v>88</v>
      </c>
      <c r="M428" s="2">
        <v>1</v>
      </c>
      <c r="N428" s="2" t="s">
        <v>33</v>
      </c>
      <c r="O428" s="2" t="s">
        <v>25</v>
      </c>
      <c r="P428" s="2" t="s">
        <v>26</v>
      </c>
    </row>
    <row r="429" spans="1:16" x14ac:dyDescent="0.25">
      <c r="A429" s="2" t="s">
        <v>1154</v>
      </c>
      <c r="B429" s="2" t="s">
        <v>2631</v>
      </c>
      <c r="C429" s="2">
        <v>3057</v>
      </c>
      <c r="D429" s="2" t="s">
        <v>7223</v>
      </c>
      <c r="E429" s="2" t="s">
        <v>38</v>
      </c>
      <c r="F429" s="2" t="s">
        <v>19</v>
      </c>
      <c r="G429" s="2">
        <v>11974.35</v>
      </c>
      <c r="H429" s="2">
        <v>6456.53</v>
      </c>
      <c r="I429" s="2" t="s">
        <v>84</v>
      </c>
      <c r="J429" s="2" t="s">
        <v>54</v>
      </c>
      <c r="K429" s="2" t="s">
        <v>32</v>
      </c>
      <c r="L429" s="2" t="s">
        <v>23</v>
      </c>
      <c r="M429" s="2">
        <v>3</v>
      </c>
      <c r="N429" s="2" t="s">
        <v>24</v>
      </c>
      <c r="O429" s="2" t="s">
        <v>25</v>
      </c>
      <c r="P429" s="2" t="s">
        <v>26</v>
      </c>
    </row>
    <row r="430" spans="1:16" x14ac:dyDescent="0.25">
      <c r="A430" s="2" t="s">
        <v>1157</v>
      </c>
      <c r="B430" s="2" t="s">
        <v>3904</v>
      </c>
      <c r="C430" s="2">
        <v>5739</v>
      </c>
      <c r="D430" s="2" t="s">
        <v>2752</v>
      </c>
      <c r="E430" s="2" t="s">
        <v>18</v>
      </c>
      <c r="F430" s="2" t="s">
        <v>30</v>
      </c>
      <c r="G430" s="2">
        <v>10835.67</v>
      </c>
      <c r="H430" s="2">
        <v>6899.09</v>
      </c>
      <c r="I430" s="2" t="s">
        <v>84</v>
      </c>
      <c r="J430" s="2" t="s">
        <v>54</v>
      </c>
      <c r="K430" s="2" t="s">
        <v>80</v>
      </c>
      <c r="L430" s="2" t="s">
        <v>88</v>
      </c>
      <c r="M430" s="2">
        <v>5</v>
      </c>
      <c r="N430" s="2" t="s">
        <v>33</v>
      </c>
      <c r="O430" s="2" t="s">
        <v>70</v>
      </c>
      <c r="P430" s="2" t="s">
        <v>34</v>
      </c>
    </row>
    <row r="431" spans="1:16" x14ac:dyDescent="0.25">
      <c r="A431" s="2" t="s">
        <v>1159</v>
      </c>
      <c r="B431" s="2" t="s">
        <v>4421</v>
      </c>
      <c r="C431" s="2">
        <v>2145</v>
      </c>
      <c r="D431" s="2" t="s">
        <v>7224</v>
      </c>
      <c r="E431" s="2" t="s">
        <v>38</v>
      </c>
      <c r="F431" s="2" t="s">
        <v>39</v>
      </c>
      <c r="G431" s="2">
        <v>10159.81</v>
      </c>
      <c r="H431" s="2">
        <v>5991.1</v>
      </c>
      <c r="I431" s="2" t="s">
        <v>84</v>
      </c>
      <c r="J431" s="2" t="s">
        <v>54</v>
      </c>
      <c r="K431" s="2" t="s">
        <v>32</v>
      </c>
      <c r="L431" s="2" t="s">
        <v>48</v>
      </c>
      <c r="M431" s="2">
        <v>5</v>
      </c>
      <c r="N431" s="2" t="s">
        <v>69</v>
      </c>
      <c r="O431" s="2" t="s">
        <v>70</v>
      </c>
      <c r="P431" s="2" t="s">
        <v>26</v>
      </c>
    </row>
    <row r="432" spans="1:16" x14ac:dyDescent="0.25">
      <c r="A432" s="2" t="s">
        <v>1161</v>
      </c>
      <c r="B432" s="2" t="s">
        <v>4740</v>
      </c>
      <c r="C432" s="2">
        <v>8417</v>
      </c>
      <c r="D432" s="2" t="s">
        <v>7225</v>
      </c>
      <c r="E432" s="2" t="s">
        <v>6708</v>
      </c>
      <c r="F432" s="2" t="s">
        <v>47</v>
      </c>
      <c r="G432" s="2">
        <v>5225.72</v>
      </c>
      <c r="H432" s="2">
        <v>3378.97</v>
      </c>
      <c r="I432" s="2" t="s">
        <v>59</v>
      </c>
      <c r="J432" s="2" t="s">
        <v>41</v>
      </c>
      <c r="K432" s="2" t="s">
        <v>42</v>
      </c>
      <c r="L432" s="2" t="s">
        <v>23</v>
      </c>
      <c r="M432" s="2">
        <v>4</v>
      </c>
      <c r="N432" s="2" t="s">
        <v>69</v>
      </c>
      <c r="O432" s="2" t="s">
        <v>25</v>
      </c>
      <c r="P432" s="2" t="s">
        <v>49</v>
      </c>
    </row>
    <row r="433" spans="1:16" x14ac:dyDescent="0.25">
      <c r="A433" s="2" t="s">
        <v>1164</v>
      </c>
      <c r="B433" s="2" t="s">
        <v>7226</v>
      </c>
      <c r="C433" s="2">
        <v>9816</v>
      </c>
      <c r="D433" s="2" t="s">
        <v>7227</v>
      </c>
      <c r="E433" s="2" t="s">
        <v>18</v>
      </c>
      <c r="F433" s="2" t="s">
        <v>30</v>
      </c>
      <c r="G433" s="2">
        <v>79894.27</v>
      </c>
      <c r="H433" s="2">
        <v>46324.25</v>
      </c>
      <c r="I433" s="2" t="s">
        <v>120</v>
      </c>
      <c r="J433" s="2" t="s">
        <v>21</v>
      </c>
      <c r="K433" s="2" t="s">
        <v>22</v>
      </c>
      <c r="L433" s="2" t="s">
        <v>43</v>
      </c>
      <c r="M433" s="2">
        <v>1</v>
      </c>
      <c r="N433" s="2" t="s">
        <v>69</v>
      </c>
      <c r="O433" s="2" t="s">
        <v>70</v>
      </c>
      <c r="P433" s="2" t="s">
        <v>34</v>
      </c>
    </row>
    <row r="434" spans="1:16" x14ac:dyDescent="0.25">
      <c r="A434" s="2" t="s">
        <v>1167</v>
      </c>
      <c r="B434" s="2" t="s">
        <v>744</v>
      </c>
      <c r="C434" s="2">
        <v>3044</v>
      </c>
      <c r="D434" s="2" t="s">
        <v>1676</v>
      </c>
      <c r="E434" s="2" t="s">
        <v>6680</v>
      </c>
      <c r="F434" s="2" t="s">
        <v>47</v>
      </c>
      <c r="G434" s="2">
        <v>8557.2099999999991</v>
      </c>
      <c r="H434" s="2">
        <v>4181.04</v>
      </c>
      <c r="I434" s="2" t="s">
        <v>6812</v>
      </c>
      <c r="J434" s="2" t="s">
        <v>6686</v>
      </c>
      <c r="K434" s="2" t="s">
        <v>22</v>
      </c>
      <c r="L434" s="2" t="s">
        <v>23</v>
      </c>
      <c r="M434" s="2">
        <v>1</v>
      </c>
      <c r="N434" s="2" t="s">
        <v>24</v>
      </c>
      <c r="O434" s="2" t="s">
        <v>70</v>
      </c>
      <c r="P434" s="2" t="s">
        <v>49</v>
      </c>
    </row>
    <row r="435" spans="1:16" x14ac:dyDescent="0.25">
      <c r="A435" s="2" t="s">
        <v>1169</v>
      </c>
      <c r="B435" s="2" t="s">
        <v>7228</v>
      </c>
      <c r="C435" s="2">
        <v>4425</v>
      </c>
      <c r="D435" s="2" t="s">
        <v>7229</v>
      </c>
      <c r="E435" s="2" t="s">
        <v>6756</v>
      </c>
      <c r="F435" s="2" t="s">
        <v>47</v>
      </c>
      <c r="G435" s="2">
        <v>4455.9799999999996</v>
      </c>
      <c r="H435" s="2">
        <v>2736.97</v>
      </c>
      <c r="I435" s="2" t="s">
        <v>6728</v>
      </c>
      <c r="J435" s="2" t="s">
        <v>54</v>
      </c>
      <c r="K435" s="2" t="s">
        <v>80</v>
      </c>
      <c r="L435" s="2" t="s">
        <v>55</v>
      </c>
      <c r="M435" s="2">
        <v>3</v>
      </c>
      <c r="N435" s="2" t="s">
        <v>24</v>
      </c>
      <c r="O435" s="2" t="s">
        <v>25</v>
      </c>
      <c r="P435" s="2" t="s">
        <v>49</v>
      </c>
    </row>
    <row r="436" spans="1:16" x14ac:dyDescent="0.25">
      <c r="A436" s="2" t="s">
        <v>1171</v>
      </c>
      <c r="B436" s="2" t="s">
        <v>5528</v>
      </c>
      <c r="C436" s="2">
        <v>9570</v>
      </c>
      <c r="D436" s="2" t="s">
        <v>7230</v>
      </c>
      <c r="E436" s="2" t="s">
        <v>38</v>
      </c>
      <c r="F436" s="2" t="s">
        <v>58</v>
      </c>
      <c r="G436" s="2">
        <v>15098.51</v>
      </c>
      <c r="H436" s="2">
        <v>8841.6200000000008</v>
      </c>
      <c r="I436" s="2" t="s">
        <v>31</v>
      </c>
      <c r="J436" s="2" t="s">
        <v>21</v>
      </c>
      <c r="K436" s="2" t="s">
        <v>42</v>
      </c>
      <c r="L436" s="2" t="s">
        <v>48</v>
      </c>
      <c r="M436" s="2">
        <v>5</v>
      </c>
      <c r="N436" s="2" t="s">
        <v>69</v>
      </c>
      <c r="O436" s="2" t="s">
        <v>25</v>
      </c>
      <c r="P436" s="2" t="s">
        <v>34</v>
      </c>
    </row>
    <row r="437" spans="1:16" x14ac:dyDescent="0.25">
      <c r="A437" s="2" t="s">
        <v>1174</v>
      </c>
      <c r="B437" s="2" t="s">
        <v>2524</v>
      </c>
      <c r="C437" s="2">
        <v>2994</v>
      </c>
      <c r="D437" s="2" t="s">
        <v>6186</v>
      </c>
      <c r="E437" s="2" t="s">
        <v>38</v>
      </c>
      <c r="F437" s="2" t="s">
        <v>47</v>
      </c>
      <c r="G437" s="2">
        <v>6521.01</v>
      </c>
      <c r="H437" s="2">
        <v>3609.06</v>
      </c>
      <c r="I437" s="2" t="s">
        <v>6749</v>
      </c>
      <c r="J437" s="2" t="s">
        <v>6705</v>
      </c>
      <c r="K437" s="2" t="s">
        <v>22</v>
      </c>
      <c r="L437" s="2" t="s">
        <v>48</v>
      </c>
      <c r="M437" s="2">
        <v>2</v>
      </c>
      <c r="N437" s="2" t="s">
        <v>33</v>
      </c>
      <c r="O437" s="2" t="s">
        <v>70</v>
      </c>
      <c r="P437" s="2" t="s">
        <v>49</v>
      </c>
    </row>
    <row r="438" spans="1:16" x14ac:dyDescent="0.25">
      <c r="A438" s="2" t="s">
        <v>1176</v>
      </c>
      <c r="B438" s="2" t="s">
        <v>1122</v>
      </c>
      <c r="C438" s="2">
        <v>7943</v>
      </c>
      <c r="D438" s="2" t="s">
        <v>7231</v>
      </c>
      <c r="E438" s="2" t="s">
        <v>18</v>
      </c>
      <c r="F438" s="2" t="s">
        <v>47</v>
      </c>
      <c r="G438" s="2">
        <v>20943.66</v>
      </c>
      <c r="H438" s="2">
        <v>10249.31</v>
      </c>
      <c r="I438" s="2" t="s">
        <v>6739</v>
      </c>
      <c r="J438" s="2" t="s">
        <v>6700</v>
      </c>
      <c r="K438" s="2" t="s">
        <v>42</v>
      </c>
      <c r="L438" s="2" t="s">
        <v>88</v>
      </c>
      <c r="M438" s="2">
        <v>1</v>
      </c>
      <c r="N438" s="2" t="s">
        <v>24</v>
      </c>
      <c r="O438" s="2" t="s">
        <v>25</v>
      </c>
      <c r="P438" s="2" t="s">
        <v>34</v>
      </c>
    </row>
    <row r="439" spans="1:16" x14ac:dyDescent="0.25">
      <c r="A439" s="2" t="s">
        <v>1178</v>
      </c>
      <c r="B439" s="2" t="s">
        <v>2477</v>
      </c>
      <c r="C439" s="2">
        <v>9514</v>
      </c>
      <c r="D439" s="2" t="s">
        <v>7232</v>
      </c>
      <c r="E439" s="2" t="s">
        <v>18</v>
      </c>
      <c r="F439" s="2" t="s">
        <v>39</v>
      </c>
      <c r="G439" s="2">
        <v>45764.480000000003</v>
      </c>
      <c r="H439" s="2">
        <v>27694.37</v>
      </c>
      <c r="I439" s="2" t="s">
        <v>53</v>
      </c>
      <c r="J439" s="2" t="s">
        <v>54</v>
      </c>
      <c r="K439" s="2" t="s">
        <v>80</v>
      </c>
      <c r="L439" s="2" t="s">
        <v>55</v>
      </c>
      <c r="M439" s="2">
        <v>4</v>
      </c>
      <c r="N439" s="2" t="s">
        <v>24</v>
      </c>
      <c r="O439" s="2" t="s">
        <v>25</v>
      </c>
      <c r="P439" s="2" t="s">
        <v>26</v>
      </c>
    </row>
    <row r="441" spans="1:16" x14ac:dyDescent="0.25">
      <c r="A441" s="2" t="s">
        <v>1181</v>
      </c>
      <c r="B441" s="2" t="s">
        <v>7233</v>
      </c>
      <c r="C441" s="2">
        <v>5939</v>
      </c>
      <c r="D441" s="2" t="s">
        <v>7234</v>
      </c>
      <c r="E441" s="2" t="s">
        <v>6680</v>
      </c>
      <c r="F441" s="2" t="s">
        <v>58</v>
      </c>
      <c r="G441" s="2">
        <v>10642.92</v>
      </c>
      <c r="H441" s="2">
        <v>6231.57</v>
      </c>
      <c r="I441" s="2" t="s">
        <v>84</v>
      </c>
      <c r="J441" s="2" t="s">
        <v>6753</v>
      </c>
      <c r="K441" s="2" t="s">
        <v>22</v>
      </c>
      <c r="L441" s="2" t="s">
        <v>88</v>
      </c>
      <c r="M441" s="2">
        <v>4</v>
      </c>
      <c r="N441" s="2" t="s">
        <v>33</v>
      </c>
      <c r="O441" s="2" t="s">
        <v>70</v>
      </c>
      <c r="P441" s="2" t="s">
        <v>34</v>
      </c>
    </row>
    <row r="442" spans="1:16" x14ac:dyDescent="0.25">
      <c r="A442" s="2" t="s">
        <v>1184</v>
      </c>
      <c r="B442" s="2" t="s">
        <v>1260</v>
      </c>
      <c r="C442" s="2">
        <v>1425</v>
      </c>
      <c r="D442" s="2" t="s">
        <v>7235</v>
      </c>
      <c r="E442" s="2" t="s">
        <v>38</v>
      </c>
      <c r="F442" s="2" t="s">
        <v>47</v>
      </c>
      <c r="G442" s="2">
        <v>12371.92</v>
      </c>
      <c r="H442" s="2">
        <v>7021.84</v>
      </c>
      <c r="I442" s="2" t="s">
        <v>53</v>
      </c>
      <c r="J442" s="2" t="s">
        <v>54</v>
      </c>
      <c r="K442" s="2" t="s">
        <v>22</v>
      </c>
      <c r="L442" s="2" t="s">
        <v>55</v>
      </c>
      <c r="M442" s="2">
        <v>1</v>
      </c>
      <c r="N442" s="2" t="s">
        <v>24</v>
      </c>
      <c r="O442" s="2" t="s">
        <v>25</v>
      </c>
      <c r="P442" s="2" t="s">
        <v>26</v>
      </c>
    </row>
    <row r="443" spans="1:16" x14ac:dyDescent="0.25">
      <c r="A443" s="2" t="s">
        <v>1187</v>
      </c>
      <c r="B443" s="2" t="s">
        <v>7236</v>
      </c>
      <c r="C443" s="2">
        <v>4046</v>
      </c>
      <c r="D443" s="2" t="s">
        <v>7237</v>
      </c>
      <c r="E443" s="2" t="s">
        <v>6703</v>
      </c>
      <c r="F443" s="2" t="s">
        <v>39</v>
      </c>
      <c r="G443" s="2">
        <v>13851.84</v>
      </c>
      <c r="H443" s="2">
        <v>6355.42</v>
      </c>
      <c r="I443" s="2" t="s">
        <v>6699</v>
      </c>
      <c r="J443" s="2" t="s">
        <v>6753</v>
      </c>
      <c r="K443" s="2" t="s">
        <v>32</v>
      </c>
      <c r="L443" s="2" t="s">
        <v>88</v>
      </c>
      <c r="M443" s="2">
        <v>5</v>
      </c>
      <c r="N443" s="2" t="s">
        <v>33</v>
      </c>
      <c r="O443" s="2" t="s">
        <v>70</v>
      </c>
      <c r="P443" s="2" t="s">
        <v>34</v>
      </c>
    </row>
    <row r="444" spans="1:16" x14ac:dyDescent="0.25">
      <c r="A444" s="2" t="s">
        <v>1190</v>
      </c>
      <c r="B444" s="2" t="s">
        <v>140</v>
      </c>
      <c r="C444" s="2">
        <v>3369</v>
      </c>
      <c r="D444" s="2" t="s">
        <v>7238</v>
      </c>
      <c r="E444" s="2" t="s">
        <v>18</v>
      </c>
      <c r="F444" s="2" t="s">
        <v>39</v>
      </c>
      <c r="G444" s="2">
        <v>22250.67</v>
      </c>
      <c r="H444" s="2">
        <v>13658.28</v>
      </c>
      <c r="I444" s="2" t="s">
        <v>53</v>
      </c>
      <c r="J444" s="2" t="s">
        <v>54</v>
      </c>
      <c r="K444" s="2" t="s">
        <v>22</v>
      </c>
      <c r="L444" s="2" t="s">
        <v>64</v>
      </c>
      <c r="M444" s="2">
        <v>3</v>
      </c>
      <c r="N444" s="2" t="s">
        <v>33</v>
      </c>
      <c r="O444" s="2" t="s">
        <v>25</v>
      </c>
      <c r="P444" s="2" t="s">
        <v>26</v>
      </c>
    </row>
    <row r="445" spans="1:16" x14ac:dyDescent="0.25">
      <c r="A445" s="2" t="s">
        <v>1193</v>
      </c>
      <c r="B445" s="2" t="s">
        <v>7239</v>
      </c>
      <c r="C445" s="2">
        <v>6425</v>
      </c>
      <c r="D445" s="2" t="s">
        <v>7240</v>
      </c>
      <c r="E445" s="2" t="s">
        <v>6719</v>
      </c>
      <c r="F445" s="2" t="s">
        <v>30</v>
      </c>
      <c r="G445" s="2">
        <v>78626.23</v>
      </c>
      <c r="H445" s="2">
        <v>41965.89</v>
      </c>
      <c r="I445" s="2" t="s">
        <v>6699</v>
      </c>
      <c r="J445" s="2" t="s">
        <v>6753</v>
      </c>
      <c r="K445" s="2" t="s">
        <v>32</v>
      </c>
      <c r="L445" s="2" t="s">
        <v>55</v>
      </c>
      <c r="M445" s="2">
        <v>4</v>
      </c>
      <c r="N445" s="2" t="s">
        <v>69</v>
      </c>
      <c r="O445" s="2" t="s">
        <v>70</v>
      </c>
      <c r="P445" s="2" t="s">
        <v>34</v>
      </c>
    </row>
    <row r="446" spans="1:16" x14ac:dyDescent="0.25">
      <c r="A446" s="2" t="s">
        <v>1195</v>
      </c>
      <c r="B446" s="2" t="s">
        <v>7241</v>
      </c>
      <c r="C446" s="2">
        <v>4363</v>
      </c>
      <c r="D446" s="2" t="s">
        <v>7242</v>
      </c>
      <c r="E446" s="2" t="s">
        <v>6680</v>
      </c>
      <c r="F446" s="2" t="s">
        <v>30</v>
      </c>
      <c r="G446" s="2">
        <v>31812.31</v>
      </c>
      <c r="H446" s="2">
        <v>20613.599999999999</v>
      </c>
      <c r="I446" s="2" t="s">
        <v>6915</v>
      </c>
      <c r="J446" s="2" t="s">
        <v>21</v>
      </c>
      <c r="K446" s="2" t="s">
        <v>42</v>
      </c>
      <c r="L446" s="2" t="s">
        <v>55</v>
      </c>
      <c r="M446" s="2">
        <v>1</v>
      </c>
      <c r="N446" s="2" t="s">
        <v>33</v>
      </c>
      <c r="O446" s="2" t="s">
        <v>25</v>
      </c>
      <c r="P446" s="2" t="s">
        <v>26</v>
      </c>
    </row>
    <row r="447" spans="1:16" x14ac:dyDescent="0.25">
      <c r="A447" s="2" t="s">
        <v>1198</v>
      </c>
      <c r="B447" s="2" t="s">
        <v>7243</v>
      </c>
      <c r="C447" s="2">
        <v>6567</v>
      </c>
      <c r="D447" s="2" t="s">
        <v>7244</v>
      </c>
      <c r="E447" s="2" t="s">
        <v>18</v>
      </c>
      <c r="F447" s="2" t="s">
        <v>58</v>
      </c>
      <c r="G447" s="2">
        <v>9311.35</v>
      </c>
      <c r="H447" s="2">
        <v>4230.13</v>
      </c>
      <c r="I447" s="2" t="s">
        <v>68</v>
      </c>
      <c r="J447" s="2" t="s">
        <v>41</v>
      </c>
      <c r="K447" s="2" t="s">
        <v>42</v>
      </c>
      <c r="L447" s="2" t="s">
        <v>55</v>
      </c>
      <c r="M447" s="2">
        <v>1</v>
      </c>
      <c r="N447" s="2" t="s">
        <v>69</v>
      </c>
      <c r="O447" s="2" t="s">
        <v>25</v>
      </c>
      <c r="P447" s="2" t="s">
        <v>49</v>
      </c>
    </row>
    <row r="448" spans="1:16" x14ac:dyDescent="0.25">
      <c r="A448" s="2" t="s">
        <v>1201</v>
      </c>
      <c r="B448" s="2" t="s">
        <v>7245</v>
      </c>
      <c r="C448" s="2">
        <v>3807</v>
      </c>
      <c r="D448" s="2" t="s">
        <v>7246</v>
      </c>
      <c r="E448" s="2" t="s">
        <v>6748</v>
      </c>
      <c r="F448" s="2" t="s">
        <v>39</v>
      </c>
      <c r="G448" s="2">
        <v>36706.53</v>
      </c>
      <c r="H448" s="2">
        <v>16997.89</v>
      </c>
      <c r="I448" s="2" t="s">
        <v>6808</v>
      </c>
      <c r="J448" s="2" t="s">
        <v>54</v>
      </c>
      <c r="K448" s="2" t="s">
        <v>32</v>
      </c>
      <c r="L448" s="2" t="s">
        <v>23</v>
      </c>
      <c r="M448" s="2">
        <v>2</v>
      </c>
      <c r="N448" s="2" t="s">
        <v>33</v>
      </c>
      <c r="O448" s="2" t="s">
        <v>25</v>
      </c>
      <c r="P448" s="2" t="s">
        <v>34</v>
      </c>
    </row>
    <row r="449" spans="1:16" x14ac:dyDescent="0.25">
      <c r="A449" s="2" t="s">
        <v>1204</v>
      </c>
      <c r="B449" s="2" t="s">
        <v>212</v>
      </c>
      <c r="C449" s="2">
        <v>5049</v>
      </c>
      <c r="D449" s="2" t="s">
        <v>7247</v>
      </c>
      <c r="E449" s="2" t="s">
        <v>18</v>
      </c>
      <c r="F449" s="2" t="s">
        <v>58</v>
      </c>
      <c r="G449" s="2">
        <v>35983.49</v>
      </c>
      <c r="H449" s="2">
        <v>18208.169999999998</v>
      </c>
      <c r="I449" s="2" t="s">
        <v>31</v>
      </c>
      <c r="J449" s="2" t="s">
        <v>21</v>
      </c>
      <c r="K449" s="2" t="s">
        <v>32</v>
      </c>
      <c r="L449" s="2" t="s">
        <v>43</v>
      </c>
      <c r="M449" s="2">
        <v>5</v>
      </c>
      <c r="N449" s="2" t="s">
        <v>69</v>
      </c>
      <c r="O449" s="2" t="s">
        <v>25</v>
      </c>
      <c r="P449" s="2" t="s">
        <v>26</v>
      </c>
    </row>
    <row r="450" spans="1:16" x14ac:dyDescent="0.25">
      <c r="A450" s="2" t="s">
        <v>1206</v>
      </c>
      <c r="B450" s="2" t="s">
        <v>591</v>
      </c>
      <c r="C450" s="2">
        <v>7131</v>
      </c>
      <c r="D450" s="2" t="s">
        <v>7248</v>
      </c>
      <c r="E450" s="2" t="s">
        <v>38</v>
      </c>
      <c r="F450" s="2" t="s">
        <v>58</v>
      </c>
      <c r="G450" s="2">
        <v>31278.87</v>
      </c>
      <c r="H450" s="2">
        <v>15195.27</v>
      </c>
      <c r="I450" s="2" t="s">
        <v>31</v>
      </c>
      <c r="J450" s="2" t="s">
        <v>21</v>
      </c>
      <c r="K450" s="2" t="s">
        <v>42</v>
      </c>
      <c r="L450" s="2" t="s">
        <v>43</v>
      </c>
      <c r="M450" s="2">
        <v>4</v>
      </c>
      <c r="N450" s="2" t="s">
        <v>24</v>
      </c>
      <c r="O450" s="2" t="s">
        <v>25</v>
      </c>
      <c r="P450" s="2" t="s">
        <v>34</v>
      </c>
    </row>
    <row r="451" spans="1:16" x14ac:dyDescent="0.25">
      <c r="A451" s="2" t="s">
        <v>1209</v>
      </c>
      <c r="B451" s="2" t="s">
        <v>7249</v>
      </c>
      <c r="C451" s="2">
        <v>4840</v>
      </c>
      <c r="D451" s="2" t="s">
        <v>7250</v>
      </c>
      <c r="E451" s="2" t="s">
        <v>6708</v>
      </c>
      <c r="F451" s="2" t="s">
        <v>19</v>
      </c>
      <c r="G451" s="2">
        <v>5669.17</v>
      </c>
      <c r="H451" s="2">
        <v>3033.03</v>
      </c>
      <c r="I451" s="2" t="s">
        <v>6695</v>
      </c>
      <c r="J451" s="2" t="s">
        <v>6802</v>
      </c>
      <c r="K451" s="2" t="s">
        <v>80</v>
      </c>
      <c r="L451" s="2" t="s">
        <v>43</v>
      </c>
      <c r="M451" s="2">
        <v>2</v>
      </c>
      <c r="N451" s="2" t="s">
        <v>69</v>
      </c>
      <c r="O451" s="2" t="s">
        <v>25</v>
      </c>
      <c r="P451" s="2" t="s">
        <v>49</v>
      </c>
    </row>
    <row r="452" spans="1:16" x14ac:dyDescent="0.25">
      <c r="A452" s="2" t="s">
        <v>1211</v>
      </c>
      <c r="B452" s="2" t="s">
        <v>472</v>
      </c>
      <c r="C452" s="2">
        <v>8086</v>
      </c>
      <c r="D452" s="2" t="s">
        <v>7251</v>
      </c>
      <c r="E452" s="2" t="s">
        <v>6680</v>
      </c>
      <c r="F452" s="2" t="s">
        <v>30</v>
      </c>
      <c r="G452" s="2">
        <v>38828.370000000003</v>
      </c>
      <c r="H452" s="2">
        <v>21336.52</v>
      </c>
      <c r="I452" s="2" t="s">
        <v>120</v>
      </c>
      <c r="J452" s="2" t="s">
        <v>6696</v>
      </c>
      <c r="K452" s="2" t="s">
        <v>42</v>
      </c>
      <c r="L452" s="2" t="s">
        <v>64</v>
      </c>
      <c r="M452" s="2">
        <v>1</v>
      </c>
      <c r="N452" s="2" t="s">
        <v>33</v>
      </c>
      <c r="O452" s="2" t="s">
        <v>25</v>
      </c>
      <c r="P452" s="2" t="s">
        <v>49</v>
      </c>
    </row>
    <row r="453" spans="1:16" x14ac:dyDescent="0.25">
      <c r="A453" s="2" t="s">
        <v>1214</v>
      </c>
      <c r="B453" s="2" t="s">
        <v>622</v>
      </c>
      <c r="C453" s="2">
        <v>6468</v>
      </c>
      <c r="D453" s="2" t="s">
        <v>6263</v>
      </c>
      <c r="E453" s="2" t="s">
        <v>18</v>
      </c>
      <c r="F453" s="2" t="s">
        <v>58</v>
      </c>
      <c r="G453" s="2">
        <v>24734.23</v>
      </c>
      <c r="H453" s="2">
        <v>12367.23</v>
      </c>
      <c r="I453" s="2" t="s">
        <v>68</v>
      </c>
      <c r="J453" s="2" t="s">
        <v>41</v>
      </c>
      <c r="K453" s="2" t="s">
        <v>42</v>
      </c>
      <c r="L453" s="2" t="s">
        <v>23</v>
      </c>
      <c r="M453" s="2">
        <v>5</v>
      </c>
      <c r="N453" s="2" t="s">
        <v>69</v>
      </c>
      <c r="O453" s="2" t="s">
        <v>70</v>
      </c>
      <c r="P453" s="2" t="s">
        <v>49</v>
      </c>
    </row>
    <row r="454" spans="1:16" x14ac:dyDescent="0.25">
      <c r="A454" s="2" t="s">
        <v>1216</v>
      </c>
      <c r="B454" s="2" t="s">
        <v>7252</v>
      </c>
      <c r="C454" s="2">
        <v>7647</v>
      </c>
      <c r="D454" s="2" t="s">
        <v>7253</v>
      </c>
      <c r="E454" s="2" t="s">
        <v>32</v>
      </c>
      <c r="F454" s="2" t="s">
        <v>19</v>
      </c>
      <c r="G454" s="2">
        <v>7758.04</v>
      </c>
      <c r="H454" s="2">
        <v>4286.55</v>
      </c>
      <c r="I454" s="2" t="s">
        <v>6749</v>
      </c>
      <c r="J454" s="2" t="s">
        <v>6682</v>
      </c>
      <c r="K454" s="2" t="s">
        <v>32</v>
      </c>
      <c r="L454" s="2" t="s">
        <v>64</v>
      </c>
      <c r="M454" s="2">
        <v>2</v>
      </c>
      <c r="N454" s="2" t="s">
        <v>33</v>
      </c>
      <c r="O454" s="2" t="s">
        <v>70</v>
      </c>
      <c r="P454" s="2" t="s">
        <v>34</v>
      </c>
    </row>
    <row r="455" spans="1:16" x14ac:dyDescent="0.25">
      <c r="A455" s="2" t="s">
        <v>1219</v>
      </c>
      <c r="B455" s="2" t="s">
        <v>7254</v>
      </c>
      <c r="C455" s="2">
        <v>4433</v>
      </c>
      <c r="D455" s="2" t="s">
        <v>7255</v>
      </c>
      <c r="E455" s="2" t="s">
        <v>6698</v>
      </c>
      <c r="F455" s="2" t="s">
        <v>47</v>
      </c>
      <c r="G455" s="2">
        <v>8124.65</v>
      </c>
      <c r="H455" s="2">
        <v>4563.53</v>
      </c>
      <c r="I455" s="2" t="s">
        <v>6794</v>
      </c>
      <c r="J455" s="2" t="s">
        <v>6795</v>
      </c>
      <c r="K455" s="2" t="s">
        <v>42</v>
      </c>
      <c r="L455" s="2" t="s">
        <v>23</v>
      </c>
      <c r="M455" s="2">
        <v>5</v>
      </c>
      <c r="N455" s="2" t="s">
        <v>69</v>
      </c>
      <c r="O455" s="2" t="s">
        <v>25</v>
      </c>
      <c r="P455" s="2" t="s">
        <v>49</v>
      </c>
    </row>
    <row r="456" spans="1:16" x14ac:dyDescent="0.25">
      <c r="A456" s="2" t="s">
        <v>1221</v>
      </c>
      <c r="B456" s="2" t="s">
        <v>2027</v>
      </c>
      <c r="C456" s="2">
        <v>1527</v>
      </c>
      <c r="D456" s="2" t="s">
        <v>7256</v>
      </c>
      <c r="E456" s="2" t="s">
        <v>18</v>
      </c>
      <c r="F456" s="2" t="s">
        <v>30</v>
      </c>
      <c r="G456" s="2">
        <v>23219.46</v>
      </c>
      <c r="H456" s="2">
        <v>14872.7</v>
      </c>
      <c r="I456" s="2" t="s">
        <v>31</v>
      </c>
      <c r="J456" s="2" t="s">
        <v>21</v>
      </c>
      <c r="K456" s="2" t="s">
        <v>42</v>
      </c>
      <c r="L456" s="2" t="s">
        <v>43</v>
      </c>
      <c r="M456" s="2">
        <v>5</v>
      </c>
      <c r="N456" s="2" t="s">
        <v>69</v>
      </c>
      <c r="O456" s="2" t="s">
        <v>25</v>
      </c>
      <c r="P456" s="2" t="s">
        <v>34</v>
      </c>
    </row>
    <row r="457" spans="1:16" x14ac:dyDescent="0.25">
      <c r="A457" s="2" t="s">
        <v>1224</v>
      </c>
      <c r="B457" s="2" t="s">
        <v>296</v>
      </c>
      <c r="C457" s="2">
        <v>6387</v>
      </c>
      <c r="D457" s="2" t="s">
        <v>7257</v>
      </c>
      <c r="E457" s="2" t="s">
        <v>6719</v>
      </c>
      <c r="F457" s="2" t="s">
        <v>58</v>
      </c>
      <c r="G457" s="2">
        <v>37971.75</v>
      </c>
      <c r="H457" s="2">
        <v>19400.87</v>
      </c>
      <c r="I457" s="2" t="s">
        <v>6728</v>
      </c>
      <c r="J457" s="2" t="s">
        <v>54</v>
      </c>
      <c r="K457" s="2" t="s">
        <v>32</v>
      </c>
      <c r="L457" s="2" t="s">
        <v>55</v>
      </c>
      <c r="M457" s="2">
        <v>5</v>
      </c>
      <c r="N457" s="2" t="s">
        <v>33</v>
      </c>
      <c r="O457" s="2" t="s">
        <v>70</v>
      </c>
      <c r="P457" s="2" t="s">
        <v>49</v>
      </c>
    </row>
    <row r="458" spans="1:16" x14ac:dyDescent="0.25">
      <c r="A458" s="2" t="s">
        <v>1226</v>
      </c>
      <c r="B458" s="2" t="s">
        <v>3896</v>
      </c>
      <c r="C458" s="2">
        <v>2146</v>
      </c>
      <c r="D458" s="2" t="s">
        <v>7258</v>
      </c>
      <c r="E458" s="2" t="s">
        <v>38</v>
      </c>
      <c r="F458" s="2" t="s">
        <v>39</v>
      </c>
      <c r="G458" s="2">
        <v>5671.17</v>
      </c>
      <c r="H458" s="2">
        <v>3140.16</v>
      </c>
      <c r="I458" s="2" t="s">
        <v>59</v>
      </c>
      <c r="J458" s="2" t="s">
        <v>41</v>
      </c>
      <c r="K458" s="2" t="s">
        <v>32</v>
      </c>
      <c r="L458" s="2" t="s">
        <v>88</v>
      </c>
      <c r="M458" s="2">
        <v>4</v>
      </c>
      <c r="N458" s="2" t="s">
        <v>33</v>
      </c>
      <c r="O458" s="2" t="s">
        <v>70</v>
      </c>
      <c r="P458" s="2" t="s">
        <v>26</v>
      </c>
    </row>
    <row r="459" spans="1:16" x14ac:dyDescent="0.25">
      <c r="A459" s="2" t="s">
        <v>1228</v>
      </c>
      <c r="B459" s="2" t="s">
        <v>2267</v>
      </c>
      <c r="C459" s="2">
        <v>4369</v>
      </c>
      <c r="D459" s="2" t="s">
        <v>7259</v>
      </c>
      <c r="E459" s="2" t="s">
        <v>38</v>
      </c>
      <c r="F459" s="2" t="s">
        <v>39</v>
      </c>
      <c r="G459" s="2">
        <v>26578.28</v>
      </c>
      <c r="H459" s="2">
        <v>15732.6</v>
      </c>
      <c r="I459" s="2" t="s">
        <v>20</v>
      </c>
      <c r="J459" s="2" t="s">
        <v>21</v>
      </c>
      <c r="K459" s="2" t="s">
        <v>80</v>
      </c>
      <c r="L459" s="2" t="s">
        <v>23</v>
      </c>
      <c r="M459" s="2">
        <v>5</v>
      </c>
      <c r="N459" s="2" t="s">
        <v>24</v>
      </c>
      <c r="O459" s="2" t="s">
        <v>25</v>
      </c>
      <c r="P459" s="2" t="s">
        <v>26</v>
      </c>
    </row>
    <row r="460" spans="1:16" x14ac:dyDescent="0.25">
      <c r="A460" s="2" t="s">
        <v>1231</v>
      </c>
      <c r="B460" s="2" t="s">
        <v>619</v>
      </c>
      <c r="C460" s="2">
        <v>7541</v>
      </c>
      <c r="D460" s="2" t="s">
        <v>7260</v>
      </c>
      <c r="E460" s="2" t="s">
        <v>18</v>
      </c>
      <c r="F460" s="2" t="s">
        <v>58</v>
      </c>
      <c r="G460" s="2">
        <v>34320.86</v>
      </c>
      <c r="H460" s="2">
        <v>21692.86</v>
      </c>
      <c r="I460" s="2" t="s">
        <v>120</v>
      </c>
      <c r="J460" s="2" t="s">
        <v>21</v>
      </c>
      <c r="K460" s="2" t="s">
        <v>80</v>
      </c>
      <c r="L460" s="2" t="s">
        <v>64</v>
      </c>
      <c r="M460" s="2">
        <v>4</v>
      </c>
      <c r="N460" s="2" t="s">
        <v>24</v>
      </c>
      <c r="O460" s="2" t="s">
        <v>70</v>
      </c>
      <c r="P460" s="2" t="s">
        <v>34</v>
      </c>
    </row>
    <row r="461" spans="1:16" x14ac:dyDescent="0.25">
      <c r="A461" s="2" t="s">
        <v>1234</v>
      </c>
      <c r="B461" s="2" t="s">
        <v>7261</v>
      </c>
      <c r="C461" s="2">
        <v>3869</v>
      </c>
      <c r="D461" s="2" t="s">
        <v>1449</v>
      </c>
      <c r="E461" s="2" t="s">
        <v>6719</v>
      </c>
      <c r="F461" s="2" t="s">
        <v>19</v>
      </c>
      <c r="G461" s="2">
        <v>6667.93</v>
      </c>
      <c r="H461" s="2">
        <v>4200.75</v>
      </c>
      <c r="I461" s="2" t="s">
        <v>59</v>
      </c>
      <c r="J461" s="2" t="s">
        <v>6682</v>
      </c>
      <c r="K461" s="2" t="s">
        <v>80</v>
      </c>
      <c r="L461" s="2" t="s">
        <v>64</v>
      </c>
      <c r="M461" s="2">
        <v>4</v>
      </c>
      <c r="N461" s="2" t="s">
        <v>69</v>
      </c>
      <c r="O461" s="2" t="s">
        <v>25</v>
      </c>
      <c r="P461" s="2" t="s">
        <v>49</v>
      </c>
    </row>
    <row r="462" spans="1:16" x14ac:dyDescent="0.25">
      <c r="A462" s="2" t="s">
        <v>1236</v>
      </c>
      <c r="B462" s="2" t="s">
        <v>1116</v>
      </c>
      <c r="C462" s="2">
        <v>9085</v>
      </c>
      <c r="D462" s="2" t="s">
        <v>7262</v>
      </c>
      <c r="E462" s="2" t="s">
        <v>6698</v>
      </c>
      <c r="F462" s="2" t="s">
        <v>39</v>
      </c>
      <c r="G462" s="2">
        <v>37264.559999999998</v>
      </c>
      <c r="H462" s="2">
        <v>20889.2</v>
      </c>
      <c r="I462" s="2" t="s">
        <v>6761</v>
      </c>
      <c r="J462" s="2" t="s">
        <v>6793</v>
      </c>
      <c r="K462" s="2" t="s">
        <v>42</v>
      </c>
      <c r="L462" s="2" t="s">
        <v>55</v>
      </c>
      <c r="M462" s="2">
        <v>1</v>
      </c>
      <c r="N462" s="2" t="s">
        <v>24</v>
      </c>
      <c r="O462" s="2" t="s">
        <v>70</v>
      </c>
      <c r="P462" s="2" t="s">
        <v>34</v>
      </c>
    </row>
    <row r="463" spans="1:16" x14ac:dyDescent="0.25">
      <c r="A463" s="2" t="s">
        <v>1239</v>
      </c>
      <c r="B463" s="2" t="s">
        <v>1462</v>
      </c>
      <c r="C463" s="2">
        <v>6630</v>
      </c>
      <c r="D463" s="2" t="s">
        <v>1463</v>
      </c>
      <c r="E463" s="2" t="s">
        <v>38</v>
      </c>
      <c r="F463" s="2" t="s">
        <v>58</v>
      </c>
      <c r="G463" s="2">
        <v>54735.78</v>
      </c>
      <c r="H463" s="2">
        <v>28973.56</v>
      </c>
      <c r="I463" s="2" t="s">
        <v>63</v>
      </c>
      <c r="J463" s="2" t="s">
        <v>54</v>
      </c>
      <c r="K463" s="2" t="s">
        <v>22</v>
      </c>
      <c r="L463" s="2" t="s">
        <v>88</v>
      </c>
      <c r="M463" s="2">
        <v>1</v>
      </c>
      <c r="N463" s="2" t="s">
        <v>24</v>
      </c>
      <c r="O463" s="2" t="s">
        <v>25</v>
      </c>
      <c r="P463" s="2" t="s">
        <v>49</v>
      </c>
    </row>
    <row r="464" spans="1:16" x14ac:dyDescent="0.25">
      <c r="A464" s="2" t="s">
        <v>1241</v>
      </c>
      <c r="B464" s="2" t="s">
        <v>704</v>
      </c>
      <c r="C464" s="2">
        <v>8713</v>
      </c>
      <c r="D464" s="2" t="s">
        <v>7263</v>
      </c>
      <c r="E464" s="2" t="s">
        <v>6748</v>
      </c>
      <c r="F464" s="2" t="s">
        <v>58</v>
      </c>
      <c r="G464" s="2">
        <v>45008.49</v>
      </c>
      <c r="H464" s="2">
        <v>21789.41</v>
      </c>
      <c r="I464" s="2" t="s">
        <v>20</v>
      </c>
      <c r="J464" s="2" t="s">
        <v>6795</v>
      </c>
      <c r="K464" s="2" t="s">
        <v>22</v>
      </c>
      <c r="L464" s="2" t="s">
        <v>43</v>
      </c>
      <c r="M464" s="2">
        <v>1</v>
      </c>
      <c r="N464" s="2" t="s">
        <v>33</v>
      </c>
      <c r="O464" s="2" t="s">
        <v>25</v>
      </c>
      <c r="P464" s="2" t="s">
        <v>49</v>
      </c>
    </row>
    <row r="465" spans="1:16" x14ac:dyDescent="0.25">
      <c r="A465" s="2" t="s">
        <v>1244</v>
      </c>
      <c r="B465" s="2" t="s">
        <v>1501</v>
      </c>
      <c r="C465" s="2">
        <v>9721</v>
      </c>
      <c r="D465" s="2" t="s">
        <v>7264</v>
      </c>
      <c r="E465" s="2" t="s">
        <v>18</v>
      </c>
      <c r="F465" s="2" t="s">
        <v>39</v>
      </c>
      <c r="G465" s="2">
        <v>22019.68</v>
      </c>
      <c r="H465" s="2">
        <v>10119.17</v>
      </c>
      <c r="I465" s="2" t="s">
        <v>53</v>
      </c>
      <c r="J465" s="2" t="s">
        <v>54</v>
      </c>
      <c r="K465" s="2" t="s">
        <v>22</v>
      </c>
      <c r="L465" s="2" t="s">
        <v>64</v>
      </c>
      <c r="M465" s="2">
        <v>3</v>
      </c>
      <c r="N465" s="2" t="s">
        <v>33</v>
      </c>
      <c r="O465" s="2" t="s">
        <v>25</v>
      </c>
      <c r="P465" s="2" t="s">
        <v>26</v>
      </c>
    </row>
    <row r="466" spans="1:16" x14ac:dyDescent="0.25">
      <c r="A466" s="2" t="s">
        <v>1247</v>
      </c>
      <c r="B466" s="2" t="s">
        <v>7265</v>
      </c>
      <c r="C466" s="2">
        <v>7908</v>
      </c>
      <c r="D466" s="2" t="s">
        <v>7266</v>
      </c>
      <c r="E466" s="2" t="s">
        <v>32</v>
      </c>
      <c r="F466" s="2" t="s">
        <v>39</v>
      </c>
      <c r="G466" s="2">
        <v>33699.599999999999</v>
      </c>
      <c r="H466" s="2">
        <v>17436.96</v>
      </c>
      <c r="I466" s="2" t="s">
        <v>6910</v>
      </c>
      <c r="J466" s="2" t="s">
        <v>21</v>
      </c>
      <c r="K466" s="2" t="s">
        <v>32</v>
      </c>
      <c r="L466" s="2" t="s">
        <v>48</v>
      </c>
      <c r="M466" s="2">
        <v>1</v>
      </c>
      <c r="N466" s="2" t="s">
        <v>33</v>
      </c>
      <c r="O466" s="2" t="s">
        <v>70</v>
      </c>
      <c r="P466" s="2" t="s">
        <v>49</v>
      </c>
    </row>
    <row r="467" spans="1:16" x14ac:dyDescent="0.25">
      <c r="A467" s="2" t="s">
        <v>1250</v>
      </c>
      <c r="B467" s="2" t="s">
        <v>7267</v>
      </c>
      <c r="C467" s="2">
        <v>7472</v>
      </c>
      <c r="D467" s="2" t="s">
        <v>7268</v>
      </c>
      <c r="E467" s="2" t="s">
        <v>6719</v>
      </c>
      <c r="F467" s="2" t="s">
        <v>30</v>
      </c>
      <c r="G467" s="2">
        <v>13271.91</v>
      </c>
      <c r="H467" s="2">
        <v>6539.81</v>
      </c>
      <c r="I467" s="2" t="s">
        <v>59</v>
      </c>
      <c r="J467" s="2" t="s">
        <v>6713</v>
      </c>
      <c r="K467" s="2" t="s">
        <v>42</v>
      </c>
      <c r="L467" s="2" t="s">
        <v>88</v>
      </c>
      <c r="M467" s="2">
        <v>2</v>
      </c>
      <c r="N467" s="2" t="s">
        <v>33</v>
      </c>
      <c r="O467" s="2" t="s">
        <v>70</v>
      </c>
      <c r="P467" s="2" t="s">
        <v>26</v>
      </c>
    </row>
    <row r="468" spans="1:16" x14ac:dyDescent="0.25">
      <c r="A468" s="2" t="s">
        <v>1252</v>
      </c>
      <c r="B468" s="2" t="s">
        <v>7269</v>
      </c>
      <c r="C468" s="2">
        <v>5940</v>
      </c>
      <c r="D468" s="2" t="s">
        <v>7270</v>
      </c>
      <c r="E468" s="2" t="s">
        <v>6719</v>
      </c>
      <c r="F468" s="2" t="s">
        <v>19</v>
      </c>
      <c r="G468" s="2">
        <v>9987.18</v>
      </c>
      <c r="H468" s="2">
        <v>4697.6000000000004</v>
      </c>
      <c r="I468" s="2" t="s">
        <v>6777</v>
      </c>
      <c r="J468" s="2" t="s">
        <v>6705</v>
      </c>
      <c r="K468" s="2" t="s">
        <v>32</v>
      </c>
      <c r="L468" s="2" t="s">
        <v>88</v>
      </c>
      <c r="M468" s="2">
        <v>1</v>
      </c>
      <c r="N468" s="2" t="s">
        <v>24</v>
      </c>
      <c r="O468" s="2" t="s">
        <v>70</v>
      </c>
      <c r="P468" s="2" t="s">
        <v>49</v>
      </c>
    </row>
    <row r="469" spans="1:16" x14ac:dyDescent="0.25">
      <c r="A469" s="2" t="s">
        <v>1254</v>
      </c>
      <c r="B469" s="2" t="s">
        <v>7271</v>
      </c>
      <c r="C469" s="2">
        <v>6490</v>
      </c>
      <c r="D469" s="2" t="s">
        <v>1351</v>
      </c>
      <c r="E469" s="2" t="s">
        <v>6743</v>
      </c>
      <c r="F469" s="2" t="s">
        <v>39</v>
      </c>
      <c r="G469" s="2">
        <v>33852</v>
      </c>
      <c r="H469" s="2">
        <v>19194.330000000002</v>
      </c>
      <c r="I469" s="2" t="s">
        <v>6867</v>
      </c>
      <c r="J469" s="2" t="s">
        <v>6795</v>
      </c>
      <c r="K469" s="2" t="s">
        <v>80</v>
      </c>
      <c r="L469" s="2" t="s">
        <v>43</v>
      </c>
      <c r="M469" s="2">
        <v>2</v>
      </c>
      <c r="N469" s="2" t="s">
        <v>24</v>
      </c>
      <c r="O469" s="2" t="s">
        <v>70</v>
      </c>
      <c r="P469" s="2" t="s">
        <v>26</v>
      </c>
    </row>
    <row r="470" spans="1:16" x14ac:dyDescent="0.25">
      <c r="A470" s="2" t="s">
        <v>1256</v>
      </c>
      <c r="B470" s="2" t="s">
        <v>7272</v>
      </c>
      <c r="C470" s="2">
        <v>5859</v>
      </c>
      <c r="D470" s="2" t="s">
        <v>7273</v>
      </c>
      <c r="E470" s="2" t="s">
        <v>18</v>
      </c>
      <c r="F470" s="2" t="s">
        <v>30</v>
      </c>
      <c r="G470" s="2">
        <v>20764.759999999998</v>
      </c>
      <c r="H470" s="2">
        <v>10192.94</v>
      </c>
      <c r="I470" s="2" t="s">
        <v>6736</v>
      </c>
      <c r="J470" s="2" t="s">
        <v>6753</v>
      </c>
      <c r="K470" s="2" t="s">
        <v>22</v>
      </c>
      <c r="L470" s="2" t="s">
        <v>23</v>
      </c>
      <c r="M470" s="2">
        <v>5</v>
      </c>
      <c r="N470" s="2" t="s">
        <v>69</v>
      </c>
      <c r="O470" s="2" t="s">
        <v>25</v>
      </c>
      <c r="P470" s="2" t="s">
        <v>34</v>
      </c>
    </row>
    <row r="471" spans="1:16" x14ac:dyDescent="0.25">
      <c r="A471" s="2" t="s">
        <v>1258</v>
      </c>
      <c r="B471" s="2" t="s">
        <v>7274</v>
      </c>
      <c r="C471" s="2">
        <v>4969</v>
      </c>
      <c r="D471" s="2" t="s">
        <v>7275</v>
      </c>
      <c r="E471" s="2" t="s">
        <v>18</v>
      </c>
      <c r="F471" s="2" t="s">
        <v>19</v>
      </c>
      <c r="G471" s="2">
        <v>9622.02</v>
      </c>
      <c r="H471" s="2">
        <v>6074.64</v>
      </c>
      <c r="I471" s="2" t="s">
        <v>6794</v>
      </c>
      <c r="J471" s="2" t="s">
        <v>21</v>
      </c>
      <c r="K471" s="2" t="s">
        <v>32</v>
      </c>
      <c r="L471" s="2" t="s">
        <v>48</v>
      </c>
      <c r="M471" s="2">
        <v>2</v>
      </c>
      <c r="N471" s="2" t="s">
        <v>24</v>
      </c>
      <c r="O471" s="2" t="s">
        <v>25</v>
      </c>
      <c r="P471" s="2" t="s">
        <v>34</v>
      </c>
    </row>
    <row r="472" spans="1:16" x14ac:dyDescent="0.25">
      <c r="A472" s="2" t="s">
        <v>1259</v>
      </c>
      <c r="B472" s="2" t="s">
        <v>7276</v>
      </c>
      <c r="C472" s="2">
        <v>2503</v>
      </c>
      <c r="D472" s="2" t="s">
        <v>7277</v>
      </c>
      <c r="E472" s="2" t="s">
        <v>32</v>
      </c>
      <c r="F472" s="2" t="s">
        <v>19</v>
      </c>
      <c r="G472" s="2">
        <v>7709.38</v>
      </c>
      <c r="H472" s="2">
        <v>4750.8599999999997</v>
      </c>
      <c r="I472" s="2" t="s">
        <v>6822</v>
      </c>
      <c r="J472" s="2" t="s">
        <v>6793</v>
      </c>
      <c r="K472" s="2" t="s">
        <v>32</v>
      </c>
      <c r="L472" s="2" t="s">
        <v>23</v>
      </c>
      <c r="M472" s="2">
        <v>5</v>
      </c>
      <c r="N472" s="2" t="s">
        <v>33</v>
      </c>
      <c r="O472" s="2" t="s">
        <v>70</v>
      </c>
      <c r="P472" s="2" t="s">
        <v>34</v>
      </c>
    </row>
    <row r="473" spans="1:16" x14ac:dyDescent="0.25">
      <c r="A473" s="2" t="s">
        <v>1262</v>
      </c>
      <c r="B473" s="2" t="s">
        <v>1617</v>
      </c>
      <c r="C473" s="2">
        <v>8883</v>
      </c>
      <c r="D473" s="2" t="s">
        <v>7278</v>
      </c>
      <c r="E473" s="2" t="s">
        <v>6703</v>
      </c>
      <c r="F473" s="2" t="s">
        <v>30</v>
      </c>
      <c r="G473" s="2">
        <v>122135.94</v>
      </c>
      <c r="H473" s="2">
        <v>63744.75</v>
      </c>
      <c r="I473" s="2" t="s">
        <v>6759</v>
      </c>
      <c r="J473" s="2" t="s">
        <v>54</v>
      </c>
      <c r="K473" s="2" t="s">
        <v>80</v>
      </c>
      <c r="L473" s="2" t="s">
        <v>23</v>
      </c>
      <c r="M473" s="2">
        <v>4</v>
      </c>
      <c r="N473" s="2" t="s">
        <v>33</v>
      </c>
      <c r="O473" s="2" t="s">
        <v>25</v>
      </c>
      <c r="P473" s="2" t="s">
        <v>49</v>
      </c>
    </row>
    <row r="474" spans="1:16" x14ac:dyDescent="0.25">
      <c r="A474" s="2" t="s">
        <v>1264</v>
      </c>
      <c r="B474" s="2" t="s">
        <v>4299</v>
      </c>
      <c r="C474" s="2">
        <v>9801</v>
      </c>
      <c r="D474" s="2" t="s">
        <v>7279</v>
      </c>
      <c r="E474" s="2" t="s">
        <v>6743</v>
      </c>
      <c r="F474" s="2" t="s">
        <v>47</v>
      </c>
      <c r="G474" s="2">
        <v>11763.31</v>
      </c>
      <c r="H474" s="2">
        <v>5706.85</v>
      </c>
      <c r="I474" s="2" t="s">
        <v>6726</v>
      </c>
      <c r="J474" s="2" t="s">
        <v>6795</v>
      </c>
      <c r="K474" s="2" t="s">
        <v>80</v>
      </c>
      <c r="L474" s="2" t="s">
        <v>64</v>
      </c>
      <c r="M474" s="2">
        <v>3</v>
      </c>
      <c r="N474" s="2" t="s">
        <v>24</v>
      </c>
      <c r="O474" s="2" t="s">
        <v>25</v>
      </c>
      <c r="P474" s="2" t="s">
        <v>49</v>
      </c>
    </row>
    <row r="475" spans="1:16" x14ac:dyDescent="0.25">
      <c r="A475" s="2" t="s">
        <v>1267</v>
      </c>
      <c r="B475" s="2" t="s">
        <v>7280</v>
      </c>
      <c r="C475" s="2">
        <v>9051</v>
      </c>
      <c r="D475" s="2" t="s">
        <v>3258</v>
      </c>
      <c r="E475" s="2" t="s">
        <v>38</v>
      </c>
      <c r="F475" s="2" t="s">
        <v>47</v>
      </c>
      <c r="G475" s="2">
        <v>10553.35</v>
      </c>
      <c r="H475" s="2">
        <v>6733.64</v>
      </c>
      <c r="I475" s="2" t="s">
        <v>20</v>
      </c>
      <c r="J475" s="2" t="s">
        <v>6724</v>
      </c>
      <c r="K475" s="2" t="s">
        <v>42</v>
      </c>
      <c r="L475" s="2" t="s">
        <v>64</v>
      </c>
      <c r="M475" s="2">
        <v>4</v>
      </c>
      <c r="N475" s="2" t="s">
        <v>33</v>
      </c>
      <c r="O475" s="2" t="s">
        <v>70</v>
      </c>
      <c r="P475" s="2" t="s">
        <v>26</v>
      </c>
    </row>
    <row r="476" spans="1:16" x14ac:dyDescent="0.25">
      <c r="A476" s="2" t="s">
        <v>1270</v>
      </c>
      <c r="B476" s="2" t="s">
        <v>802</v>
      </c>
      <c r="C476" s="2">
        <v>9349</v>
      </c>
      <c r="D476" s="2" t="s">
        <v>7281</v>
      </c>
      <c r="E476" s="2" t="s">
        <v>6698</v>
      </c>
      <c r="F476" s="2" t="s">
        <v>58</v>
      </c>
      <c r="G476" s="2">
        <v>23620.69</v>
      </c>
      <c r="H476" s="2">
        <v>12368.65</v>
      </c>
      <c r="I476" s="2" t="s">
        <v>68</v>
      </c>
      <c r="J476" s="2" t="s">
        <v>6713</v>
      </c>
      <c r="K476" s="2" t="s">
        <v>22</v>
      </c>
      <c r="L476" s="2" t="s">
        <v>48</v>
      </c>
      <c r="M476" s="2">
        <v>4</v>
      </c>
      <c r="N476" s="2" t="s">
        <v>69</v>
      </c>
      <c r="O476" s="2" t="s">
        <v>70</v>
      </c>
      <c r="P476" s="2" t="s">
        <v>26</v>
      </c>
    </row>
    <row r="478" spans="1:16" x14ac:dyDescent="0.25">
      <c r="A478" s="2" t="s">
        <v>1273</v>
      </c>
      <c r="B478" s="2" t="s">
        <v>7282</v>
      </c>
      <c r="C478" s="2">
        <v>5166</v>
      </c>
      <c r="D478" s="2" t="s">
        <v>7283</v>
      </c>
      <c r="E478" s="2" t="s">
        <v>18</v>
      </c>
      <c r="F478" s="2" t="s">
        <v>39</v>
      </c>
      <c r="G478" s="2">
        <v>30901.57</v>
      </c>
      <c r="H478" s="2">
        <v>19787.990000000002</v>
      </c>
      <c r="I478" s="2" t="s">
        <v>6910</v>
      </c>
      <c r="J478" s="2" t="s">
        <v>6802</v>
      </c>
      <c r="K478" s="2" t="s">
        <v>32</v>
      </c>
      <c r="L478" s="2" t="s">
        <v>55</v>
      </c>
      <c r="M478" s="2">
        <v>1</v>
      </c>
      <c r="N478" s="2" t="s">
        <v>24</v>
      </c>
      <c r="O478" s="2" t="s">
        <v>70</v>
      </c>
      <c r="P478" s="2" t="s">
        <v>34</v>
      </c>
    </row>
    <row r="479" spans="1:16" x14ac:dyDescent="0.25">
      <c r="A479" s="2" t="s">
        <v>1275</v>
      </c>
      <c r="B479" s="2" t="s">
        <v>412</v>
      </c>
      <c r="C479" s="2">
        <v>9735</v>
      </c>
      <c r="D479" s="2" t="s">
        <v>7284</v>
      </c>
      <c r="E479" s="2" t="s">
        <v>6708</v>
      </c>
      <c r="F479" s="2" t="s">
        <v>47</v>
      </c>
      <c r="G479" s="2">
        <v>7369.5</v>
      </c>
      <c r="H479" s="2">
        <v>4398.0200000000004</v>
      </c>
      <c r="I479" s="2" t="s">
        <v>6704</v>
      </c>
      <c r="J479" s="2" t="s">
        <v>41</v>
      </c>
      <c r="K479" s="2" t="s">
        <v>22</v>
      </c>
      <c r="L479" s="2" t="s">
        <v>55</v>
      </c>
      <c r="M479" s="2">
        <v>5</v>
      </c>
      <c r="N479" s="2" t="s">
        <v>24</v>
      </c>
      <c r="O479" s="2" t="s">
        <v>25</v>
      </c>
      <c r="P479" s="2" t="s">
        <v>26</v>
      </c>
    </row>
    <row r="480" spans="1:16" x14ac:dyDescent="0.25">
      <c r="A480" s="2" t="s">
        <v>1278</v>
      </c>
      <c r="B480" s="2" t="s">
        <v>3573</v>
      </c>
      <c r="C480" s="2">
        <v>9600</v>
      </c>
      <c r="D480" s="2" t="s">
        <v>7285</v>
      </c>
      <c r="E480" s="2" t="s">
        <v>6680</v>
      </c>
      <c r="F480" s="2" t="s">
        <v>58</v>
      </c>
      <c r="G480" s="2">
        <v>18122.22</v>
      </c>
      <c r="H480" s="2">
        <v>10811.87</v>
      </c>
      <c r="I480" s="2" t="s">
        <v>59</v>
      </c>
      <c r="J480" s="2" t="s">
        <v>6705</v>
      </c>
      <c r="K480" s="2" t="s">
        <v>32</v>
      </c>
      <c r="L480" s="2" t="s">
        <v>23</v>
      </c>
      <c r="M480" s="2">
        <v>3</v>
      </c>
      <c r="N480" s="2" t="s">
        <v>33</v>
      </c>
      <c r="O480" s="2" t="s">
        <v>25</v>
      </c>
      <c r="P480" s="2" t="s">
        <v>34</v>
      </c>
    </row>
    <row r="481" spans="1:16" x14ac:dyDescent="0.25">
      <c r="A481" s="2" t="s">
        <v>1281</v>
      </c>
      <c r="B481" s="2" t="s">
        <v>2490</v>
      </c>
      <c r="C481" s="2">
        <v>8220</v>
      </c>
      <c r="D481" s="2" t="s">
        <v>7286</v>
      </c>
      <c r="E481" s="2" t="s">
        <v>18</v>
      </c>
      <c r="F481" s="2" t="s">
        <v>58</v>
      </c>
      <c r="G481" s="2">
        <v>60194.09</v>
      </c>
      <c r="H481" s="2">
        <v>29087.3</v>
      </c>
      <c r="I481" s="2" t="s">
        <v>84</v>
      </c>
      <c r="J481" s="2" t="s">
        <v>54</v>
      </c>
      <c r="K481" s="2" t="s">
        <v>42</v>
      </c>
      <c r="L481" s="2" t="s">
        <v>55</v>
      </c>
      <c r="M481" s="2">
        <v>4</v>
      </c>
      <c r="N481" s="2" t="s">
        <v>33</v>
      </c>
      <c r="O481" s="2" t="s">
        <v>25</v>
      </c>
      <c r="P481" s="2" t="s">
        <v>26</v>
      </c>
    </row>
    <row r="482" spans="1:16" x14ac:dyDescent="0.25">
      <c r="A482" s="2" t="s">
        <v>1284</v>
      </c>
      <c r="B482" s="2" t="s">
        <v>7287</v>
      </c>
      <c r="C482" s="2">
        <v>1685</v>
      </c>
      <c r="D482" s="2" t="s">
        <v>7288</v>
      </c>
      <c r="E482" s="2" t="s">
        <v>6743</v>
      </c>
      <c r="F482" s="2" t="s">
        <v>19</v>
      </c>
      <c r="G482" s="2">
        <v>4920.37</v>
      </c>
      <c r="H482" s="2">
        <v>2993.34</v>
      </c>
      <c r="I482" s="2" t="s">
        <v>6771</v>
      </c>
      <c r="J482" s="2" t="s">
        <v>6696</v>
      </c>
      <c r="K482" s="2" t="s">
        <v>80</v>
      </c>
      <c r="L482" s="2" t="s">
        <v>43</v>
      </c>
      <c r="M482" s="2">
        <v>5</v>
      </c>
      <c r="N482" s="2" t="s">
        <v>69</v>
      </c>
      <c r="O482" s="2" t="s">
        <v>70</v>
      </c>
      <c r="P482" s="2" t="s">
        <v>34</v>
      </c>
    </row>
    <row r="483" spans="1:16" x14ac:dyDescent="0.25">
      <c r="A483" s="2" t="s">
        <v>1286</v>
      </c>
      <c r="B483" s="2" t="s">
        <v>1414</v>
      </c>
      <c r="C483" s="2">
        <v>7528</v>
      </c>
      <c r="D483" s="2" t="s">
        <v>7289</v>
      </c>
      <c r="E483" s="2" t="s">
        <v>38</v>
      </c>
      <c r="F483" s="2" t="s">
        <v>47</v>
      </c>
      <c r="G483" s="2">
        <v>15202.67</v>
      </c>
      <c r="H483" s="2">
        <v>9806.65</v>
      </c>
      <c r="I483" s="2" t="s">
        <v>53</v>
      </c>
      <c r="J483" s="2" t="s">
        <v>54</v>
      </c>
      <c r="K483" s="2" t="s">
        <v>42</v>
      </c>
      <c r="L483" s="2" t="s">
        <v>55</v>
      </c>
      <c r="M483" s="2">
        <v>1</v>
      </c>
      <c r="N483" s="2" t="s">
        <v>24</v>
      </c>
      <c r="O483" s="2" t="s">
        <v>70</v>
      </c>
      <c r="P483" s="2" t="s">
        <v>49</v>
      </c>
    </row>
    <row r="484" spans="1:16" x14ac:dyDescent="0.25">
      <c r="A484" s="2" t="s">
        <v>1288</v>
      </c>
      <c r="B484" s="2" t="s">
        <v>1034</v>
      </c>
      <c r="C484" s="2">
        <v>7036</v>
      </c>
      <c r="D484" s="2" t="s">
        <v>7290</v>
      </c>
      <c r="E484" s="2" t="s">
        <v>38</v>
      </c>
      <c r="F484" s="2" t="s">
        <v>30</v>
      </c>
      <c r="G484" s="2">
        <v>53568.44</v>
      </c>
      <c r="H484" s="2">
        <v>31164.79</v>
      </c>
      <c r="I484" s="2" t="s">
        <v>68</v>
      </c>
      <c r="J484" s="2" t="s">
        <v>41</v>
      </c>
      <c r="K484" s="2" t="s">
        <v>80</v>
      </c>
      <c r="L484" s="2" t="s">
        <v>43</v>
      </c>
      <c r="M484" s="2">
        <v>4</v>
      </c>
      <c r="N484" s="2" t="s">
        <v>24</v>
      </c>
      <c r="O484" s="2" t="s">
        <v>25</v>
      </c>
      <c r="P484" s="2" t="s">
        <v>49</v>
      </c>
    </row>
    <row r="485" spans="1:16" x14ac:dyDescent="0.25">
      <c r="A485" s="2" t="s">
        <v>1291</v>
      </c>
      <c r="B485" s="2" t="s">
        <v>4408</v>
      </c>
      <c r="C485" s="2">
        <v>8279</v>
      </c>
      <c r="D485" s="2" t="s">
        <v>7291</v>
      </c>
      <c r="E485" s="2" t="s">
        <v>18</v>
      </c>
      <c r="F485" s="2" t="s">
        <v>19</v>
      </c>
      <c r="G485" s="2">
        <v>11529.43</v>
      </c>
      <c r="H485" s="2">
        <v>6110.98</v>
      </c>
      <c r="I485" s="2" t="s">
        <v>68</v>
      </c>
      <c r="J485" s="2" t="s">
        <v>41</v>
      </c>
      <c r="K485" s="2" t="s">
        <v>22</v>
      </c>
      <c r="L485" s="2" t="s">
        <v>88</v>
      </c>
      <c r="M485" s="2">
        <v>4</v>
      </c>
      <c r="N485" s="2" t="s">
        <v>69</v>
      </c>
      <c r="O485" s="2" t="s">
        <v>70</v>
      </c>
      <c r="P485" s="2" t="s">
        <v>34</v>
      </c>
    </row>
    <row r="486" spans="1:16" x14ac:dyDescent="0.25">
      <c r="A486" s="2" t="s">
        <v>1294</v>
      </c>
      <c r="B486" s="2" t="s">
        <v>5642</v>
      </c>
      <c r="C486" s="2">
        <v>9520</v>
      </c>
      <c r="D486" s="2" t="s">
        <v>4403</v>
      </c>
      <c r="E486" s="2" t="s">
        <v>18</v>
      </c>
      <c r="F486" s="2" t="s">
        <v>19</v>
      </c>
      <c r="G486" s="2">
        <v>4015.49</v>
      </c>
      <c r="H486" s="2">
        <v>2446.9</v>
      </c>
      <c r="I486" s="2" t="s">
        <v>68</v>
      </c>
      <c r="J486" s="2" t="s">
        <v>41</v>
      </c>
      <c r="K486" s="2" t="s">
        <v>42</v>
      </c>
      <c r="L486" s="2" t="s">
        <v>48</v>
      </c>
      <c r="M486" s="2">
        <v>5</v>
      </c>
      <c r="N486" s="2" t="s">
        <v>69</v>
      </c>
      <c r="O486" s="2" t="s">
        <v>25</v>
      </c>
      <c r="P486" s="2" t="s">
        <v>34</v>
      </c>
    </row>
    <row r="487" spans="1:16" x14ac:dyDescent="0.25">
      <c r="A487" s="2" t="s">
        <v>1296</v>
      </c>
      <c r="B487" s="2" t="s">
        <v>3896</v>
      </c>
      <c r="C487" s="2">
        <v>2728</v>
      </c>
      <c r="D487" s="2" t="s">
        <v>7292</v>
      </c>
      <c r="E487" s="2" t="s">
        <v>38</v>
      </c>
      <c r="F487" s="2" t="s">
        <v>39</v>
      </c>
      <c r="G487" s="2">
        <v>33813.79</v>
      </c>
      <c r="H487" s="2">
        <v>15413.83</v>
      </c>
      <c r="I487" s="2" t="s">
        <v>31</v>
      </c>
      <c r="J487" s="2" t="s">
        <v>21</v>
      </c>
      <c r="K487" s="2" t="s">
        <v>42</v>
      </c>
      <c r="L487" s="2" t="s">
        <v>64</v>
      </c>
      <c r="M487" s="2">
        <v>3</v>
      </c>
      <c r="N487" s="2" t="s">
        <v>33</v>
      </c>
      <c r="O487" s="2" t="s">
        <v>25</v>
      </c>
      <c r="P487" s="2" t="s">
        <v>34</v>
      </c>
    </row>
    <row r="488" spans="1:16" x14ac:dyDescent="0.25">
      <c r="A488" s="2" t="s">
        <v>1297</v>
      </c>
      <c r="B488" s="2" t="s">
        <v>4051</v>
      </c>
      <c r="C488" s="2">
        <v>6452</v>
      </c>
      <c r="D488" s="2" t="s">
        <v>7293</v>
      </c>
      <c r="E488" s="2" t="s">
        <v>18</v>
      </c>
      <c r="F488" s="2" t="s">
        <v>58</v>
      </c>
      <c r="G488" s="2">
        <v>48847.24</v>
      </c>
      <c r="H488" s="2">
        <v>29467.95</v>
      </c>
      <c r="I488" s="2" t="s">
        <v>31</v>
      </c>
      <c r="J488" s="2" t="s">
        <v>21</v>
      </c>
      <c r="K488" s="2" t="s">
        <v>22</v>
      </c>
      <c r="L488" s="2" t="s">
        <v>48</v>
      </c>
      <c r="M488" s="2">
        <v>3</v>
      </c>
      <c r="N488" s="2" t="s">
        <v>33</v>
      </c>
      <c r="O488" s="2" t="s">
        <v>70</v>
      </c>
      <c r="P488" s="2" t="s">
        <v>49</v>
      </c>
    </row>
    <row r="489" spans="1:16" x14ac:dyDescent="0.25">
      <c r="A489" s="2" t="s">
        <v>1299</v>
      </c>
      <c r="B489" s="2" t="s">
        <v>2932</v>
      </c>
      <c r="C489" s="2">
        <v>5244</v>
      </c>
      <c r="D489" s="2" t="s">
        <v>7294</v>
      </c>
      <c r="E489" s="2" t="s">
        <v>18</v>
      </c>
      <c r="F489" s="2" t="s">
        <v>47</v>
      </c>
      <c r="G489" s="2">
        <v>6137.21</v>
      </c>
      <c r="H489" s="2">
        <v>2898.46</v>
      </c>
      <c r="I489" s="2" t="s">
        <v>31</v>
      </c>
      <c r="J489" s="2" t="s">
        <v>21</v>
      </c>
      <c r="K489" s="2" t="s">
        <v>42</v>
      </c>
      <c r="L489" s="2" t="s">
        <v>48</v>
      </c>
      <c r="M489" s="2">
        <v>5</v>
      </c>
      <c r="N489" s="2" t="s">
        <v>69</v>
      </c>
      <c r="O489" s="2" t="s">
        <v>70</v>
      </c>
      <c r="P489" s="2" t="s">
        <v>26</v>
      </c>
    </row>
    <row r="490" spans="1:16" x14ac:dyDescent="0.25">
      <c r="A490" s="2" t="s">
        <v>1302</v>
      </c>
      <c r="B490" s="2" t="s">
        <v>608</v>
      </c>
      <c r="C490" s="2">
        <v>2013</v>
      </c>
      <c r="D490" s="2" t="s">
        <v>7295</v>
      </c>
      <c r="E490" s="2" t="s">
        <v>32</v>
      </c>
      <c r="F490" s="2" t="s">
        <v>47</v>
      </c>
      <c r="G490" s="2">
        <v>18062.8</v>
      </c>
      <c r="H490" s="2">
        <v>11668.03</v>
      </c>
      <c r="I490" s="2" t="s">
        <v>6812</v>
      </c>
      <c r="J490" s="2" t="s">
        <v>6729</v>
      </c>
      <c r="K490" s="2" t="s">
        <v>42</v>
      </c>
      <c r="L490" s="2" t="s">
        <v>88</v>
      </c>
      <c r="M490" s="2">
        <v>2</v>
      </c>
      <c r="N490" s="2" t="s">
        <v>24</v>
      </c>
      <c r="O490" s="2" t="s">
        <v>70</v>
      </c>
      <c r="P490" s="2" t="s">
        <v>26</v>
      </c>
    </row>
    <row r="491" spans="1:16" x14ac:dyDescent="0.25">
      <c r="A491" s="2" t="s">
        <v>1305</v>
      </c>
      <c r="B491" s="2" t="s">
        <v>7296</v>
      </c>
      <c r="C491" s="2">
        <v>5643</v>
      </c>
      <c r="D491" s="2" t="s">
        <v>7297</v>
      </c>
      <c r="E491" s="2" t="s">
        <v>32</v>
      </c>
      <c r="F491" s="2" t="s">
        <v>47</v>
      </c>
      <c r="G491" s="2">
        <v>10210.49</v>
      </c>
      <c r="H491" s="2">
        <v>6328.72</v>
      </c>
      <c r="I491" s="2" t="s">
        <v>6799</v>
      </c>
      <c r="J491" s="2" t="s">
        <v>6705</v>
      </c>
      <c r="K491" s="2" t="s">
        <v>22</v>
      </c>
      <c r="L491" s="2" t="s">
        <v>43</v>
      </c>
      <c r="M491" s="2">
        <v>3</v>
      </c>
      <c r="N491" s="2" t="s">
        <v>33</v>
      </c>
      <c r="O491" s="2" t="s">
        <v>70</v>
      </c>
      <c r="P491" s="2" t="s">
        <v>26</v>
      </c>
    </row>
    <row r="492" spans="1:16" x14ac:dyDescent="0.25">
      <c r="A492" s="2" t="s">
        <v>1308</v>
      </c>
      <c r="B492" s="2" t="s">
        <v>676</v>
      </c>
      <c r="C492" s="2">
        <v>4450</v>
      </c>
      <c r="D492" s="2" t="s">
        <v>6911</v>
      </c>
      <c r="E492" s="2" t="s">
        <v>18</v>
      </c>
      <c r="F492" s="2" t="s">
        <v>47</v>
      </c>
      <c r="G492" s="2">
        <v>8441.32</v>
      </c>
      <c r="H492" s="2">
        <v>3887.34</v>
      </c>
      <c r="I492" s="2" t="s">
        <v>31</v>
      </c>
      <c r="J492" s="2" t="s">
        <v>21</v>
      </c>
      <c r="K492" s="2" t="s">
        <v>32</v>
      </c>
      <c r="L492" s="2" t="s">
        <v>64</v>
      </c>
      <c r="M492" s="2">
        <v>4</v>
      </c>
      <c r="N492" s="2" t="s">
        <v>33</v>
      </c>
      <c r="O492" s="2" t="s">
        <v>70</v>
      </c>
      <c r="P492" s="2" t="s">
        <v>26</v>
      </c>
    </row>
    <row r="493" spans="1:16" x14ac:dyDescent="0.25">
      <c r="A493" s="2" t="s">
        <v>1311</v>
      </c>
      <c r="B493" s="2" t="s">
        <v>6028</v>
      </c>
      <c r="C493" s="2">
        <v>7407</v>
      </c>
      <c r="D493" s="2" t="s">
        <v>7298</v>
      </c>
      <c r="E493" s="2" t="s">
        <v>18</v>
      </c>
      <c r="F493" s="2" t="s">
        <v>30</v>
      </c>
      <c r="G493" s="2">
        <v>58112.54</v>
      </c>
      <c r="H493" s="2">
        <v>29440.28</v>
      </c>
      <c r="I493" s="2" t="s">
        <v>120</v>
      </c>
      <c r="J493" s="2" t="s">
        <v>21</v>
      </c>
      <c r="K493" s="2" t="s">
        <v>32</v>
      </c>
      <c r="L493" s="2" t="s">
        <v>48</v>
      </c>
      <c r="M493" s="2">
        <v>5</v>
      </c>
      <c r="N493" s="2" t="s">
        <v>33</v>
      </c>
      <c r="O493" s="2" t="s">
        <v>25</v>
      </c>
      <c r="P493" s="2" t="s">
        <v>49</v>
      </c>
    </row>
    <row r="494" spans="1:16" x14ac:dyDescent="0.25">
      <c r="A494" s="2" t="s">
        <v>1313</v>
      </c>
      <c r="B494" s="2" t="s">
        <v>2149</v>
      </c>
      <c r="C494" s="2">
        <v>8239</v>
      </c>
      <c r="D494" s="2" t="s">
        <v>7299</v>
      </c>
      <c r="E494" s="2" t="s">
        <v>38</v>
      </c>
      <c r="F494" s="2" t="s">
        <v>39</v>
      </c>
      <c r="G494" s="2">
        <v>22915.85</v>
      </c>
      <c r="H494" s="2">
        <v>10975.88</v>
      </c>
      <c r="I494" s="2" t="s">
        <v>84</v>
      </c>
      <c r="J494" s="2" t="s">
        <v>54</v>
      </c>
      <c r="K494" s="2" t="s">
        <v>32</v>
      </c>
      <c r="L494" s="2" t="s">
        <v>48</v>
      </c>
      <c r="M494" s="2">
        <v>2</v>
      </c>
      <c r="N494" s="2" t="s">
        <v>24</v>
      </c>
      <c r="O494" s="2" t="s">
        <v>25</v>
      </c>
      <c r="P494" s="2" t="s">
        <v>49</v>
      </c>
    </row>
    <row r="495" spans="1:16" x14ac:dyDescent="0.25">
      <c r="A495" s="2" t="s">
        <v>1316</v>
      </c>
      <c r="B495" s="2" t="s">
        <v>707</v>
      </c>
      <c r="C495" s="2">
        <v>1922</v>
      </c>
      <c r="D495" s="2" t="s">
        <v>7300</v>
      </c>
      <c r="E495" s="2" t="s">
        <v>18</v>
      </c>
      <c r="F495" s="2" t="s">
        <v>39</v>
      </c>
      <c r="G495" s="2">
        <v>28101.4</v>
      </c>
      <c r="H495" s="2">
        <v>15308.94</v>
      </c>
      <c r="I495" s="2" t="s">
        <v>63</v>
      </c>
      <c r="J495" s="2" t="s">
        <v>54</v>
      </c>
      <c r="K495" s="2" t="s">
        <v>22</v>
      </c>
      <c r="L495" s="2" t="s">
        <v>55</v>
      </c>
      <c r="M495" s="2">
        <v>5</v>
      </c>
      <c r="N495" s="2" t="s">
        <v>24</v>
      </c>
      <c r="O495" s="2" t="s">
        <v>25</v>
      </c>
      <c r="P495" s="2" t="s">
        <v>26</v>
      </c>
    </row>
    <row r="496" spans="1:16" x14ac:dyDescent="0.25">
      <c r="A496" s="2" t="s">
        <v>1319</v>
      </c>
      <c r="B496" s="2" t="s">
        <v>325</v>
      </c>
      <c r="C496" s="2">
        <v>3826</v>
      </c>
      <c r="D496" s="2" t="s">
        <v>7301</v>
      </c>
      <c r="E496" s="2" t="s">
        <v>38</v>
      </c>
      <c r="F496" s="2" t="s">
        <v>58</v>
      </c>
      <c r="G496" s="2">
        <v>44047.73</v>
      </c>
      <c r="H496" s="2">
        <v>28553.18</v>
      </c>
      <c r="I496" s="2" t="s">
        <v>6736</v>
      </c>
      <c r="J496" s="2" t="s">
        <v>6729</v>
      </c>
      <c r="K496" s="2" t="s">
        <v>22</v>
      </c>
      <c r="L496" s="2" t="s">
        <v>64</v>
      </c>
      <c r="M496" s="2">
        <v>4</v>
      </c>
      <c r="N496" s="2" t="s">
        <v>33</v>
      </c>
      <c r="O496" s="2" t="s">
        <v>70</v>
      </c>
      <c r="P496" s="2" t="s">
        <v>34</v>
      </c>
    </row>
    <row r="497" spans="1:16" x14ac:dyDescent="0.25">
      <c r="A497" s="2" t="s">
        <v>1321</v>
      </c>
      <c r="B497" s="2" t="s">
        <v>823</v>
      </c>
      <c r="C497" s="2">
        <v>3967</v>
      </c>
      <c r="D497" s="2" t="s">
        <v>1553</v>
      </c>
      <c r="E497" s="2" t="s">
        <v>38</v>
      </c>
      <c r="F497" s="2" t="s">
        <v>47</v>
      </c>
      <c r="G497" s="2">
        <v>11802.3</v>
      </c>
      <c r="H497" s="2">
        <v>6832.58</v>
      </c>
      <c r="I497" s="2" t="s">
        <v>84</v>
      </c>
      <c r="J497" s="2" t="s">
        <v>54</v>
      </c>
      <c r="K497" s="2" t="s">
        <v>80</v>
      </c>
      <c r="L497" s="2" t="s">
        <v>88</v>
      </c>
      <c r="M497" s="2">
        <v>5</v>
      </c>
      <c r="N497" s="2" t="s">
        <v>33</v>
      </c>
      <c r="O497" s="2" t="s">
        <v>25</v>
      </c>
      <c r="P497" s="2" t="s">
        <v>49</v>
      </c>
    </row>
    <row r="498" spans="1:16" x14ac:dyDescent="0.25">
      <c r="A498" s="2" t="s">
        <v>1323</v>
      </c>
      <c r="B498" s="2" t="s">
        <v>7302</v>
      </c>
      <c r="C498" s="2">
        <v>9788</v>
      </c>
      <c r="D498" s="2" t="s">
        <v>7303</v>
      </c>
      <c r="E498" s="2" t="s">
        <v>38</v>
      </c>
      <c r="F498" s="2" t="s">
        <v>39</v>
      </c>
      <c r="G498" s="2" t="s">
        <v>7304</v>
      </c>
      <c r="H498" s="2">
        <v>7030.77</v>
      </c>
      <c r="I498" s="2" t="s">
        <v>6910</v>
      </c>
      <c r="J498" s="2" t="s">
        <v>6802</v>
      </c>
      <c r="K498" s="2" t="s">
        <v>22</v>
      </c>
      <c r="L498" s="2" t="s">
        <v>23</v>
      </c>
      <c r="M498" s="2">
        <v>1</v>
      </c>
      <c r="N498" s="2" t="s">
        <v>33</v>
      </c>
      <c r="O498" s="2" t="s">
        <v>25</v>
      </c>
      <c r="P498" s="2" t="s">
        <v>26</v>
      </c>
    </row>
    <row r="499" spans="1:16" x14ac:dyDescent="0.25">
      <c r="A499" s="2" t="s">
        <v>1325</v>
      </c>
      <c r="B499" s="2" t="s">
        <v>3344</v>
      </c>
      <c r="C499" s="2">
        <v>3043</v>
      </c>
      <c r="D499" s="2" t="s">
        <v>7305</v>
      </c>
      <c r="E499" s="2" t="s">
        <v>38</v>
      </c>
      <c r="F499" s="2" t="s">
        <v>30</v>
      </c>
      <c r="G499" s="2">
        <v>48174.82</v>
      </c>
      <c r="H499" s="2">
        <v>26924.2</v>
      </c>
      <c r="I499" s="2" t="s">
        <v>20</v>
      </c>
      <c r="J499" s="2" t="s">
        <v>21</v>
      </c>
      <c r="K499" s="2" t="s">
        <v>80</v>
      </c>
      <c r="L499" s="2" t="s">
        <v>48</v>
      </c>
      <c r="M499" s="2">
        <v>1</v>
      </c>
      <c r="N499" s="2" t="s">
        <v>33</v>
      </c>
      <c r="O499" s="2" t="s">
        <v>25</v>
      </c>
      <c r="P499" s="2" t="s">
        <v>49</v>
      </c>
    </row>
    <row r="500" spans="1:16" x14ac:dyDescent="0.25">
      <c r="A500" s="2" t="s">
        <v>1328</v>
      </c>
      <c r="B500" s="2" t="s">
        <v>823</v>
      </c>
      <c r="C500" s="2">
        <v>9563</v>
      </c>
      <c r="D500" s="2" t="s">
        <v>3029</v>
      </c>
      <c r="E500" s="2" t="s">
        <v>38</v>
      </c>
      <c r="F500" s="2" t="s">
        <v>30</v>
      </c>
      <c r="G500" s="2">
        <v>77625.78</v>
      </c>
      <c r="H500" s="2">
        <v>42858.6</v>
      </c>
      <c r="I500" s="2" t="s">
        <v>84</v>
      </c>
      <c r="J500" s="2" t="s">
        <v>54</v>
      </c>
      <c r="K500" s="2" t="s">
        <v>22</v>
      </c>
      <c r="L500" s="2" t="s">
        <v>48</v>
      </c>
      <c r="M500" s="2">
        <v>1</v>
      </c>
      <c r="N500" s="2" t="s">
        <v>33</v>
      </c>
      <c r="O500" s="2" t="s">
        <v>25</v>
      </c>
      <c r="P500" s="2" t="s">
        <v>34</v>
      </c>
    </row>
    <row r="501" spans="1:16" x14ac:dyDescent="0.25">
      <c r="A501" s="2" t="s">
        <v>1331</v>
      </c>
      <c r="B501" s="2" t="s">
        <v>2389</v>
      </c>
      <c r="C501" s="2">
        <v>3105</v>
      </c>
      <c r="D501" s="2" t="s">
        <v>7306</v>
      </c>
      <c r="E501" s="2" t="s">
        <v>38</v>
      </c>
      <c r="F501" s="2" t="s">
        <v>30</v>
      </c>
      <c r="G501" s="2">
        <v>17776.82</v>
      </c>
      <c r="H501" s="2">
        <v>8906.07</v>
      </c>
      <c r="I501" s="2" t="s">
        <v>63</v>
      </c>
      <c r="J501" s="2" t="s">
        <v>54</v>
      </c>
      <c r="K501" s="2" t="s">
        <v>80</v>
      </c>
      <c r="L501" s="2" t="s">
        <v>48</v>
      </c>
      <c r="M501" s="2">
        <v>2</v>
      </c>
      <c r="N501" s="2" t="s">
        <v>33</v>
      </c>
      <c r="O501" s="2" t="s">
        <v>25</v>
      </c>
      <c r="P501" s="2" t="s">
        <v>34</v>
      </c>
    </row>
    <row r="502" spans="1:16" x14ac:dyDescent="0.25">
      <c r="A502" s="2" t="s">
        <v>1333</v>
      </c>
      <c r="B502" s="2" t="s">
        <v>7307</v>
      </c>
      <c r="C502" s="2">
        <v>4156</v>
      </c>
      <c r="D502" s="2" t="s">
        <v>7308</v>
      </c>
      <c r="E502" s="2" t="s">
        <v>38</v>
      </c>
      <c r="F502" s="2" t="s">
        <v>30</v>
      </c>
      <c r="G502" s="2">
        <v>29894.560000000001</v>
      </c>
      <c r="H502" s="2">
        <v>17325.52</v>
      </c>
      <c r="I502" s="2" t="s">
        <v>68</v>
      </c>
      <c r="J502" s="2" t="s">
        <v>6713</v>
      </c>
      <c r="K502" s="2" t="s">
        <v>32</v>
      </c>
      <c r="L502" s="2" t="s">
        <v>64</v>
      </c>
      <c r="M502" s="2">
        <v>2</v>
      </c>
      <c r="N502" s="2" t="s">
        <v>33</v>
      </c>
      <c r="O502" s="2" t="s">
        <v>70</v>
      </c>
      <c r="P502" s="2" t="s">
        <v>34</v>
      </c>
    </row>
    <row r="503" spans="1:16" x14ac:dyDescent="0.25">
      <c r="A503" s="2" t="s">
        <v>1336</v>
      </c>
      <c r="B503" s="2" t="s">
        <v>676</v>
      </c>
      <c r="C503" s="2">
        <v>3397</v>
      </c>
      <c r="D503" s="2" t="s">
        <v>7309</v>
      </c>
      <c r="E503" s="2" t="s">
        <v>18</v>
      </c>
      <c r="F503" s="2" t="s">
        <v>39</v>
      </c>
      <c r="G503" s="2">
        <v>12022.76</v>
      </c>
      <c r="H503" s="2">
        <v>5645.76</v>
      </c>
      <c r="I503" s="2" t="s">
        <v>20</v>
      </c>
      <c r="J503" s="2" t="s">
        <v>21</v>
      </c>
      <c r="K503" s="2" t="s">
        <v>32</v>
      </c>
      <c r="L503" s="2" t="s">
        <v>64</v>
      </c>
      <c r="M503" s="2">
        <v>1</v>
      </c>
      <c r="N503" s="2" t="s">
        <v>24</v>
      </c>
      <c r="O503" s="2" t="s">
        <v>25</v>
      </c>
      <c r="P503" s="2" t="s">
        <v>49</v>
      </c>
    </row>
    <row r="504" spans="1:16" x14ac:dyDescent="0.25">
      <c r="A504" s="2" t="s">
        <v>1338</v>
      </c>
      <c r="B504" s="2" t="s">
        <v>1572</v>
      </c>
      <c r="C504" s="2">
        <v>5440</v>
      </c>
      <c r="D504" s="2" t="s">
        <v>1573</v>
      </c>
      <c r="E504" s="2" t="s">
        <v>18</v>
      </c>
      <c r="F504" s="2" t="s">
        <v>58</v>
      </c>
      <c r="G504" s="2">
        <v>49407.72</v>
      </c>
      <c r="H504" s="2">
        <v>23920.720000000001</v>
      </c>
      <c r="I504" s="2" t="s">
        <v>53</v>
      </c>
      <c r="J504" s="2" t="s">
        <v>54</v>
      </c>
      <c r="K504" s="2" t="s">
        <v>80</v>
      </c>
      <c r="L504" s="2" t="s">
        <v>23</v>
      </c>
      <c r="M504" s="2">
        <v>3</v>
      </c>
      <c r="N504" s="2" t="s">
        <v>69</v>
      </c>
      <c r="O504" s="2" t="s">
        <v>70</v>
      </c>
      <c r="P504" s="2" t="s">
        <v>49</v>
      </c>
    </row>
    <row r="505" spans="1:16" x14ac:dyDescent="0.25">
      <c r="A505" s="2" t="s">
        <v>1340</v>
      </c>
      <c r="B505" s="2" t="s">
        <v>1575</v>
      </c>
      <c r="C505" s="2">
        <v>9414</v>
      </c>
      <c r="D505" s="2" t="s">
        <v>1576</v>
      </c>
      <c r="E505" s="2" t="s">
        <v>32</v>
      </c>
      <c r="F505" s="2" t="s">
        <v>30</v>
      </c>
      <c r="G505" s="2">
        <v>38251.339999999997</v>
      </c>
      <c r="H505" s="2">
        <v>18304.57</v>
      </c>
      <c r="I505" s="2" t="s">
        <v>59</v>
      </c>
      <c r="J505" s="2" t="s">
        <v>6732</v>
      </c>
      <c r="K505" s="2" t="s">
        <v>42</v>
      </c>
      <c r="L505" s="2" t="s">
        <v>55</v>
      </c>
      <c r="M505" s="2">
        <v>3</v>
      </c>
      <c r="N505" s="2" t="s">
        <v>24</v>
      </c>
      <c r="O505" s="2" t="s">
        <v>25</v>
      </c>
      <c r="P505" s="2" t="s">
        <v>49</v>
      </c>
    </row>
    <row r="506" spans="1:16" x14ac:dyDescent="0.25">
      <c r="A506" s="2" t="s">
        <v>1342</v>
      </c>
      <c r="B506" s="2" t="s">
        <v>7310</v>
      </c>
      <c r="C506" s="2">
        <v>4748</v>
      </c>
      <c r="D506" s="2" t="s">
        <v>7311</v>
      </c>
      <c r="E506" s="2" t="s">
        <v>38</v>
      </c>
      <c r="F506" s="2" t="s">
        <v>30</v>
      </c>
      <c r="G506" s="2">
        <v>43801.03</v>
      </c>
      <c r="H506" s="2">
        <v>20472.099999999999</v>
      </c>
      <c r="I506" s="2" t="s">
        <v>59</v>
      </c>
      <c r="J506" s="2" t="s">
        <v>41</v>
      </c>
      <c r="K506" s="2" t="s">
        <v>42</v>
      </c>
      <c r="L506" s="2" t="s">
        <v>64</v>
      </c>
      <c r="M506" s="2">
        <v>3</v>
      </c>
      <c r="N506" s="2" t="s">
        <v>69</v>
      </c>
      <c r="O506" s="2" t="s">
        <v>70</v>
      </c>
      <c r="P506" s="2" t="s">
        <v>26</v>
      </c>
    </row>
    <row r="507" spans="1:16" x14ac:dyDescent="0.25">
      <c r="A507" s="2" t="s">
        <v>1345</v>
      </c>
      <c r="B507" s="2" t="s">
        <v>7312</v>
      </c>
      <c r="C507" s="2">
        <v>9074</v>
      </c>
      <c r="D507" s="2" t="s">
        <v>7313</v>
      </c>
      <c r="E507" s="2" t="s">
        <v>18</v>
      </c>
      <c r="F507" s="2" t="s">
        <v>30</v>
      </c>
      <c r="G507" s="2">
        <v>46258.95</v>
      </c>
      <c r="H507" s="2">
        <v>24739.13</v>
      </c>
      <c r="I507" s="2" t="s">
        <v>68</v>
      </c>
      <c r="J507" s="2" t="s">
        <v>41</v>
      </c>
      <c r="K507" s="2" t="s">
        <v>32</v>
      </c>
      <c r="L507" s="2" t="s">
        <v>64</v>
      </c>
      <c r="M507" s="2">
        <v>4</v>
      </c>
      <c r="N507" s="2" t="s">
        <v>24</v>
      </c>
      <c r="O507" s="2" t="s">
        <v>70</v>
      </c>
      <c r="P507" s="2" t="s">
        <v>49</v>
      </c>
    </row>
    <row r="508" spans="1:16" x14ac:dyDescent="0.25">
      <c r="A508" s="2" t="s">
        <v>1346</v>
      </c>
      <c r="B508" s="2" t="s">
        <v>4924</v>
      </c>
      <c r="C508" s="2">
        <v>9754</v>
      </c>
      <c r="D508" s="2" t="s">
        <v>7314</v>
      </c>
      <c r="E508" s="2" t="s">
        <v>38</v>
      </c>
      <c r="F508" s="2" t="s">
        <v>58</v>
      </c>
      <c r="G508" s="2">
        <v>25554.560000000001</v>
      </c>
      <c r="H508" s="2">
        <v>15276.43</v>
      </c>
      <c r="I508" s="2" t="s">
        <v>84</v>
      </c>
      <c r="J508" s="2" t="s">
        <v>54</v>
      </c>
      <c r="K508" s="2" t="s">
        <v>22</v>
      </c>
      <c r="L508" s="2" t="s">
        <v>43</v>
      </c>
      <c r="M508" s="2">
        <v>4</v>
      </c>
      <c r="N508" s="2" t="s">
        <v>69</v>
      </c>
      <c r="O508" s="2" t="s">
        <v>70</v>
      </c>
      <c r="P508" s="2" t="s">
        <v>49</v>
      </c>
    </row>
    <row r="509" spans="1:16" x14ac:dyDescent="0.25">
      <c r="A509" s="2" t="s">
        <v>1349</v>
      </c>
      <c r="B509" s="2" t="s">
        <v>7315</v>
      </c>
      <c r="C509" s="2">
        <v>9118</v>
      </c>
      <c r="D509" s="2" t="s">
        <v>7316</v>
      </c>
      <c r="E509" s="2" t="s">
        <v>6698</v>
      </c>
      <c r="F509" s="2" t="s">
        <v>47</v>
      </c>
      <c r="G509" s="2">
        <v>6390.85</v>
      </c>
      <c r="H509" s="2">
        <v>4115.3599999999997</v>
      </c>
      <c r="I509" s="2" t="s">
        <v>6728</v>
      </c>
      <c r="J509" s="2" t="s">
        <v>54</v>
      </c>
      <c r="K509" s="2" t="s">
        <v>42</v>
      </c>
      <c r="L509" s="2" t="s">
        <v>48</v>
      </c>
      <c r="M509" s="2">
        <v>2</v>
      </c>
      <c r="N509" s="2" t="s">
        <v>69</v>
      </c>
      <c r="O509" s="2" t="s">
        <v>70</v>
      </c>
      <c r="P509" s="2" t="s">
        <v>26</v>
      </c>
    </row>
    <row r="510" spans="1:16" x14ac:dyDescent="0.25">
      <c r="A510" s="2" t="s">
        <v>1352</v>
      </c>
      <c r="B510" s="2" t="s">
        <v>7317</v>
      </c>
      <c r="C510" s="2">
        <v>1580</v>
      </c>
      <c r="D510" s="2" t="s">
        <v>7318</v>
      </c>
      <c r="E510" s="2" t="s">
        <v>6719</v>
      </c>
      <c r="F510" s="2" t="s">
        <v>39</v>
      </c>
      <c r="G510" s="2">
        <v>45565.37</v>
      </c>
      <c r="H510" s="2">
        <v>28235.51</v>
      </c>
      <c r="I510" s="2" t="s">
        <v>6771</v>
      </c>
      <c r="J510" s="2" t="s">
        <v>6696</v>
      </c>
      <c r="K510" s="2" t="s">
        <v>22</v>
      </c>
      <c r="L510" s="2" t="s">
        <v>88</v>
      </c>
      <c r="M510" s="2">
        <v>1</v>
      </c>
      <c r="N510" s="2" t="s">
        <v>24</v>
      </c>
      <c r="O510" s="2" t="s">
        <v>25</v>
      </c>
      <c r="P510" s="2" t="s">
        <v>34</v>
      </c>
    </row>
    <row r="511" spans="1:16" x14ac:dyDescent="0.25">
      <c r="A511" s="2" t="s">
        <v>1354</v>
      </c>
      <c r="B511" s="2" t="s">
        <v>6715</v>
      </c>
      <c r="C511" s="2">
        <v>7729</v>
      </c>
      <c r="D511" s="2" t="s">
        <v>7319</v>
      </c>
      <c r="E511" s="2" t="s">
        <v>18</v>
      </c>
      <c r="F511" s="2" t="s">
        <v>30</v>
      </c>
      <c r="G511" s="2">
        <v>70791.27</v>
      </c>
      <c r="H511" s="2">
        <v>31953.91</v>
      </c>
      <c r="I511" s="2" t="s">
        <v>53</v>
      </c>
      <c r="J511" s="2" t="s">
        <v>54</v>
      </c>
      <c r="K511" s="2" t="s">
        <v>42</v>
      </c>
      <c r="L511" s="2" t="s">
        <v>23</v>
      </c>
      <c r="M511" s="2">
        <v>4</v>
      </c>
      <c r="N511" s="2" t="s">
        <v>33</v>
      </c>
      <c r="O511" s="2" t="s">
        <v>25</v>
      </c>
      <c r="P511" s="2" t="s">
        <v>34</v>
      </c>
    </row>
    <row r="512" spans="1:16" x14ac:dyDescent="0.25">
      <c r="A512" s="2" t="s">
        <v>1357</v>
      </c>
      <c r="B512" s="2" t="s">
        <v>1594</v>
      </c>
      <c r="C512" s="2">
        <v>3291</v>
      </c>
      <c r="D512" s="2" t="s">
        <v>4355</v>
      </c>
      <c r="E512" s="2" t="s">
        <v>38</v>
      </c>
      <c r="F512" s="2" t="s">
        <v>58</v>
      </c>
      <c r="G512" s="2">
        <v>35642.370000000003</v>
      </c>
      <c r="H512" s="2">
        <v>16080.48</v>
      </c>
      <c r="I512" s="2" t="s">
        <v>120</v>
      </c>
      <c r="J512" s="2" t="s">
        <v>21</v>
      </c>
      <c r="K512" s="2" t="s">
        <v>32</v>
      </c>
      <c r="L512" s="2" t="s">
        <v>55</v>
      </c>
      <c r="M512" s="2">
        <v>2</v>
      </c>
      <c r="N512" s="2" t="s">
        <v>33</v>
      </c>
      <c r="O512" s="2" t="s">
        <v>25</v>
      </c>
      <c r="P512" s="2" t="s">
        <v>34</v>
      </c>
    </row>
    <row r="513" spans="1:16" x14ac:dyDescent="0.25">
      <c r="A513" s="2" t="s">
        <v>1359</v>
      </c>
      <c r="B513" s="2" t="s">
        <v>7320</v>
      </c>
      <c r="C513" s="2">
        <v>2946</v>
      </c>
      <c r="D513" s="2" t="s">
        <v>7321</v>
      </c>
      <c r="E513" s="2" t="s">
        <v>6719</v>
      </c>
      <c r="F513" s="2" t="s">
        <v>19</v>
      </c>
      <c r="G513" s="2">
        <v>9929.52</v>
      </c>
      <c r="H513" s="2">
        <v>5452.43</v>
      </c>
      <c r="I513" s="2" t="s">
        <v>6822</v>
      </c>
      <c r="J513" s="2" t="s">
        <v>6682</v>
      </c>
      <c r="K513" s="2" t="s">
        <v>32</v>
      </c>
      <c r="L513" s="2" t="s">
        <v>88</v>
      </c>
      <c r="M513" s="2">
        <v>4</v>
      </c>
      <c r="N513" s="2" t="s">
        <v>24</v>
      </c>
      <c r="O513" s="2" t="s">
        <v>70</v>
      </c>
      <c r="P513" s="2" t="s">
        <v>34</v>
      </c>
    </row>
    <row r="514" spans="1:16" x14ac:dyDescent="0.25">
      <c r="A514" s="2" t="s">
        <v>1361</v>
      </c>
      <c r="B514" s="2" t="s">
        <v>2743</v>
      </c>
      <c r="C514" s="2">
        <v>1131</v>
      </c>
      <c r="D514" s="2" t="s">
        <v>7322</v>
      </c>
      <c r="E514" s="2" t="s">
        <v>6748</v>
      </c>
      <c r="F514" s="2" t="s">
        <v>39</v>
      </c>
      <c r="G514" s="2">
        <v>26273.32</v>
      </c>
      <c r="H514" s="2">
        <v>13305.98</v>
      </c>
      <c r="I514" s="2" t="s">
        <v>6867</v>
      </c>
      <c r="J514" s="2" t="s">
        <v>6795</v>
      </c>
      <c r="K514" s="2" t="s">
        <v>22</v>
      </c>
      <c r="L514" s="2" t="s">
        <v>64</v>
      </c>
      <c r="M514" s="2">
        <v>2</v>
      </c>
      <c r="N514" s="2" t="s">
        <v>24</v>
      </c>
      <c r="O514" s="2" t="s">
        <v>70</v>
      </c>
      <c r="P514" s="2" t="s">
        <v>26</v>
      </c>
    </row>
    <row r="516" spans="1:16" x14ac:dyDescent="0.25">
      <c r="A516" s="2" t="s">
        <v>1363</v>
      </c>
      <c r="B516" s="2" t="s">
        <v>1546</v>
      </c>
      <c r="C516" s="2">
        <v>3968</v>
      </c>
      <c r="D516" s="2" t="s">
        <v>7323</v>
      </c>
      <c r="E516" s="2" t="s">
        <v>18</v>
      </c>
      <c r="F516" s="2" t="s">
        <v>30</v>
      </c>
      <c r="G516" s="2">
        <v>79177.75</v>
      </c>
      <c r="H516" s="2">
        <v>44991.9</v>
      </c>
      <c r="I516" s="2" t="s">
        <v>68</v>
      </c>
      <c r="J516" s="2" t="s">
        <v>41</v>
      </c>
      <c r="K516" s="2" t="s">
        <v>32</v>
      </c>
      <c r="L516" s="2" t="s">
        <v>23</v>
      </c>
      <c r="M516" s="2">
        <v>1</v>
      </c>
      <c r="N516" s="2" t="s">
        <v>33</v>
      </c>
      <c r="O516" s="2" t="s">
        <v>25</v>
      </c>
      <c r="P516" s="2" t="s">
        <v>26</v>
      </c>
    </row>
    <row r="517" spans="1:16" x14ac:dyDescent="0.25">
      <c r="A517" s="2" t="s">
        <v>1365</v>
      </c>
      <c r="B517" s="2" t="s">
        <v>45</v>
      </c>
      <c r="C517" s="2">
        <v>9601</v>
      </c>
      <c r="D517" s="2" t="s">
        <v>7324</v>
      </c>
      <c r="E517" s="2" t="s">
        <v>6698</v>
      </c>
      <c r="F517" s="2" t="s">
        <v>58</v>
      </c>
      <c r="G517" s="2">
        <v>50858.82</v>
      </c>
      <c r="H517" s="2">
        <v>32856.06</v>
      </c>
      <c r="I517" s="2" t="s">
        <v>6739</v>
      </c>
      <c r="J517" s="2" t="s">
        <v>6686</v>
      </c>
      <c r="K517" s="2" t="s">
        <v>32</v>
      </c>
      <c r="L517" s="2" t="s">
        <v>88</v>
      </c>
      <c r="M517" s="2">
        <v>4</v>
      </c>
      <c r="N517" s="2" t="s">
        <v>24</v>
      </c>
      <c r="O517" s="2" t="s">
        <v>25</v>
      </c>
      <c r="P517" s="2" t="s">
        <v>49</v>
      </c>
    </row>
    <row r="518" spans="1:16" x14ac:dyDescent="0.25">
      <c r="A518" s="2" t="s">
        <v>1367</v>
      </c>
      <c r="B518" s="2" t="s">
        <v>2358</v>
      </c>
      <c r="C518" s="2">
        <v>6269</v>
      </c>
      <c r="D518" s="2" t="s">
        <v>7325</v>
      </c>
      <c r="E518" s="2" t="s">
        <v>6756</v>
      </c>
      <c r="F518" s="2" t="s">
        <v>47</v>
      </c>
      <c r="G518" s="2">
        <v>6187.79</v>
      </c>
      <c r="H518" s="2">
        <v>3131.22</v>
      </c>
      <c r="I518" s="2" t="s">
        <v>53</v>
      </c>
      <c r="J518" s="2" t="s">
        <v>6686</v>
      </c>
      <c r="K518" s="2" t="s">
        <v>22</v>
      </c>
      <c r="L518" s="2" t="s">
        <v>64</v>
      </c>
      <c r="M518" s="2">
        <v>2</v>
      </c>
      <c r="N518" s="2" t="s">
        <v>33</v>
      </c>
      <c r="O518" s="2" t="s">
        <v>25</v>
      </c>
      <c r="P518" s="2" t="s">
        <v>34</v>
      </c>
    </row>
    <row r="519" spans="1:16" x14ac:dyDescent="0.25">
      <c r="A519" s="2" t="s">
        <v>1369</v>
      </c>
      <c r="B519" s="2" t="s">
        <v>7326</v>
      </c>
      <c r="C519" s="2">
        <v>9664</v>
      </c>
      <c r="D519" s="2" t="s">
        <v>7327</v>
      </c>
      <c r="E519" s="2" t="s">
        <v>6719</v>
      </c>
      <c r="F519" s="2" t="s">
        <v>39</v>
      </c>
      <c r="G519" s="2">
        <v>18577.900000000001</v>
      </c>
      <c r="H519" s="2">
        <v>9385.36</v>
      </c>
      <c r="I519" s="2" t="s">
        <v>20</v>
      </c>
      <c r="J519" s="2" t="s">
        <v>21</v>
      </c>
      <c r="K519" s="2" t="s">
        <v>80</v>
      </c>
      <c r="L519" s="2" t="s">
        <v>55</v>
      </c>
      <c r="M519" s="2">
        <v>1</v>
      </c>
      <c r="N519" s="2" t="s">
        <v>33</v>
      </c>
      <c r="O519" s="2" t="s">
        <v>70</v>
      </c>
      <c r="P519" s="2" t="s">
        <v>26</v>
      </c>
    </row>
    <row r="520" spans="1:16" x14ac:dyDescent="0.25">
      <c r="A520" s="2" t="s">
        <v>1371</v>
      </c>
      <c r="B520" s="2" t="s">
        <v>7328</v>
      </c>
      <c r="C520" s="2">
        <v>3517</v>
      </c>
      <c r="D520" s="2" t="s">
        <v>1618</v>
      </c>
      <c r="E520" s="2" t="s">
        <v>32</v>
      </c>
      <c r="F520" s="2" t="s">
        <v>39</v>
      </c>
      <c r="G520" s="2">
        <v>10517.3</v>
      </c>
      <c r="H520" s="2">
        <v>5612.48</v>
      </c>
      <c r="I520" s="2" t="s">
        <v>6712</v>
      </c>
      <c r="J520" s="2" t="s">
        <v>6793</v>
      </c>
      <c r="K520" s="2" t="s">
        <v>42</v>
      </c>
      <c r="L520" s="2" t="s">
        <v>43</v>
      </c>
      <c r="M520" s="2">
        <v>3</v>
      </c>
      <c r="N520" s="2" t="s">
        <v>69</v>
      </c>
      <c r="O520" s="2" t="s">
        <v>25</v>
      </c>
      <c r="P520" s="2" t="s">
        <v>49</v>
      </c>
    </row>
    <row r="521" spans="1:16" x14ac:dyDescent="0.25">
      <c r="A521" s="2" t="s">
        <v>1374</v>
      </c>
      <c r="B521" s="2" t="s">
        <v>1739</v>
      </c>
      <c r="C521" s="2">
        <v>5745</v>
      </c>
      <c r="D521" s="2" t="s">
        <v>5403</v>
      </c>
      <c r="E521" s="2" t="s">
        <v>18</v>
      </c>
      <c r="F521" s="2" t="s">
        <v>19</v>
      </c>
      <c r="G521" s="2">
        <v>11066.45</v>
      </c>
      <c r="H521" s="2">
        <v>5114.46</v>
      </c>
      <c r="I521" s="2" t="s">
        <v>40</v>
      </c>
      <c r="J521" s="2" t="s">
        <v>41</v>
      </c>
      <c r="K521" s="2" t="s">
        <v>32</v>
      </c>
      <c r="L521" s="2" t="s">
        <v>48</v>
      </c>
      <c r="M521" s="2">
        <v>4</v>
      </c>
      <c r="N521" s="2" t="s">
        <v>24</v>
      </c>
      <c r="O521" s="2" t="s">
        <v>25</v>
      </c>
      <c r="P521" s="2" t="s">
        <v>49</v>
      </c>
    </row>
    <row r="522" spans="1:16" x14ac:dyDescent="0.25">
      <c r="A522" s="2" t="s">
        <v>1376</v>
      </c>
      <c r="B522" s="2" t="s">
        <v>3064</v>
      </c>
      <c r="C522" s="2">
        <v>5448</v>
      </c>
      <c r="D522" s="2" t="s">
        <v>7329</v>
      </c>
      <c r="E522" s="2" t="s">
        <v>18</v>
      </c>
      <c r="F522" s="2" t="s">
        <v>39</v>
      </c>
      <c r="G522" s="2">
        <v>19611.28</v>
      </c>
      <c r="H522" s="2">
        <v>9452.65</v>
      </c>
      <c r="I522" s="2" t="s">
        <v>84</v>
      </c>
      <c r="J522" s="2" t="s">
        <v>54</v>
      </c>
      <c r="K522" s="2" t="s">
        <v>32</v>
      </c>
      <c r="L522" s="2" t="s">
        <v>43</v>
      </c>
      <c r="M522" s="2">
        <v>1</v>
      </c>
      <c r="N522" s="2" t="s">
        <v>69</v>
      </c>
      <c r="O522" s="2" t="s">
        <v>70</v>
      </c>
      <c r="P522" s="2" t="s">
        <v>34</v>
      </c>
    </row>
    <row r="523" spans="1:16" x14ac:dyDescent="0.25">
      <c r="A523" s="2" t="s">
        <v>1378</v>
      </c>
      <c r="B523" s="2" t="s">
        <v>1136</v>
      </c>
      <c r="C523" s="2">
        <v>2951</v>
      </c>
      <c r="D523" s="2" t="s">
        <v>7330</v>
      </c>
      <c r="E523" s="2" t="s">
        <v>6703</v>
      </c>
      <c r="F523" s="2" t="s">
        <v>39</v>
      </c>
      <c r="G523" s="2">
        <v>12231.22</v>
      </c>
      <c r="H523" s="2">
        <v>6809.28</v>
      </c>
      <c r="I523" s="2" t="s">
        <v>6726</v>
      </c>
      <c r="J523" s="2" t="s">
        <v>6789</v>
      </c>
      <c r="K523" s="2" t="s">
        <v>42</v>
      </c>
      <c r="L523" s="2" t="s">
        <v>55</v>
      </c>
      <c r="M523" s="2">
        <v>2</v>
      </c>
      <c r="N523" s="2" t="s">
        <v>69</v>
      </c>
      <c r="O523" s="2" t="s">
        <v>25</v>
      </c>
      <c r="P523" s="2" t="s">
        <v>26</v>
      </c>
    </row>
    <row r="524" spans="1:16" x14ac:dyDescent="0.25">
      <c r="A524" s="2" t="s">
        <v>1380</v>
      </c>
      <c r="B524" s="2" t="s">
        <v>7331</v>
      </c>
      <c r="C524" s="2">
        <v>2363</v>
      </c>
      <c r="D524" s="2" t="s">
        <v>7332</v>
      </c>
      <c r="E524" s="2" t="s">
        <v>6698</v>
      </c>
      <c r="F524" s="2" t="s">
        <v>39</v>
      </c>
      <c r="G524" s="2">
        <v>42543.5</v>
      </c>
      <c r="H524" s="2">
        <v>22619.040000000001</v>
      </c>
      <c r="I524" s="2" t="s">
        <v>84</v>
      </c>
      <c r="J524" s="2" t="s">
        <v>6691</v>
      </c>
      <c r="K524" s="2" t="s">
        <v>42</v>
      </c>
      <c r="L524" s="2" t="s">
        <v>88</v>
      </c>
      <c r="M524" s="2">
        <v>1</v>
      </c>
      <c r="N524" s="2" t="s">
        <v>24</v>
      </c>
      <c r="O524" s="2" t="s">
        <v>25</v>
      </c>
      <c r="P524" s="2" t="s">
        <v>34</v>
      </c>
    </row>
    <row r="525" spans="1:16" x14ac:dyDescent="0.25">
      <c r="A525" s="2" t="s">
        <v>1383</v>
      </c>
      <c r="B525" s="2" t="s">
        <v>7333</v>
      </c>
      <c r="C525" s="2">
        <v>5216</v>
      </c>
      <c r="D525" s="2" t="s">
        <v>7334</v>
      </c>
      <c r="E525" s="2" t="s">
        <v>6756</v>
      </c>
      <c r="F525" s="2" t="s">
        <v>58</v>
      </c>
      <c r="G525" s="2">
        <v>47779.18</v>
      </c>
      <c r="H525" s="2">
        <v>23609.02</v>
      </c>
      <c r="I525" s="2" t="s">
        <v>6771</v>
      </c>
      <c r="J525" s="2" t="s">
        <v>6696</v>
      </c>
      <c r="K525" s="2" t="s">
        <v>42</v>
      </c>
      <c r="L525" s="2" t="s">
        <v>23</v>
      </c>
      <c r="M525" s="2">
        <v>5</v>
      </c>
      <c r="N525" s="2" t="s">
        <v>24</v>
      </c>
      <c r="O525" s="2" t="s">
        <v>70</v>
      </c>
      <c r="P525" s="2" t="s">
        <v>34</v>
      </c>
    </row>
    <row r="526" spans="1:16" x14ac:dyDescent="0.25">
      <c r="A526" s="2" t="s">
        <v>1385</v>
      </c>
      <c r="B526" s="2" t="s">
        <v>7335</v>
      </c>
      <c r="C526" s="2">
        <v>4094</v>
      </c>
      <c r="D526" s="2" t="s">
        <v>7336</v>
      </c>
      <c r="E526" s="2" t="s">
        <v>38</v>
      </c>
      <c r="F526" s="2" t="s">
        <v>58</v>
      </c>
      <c r="G526" s="2">
        <v>43762.22</v>
      </c>
      <c r="H526" s="2">
        <v>21272</v>
      </c>
      <c r="I526" s="2" t="s">
        <v>53</v>
      </c>
      <c r="J526" s="2" t="s">
        <v>54</v>
      </c>
      <c r="K526" s="2" t="s">
        <v>42</v>
      </c>
      <c r="L526" s="2" t="s">
        <v>55</v>
      </c>
      <c r="M526" s="2">
        <v>3</v>
      </c>
      <c r="N526" s="2" t="s">
        <v>33</v>
      </c>
      <c r="O526" s="2" t="s">
        <v>25</v>
      </c>
      <c r="P526" s="2" t="s">
        <v>34</v>
      </c>
    </row>
    <row r="527" spans="1:16" x14ac:dyDescent="0.25">
      <c r="A527" s="2" t="s">
        <v>1388</v>
      </c>
      <c r="B527" s="2" t="s">
        <v>865</v>
      </c>
      <c r="C527" s="2">
        <v>2642</v>
      </c>
      <c r="D527" s="2" t="s">
        <v>7337</v>
      </c>
      <c r="E527" s="2" t="s">
        <v>18</v>
      </c>
      <c r="F527" s="2" t="s">
        <v>58</v>
      </c>
      <c r="G527" s="2">
        <v>35588.1</v>
      </c>
      <c r="H527" s="2">
        <v>21765.63</v>
      </c>
      <c r="I527" s="2" t="s">
        <v>63</v>
      </c>
      <c r="J527" s="2" t="s">
        <v>54</v>
      </c>
      <c r="K527" s="2" t="s">
        <v>22</v>
      </c>
      <c r="L527" s="2" t="s">
        <v>64</v>
      </c>
      <c r="M527" s="2">
        <v>4</v>
      </c>
      <c r="N527" s="2" t="s">
        <v>33</v>
      </c>
      <c r="O527" s="2" t="s">
        <v>70</v>
      </c>
      <c r="P527" s="2" t="s">
        <v>49</v>
      </c>
    </row>
    <row r="528" spans="1:16" x14ac:dyDescent="0.25">
      <c r="A528" s="2" t="s">
        <v>1391</v>
      </c>
      <c r="B528" s="2" t="s">
        <v>794</v>
      </c>
      <c r="C528" s="2">
        <v>1153</v>
      </c>
      <c r="D528" s="2" t="s">
        <v>6666</v>
      </c>
      <c r="E528" s="2" t="s">
        <v>18</v>
      </c>
      <c r="F528" s="2" t="s">
        <v>39</v>
      </c>
      <c r="G528" s="2">
        <v>37347.32</v>
      </c>
      <c r="H528" s="2">
        <v>22918.22</v>
      </c>
      <c r="I528" s="2" t="s">
        <v>63</v>
      </c>
      <c r="J528" s="2" t="s">
        <v>54</v>
      </c>
      <c r="K528" s="2" t="s">
        <v>22</v>
      </c>
      <c r="L528" s="2" t="s">
        <v>23</v>
      </c>
      <c r="M528" s="2">
        <v>2</v>
      </c>
      <c r="N528" s="2" t="s">
        <v>24</v>
      </c>
      <c r="O528" s="2" t="s">
        <v>25</v>
      </c>
      <c r="P528" s="2" t="s">
        <v>34</v>
      </c>
    </row>
    <row r="529" spans="1:16" x14ac:dyDescent="0.25">
      <c r="A529" s="2" t="s">
        <v>1394</v>
      </c>
      <c r="B529" s="2" t="s">
        <v>5101</v>
      </c>
      <c r="C529" s="2">
        <v>9906</v>
      </c>
      <c r="D529" s="2" t="s">
        <v>3840</v>
      </c>
      <c r="E529" s="2" t="s">
        <v>18</v>
      </c>
      <c r="F529" s="2" t="s">
        <v>58</v>
      </c>
      <c r="G529" s="2">
        <v>7906.22</v>
      </c>
      <c r="H529" s="2">
        <v>3628.21</v>
      </c>
      <c r="I529" s="2" t="s">
        <v>53</v>
      </c>
      <c r="J529" s="2" t="s">
        <v>54</v>
      </c>
      <c r="K529" s="2" t="s">
        <v>42</v>
      </c>
      <c r="L529" s="2" t="s">
        <v>55</v>
      </c>
      <c r="M529" s="2">
        <v>5</v>
      </c>
      <c r="N529" s="2" t="s">
        <v>69</v>
      </c>
      <c r="O529" s="2" t="s">
        <v>25</v>
      </c>
      <c r="P529" s="2" t="s">
        <v>26</v>
      </c>
    </row>
    <row r="530" spans="1:16" x14ac:dyDescent="0.25">
      <c r="A530" s="2" t="s">
        <v>1396</v>
      </c>
      <c r="B530" s="2" t="s">
        <v>957</v>
      </c>
      <c r="C530" s="2">
        <v>7303</v>
      </c>
      <c r="D530" s="2" t="s">
        <v>1767</v>
      </c>
      <c r="E530" s="2" t="s">
        <v>18</v>
      </c>
      <c r="F530" s="2" t="s">
        <v>39</v>
      </c>
      <c r="G530" s="2">
        <v>27876.09</v>
      </c>
      <c r="H530" s="2">
        <v>18067.990000000002</v>
      </c>
      <c r="I530" s="2" t="s">
        <v>6728</v>
      </c>
      <c r="J530" s="2" t="s">
        <v>6729</v>
      </c>
      <c r="K530" s="2" t="s">
        <v>32</v>
      </c>
      <c r="L530" s="2" t="s">
        <v>55</v>
      </c>
      <c r="M530" s="2">
        <v>3</v>
      </c>
      <c r="N530" s="2" t="s">
        <v>33</v>
      </c>
      <c r="O530" s="2" t="s">
        <v>70</v>
      </c>
      <c r="P530" s="2" t="s">
        <v>26</v>
      </c>
    </row>
    <row r="531" spans="1:16" x14ac:dyDescent="0.25">
      <c r="A531" s="2" t="s">
        <v>1399</v>
      </c>
      <c r="B531" s="2" t="s">
        <v>212</v>
      </c>
      <c r="C531" s="2">
        <v>5940</v>
      </c>
      <c r="D531" s="2" t="s">
        <v>7338</v>
      </c>
      <c r="E531" s="2" t="s">
        <v>38</v>
      </c>
      <c r="F531" s="2" t="s">
        <v>30</v>
      </c>
      <c r="G531" s="2">
        <v>51656.37</v>
      </c>
      <c r="H531" s="2">
        <v>24319.02</v>
      </c>
      <c r="I531" s="2" t="s">
        <v>53</v>
      </c>
      <c r="J531" s="2" t="s">
        <v>54</v>
      </c>
      <c r="K531" s="2" t="s">
        <v>80</v>
      </c>
      <c r="L531" s="2" t="s">
        <v>48</v>
      </c>
      <c r="M531" s="2">
        <v>3</v>
      </c>
      <c r="N531" s="2" t="s">
        <v>69</v>
      </c>
      <c r="O531" s="2" t="s">
        <v>70</v>
      </c>
      <c r="P531" s="2" t="s">
        <v>49</v>
      </c>
    </row>
    <row r="532" spans="1:16" x14ac:dyDescent="0.25">
      <c r="A532" s="2" t="s">
        <v>1401</v>
      </c>
      <c r="B532" s="2" t="s">
        <v>7339</v>
      </c>
      <c r="C532" s="2">
        <v>8318</v>
      </c>
      <c r="D532" s="2" t="s">
        <v>7340</v>
      </c>
      <c r="E532" s="2" t="s">
        <v>6698</v>
      </c>
      <c r="F532" s="2" t="s">
        <v>19</v>
      </c>
      <c r="G532" s="2">
        <v>13015.56</v>
      </c>
      <c r="H532" s="2">
        <v>6151.58</v>
      </c>
      <c r="I532" s="2" t="s">
        <v>6723</v>
      </c>
      <c r="J532" s="2" t="s">
        <v>6724</v>
      </c>
      <c r="K532" s="2" t="s">
        <v>80</v>
      </c>
      <c r="L532" s="2" t="s">
        <v>48</v>
      </c>
      <c r="M532" s="2">
        <v>3</v>
      </c>
      <c r="N532" s="2" t="s">
        <v>33</v>
      </c>
      <c r="O532" s="2" t="s">
        <v>25</v>
      </c>
      <c r="P532" s="2" t="s">
        <v>26</v>
      </c>
    </row>
    <row r="533" spans="1:16" x14ac:dyDescent="0.25">
      <c r="A533" s="2" t="s">
        <v>1403</v>
      </c>
      <c r="B533" s="2" t="s">
        <v>7341</v>
      </c>
      <c r="C533" s="2">
        <v>5028</v>
      </c>
      <c r="D533" s="2" t="s">
        <v>7342</v>
      </c>
      <c r="E533" s="2" t="s">
        <v>38</v>
      </c>
      <c r="F533" s="2" t="s">
        <v>30</v>
      </c>
      <c r="G533" s="2">
        <v>48946.48</v>
      </c>
      <c r="H533" s="2">
        <v>26892.2</v>
      </c>
      <c r="I533" s="2" t="s">
        <v>120</v>
      </c>
      <c r="J533" s="2" t="s">
        <v>21</v>
      </c>
      <c r="K533" s="2" t="s">
        <v>80</v>
      </c>
      <c r="L533" s="2" t="s">
        <v>43</v>
      </c>
      <c r="M533" s="2">
        <v>5</v>
      </c>
      <c r="N533" s="2" t="s">
        <v>69</v>
      </c>
      <c r="O533" s="2" t="s">
        <v>25</v>
      </c>
      <c r="P533" s="2" t="s">
        <v>49</v>
      </c>
    </row>
    <row r="534" spans="1:16" x14ac:dyDescent="0.25">
      <c r="A534" s="2" t="s">
        <v>1405</v>
      </c>
      <c r="B534" s="2" t="s">
        <v>4852</v>
      </c>
      <c r="C534" s="2">
        <v>6926</v>
      </c>
      <c r="D534" s="2" t="s">
        <v>4800</v>
      </c>
      <c r="E534" s="2" t="s">
        <v>18</v>
      </c>
      <c r="F534" s="2" t="s">
        <v>47</v>
      </c>
      <c r="G534" s="2">
        <v>4284.8500000000004</v>
      </c>
      <c r="H534" s="2">
        <v>2657.12</v>
      </c>
      <c r="I534" s="2" t="s">
        <v>31</v>
      </c>
      <c r="J534" s="2" t="s">
        <v>21</v>
      </c>
      <c r="K534" s="2" t="s">
        <v>42</v>
      </c>
      <c r="L534" s="2" t="s">
        <v>43</v>
      </c>
      <c r="M534" s="2">
        <v>4</v>
      </c>
      <c r="N534" s="2" t="s">
        <v>69</v>
      </c>
      <c r="O534" s="2" t="s">
        <v>70</v>
      </c>
      <c r="P534" s="2" t="s">
        <v>26</v>
      </c>
    </row>
    <row r="535" spans="1:16" x14ac:dyDescent="0.25">
      <c r="A535" s="2" t="s">
        <v>1408</v>
      </c>
      <c r="B535" s="2" t="s">
        <v>7343</v>
      </c>
      <c r="C535" s="2">
        <v>4973</v>
      </c>
      <c r="D535" s="2" t="s">
        <v>7344</v>
      </c>
      <c r="E535" s="2" t="s">
        <v>18</v>
      </c>
      <c r="F535" s="2" t="s">
        <v>39</v>
      </c>
      <c r="G535" s="2">
        <v>35004.480000000003</v>
      </c>
      <c r="H535" s="2">
        <v>16143.13</v>
      </c>
      <c r="I535" s="2" t="s">
        <v>6736</v>
      </c>
      <c r="J535" s="2" t="s">
        <v>54</v>
      </c>
      <c r="K535" s="2" t="s">
        <v>32</v>
      </c>
      <c r="L535" s="2" t="s">
        <v>55</v>
      </c>
      <c r="M535" s="2">
        <v>2</v>
      </c>
      <c r="N535" s="2" t="s">
        <v>33</v>
      </c>
      <c r="O535" s="2" t="s">
        <v>25</v>
      </c>
      <c r="P535" s="2" t="s">
        <v>34</v>
      </c>
    </row>
    <row r="536" spans="1:16" x14ac:dyDescent="0.25">
      <c r="A536" s="2" t="s">
        <v>1411</v>
      </c>
      <c r="B536" s="2" t="s">
        <v>7345</v>
      </c>
      <c r="C536" s="2">
        <v>2294</v>
      </c>
      <c r="D536" s="2" t="s">
        <v>7346</v>
      </c>
      <c r="E536" s="2" t="s">
        <v>18</v>
      </c>
      <c r="F536" s="2" t="s">
        <v>47</v>
      </c>
      <c r="G536" s="2">
        <v>2597.4899999999998</v>
      </c>
      <c r="H536" s="2">
        <v>1464.56</v>
      </c>
      <c r="I536" s="2" t="s">
        <v>31</v>
      </c>
      <c r="J536" s="2" t="s">
        <v>21</v>
      </c>
      <c r="K536" s="2" t="s">
        <v>80</v>
      </c>
      <c r="L536" s="2" t="s">
        <v>23</v>
      </c>
      <c r="M536" s="2">
        <v>2</v>
      </c>
      <c r="N536" s="2" t="s">
        <v>24</v>
      </c>
      <c r="O536" s="2" t="s">
        <v>25</v>
      </c>
      <c r="P536" s="2" t="s">
        <v>49</v>
      </c>
    </row>
    <row r="537" spans="1:16" x14ac:dyDescent="0.25">
      <c r="A537" s="2" t="s">
        <v>1413</v>
      </c>
      <c r="B537" s="2" t="s">
        <v>2102</v>
      </c>
      <c r="C537" s="2">
        <v>5698</v>
      </c>
      <c r="D537" s="2" t="s">
        <v>7347</v>
      </c>
      <c r="E537" s="2" t="s">
        <v>18</v>
      </c>
      <c r="F537" s="2" t="s">
        <v>19</v>
      </c>
      <c r="G537" s="2">
        <v>6912.44</v>
      </c>
      <c r="H537" s="2">
        <v>4328.79</v>
      </c>
      <c r="I537" s="2" t="s">
        <v>53</v>
      </c>
      <c r="J537" s="2" t="s">
        <v>54</v>
      </c>
      <c r="K537" s="2" t="s">
        <v>22</v>
      </c>
      <c r="L537" s="2" t="s">
        <v>43</v>
      </c>
      <c r="M537" s="2">
        <v>2</v>
      </c>
      <c r="N537" s="2" t="s">
        <v>24</v>
      </c>
      <c r="O537" s="2" t="s">
        <v>25</v>
      </c>
      <c r="P537" s="2" t="s">
        <v>34</v>
      </c>
    </row>
    <row r="538" spans="1:16" x14ac:dyDescent="0.25">
      <c r="A538" s="2" t="s">
        <v>1416</v>
      </c>
      <c r="B538" s="2" t="s">
        <v>1572</v>
      </c>
      <c r="C538" s="2">
        <v>6014</v>
      </c>
      <c r="D538" s="2" t="s">
        <v>5935</v>
      </c>
      <c r="E538" s="2" t="s">
        <v>18</v>
      </c>
      <c r="F538" s="2" t="s">
        <v>19</v>
      </c>
      <c r="G538" s="2">
        <v>7232.41</v>
      </c>
      <c r="H538" s="2">
        <v>3481.39</v>
      </c>
      <c r="I538" s="2" t="s">
        <v>6761</v>
      </c>
      <c r="J538" s="2" t="s">
        <v>6732</v>
      </c>
      <c r="K538" s="2" t="s">
        <v>22</v>
      </c>
      <c r="L538" s="2" t="s">
        <v>43</v>
      </c>
      <c r="M538" s="2">
        <v>4</v>
      </c>
      <c r="N538" s="2" t="s">
        <v>69</v>
      </c>
      <c r="O538" s="2" t="s">
        <v>25</v>
      </c>
      <c r="P538" s="2" t="s">
        <v>26</v>
      </c>
    </row>
    <row r="539" spans="1:16" x14ac:dyDescent="0.25">
      <c r="A539" s="2" t="s">
        <v>1419</v>
      </c>
      <c r="B539" s="2" t="s">
        <v>7348</v>
      </c>
      <c r="C539" s="2">
        <v>8821</v>
      </c>
      <c r="D539" s="2" t="s">
        <v>7349</v>
      </c>
      <c r="E539" s="2" t="s">
        <v>6698</v>
      </c>
      <c r="F539" s="2" t="s">
        <v>47</v>
      </c>
      <c r="G539" s="2">
        <v>14709.07</v>
      </c>
      <c r="H539" s="2">
        <v>7810.81</v>
      </c>
      <c r="I539" s="2" t="s">
        <v>6739</v>
      </c>
      <c r="J539" s="2" t="s">
        <v>54</v>
      </c>
      <c r="K539" s="2" t="s">
        <v>80</v>
      </c>
      <c r="L539" s="2" t="s">
        <v>23</v>
      </c>
      <c r="M539" s="2">
        <v>1</v>
      </c>
      <c r="N539" s="2" t="s">
        <v>69</v>
      </c>
      <c r="O539" s="2" t="s">
        <v>70</v>
      </c>
      <c r="P539" s="2" t="s">
        <v>26</v>
      </c>
    </row>
    <row r="540" spans="1:16" x14ac:dyDescent="0.25">
      <c r="A540" s="2" t="s">
        <v>1421</v>
      </c>
      <c r="B540" s="2" t="s">
        <v>7350</v>
      </c>
      <c r="C540" s="2">
        <v>6064</v>
      </c>
      <c r="D540" s="2" t="s">
        <v>7351</v>
      </c>
      <c r="E540" s="2" t="s">
        <v>18</v>
      </c>
      <c r="F540" s="2" t="s">
        <v>30</v>
      </c>
      <c r="G540" s="2">
        <v>47046.12</v>
      </c>
      <c r="H540" s="2">
        <v>27177.5</v>
      </c>
      <c r="I540" s="2" t="s">
        <v>63</v>
      </c>
      <c r="J540" s="2" t="s">
        <v>54</v>
      </c>
      <c r="K540" s="2" t="s">
        <v>22</v>
      </c>
      <c r="L540" s="2" t="s">
        <v>23</v>
      </c>
      <c r="M540" s="2">
        <v>3</v>
      </c>
      <c r="N540" s="2" t="s">
        <v>33</v>
      </c>
      <c r="O540" s="2" t="s">
        <v>25</v>
      </c>
      <c r="P540" s="2" t="s">
        <v>26</v>
      </c>
    </row>
    <row r="541" spans="1:16" x14ac:dyDescent="0.25">
      <c r="A541" s="2" t="s">
        <v>1424</v>
      </c>
      <c r="B541" s="2" t="s">
        <v>7352</v>
      </c>
      <c r="C541" s="2">
        <v>6843</v>
      </c>
      <c r="D541" s="2" t="s">
        <v>1676</v>
      </c>
      <c r="E541" s="2" t="s">
        <v>6680</v>
      </c>
      <c r="F541" s="2" t="s">
        <v>58</v>
      </c>
      <c r="G541" s="2">
        <v>32605.01</v>
      </c>
      <c r="H541" s="2">
        <v>17934.16</v>
      </c>
      <c r="I541" s="2" t="s">
        <v>20</v>
      </c>
      <c r="J541" s="2" t="s">
        <v>6789</v>
      </c>
      <c r="K541" s="2" t="s">
        <v>42</v>
      </c>
      <c r="L541" s="2" t="s">
        <v>64</v>
      </c>
      <c r="M541" s="2">
        <v>3</v>
      </c>
      <c r="N541" s="2" t="s">
        <v>69</v>
      </c>
      <c r="O541" s="2" t="s">
        <v>70</v>
      </c>
      <c r="P541" s="2" t="s">
        <v>26</v>
      </c>
    </row>
    <row r="542" spans="1:16" x14ac:dyDescent="0.25">
      <c r="A542" s="2" t="s">
        <v>1427</v>
      </c>
      <c r="B542" s="2" t="s">
        <v>1068</v>
      </c>
      <c r="C542" s="2">
        <v>1612</v>
      </c>
      <c r="D542" s="2" t="s">
        <v>7353</v>
      </c>
      <c r="E542" s="2" t="s">
        <v>38</v>
      </c>
      <c r="F542" s="2" t="s">
        <v>58</v>
      </c>
      <c r="G542" s="2">
        <v>13092.42</v>
      </c>
      <c r="H542" s="2">
        <v>7678.37</v>
      </c>
      <c r="I542" s="2" t="s">
        <v>68</v>
      </c>
      <c r="J542" s="2" t="s">
        <v>41</v>
      </c>
      <c r="K542" s="2" t="s">
        <v>22</v>
      </c>
      <c r="L542" s="2" t="s">
        <v>48</v>
      </c>
      <c r="M542" s="2">
        <v>1</v>
      </c>
      <c r="N542" s="2" t="s">
        <v>69</v>
      </c>
      <c r="O542" s="2" t="s">
        <v>25</v>
      </c>
      <c r="P542" s="2" t="s">
        <v>26</v>
      </c>
    </row>
    <row r="543" spans="1:16" x14ac:dyDescent="0.25">
      <c r="A543" s="2" t="s">
        <v>1430</v>
      </c>
      <c r="B543" s="2" t="s">
        <v>1816</v>
      </c>
      <c r="C543" s="2">
        <v>9573</v>
      </c>
      <c r="D543" s="2" t="s">
        <v>7354</v>
      </c>
      <c r="E543" s="2" t="s">
        <v>38</v>
      </c>
      <c r="F543" s="2" t="s">
        <v>58</v>
      </c>
      <c r="G543" s="2">
        <v>30695.96</v>
      </c>
      <c r="H543" s="2">
        <v>14618.63</v>
      </c>
      <c r="I543" s="2" t="s">
        <v>31</v>
      </c>
      <c r="J543" s="2" t="s">
        <v>21</v>
      </c>
      <c r="K543" s="2" t="s">
        <v>42</v>
      </c>
      <c r="L543" s="2" t="s">
        <v>88</v>
      </c>
      <c r="M543" s="2">
        <v>5</v>
      </c>
      <c r="N543" s="2" t="s">
        <v>69</v>
      </c>
      <c r="O543" s="2" t="s">
        <v>25</v>
      </c>
      <c r="P543" s="2" t="s">
        <v>49</v>
      </c>
    </row>
    <row r="544" spans="1:16" x14ac:dyDescent="0.25">
      <c r="A544" s="2" t="s">
        <v>1433</v>
      </c>
      <c r="B544" s="2" t="s">
        <v>915</v>
      </c>
      <c r="C544" s="2">
        <v>9151</v>
      </c>
      <c r="D544" s="2" t="s">
        <v>7355</v>
      </c>
      <c r="E544" s="2" t="s">
        <v>18</v>
      </c>
      <c r="F544" s="2" t="s">
        <v>47</v>
      </c>
      <c r="G544" s="2">
        <v>17331.53</v>
      </c>
      <c r="H544" s="2">
        <v>8293.56</v>
      </c>
      <c r="I544" s="2" t="s">
        <v>63</v>
      </c>
      <c r="J544" s="2" t="s">
        <v>54</v>
      </c>
      <c r="K544" s="2" t="s">
        <v>42</v>
      </c>
      <c r="L544" s="2" t="s">
        <v>43</v>
      </c>
      <c r="M544" s="2">
        <v>1</v>
      </c>
      <c r="N544" s="2" t="s">
        <v>24</v>
      </c>
      <c r="O544" s="2" t="s">
        <v>25</v>
      </c>
      <c r="P544" s="2" t="s">
        <v>26</v>
      </c>
    </row>
    <row r="545" spans="1:16" x14ac:dyDescent="0.25">
      <c r="A545" s="2" t="s">
        <v>1435</v>
      </c>
      <c r="B545" s="2" t="s">
        <v>7356</v>
      </c>
      <c r="C545" s="2">
        <v>8548</v>
      </c>
      <c r="D545" s="2" t="s">
        <v>7357</v>
      </c>
      <c r="E545" s="2" t="s">
        <v>6708</v>
      </c>
      <c r="F545" s="2" t="s">
        <v>30</v>
      </c>
      <c r="G545" s="2">
        <v>100786.15</v>
      </c>
      <c r="H545" s="2">
        <v>65077.29</v>
      </c>
      <c r="I545" s="2" t="s">
        <v>6728</v>
      </c>
      <c r="J545" s="2" t="s">
        <v>6753</v>
      </c>
      <c r="K545" s="2" t="s">
        <v>80</v>
      </c>
      <c r="L545" s="2" t="s">
        <v>48</v>
      </c>
      <c r="M545" s="2">
        <v>2</v>
      </c>
      <c r="N545" s="2" t="s">
        <v>69</v>
      </c>
      <c r="O545" s="2" t="s">
        <v>70</v>
      </c>
      <c r="P545" s="2" t="s">
        <v>34</v>
      </c>
    </row>
    <row r="546" spans="1:16" x14ac:dyDescent="0.25">
      <c r="A546" s="2" t="s">
        <v>1437</v>
      </c>
      <c r="B546" s="2" t="s">
        <v>225</v>
      </c>
      <c r="C546" s="2">
        <v>9289</v>
      </c>
      <c r="D546" s="2" t="s">
        <v>7358</v>
      </c>
      <c r="E546" s="2" t="s">
        <v>6708</v>
      </c>
      <c r="F546" s="2" t="s">
        <v>47</v>
      </c>
      <c r="G546" s="2">
        <v>6942.41</v>
      </c>
      <c r="H546" s="2">
        <v>4339.75</v>
      </c>
      <c r="I546" s="2" t="s">
        <v>6752</v>
      </c>
      <c r="J546" s="2" t="s">
        <v>54</v>
      </c>
      <c r="K546" s="2" t="s">
        <v>22</v>
      </c>
      <c r="L546" s="2" t="s">
        <v>43</v>
      </c>
      <c r="M546" s="2">
        <v>1</v>
      </c>
      <c r="N546" s="2" t="s">
        <v>24</v>
      </c>
      <c r="O546" s="2" t="s">
        <v>25</v>
      </c>
      <c r="P546" s="2" t="s">
        <v>49</v>
      </c>
    </row>
    <row r="547" spans="1:16" x14ac:dyDescent="0.25">
      <c r="A547" s="2" t="s">
        <v>1439</v>
      </c>
      <c r="B547" s="2" t="s">
        <v>7359</v>
      </c>
      <c r="C547" s="2">
        <v>9767</v>
      </c>
      <c r="D547" s="2" t="s">
        <v>1695</v>
      </c>
      <c r="E547" s="2" t="s">
        <v>6708</v>
      </c>
      <c r="F547" s="2" t="s">
        <v>19</v>
      </c>
      <c r="G547" s="2">
        <v>6098.67</v>
      </c>
      <c r="H547" s="2">
        <v>2964.29</v>
      </c>
      <c r="I547" s="2" t="s">
        <v>6728</v>
      </c>
      <c r="J547" s="2" t="s">
        <v>6686</v>
      </c>
      <c r="K547" s="2" t="s">
        <v>22</v>
      </c>
      <c r="L547" s="2" t="s">
        <v>64</v>
      </c>
      <c r="M547" s="2">
        <v>4</v>
      </c>
      <c r="N547" s="2" t="s">
        <v>33</v>
      </c>
      <c r="O547" s="2" t="s">
        <v>25</v>
      </c>
      <c r="P547" s="2" t="s">
        <v>34</v>
      </c>
    </row>
    <row r="548" spans="1:16" x14ac:dyDescent="0.25">
      <c r="A548" s="2" t="s">
        <v>1441</v>
      </c>
      <c r="B548" s="2" t="s">
        <v>7360</v>
      </c>
      <c r="C548" s="2">
        <v>3384</v>
      </c>
      <c r="D548" s="2" t="s">
        <v>7361</v>
      </c>
      <c r="E548" s="2" t="s">
        <v>32</v>
      </c>
      <c r="F548" s="2" t="s">
        <v>39</v>
      </c>
      <c r="G548" s="2">
        <v>13174.62</v>
      </c>
      <c r="H548" s="2">
        <v>6011.11</v>
      </c>
      <c r="I548" s="2" t="s">
        <v>6918</v>
      </c>
      <c r="J548" s="2" t="s">
        <v>21</v>
      </c>
      <c r="K548" s="2" t="s">
        <v>80</v>
      </c>
      <c r="L548" s="2" t="s">
        <v>55</v>
      </c>
      <c r="M548" s="2">
        <v>3</v>
      </c>
      <c r="N548" s="2" t="s">
        <v>24</v>
      </c>
      <c r="O548" s="2" t="s">
        <v>70</v>
      </c>
      <c r="P548" s="2" t="s">
        <v>26</v>
      </c>
    </row>
    <row r="549" spans="1:16" x14ac:dyDescent="0.25">
      <c r="A549" s="2" t="s">
        <v>1443</v>
      </c>
      <c r="B549" s="2" t="s">
        <v>7362</v>
      </c>
      <c r="C549" s="2">
        <v>7876</v>
      </c>
      <c r="D549" s="2" t="s">
        <v>7363</v>
      </c>
      <c r="E549" s="2" t="s">
        <v>32</v>
      </c>
      <c r="F549" s="2" t="s">
        <v>39</v>
      </c>
      <c r="G549" s="2">
        <v>34917.919999999998</v>
      </c>
      <c r="H549" s="2">
        <v>17524.939999999999</v>
      </c>
      <c r="I549" s="2" t="s">
        <v>6728</v>
      </c>
      <c r="J549" s="2" t="s">
        <v>6686</v>
      </c>
      <c r="K549" s="2" t="s">
        <v>22</v>
      </c>
      <c r="L549" s="2" t="s">
        <v>55</v>
      </c>
      <c r="M549" s="2">
        <v>4</v>
      </c>
      <c r="N549" s="2" t="s">
        <v>33</v>
      </c>
      <c r="O549" s="2" t="s">
        <v>70</v>
      </c>
      <c r="P549" s="2" t="s">
        <v>26</v>
      </c>
    </row>
    <row r="550" spans="1:16" x14ac:dyDescent="0.25">
      <c r="A550" s="2" t="s">
        <v>1445</v>
      </c>
      <c r="B550" s="2" t="s">
        <v>4162</v>
      </c>
      <c r="C550" s="2">
        <v>4253</v>
      </c>
      <c r="D550" s="2" t="s">
        <v>1673</v>
      </c>
      <c r="E550" s="2" t="s">
        <v>6743</v>
      </c>
      <c r="F550" s="2" t="s">
        <v>30</v>
      </c>
      <c r="G550" s="2">
        <v>97138.240000000005</v>
      </c>
      <c r="H550" s="2">
        <v>54950.9</v>
      </c>
      <c r="I550" s="2" t="s">
        <v>84</v>
      </c>
      <c r="J550" s="2" t="s">
        <v>6686</v>
      </c>
      <c r="K550" s="2" t="s">
        <v>32</v>
      </c>
      <c r="L550" s="2" t="s">
        <v>88</v>
      </c>
      <c r="M550" s="2">
        <v>3</v>
      </c>
      <c r="N550" s="2" t="s">
        <v>33</v>
      </c>
      <c r="O550" s="2" t="s">
        <v>70</v>
      </c>
      <c r="P550" s="2" t="s">
        <v>26</v>
      </c>
    </row>
    <row r="551" spans="1:16" x14ac:dyDescent="0.25">
      <c r="A551" s="2" t="s">
        <v>1448</v>
      </c>
      <c r="B551" s="2" t="s">
        <v>1051</v>
      </c>
      <c r="C551" s="2">
        <v>8361</v>
      </c>
      <c r="D551" s="2" t="s">
        <v>7364</v>
      </c>
      <c r="E551" s="2" t="s">
        <v>6756</v>
      </c>
      <c r="F551" s="2" t="s">
        <v>19</v>
      </c>
      <c r="G551" s="2">
        <v>6043.57</v>
      </c>
      <c r="H551" s="2">
        <v>3620.95</v>
      </c>
      <c r="I551" s="2" t="s">
        <v>84</v>
      </c>
      <c r="J551" s="2" t="s">
        <v>6700</v>
      </c>
      <c r="K551" s="2" t="s">
        <v>32</v>
      </c>
      <c r="L551" s="2" t="s">
        <v>64</v>
      </c>
      <c r="M551" s="2">
        <v>5</v>
      </c>
      <c r="N551" s="2" t="s">
        <v>24</v>
      </c>
      <c r="O551" s="2" t="s">
        <v>70</v>
      </c>
      <c r="P551" s="2" t="s">
        <v>26</v>
      </c>
    </row>
    <row r="552" spans="1:16" x14ac:dyDescent="0.25">
      <c r="A552" s="2" t="s">
        <v>1450</v>
      </c>
      <c r="B552" s="2" t="s">
        <v>7365</v>
      </c>
      <c r="C552" s="2">
        <v>8471</v>
      </c>
      <c r="D552" s="2" t="s">
        <v>1712</v>
      </c>
      <c r="E552" s="2" t="s">
        <v>6680</v>
      </c>
      <c r="F552" s="2" t="s">
        <v>39</v>
      </c>
      <c r="G552" s="2">
        <v>15407.07</v>
      </c>
      <c r="H552" s="2">
        <v>8018.49</v>
      </c>
      <c r="I552" s="2" t="s">
        <v>6822</v>
      </c>
      <c r="J552" s="2" t="s">
        <v>6793</v>
      </c>
      <c r="K552" s="2" t="s">
        <v>80</v>
      </c>
      <c r="L552" s="2" t="s">
        <v>43</v>
      </c>
      <c r="M552" s="2">
        <v>3</v>
      </c>
      <c r="N552" s="2" t="s">
        <v>33</v>
      </c>
      <c r="O552" s="2" t="s">
        <v>25</v>
      </c>
      <c r="P552" s="2" t="s">
        <v>34</v>
      </c>
    </row>
    <row r="553" spans="1:16" x14ac:dyDescent="0.25">
      <c r="A553" s="2" t="s">
        <v>1453</v>
      </c>
      <c r="B553" s="2" t="s">
        <v>3717</v>
      </c>
      <c r="C553" s="2">
        <v>5640</v>
      </c>
      <c r="D553" s="2" t="s">
        <v>5434</v>
      </c>
      <c r="E553" s="2" t="s">
        <v>18</v>
      </c>
      <c r="F553" s="2" t="s">
        <v>47</v>
      </c>
      <c r="G553" s="2">
        <v>20620.02</v>
      </c>
      <c r="H553" s="2">
        <v>12602.71</v>
      </c>
      <c r="I553" s="2" t="s">
        <v>53</v>
      </c>
      <c r="J553" s="2" t="s">
        <v>54</v>
      </c>
      <c r="K553" s="2" t="s">
        <v>22</v>
      </c>
      <c r="L553" s="2" t="s">
        <v>55</v>
      </c>
      <c r="M553" s="2">
        <v>1</v>
      </c>
      <c r="N553" s="2" t="s">
        <v>24</v>
      </c>
      <c r="O553" s="2" t="s">
        <v>25</v>
      </c>
      <c r="P553" s="2" t="s">
        <v>34</v>
      </c>
    </row>
    <row r="554" spans="1:16" x14ac:dyDescent="0.25">
      <c r="A554" s="2" t="s">
        <v>1455</v>
      </c>
      <c r="B554" s="2" t="s">
        <v>5251</v>
      </c>
      <c r="C554" s="2">
        <v>5749</v>
      </c>
      <c r="D554" s="2" t="s">
        <v>7366</v>
      </c>
      <c r="E554" s="2" t="s">
        <v>38</v>
      </c>
      <c r="F554" s="2" t="s">
        <v>58</v>
      </c>
      <c r="G554" s="2">
        <v>15839.23</v>
      </c>
      <c r="H554" s="2">
        <v>9588.69</v>
      </c>
      <c r="I554" s="2" t="s">
        <v>31</v>
      </c>
      <c r="J554" s="2" t="s">
        <v>21</v>
      </c>
      <c r="K554" s="2" t="s">
        <v>80</v>
      </c>
      <c r="L554" s="2" t="s">
        <v>55</v>
      </c>
      <c r="M554" s="2">
        <v>2</v>
      </c>
      <c r="N554" s="2" t="s">
        <v>69</v>
      </c>
      <c r="O554" s="2" t="s">
        <v>70</v>
      </c>
      <c r="P554" s="2" t="s">
        <v>34</v>
      </c>
    </row>
    <row r="555" spans="1:16" x14ac:dyDescent="0.25">
      <c r="A555" s="2" t="s">
        <v>1458</v>
      </c>
      <c r="B555" s="2" t="s">
        <v>882</v>
      </c>
      <c r="C555" s="2">
        <v>7138</v>
      </c>
      <c r="D555" s="2" t="s">
        <v>7367</v>
      </c>
      <c r="E555" s="2" t="s">
        <v>6743</v>
      </c>
      <c r="F555" s="2" t="s">
        <v>47</v>
      </c>
      <c r="G555" s="2">
        <v>7628.39</v>
      </c>
      <c r="H555" s="2">
        <v>3841.06</v>
      </c>
      <c r="I555" s="2" t="s">
        <v>6799</v>
      </c>
      <c r="J555" s="2" t="s">
        <v>6713</v>
      </c>
      <c r="K555" s="2" t="s">
        <v>42</v>
      </c>
      <c r="L555" s="2" t="s">
        <v>88</v>
      </c>
      <c r="M555" s="2">
        <v>4</v>
      </c>
      <c r="N555" s="2" t="s">
        <v>24</v>
      </c>
      <c r="O555" s="2" t="s">
        <v>25</v>
      </c>
      <c r="P555" s="2" t="s">
        <v>34</v>
      </c>
    </row>
    <row r="556" spans="1:16" x14ac:dyDescent="0.25">
      <c r="A556" s="2" t="s">
        <v>1461</v>
      </c>
      <c r="B556" s="2" t="s">
        <v>7368</v>
      </c>
      <c r="C556" s="2">
        <v>7412</v>
      </c>
      <c r="D556" s="2" t="s">
        <v>7369</v>
      </c>
      <c r="E556" s="2" t="s">
        <v>6703</v>
      </c>
      <c r="F556" s="2" t="s">
        <v>58</v>
      </c>
      <c r="G556" s="2">
        <v>35422.199999999997</v>
      </c>
      <c r="H556" s="2">
        <v>18726.43</v>
      </c>
      <c r="I556" s="2" t="s">
        <v>6794</v>
      </c>
      <c r="J556" s="2" t="s">
        <v>6802</v>
      </c>
      <c r="K556" s="2" t="s">
        <v>22</v>
      </c>
      <c r="L556" s="2" t="s">
        <v>43</v>
      </c>
      <c r="M556" s="2">
        <v>4</v>
      </c>
      <c r="N556" s="2" t="s">
        <v>33</v>
      </c>
      <c r="O556" s="2" t="s">
        <v>70</v>
      </c>
      <c r="P556" s="2" t="s">
        <v>49</v>
      </c>
    </row>
    <row r="557" spans="1:16" x14ac:dyDescent="0.25">
      <c r="A557" s="2" t="s">
        <v>1464</v>
      </c>
      <c r="B557" s="2" t="s">
        <v>7370</v>
      </c>
      <c r="C557" s="2">
        <v>5263</v>
      </c>
      <c r="D557" s="2" t="s">
        <v>7371</v>
      </c>
      <c r="E557" s="2" t="s">
        <v>18</v>
      </c>
      <c r="F557" s="2" t="s">
        <v>30</v>
      </c>
      <c r="G557" s="2">
        <v>112132.07</v>
      </c>
      <c r="H557" s="2">
        <v>55029.1</v>
      </c>
      <c r="I557" s="2" t="s">
        <v>63</v>
      </c>
      <c r="J557" s="2" t="s">
        <v>6686</v>
      </c>
      <c r="K557" s="2" t="s">
        <v>22</v>
      </c>
      <c r="L557" s="2" t="s">
        <v>55</v>
      </c>
      <c r="M557" s="2">
        <v>4</v>
      </c>
      <c r="N557" s="2" t="s">
        <v>33</v>
      </c>
      <c r="O557" s="2" t="s">
        <v>70</v>
      </c>
      <c r="P557" s="2" t="s">
        <v>26</v>
      </c>
    </row>
    <row r="558" spans="1:16" x14ac:dyDescent="0.25">
      <c r="A558" s="2" t="s">
        <v>1466</v>
      </c>
      <c r="B558" s="2" t="s">
        <v>7372</v>
      </c>
      <c r="C558" s="2">
        <v>4633</v>
      </c>
      <c r="D558" s="2" t="s">
        <v>7373</v>
      </c>
      <c r="E558" s="2" t="s">
        <v>38</v>
      </c>
      <c r="F558" s="2" t="s">
        <v>19</v>
      </c>
      <c r="G558" s="2">
        <v>7888.15</v>
      </c>
      <c r="H558" s="2">
        <v>4875.6000000000004</v>
      </c>
      <c r="I558" s="2" t="s">
        <v>120</v>
      </c>
      <c r="J558" s="2" t="s">
        <v>21</v>
      </c>
      <c r="K558" s="2" t="s">
        <v>80</v>
      </c>
      <c r="L558" s="2" t="s">
        <v>88</v>
      </c>
      <c r="M558" s="2">
        <v>1</v>
      </c>
      <c r="N558" s="2" t="s">
        <v>33</v>
      </c>
      <c r="O558" s="2" t="s">
        <v>70</v>
      </c>
      <c r="P558" s="2" t="s">
        <v>49</v>
      </c>
    </row>
    <row r="559" spans="1:16" x14ac:dyDescent="0.25">
      <c r="A559" s="2" t="s">
        <v>1468</v>
      </c>
      <c r="B559" s="2" t="s">
        <v>7374</v>
      </c>
      <c r="C559" s="2">
        <v>4407</v>
      </c>
      <c r="D559" s="2" t="s">
        <v>1502</v>
      </c>
      <c r="E559" s="2" t="s">
        <v>6698</v>
      </c>
      <c r="F559" s="2" t="s">
        <v>47</v>
      </c>
      <c r="G559" s="2">
        <v>3382.56</v>
      </c>
      <c r="H559" s="2">
        <v>2060.2800000000002</v>
      </c>
      <c r="I559" s="2" t="s">
        <v>6759</v>
      </c>
      <c r="J559" s="2" t="s">
        <v>6729</v>
      </c>
      <c r="K559" s="2" t="s">
        <v>80</v>
      </c>
      <c r="L559" s="2" t="s">
        <v>55</v>
      </c>
      <c r="M559" s="2">
        <v>4</v>
      </c>
      <c r="N559" s="2" t="s">
        <v>69</v>
      </c>
      <c r="O559" s="2" t="s">
        <v>25</v>
      </c>
      <c r="P559" s="2" t="s">
        <v>49</v>
      </c>
    </row>
    <row r="560" spans="1:16" x14ac:dyDescent="0.25">
      <c r="A560" s="2" t="s">
        <v>1470</v>
      </c>
      <c r="B560" s="2" t="s">
        <v>3289</v>
      </c>
      <c r="C560" s="2">
        <v>1515</v>
      </c>
      <c r="D560" s="2" t="s">
        <v>7375</v>
      </c>
      <c r="E560" s="2" t="s">
        <v>6694</v>
      </c>
      <c r="F560" s="2" t="s">
        <v>47</v>
      </c>
      <c r="G560" s="2">
        <v>20284.55</v>
      </c>
      <c r="H560" s="2">
        <v>13159.56</v>
      </c>
      <c r="I560" s="2" t="s">
        <v>63</v>
      </c>
      <c r="J560" s="2" t="s">
        <v>6691</v>
      </c>
      <c r="K560" s="2" t="s">
        <v>80</v>
      </c>
      <c r="L560" s="2" t="s">
        <v>43</v>
      </c>
      <c r="M560" s="2">
        <v>5</v>
      </c>
      <c r="N560" s="2" t="s">
        <v>24</v>
      </c>
      <c r="O560" s="2" t="s">
        <v>25</v>
      </c>
      <c r="P560" s="2" t="s">
        <v>49</v>
      </c>
    </row>
    <row r="561" spans="1:16" x14ac:dyDescent="0.25">
      <c r="A561" s="2" t="s">
        <v>1472</v>
      </c>
      <c r="B561" s="2" t="s">
        <v>3436</v>
      </c>
      <c r="C561" s="2">
        <v>4554</v>
      </c>
      <c r="D561" s="2" t="s">
        <v>7376</v>
      </c>
      <c r="E561" s="2" t="s">
        <v>18</v>
      </c>
      <c r="F561" s="2" t="s">
        <v>19</v>
      </c>
      <c r="G561" s="2">
        <v>8414.31</v>
      </c>
      <c r="H561" s="2">
        <v>4156.2700000000004</v>
      </c>
      <c r="I561" s="2" t="s">
        <v>84</v>
      </c>
      <c r="J561" s="2" t="s">
        <v>54</v>
      </c>
      <c r="K561" s="2" t="s">
        <v>32</v>
      </c>
      <c r="L561" s="2" t="s">
        <v>88</v>
      </c>
      <c r="M561" s="2">
        <v>3</v>
      </c>
      <c r="N561" s="2" t="s">
        <v>24</v>
      </c>
      <c r="O561" s="2" t="s">
        <v>70</v>
      </c>
      <c r="P561" s="2" t="s">
        <v>34</v>
      </c>
    </row>
    <row r="562" spans="1:16" x14ac:dyDescent="0.25">
      <c r="A562" s="2" t="s">
        <v>1474</v>
      </c>
      <c r="B562" s="2" t="s">
        <v>7377</v>
      </c>
      <c r="C562" s="2">
        <v>4163</v>
      </c>
      <c r="D562" s="2" t="s">
        <v>7378</v>
      </c>
      <c r="E562" s="2" t="s">
        <v>6708</v>
      </c>
      <c r="F562" s="2" t="s">
        <v>19</v>
      </c>
      <c r="G562" s="2">
        <v>6909.1</v>
      </c>
      <c r="H562" s="2">
        <v>4058.48</v>
      </c>
      <c r="I562" s="2" t="s">
        <v>6794</v>
      </c>
      <c r="J562" s="2" t="s">
        <v>6724</v>
      </c>
      <c r="K562" s="2" t="s">
        <v>42</v>
      </c>
      <c r="L562" s="2" t="s">
        <v>64</v>
      </c>
      <c r="M562" s="2">
        <v>1</v>
      </c>
      <c r="N562" s="2" t="s">
        <v>24</v>
      </c>
      <c r="O562" s="2" t="s">
        <v>70</v>
      </c>
      <c r="P562" s="2" t="s">
        <v>34</v>
      </c>
    </row>
    <row r="563" spans="1:16" x14ac:dyDescent="0.25">
      <c r="A563" s="2" t="s">
        <v>1476</v>
      </c>
      <c r="B563" s="2" t="s">
        <v>2749</v>
      </c>
      <c r="C563" s="2">
        <v>7275</v>
      </c>
      <c r="D563" s="2" t="s">
        <v>3685</v>
      </c>
      <c r="E563" s="2" t="s">
        <v>38</v>
      </c>
      <c r="F563" s="2" t="s">
        <v>39</v>
      </c>
      <c r="G563" s="2">
        <v>16308.94</v>
      </c>
      <c r="H563" s="2">
        <v>8490.16</v>
      </c>
      <c r="I563" s="2" t="s">
        <v>84</v>
      </c>
      <c r="J563" s="2" t="s">
        <v>54</v>
      </c>
      <c r="K563" s="2" t="s">
        <v>22</v>
      </c>
      <c r="L563" s="2" t="s">
        <v>64</v>
      </c>
      <c r="M563" s="2">
        <v>2</v>
      </c>
      <c r="N563" s="2" t="s">
        <v>69</v>
      </c>
      <c r="O563" s="2" t="s">
        <v>70</v>
      </c>
      <c r="P563" s="2" t="s">
        <v>34</v>
      </c>
    </row>
    <row r="564" spans="1:16" x14ac:dyDescent="0.25">
      <c r="A564" s="2" t="s">
        <v>1478</v>
      </c>
      <c r="B564" s="2" t="s">
        <v>7379</v>
      </c>
      <c r="C564" s="2">
        <v>2878</v>
      </c>
      <c r="D564" s="2" t="s">
        <v>7380</v>
      </c>
      <c r="E564" s="2" t="s">
        <v>18</v>
      </c>
      <c r="F564" s="2" t="s">
        <v>47</v>
      </c>
      <c r="G564" s="2">
        <v>17405.95</v>
      </c>
      <c r="H564" s="2">
        <v>9327.4500000000007</v>
      </c>
      <c r="I564" s="2" t="s">
        <v>6739</v>
      </c>
      <c r="J564" s="2" t="s">
        <v>6686</v>
      </c>
      <c r="K564" s="2" t="s">
        <v>32</v>
      </c>
      <c r="L564" s="2" t="s">
        <v>88</v>
      </c>
      <c r="M564" s="2">
        <v>2</v>
      </c>
      <c r="N564" s="2" t="s">
        <v>33</v>
      </c>
      <c r="O564" s="2" t="s">
        <v>70</v>
      </c>
      <c r="P564" s="2" t="s">
        <v>34</v>
      </c>
    </row>
    <row r="565" spans="1:16" x14ac:dyDescent="0.25">
      <c r="A565" s="2" t="s">
        <v>1481</v>
      </c>
      <c r="B565" s="2" t="s">
        <v>7381</v>
      </c>
      <c r="C565" s="2">
        <v>2085</v>
      </c>
      <c r="D565" s="2" t="s">
        <v>7382</v>
      </c>
      <c r="E565" s="2" t="s">
        <v>6748</v>
      </c>
      <c r="F565" s="2" t="s">
        <v>58</v>
      </c>
      <c r="G565" s="2">
        <v>25521.34</v>
      </c>
      <c r="H565" s="2">
        <v>12567.6</v>
      </c>
      <c r="I565" s="2" t="s">
        <v>6759</v>
      </c>
      <c r="J565" s="2" t="s">
        <v>6700</v>
      </c>
      <c r="K565" s="2" t="s">
        <v>32</v>
      </c>
      <c r="L565" s="2" t="s">
        <v>55</v>
      </c>
      <c r="M565" s="2">
        <v>5</v>
      </c>
      <c r="N565" s="2" t="s">
        <v>33</v>
      </c>
      <c r="O565" s="2" t="s">
        <v>70</v>
      </c>
      <c r="P565" s="2" t="s">
        <v>49</v>
      </c>
    </row>
    <row r="566" spans="1:16" x14ac:dyDescent="0.25">
      <c r="A566" s="2" t="s">
        <v>1483</v>
      </c>
      <c r="B566" s="2" t="s">
        <v>5440</v>
      </c>
      <c r="C566" s="2">
        <v>5496</v>
      </c>
      <c r="D566" s="2" t="s">
        <v>7383</v>
      </c>
      <c r="E566" s="2" t="s">
        <v>38</v>
      </c>
      <c r="F566" s="2" t="s">
        <v>58</v>
      </c>
      <c r="G566" s="2">
        <v>11636.8</v>
      </c>
      <c r="H566" s="2">
        <v>6290.35</v>
      </c>
      <c r="I566" s="2" t="s">
        <v>68</v>
      </c>
      <c r="J566" s="2" t="s">
        <v>41</v>
      </c>
      <c r="K566" s="2" t="s">
        <v>42</v>
      </c>
      <c r="L566" s="2" t="s">
        <v>43</v>
      </c>
      <c r="M566" s="2">
        <v>4</v>
      </c>
      <c r="N566" s="2" t="s">
        <v>33</v>
      </c>
      <c r="O566" s="2" t="s">
        <v>25</v>
      </c>
      <c r="P566" s="2" t="s">
        <v>26</v>
      </c>
    </row>
    <row r="567" spans="1:16" x14ac:dyDescent="0.25">
      <c r="A567" s="2" t="s">
        <v>1486</v>
      </c>
      <c r="B567" s="2" t="s">
        <v>7384</v>
      </c>
      <c r="C567" s="2">
        <v>9740</v>
      </c>
      <c r="D567" s="2" t="s">
        <v>7385</v>
      </c>
      <c r="E567" s="2" t="s">
        <v>6694</v>
      </c>
      <c r="F567" s="2" t="s">
        <v>47</v>
      </c>
      <c r="G567" s="2">
        <v>5038.03</v>
      </c>
      <c r="H567" s="2">
        <v>2283.5100000000002</v>
      </c>
      <c r="I567" s="2" t="s">
        <v>6704</v>
      </c>
      <c r="J567" s="2" t="s">
        <v>6732</v>
      </c>
      <c r="K567" s="2" t="s">
        <v>80</v>
      </c>
      <c r="L567" s="2" t="s">
        <v>55</v>
      </c>
      <c r="M567" s="2">
        <v>4</v>
      </c>
      <c r="N567" s="2" t="s">
        <v>24</v>
      </c>
      <c r="O567" s="2" t="s">
        <v>25</v>
      </c>
      <c r="P567" s="2" t="s">
        <v>34</v>
      </c>
    </row>
    <row r="568" spans="1:16" x14ac:dyDescent="0.25">
      <c r="A568" s="2" t="s">
        <v>1489</v>
      </c>
      <c r="B568" s="2" t="s">
        <v>1459</v>
      </c>
      <c r="C568" s="2">
        <v>2989</v>
      </c>
      <c r="D568" s="2" t="s">
        <v>7386</v>
      </c>
      <c r="E568" s="2" t="s">
        <v>38</v>
      </c>
      <c r="F568" s="2" t="s">
        <v>39</v>
      </c>
      <c r="G568" s="2">
        <v>47430.28</v>
      </c>
      <c r="H568" s="2">
        <v>22318.26</v>
      </c>
      <c r="I568" s="2" t="s">
        <v>120</v>
      </c>
      <c r="J568" s="2" t="s">
        <v>21</v>
      </c>
      <c r="K568" s="2" t="s">
        <v>32</v>
      </c>
      <c r="L568" s="2" t="s">
        <v>55</v>
      </c>
      <c r="M568" s="2">
        <v>1</v>
      </c>
      <c r="N568" s="2" t="s">
        <v>33</v>
      </c>
      <c r="O568" s="2" t="s">
        <v>70</v>
      </c>
      <c r="P568" s="2" t="s">
        <v>49</v>
      </c>
    </row>
    <row r="569" spans="1:16" x14ac:dyDescent="0.25">
      <c r="A569" s="2" t="s">
        <v>1491</v>
      </c>
      <c r="B569" s="2" t="s">
        <v>530</v>
      </c>
      <c r="C569" s="2">
        <v>1080</v>
      </c>
      <c r="D569" s="2" t="s">
        <v>7387</v>
      </c>
      <c r="E569" s="2" t="s">
        <v>18</v>
      </c>
      <c r="F569" s="2" t="s">
        <v>58</v>
      </c>
      <c r="G569" s="2">
        <v>26412.67</v>
      </c>
      <c r="H569" s="2">
        <v>16032.2</v>
      </c>
      <c r="I569" s="2" t="s">
        <v>63</v>
      </c>
      <c r="J569" s="2" t="s">
        <v>54</v>
      </c>
      <c r="K569" s="2" t="s">
        <v>22</v>
      </c>
      <c r="L569" s="2" t="s">
        <v>55</v>
      </c>
      <c r="M569" s="2">
        <v>3</v>
      </c>
      <c r="N569" s="2" t="s">
        <v>33</v>
      </c>
      <c r="O569" s="2" t="s">
        <v>25</v>
      </c>
      <c r="P569" s="2" t="s">
        <v>49</v>
      </c>
    </row>
    <row r="570" spans="1:16" x14ac:dyDescent="0.25">
      <c r="A570" s="2" t="s">
        <v>1494</v>
      </c>
      <c r="B570" s="2" t="s">
        <v>1165</v>
      </c>
      <c r="C570" s="2">
        <v>3069</v>
      </c>
      <c r="D570" s="2" t="s">
        <v>7388</v>
      </c>
      <c r="E570" s="2" t="s">
        <v>38</v>
      </c>
      <c r="F570" s="2" t="s">
        <v>58</v>
      </c>
      <c r="G570" s="2">
        <v>40687.910000000003</v>
      </c>
      <c r="H570" s="2">
        <v>24437.439999999999</v>
      </c>
      <c r="I570" s="2" t="s">
        <v>84</v>
      </c>
      <c r="J570" s="2" t="s">
        <v>54</v>
      </c>
      <c r="K570" s="2" t="s">
        <v>80</v>
      </c>
      <c r="L570" s="2" t="s">
        <v>48</v>
      </c>
      <c r="M570" s="2">
        <v>4</v>
      </c>
      <c r="N570" s="2" t="s">
        <v>24</v>
      </c>
      <c r="O570" s="2" t="s">
        <v>25</v>
      </c>
      <c r="P570" s="2" t="s">
        <v>26</v>
      </c>
    </row>
    <row r="571" spans="1:16" x14ac:dyDescent="0.25">
      <c r="A571" s="2" t="s">
        <v>1496</v>
      </c>
      <c r="B571" s="2" t="s">
        <v>1122</v>
      </c>
      <c r="C571" s="2">
        <v>5322</v>
      </c>
      <c r="D571" s="2" t="s">
        <v>7389</v>
      </c>
      <c r="E571" s="2" t="s">
        <v>6719</v>
      </c>
      <c r="F571" s="2" t="s">
        <v>39</v>
      </c>
      <c r="G571" s="2">
        <v>38094.480000000003</v>
      </c>
      <c r="H571" s="2">
        <v>19832.060000000001</v>
      </c>
      <c r="I571" s="2" t="s">
        <v>6794</v>
      </c>
      <c r="J571" s="2" t="s">
        <v>6724</v>
      </c>
      <c r="K571" s="2" t="s">
        <v>32</v>
      </c>
      <c r="L571" s="2" t="s">
        <v>48</v>
      </c>
      <c r="M571" s="2">
        <v>2</v>
      </c>
      <c r="N571" s="2" t="s">
        <v>24</v>
      </c>
      <c r="O571" s="2" t="s">
        <v>25</v>
      </c>
      <c r="P571" s="2" t="s">
        <v>34</v>
      </c>
    </row>
    <row r="572" spans="1:16" x14ac:dyDescent="0.25">
      <c r="A572" s="2" t="s">
        <v>1498</v>
      </c>
      <c r="B572" s="2" t="s">
        <v>107</v>
      </c>
      <c r="C572" s="2">
        <v>6134</v>
      </c>
      <c r="D572" s="2" t="s">
        <v>7390</v>
      </c>
      <c r="E572" s="2" t="s">
        <v>38</v>
      </c>
      <c r="F572" s="2" t="s">
        <v>39</v>
      </c>
      <c r="G572" s="2">
        <v>45571.360000000001</v>
      </c>
      <c r="H572" s="2">
        <v>26479.599999999999</v>
      </c>
      <c r="I572" s="2" t="s">
        <v>63</v>
      </c>
      <c r="J572" s="2" t="s">
        <v>54</v>
      </c>
      <c r="K572" s="2" t="s">
        <v>22</v>
      </c>
      <c r="L572" s="2" t="s">
        <v>23</v>
      </c>
      <c r="M572" s="2">
        <v>2</v>
      </c>
      <c r="N572" s="2" t="s">
        <v>69</v>
      </c>
      <c r="O572" s="2" t="s">
        <v>25</v>
      </c>
      <c r="P572" s="2" t="s">
        <v>34</v>
      </c>
    </row>
    <row r="573" spans="1:16" x14ac:dyDescent="0.25">
      <c r="A573" s="2" t="s">
        <v>1500</v>
      </c>
      <c r="B573" s="2" t="s">
        <v>1326</v>
      </c>
      <c r="C573" s="2">
        <v>6032</v>
      </c>
      <c r="D573" s="2" t="s">
        <v>7391</v>
      </c>
      <c r="E573" s="2" t="s">
        <v>6694</v>
      </c>
      <c r="F573" s="2" t="s">
        <v>58</v>
      </c>
      <c r="G573" s="2">
        <v>13449.72</v>
      </c>
      <c r="H573" s="2">
        <v>8409.2900000000009</v>
      </c>
      <c r="I573" s="2" t="s">
        <v>6794</v>
      </c>
      <c r="J573" s="2" t="s">
        <v>6696</v>
      </c>
      <c r="K573" s="2" t="s">
        <v>22</v>
      </c>
      <c r="L573" s="2" t="s">
        <v>23</v>
      </c>
      <c r="M573" s="2">
        <v>1</v>
      </c>
      <c r="N573" s="2" t="s">
        <v>69</v>
      </c>
      <c r="O573" s="2" t="s">
        <v>25</v>
      </c>
      <c r="P573" s="2" t="s">
        <v>26</v>
      </c>
    </row>
    <row r="574" spans="1:16" x14ac:dyDescent="0.25">
      <c r="A574" s="2" t="s">
        <v>1503</v>
      </c>
      <c r="B574" s="2" t="s">
        <v>7392</v>
      </c>
      <c r="C574" s="2">
        <v>9227</v>
      </c>
      <c r="D574" s="2" t="s">
        <v>7393</v>
      </c>
      <c r="E574" s="2" t="s">
        <v>6719</v>
      </c>
      <c r="F574" s="2" t="s">
        <v>58</v>
      </c>
      <c r="G574" s="2">
        <v>32151.95</v>
      </c>
      <c r="H574" s="2">
        <v>14810.2</v>
      </c>
      <c r="I574" s="2" t="s">
        <v>6739</v>
      </c>
      <c r="J574" s="2" t="s">
        <v>6691</v>
      </c>
      <c r="K574" s="2" t="s">
        <v>42</v>
      </c>
      <c r="L574" s="2" t="s">
        <v>88</v>
      </c>
      <c r="M574" s="2">
        <v>1</v>
      </c>
      <c r="N574" s="2" t="s">
        <v>33</v>
      </c>
      <c r="O574" s="2" t="s">
        <v>25</v>
      </c>
      <c r="P574" s="2" t="s">
        <v>34</v>
      </c>
    </row>
    <row r="575" spans="1:16" x14ac:dyDescent="0.25">
      <c r="A575" s="2" t="s">
        <v>1505</v>
      </c>
      <c r="B575" s="2" t="s">
        <v>591</v>
      </c>
      <c r="C575" s="2">
        <v>2819</v>
      </c>
      <c r="D575" s="2" t="s">
        <v>5134</v>
      </c>
      <c r="E575" s="2" t="s">
        <v>18</v>
      </c>
      <c r="F575" s="2" t="s">
        <v>30</v>
      </c>
      <c r="G575" s="2">
        <v>23470.02</v>
      </c>
      <c r="H575" s="2">
        <v>14762.92</v>
      </c>
      <c r="I575" s="2" t="s">
        <v>31</v>
      </c>
      <c r="J575" s="2" t="s">
        <v>21</v>
      </c>
      <c r="K575" s="2" t="s">
        <v>42</v>
      </c>
      <c r="L575" s="2" t="s">
        <v>23</v>
      </c>
      <c r="M575" s="2">
        <v>1</v>
      </c>
      <c r="N575" s="2" t="s">
        <v>24</v>
      </c>
      <c r="O575" s="2" t="s">
        <v>25</v>
      </c>
      <c r="P575" s="2" t="s">
        <v>49</v>
      </c>
    </row>
    <row r="576" spans="1:16" x14ac:dyDescent="0.25">
      <c r="A576" s="2" t="s">
        <v>1507</v>
      </c>
      <c r="B576" s="2" t="s">
        <v>5052</v>
      </c>
      <c r="C576" s="2">
        <v>9112</v>
      </c>
      <c r="D576" s="2" t="s">
        <v>7394</v>
      </c>
      <c r="E576" s="2" t="s">
        <v>18</v>
      </c>
      <c r="F576" s="2" t="s">
        <v>58</v>
      </c>
      <c r="G576" s="2">
        <v>21492.12</v>
      </c>
      <c r="H576" s="2">
        <v>10546.51</v>
      </c>
      <c r="I576" s="2" t="s">
        <v>53</v>
      </c>
      <c r="J576" s="2" t="s">
        <v>54</v>
      </c>
      <c r="K576" s="2" t="s">
        <v>42</v>
      </c>
      <c r="L576" s="2" t="s">
        <v>48</v>
      </c>
      <c r="M576" s="2">
        <v>5</v>
      </c>
      <c r="N576" s="2" t="s">
        <v>33</v>
      </c>
      <c r="O576" s="2" t="s">
        <v>25</v>
      </c>
      <c r="P576" s="2" t="s">
        <v>26</v>
      </c>
    </row>
    <row r="577" spans="1:16" x14ac:dyDescent="0.25">
      <c r="A577" s="2" t="s">
        <v>1509</v>
      </c>
      <c r="B577" s="2" t="s">
        <v>7395</v>
      </c>
      <c r="C577" s="2">
        <v>3789</v>
      </c>
      <c r="D577" s="2" t="s">
        <v>5016</v>
      </c>
      <c r="E577" s="2" t="s">
        <v>6698</v>
      </c>
      <c r="F577" s="2" t="s">
        <v>19</v>
      </c>
      <c r="G577" s="2">
        <v>16726.150000000001</v>
      </c>
      <c r="H577" s="2">
        <v>8084.23</v>
      </c>
      <c r="I577" s="2" t="s">
        <v>120</v>
      </c>
      <c r="J577" s="2" t="s">
        <v>6802</v>
      </c>
      <c r="K577" s="2" t="s">
        <v>42</v>
      </c>
      <c r="L577" s="2" t="s">
        <v>64</v>
      </c>
      <c r="M577" s="2">
        <v>2</v>
      </c>
      <c r="N577" s="2" t="s">
        <v>69</v>
      </c>
      <c r="O577" s="2" t="s">
        <v>70</v>
      </c>
      <c r="P577" s="2" t="s">
        <v>34</v>
      </c>
    </row>
    <row r="578" spans="1:16" x14ac:dyDescent="0.25">
      <c r="A578" s="2" t="s">
        <v>1511</v>
      </c>
      <c r="B578" s="2" t="s">
        <v>5107</v>
      </c>
      <c r="C578" s="2">
        <v>9000</v>
      </c>
      <c r="D578" s="2" t="s">
        <v>7396</v>
      </c>
      <c r="E578" s="2" t="s">
        <v>18</v>
      </c>
      <c r="F578" s="2" t="s">
        <v>30</v>
      </c>
      <c r="G578" s="2">
        <v>58121.85</v>
      </c>
      <c r="H578" s="2">
        <v>26679.98</v>
      </c>
      <c r="I578" s="2" t="s">
        <v>20</v>
      </c>
      <c r="J578" s="2" t="s">
        <v>21</v>
      </c>
      <c r="K578" s="2" t="s">
        <v>22</v>
      </c>
      <c r="L578" s="2" t="s">
        <v>43</v>
      </c>
      <c r="M578" s="2">
        <v>3</v>
      </c>
      <c r="N578" s="2" t="s">
        <v>69</v>
      </c>
      <c r="O578" s="2" t="s">
        <v>25</v>
      </c>
      <c r="P578" s="2" t="s">
        <v>26</v>
      </c>
    </row>
    <row r="579" spans="1:16" x14ac:dyDescent="0.25">
      <c r="A579" s="2" t="s">
        <v>1513</v>
      </c>
      <c r="B579" s="2" t="s">
        <v>501</v>
      </c>
      <c r="C579" s="2">
        <v>6747</v>
      </c>
      <c r="D579" s="2" t="s">
        <v>7397</v>
      </c>
      <c r="E579" s="2" t="s">
        <v>38</v>
      </c>
      <c r="F579" s="2" t="s">
        <v>39</v>
      </c>
      <c r="G579" s="2">
        <v>36115.599999999999</v>
      </c>
      <c r="H579" s="2">
        <v>18083.349999999999</v>
      </c>
      <c r="I579" s="2" t="s">
        <v>20</v>
      </c>
      <c r="J579" s="2" t="s">
        <v>21</v>
      </c>
      <c r="K579" s="2" t="s">
        <v>80</v>
      </c>
      <c r="L579" s="2" t="s">
        <v>55</v>
      </c>
      <c r="M579" s="2">
        <v>3</v>
      </c>
      <c r="N579" s="2" t="s">
        <v>33</v>
      </c>
      <c r="O579" s="2" t="s">
        <v>25</v>
      </c>
      <c r="P579" s="2" t="s">
        <v>49</v>
      </c>
    </row>
    <row r="580" spans="1:16" x14ac:dyDescent="0.25">
      <c r="A580" s="2" t="s">
        <v>1516</v>
      </c>
      <c r="B580" s="2" t="s">
        <v>1560</v>
      </c>
      <c r="C580" s="2">
        <v>1339</v>
      </c>
      <c r="D580" s="2" t="s">
        <v>3179</v>
      </c>
      <c r="E580" s="2" t="s">
        <v>18</v>
      </c>
      <c r="F580" s="2" t="s">
        <v>30</v>
      </c>
      <c r="G580" s="2">
        <v>62580.4</v>
      </c>
      <c r="H580" s="2">
        <v>38878.269999999997</v>
      </c>
      <c r="I580" s="2" t="s">
        <v>40</v>
      </c>
      <c r="J580" s="2" t="s">
        <v>41</v>
      </c>
      <c r="K580" s="2" t="s">
        <v>32</v>
      </c>
      <c r="L580" s="2" t="s">
        <v>88</v>
      </c>
      <c r="M580" s="2">
        <v>4</v>
      </c>
      <c r="N580" s="2" t="s">
        <v>33</v>
      </c>
      <c r="O580" s="2" t="s">
        <v>25</v>
      </c>
      <c r="P580" s="2" t="s">
        <v>49</v>
      </c>
    </row>
    <row r="581" spans="1:16" x14ac:dyDescent="0.25">
      <c r="A581" s="2" t="s">
        <v>1519</v>
      </c>
      <c r="B581" s="2" t="s">
        <v>7398</v>
      </c>
      <c r="C581" s="2">
        <v>2768</v>
      </c>
      <c r="D581" s="2" t="s">
        <v>1795</v>
      </c>
      <c r="E581" s="2" t="s">
        <v>6698</v>
      </c>
      <c r="F581" s="2" t="s">
        <v>58</v>
      </c>
      <c r="G581" s="2">
        <v>60681.49</v>
      </c>
      <c r="H581" s="2">
        <v>35544.81</v>
      </c>
      <c r="I581" s="2" t="s">
        <v>6739</v>
      </c>
      <c r="J581" s="2" t="s">
        <v>6729</v>
      </c>
      <c r="K581" s="2" t="s">
        <v>80</v>
      </c>
      <c r="L581" s="2" t="s">
        <v>43</v>
      </c>
      <c r="M581" s="2">
        <v>2</v>
      </c>
      <c r="N581" s="2" t="s">
        <v>33</v>
      </c>
      <c r="O581" s="2" t="s">
        <v>70</v>
      </c>
      <c r="P581" s="2" t="s">
        <v>34</v>
      </c>
    </row>
    <row r="582" spans="1:16" x14ac:dyDescent="0.25">
      <c r="A582" s="2" t="s">
        <v>1521</v>
      </c>
      <c r="B582" s="2" t="s">
        <v>1736</v>
      </c>
      <c r="C582" s="2">
        <v>8455</v>
      </c>
      <c r="D582" s="2" t="s">
        <v>7399</v>
      </c>
      <c r="E582" s="2" t="s">
        <v>38</v>
      </c>
      <c r="F582" s="2" t="s">
        <v>19</v>
      </c>
      <c r="G582" s="2">
        <v>11522.89</v>
      </c>
      <c r="H582" s="2">
        <v>7419.52</v>
      </c>
      <c r="I582" s="2" t="s">
        <v>84</v>
      </c>
      <c r="J582" s="2" t="s">
        <v>54</v>
      </c>
      <c r="K582" s="2" t="s">
        <v>80</v>
      </c>
      <c r="L582" s="2" t="s">
        <v>48</v>
      </c>
      <c r="M582" s="2">
        <v>2</v>
      </c>
      <c r="N582" s="2" t="s">
        <v>24</v>
      </c>
      <c r="O582" s="2" t="s">
        <v>25</v>
      </c>
      <c r="P582" s="2" t="s">
        <v>34</v>
      </c>
    </row>
    <row r="583" spans="1:16" x14ac:dyDescent="0.25">
      <c r="A583" s="2" t="s">
        <v>1523</v>
      </c>
      <c r="B583" s="2" t="s">
        <v>3891</v>
      </c>
      <c r="C583" s="2">
        <v>8436</v>
      </c>
      <c r="D583" s="2" t="s">
        <v>7400</v>
      </c>
      <c r="E583" s="2" t="s">
        <v>18</v>
      </c>
      <c r="F583" s="2" t="s">
        <v>30</v>
      </c>
      <c r="G583" s="2">
        <v>20898.560000000001</v>
      </c>
      <c r="H583" s="2">
        <v>12854.58</v>
      </c>
      <c r="I583" s="2" t="s">
        <v>120</v>
      </c>
      <c r="J583" s="2" t="s">
        <v>21</v>
      </c>
      <c r="K583" s="2" t="s">
        <v>22</v>
      </c>
      <c r="L583" s="2" t="s">
        <v>55</v>
      </c>
      <c r="M583" s="2">
        <v>4</v>
      </c>
      <c r="N583" s="2" t="s">
        <v>33</v>
      </c>
      <c r="O583" s="2" t="s">
        <v>25</v>
      </c>
      <c r="P583" s="2" t="s">
        <v>49</v>
      </c>
    </row>
    <row r="584" spans="1:16" x14ac:dyDescent="0.25">
      <c r="A584" s="2" t="s">
        <v>1526</v>
      </c>
      <c r="B584" s="2" t="s">
        <v>1620</v>
      </c>
      <c r="C584" s="2">
        <v>3540</v>
      </c>
      <c r="D584" s="2" t="s">
        <v>7401</v>
      </c>
      <c r="E584" s="2" t="s">
        <v>6743</v>
      </c>
      <c r="F584" s="2" t="s">
        <v>39</v>
      </c>
      <c r="G584" s="2">
        <v>36642.61</v>
      </c>
      <c r="H584" s="2">
        <v>17534.55</v>
      </c>
      <c r="I584" s="2" t="s">
        <v>6808</v>
      </c>
      <c r="J584" s="2" t="s">
        <v>6686</v>
      </c>
      <c r="K584" s="2" t="s">
        <v>32</v>
      </c>
      <c r="L584" s="2" t="s">
        <v>64</v>
      </c>
      <c r="M584" s="2">
        <v>5</v>
      </c>
      <c r="N584" s="2" t="s">
        <v>69</v>
      </c>
      <c r="O584" s="2" t="s">
        <v>25</v>
      </c>
      <c r="P584" s="2" t="s">
        <v>26</v>
      </c>
    </row>
    <row r="585" spans="1:16" x14ac:dyDescent="0.25">
      <c r="A585" s="2" t="s">
        <v>1528</v>
      </c>
      <c r="B585" s="2" t="s">
        <v>846</v>
      </c>
      <c r="C585" s="2">
        <v>6091</v>
      </c>
      <c r="D585" s="2" t="s">
        <v>7402</v>
      </c>
      <c r="E585" s="2" t="s">
        <v>6703</v>
      </c>
      <c r="F585" s="2" t="s">
        <v>39</v>
      </c>
      <c r="G585" s="2">
        <v>32011.19</v>
      </c>
      <c r="H585" s="2">
        <v>18751.66</v>
      </c>
      <c r="I585" s="2" t="s">
        <v>6845</v>
      </c>
      <c r="J585" s="2" t="s">
        <v>6696</v>
      </c>
      <c r="K585" s="2" t="s">
        <v>42</v>
      </c>
      <c r="L585" s="2" t="s">
        <v>43</v>
      </c>
      <c r="M585" s="2">
        <v>2</v>
      </c>
      <c r="N585" s="2" t="s">
        <v>24</v>
      </c>
      <c r="O585" s="2" t="s">
        <v>25</v>
      </c>
      <c r="P585" s="2" t="s">
        <v>26</v>
      </c>
    </row>
    <row r="586" spans="1:16" x14ac:dyDescent="0.25">
      <c r="A586" s="2" t="s">
        <v>1531</v>
      </c>
      <c r="B586" s="2" t="s">
        <v>2096</v>
      </c>
      <c r="C586" s="2">
        <v>8158</v>
      </c>
      <c r="D586" s="2" t="s">
        <v>7403</v>
      </c>
      <c r="E586" s="2" t="s">
        <v>18</v>
      </c>
      <c r="F586" s="2" t="s">
        <v>47</v>
      </c>
      <c r="G586" s="2">
        <v>5841.02</v>
      </c>
      <c r="H586" s="2">
        <v>3144.69</v>
      </c>
      <c r="I586" s="2" t="s">
        <v>84</v>
      </c>
      <c r="J586" s="2" t="s">
        <v>54</v>
      </c>
      <c r="K586" s="2" t="s">
        <v>42</v>
      </c>
      <c r="L586" s="2" t="s">
        <v>43</v>
      </c>
      <c r="M586" s="2">
        <v>3</v>
      </c>
      <c r="N586" s="2" t="s">
        <v>24</v>
      </c>
      <c r="O586" s="2" t="s">
        <v>25</v>
      </c>
      <c r="P586" s="2" t="s">
        <v>34</v>
      </c>
    </row>
    <row r="587" spans="1:16" x14ac:dyDescent="0.25">
      <c r="A587" s="2" t="s">
        <v>1534</v>
      </c>
      <c r="B587" s="2" t="s">
        <v>1506</v>
      </c>
      <c r="C587" s="2">
        <v>5954</v>
      </c>
      <c r="D587" s="2" t="s">
        <v>7404</v>
      </c>
      <c r="E587" s="2" t="s">
        <v>18</v>
      </c>
      <c r="F587" s="2" t="s">
        <v>58</v>
      </c>
      <c r="G587" s="2">
        <v>36839.910000000003</v>
      </c>
      <c r="H587" s="2">
        <v>19327.04</v>
      </c>
      <c r="I587" s="2" t="s">
        <v>31</v>
      </c>
      <c r="J587" s="2" t="s">
        <v>21</v>
      </c>
      <c r="K587" s="2" t="s">
        <v>42</v>
      </c>
      <c r="L587" s="2" t="s">
        <v>55</v>
      </c>
      <c r="M587" s="2">
        <v>4</v>
      </c>
      <c r="N587" s="2" t="s">
        <v>33</v>
      </c>
      <c r="O587" s="2" t="s">
        <v>70</v>
      </c>
      <c r="P587" s="2" t="s">
        <v>34</v>
      </c>
    </row>
    <row r="588" spans="1:16" x14ac:dyDescent="0.25">
      <c r="A588" s="2" t="s">
        <v>1536</v>
      </c>
      <c r="B588" s="2" t="s">
        <v>7405</v>
      </c>
      <c r="C588" s="2">
        <v>2753</v>
      </c>
      <c r="D588" s="2" t="s">
        <v>2943</v>
      </c>
      <c r="E588" s="2" t="s">
        <v>38</v>
      </c>
      <c r="F588" s="2" t="s">
        <v>47</v>
      </c>
      <c r="G588" s="2">
        <v>5585.2</v>
      </c>
      <c r="H588" s="2">
        <v>3431.48</v>
      </c>
      <c r="I588" s="2" t="s">
        <v>59</v>
      </c>
      <c r="J588" s="2" t="s">
        <v>41</v>
      </c>
      <c r="K588" s="2" t="s">
        <v>80</v>
      </c>
      <c r="L588" s="2" t="s">
        <v>48</v>
      </c>
      <c r="M588" s="2">
        <v>3</v>
      </c>
      <c r="N588" s="2" t="s">
        <v>69</v>
      </c>
      <c r="O588" s="2" t="s">
        <v>25</v>
      </c>
      <c r="P588" s="2" t="s">
        <v>49</v>
      </c>
    </row>
    <row r="589" spans="1:16" x14ac:dyDescent="0.25">
      <c r="A589" s="2" t="s">
        <v>1539</v>
      </c>
      <c r="B589" s="2" t="s">
        <v>7406</v>
      </c>
      <c r="C589" s="2">
        <v>3234</v>
      </c>
      <c r="D589" s="2" t="s">
        <v>7407</v>
      </c>
      <c r="E589" s="2" t="s">
        <v>18</v>
      </c>
      <c r="F589" s="2" t="s">
        <v>19</v>
      </c>
      <c r="G589" s="2">
        <v>18950</v>
      </c>
      <c r="H589" s="2">
        <v>10951.84</v>
      </c>
      <c r="I589" s="2" t="s">
        <v>20</v>
      </c>
      <c r="J589" s="2" t="s">
        <v>21</v>
      </c>
      <c r="K589" s="2" t="s">
        <v>32</v>
      </c>
      <c r="L589" s="2" t="s">
        <v>88</v>
      </c>
      <c r="M589" s="2">
        <v>3</v>
      </c>
      <c r="N589" s="2" t="s">
        <v>24</v>
      </c>
      <c r="O589" s="2" t="s">
        <v>70</v>
      </c>
      <c r="P589" s="2" t="s">
        <v>34</v>
      </c>
    </row>
    <row r="590" spans="1:16" x14ac:dyDescent="0.25">
      <c r="A590" s="2" t="s">
        <v>1541</v>
      </c>
      <c r="B590" s="2" t="s">
        <v>1763</v>
      </c>
      <c r="C590" s="2">
        <v>2587</v>
      </c>
      <c r="D590" s="2" t="s">
        <v>2767</v>
      </c>
      <c r="E590" s="2" t="s">
        <v>18</v>
      </c>
      <c r="F590" s="2" t="s">
        <v>58</v>
      </c>
      <c r="G590" s="2">
        <v>21471.23</v>
      </c>
      <c r="H590" s="2">
        <v>11696.42</v>
      </c>
      <c r="I590" s="2" t="s">
        <v>63</v>
      </c>
      <c r="J590" s="2" t="s">
        <v>54</v>
      </c>
      <c r="K590" s="2" t="s">
        <v>80</v>
      </c>
      <c r="L590" s="2" t="s">
        <v>64</v>
      </c>
      <c r="M590" s="2">
        <v>1</v>
      </c>
      <c r="N590" s="2" t="s">
        <v>69</v>
      </c>
      <c r="O590" s="2" t="s">
        <v>25</v>
      </c>
      <c r="P590" s="2" t="s">
        <v>34</v>
      </c>
    </row>
    <row r="591" spans="1:16" x14ac:dyDescent="0.25">
      <c r="A591" s="2" t="s">
        <v>1543</v>
      </c>
      <c r="B591" s="2" t="s">
        <v>7408</v>
      </c>
      <c r="C591" s="2">
        <v>3018</v>
      </c>
      <c r="D591" s="2" t="s">
        <v>7409</v>
      </c>
      <c r="E591" s="2" t="s">
        <v>6698</v>
      </c>
      <c r="F591" s="2" t="s">
        <v>39</v>
      </c>
      <c r="G591" s="2">
        <v>10200.040000000001</v>
      </c>
      <c r="H591" s="2">
        <v>4634.2</v>
      </c>
      <c r="I591" s="2" t="s">
        <v>40</v>
      </c>
      <c r="J591" s="2" t="s">
        <v>6793</v>
      </c>
      <c r="K591" s="2" t="s">
        <v>32</v>
      </c>
      <c r="L591" s="2" t="s">
        <v>48</v>
      </c>
      <c r="M591" s="2">
        <v>2</v>
      </c>
      <c r="N591" s="2" t="s">
        <v>33</v>
      </c>
      <c r="O591" s="2" t="s">
        <v>70</v>
      </c>
      <c r="P591" s="2" t="s">
        <v>49</v>
      </c>
    </row>
    <row r="592" spans="1:16" x14ac:dyDescent="0.25">
      <c r="A592" s="2" t="s">
        <v>1545</v>
      </c>
      <c r="B592" s="2" t="s">
        <v>900</v>
      </c>
      <c r="C592" s="2">
        <v>7830</v>
      </c>
      <c r="D592" s="2" t="s">
        <v>7410</v>
      </c>
      <c r="E592" s="2" t="s">
        <v>38</v>
      </c>
      <c r="F592" s="2" t="s">
        <v>39</v>
      </c>
      <c r="G592" s="2">
        <v>11889.5</v>
      </c>
      <c r="H592" s="2">
        <v>6024.22</v>
      </c>
      <c r="I592" s="2" t="s">
        <v>31</v>
      </c>
      <c r="J592" s="2" t="s">
        <v>21</v>
      </c>
      <c r="K592" s="2" t="s">
        <v>22</v>
      </c>
      <c r="L592" s="2" t="s">
        <v>43</v>
      </c>
      <c r="M592" s="2">
        <v>4</v>
      </c>
      <c r="N592" s="2" t="s">
        <v>33</v>
      </c>
      <c r="O592" s="2" t="s">
        <v>25</v>
      </c>
      <c r="P592" s="2" t="s">
        <v>49</v>
      </c>
    </row>
    <row r="593" spans="1:16" x14ac:dyDescent="0.25">
      <c r="A593" s="2" t="s">
        <v>1548</v>
      </c>
      <c r="B593" s="2" t="s">
        <v>7411</v>
      </c>
      <c r="C593" s="2">
        <v>8509</v>
      </c>
      <c r="D593" s="2" t="s">
        <v>7412</v>
      </c>
      <c r="E593" s="2" t="s">
        <v>6680</v>
      </c>
      <c r="F593" s="2" t="s">
        <v>58</v>
      </c>
      <c r="G593" s="2">
        <v>10421.799999999999</v>
      </c>
      <c r="H593" s="2">
        <v>5019.79</v>
      </c>
      <c r="I593" s="2" t="s">
        <v>6845</v>
      </c>
      <c r="J593" s="2" t="s">
        <v>6724</v>
      </c>
      <c r="K593" s="2" t="s">
        <v>32</v>
      </c>
      <c r="L593" s="2" t="s">
        <v>88</v>
      </c>
      <c r="M593" s="2">
        <v>5</v>
      </c>
      <c r="N593" s="2" t="s">
        <v>33</v>
      </c>
      <c r="O593" s="2" t="s">
        <v>25</v>
      </c>
      <c r="P593" s="2" t="s">
        <v>49</v>
      </c>
    </row>
    <row r="594" spans="1:16" x14ac:dyDescent="0.25">
      <c r="A594" s="2" t="s">
        <v>1550</v>
      </c>
      <c r="B594" s="2" t="s">
        <v>897</v>
      </c>
      <c r="C594" s="2">
        <v>2117</v>
      </c>
      <c r="D594" s="2" t="s">
        <v>7413</v>
      </c>
      <c r="E594" s="2" t="s">
        <v>38</v>
      </c>
      <c r="F594" s="2" t="s">
        <v>39</v>
      </c>
      <c r="G594" s="2">
        <v>24281.56</v>
      </c>
      <c r="H594" s="2">
        <v>13217.68</v>
      </c>
      <c r="I594" s="2" t="s">
        <v>20</v>
      </c>
      <c r="J594" s="2" t="s">
        <v>21</v>
      </c>
      <c r="K594" s="2" t="s">
        <v>32</v>
      </c>
      <c r="L594" s="2" t="s">
        <v>43</v>
      </c>
      <c r="M594" s="2">
        <v>5</v>
      </c>
      <c r="N594" s="2" t="s">
        <v>24</v>
      </c>
      <c r="O594" s="2" t="s">
        <v>25</v>
      </c>
      <c r="P594" s="2" t="s">
        <v>26</v>
      </c>
    </row>
    <row r="595" spans="1:16" x14ac:dyDescent="0.25">
      <c r="A595" s="2" t="s">
        <v>1552</v>
      </c>
      <c r="B595" s="2" t="s">
        <v>7414</v>
      </c>
      <c r="C595" s="2">
        <v>1736</v>
      </c>
      <c r="D595" s="2" t="s">
        <v>6083</v>
      </c>
      <c r="E595" s="2" t="s">
        <v>18</v>
      </c>
      <c r="F595" s="2" t="s">
        <v>39</v>
      </c>
      <c r="G595" s="2">
        <v>40384.58</v>
      </c>
      <c r="H595" s="2">
        <v>19458.740000000002</v>
      </c>
      <c r="I595" s="2" t="s">
        <v>31</v>
      </c>
      <c r="J595" s="2" t="s">
        <v>21</v>
      </c>
      <c r="K595" s="2" t="s">
        <v>22</v>
      </c>
      <c r="L595" s="2" t="s">
        <v>48</v>
      </c>
      <c r="M595" s="2">
        <v>1</v>
      </c>
      <c r="N595" s="2" t="s">
        <v>24</v>
      </c>
      <c r="O595" s="2" t="s">
        <v>70</v>
      </c>
      <c r="P595" s="2" t="s">
        <v>34</v>
      </c>
    </row>
    <row r="596" spans="1:16" x14ac:dyDescent="0.25">
      <c r="A596" s="2" t="s">
        <v>1554</v>
      </c>
      <c r="B596" s="2" t="s">
        <v>7415</v>
      </c>
      <c r="C596" s="2">
        <v>7882</v>
      </c>
      <c r="D596" s="2" t="s">
        <v>7416</v>
      </c>
      <c r="E596" s="2" t="s">
        <v>18</v>
      </c>
      <c r="F596" s="2" t="s">
        <v>19</v>
      </c>
      <c r="G596" s="2">
        <v>2803.68</v>
      </c>
      <c r="H596" s="2">
        <v>1402.11</v>
      </c>
      <c r="I596" s="2" t="s">
        <v>40</v>
      </c>
      <c r="J596" s="2" t="s">
        <v>41</v>
      </c>
      <c r="K596" s="2" t="s">
        <v>22</v>
      </c>
      <c r="L596" s="2" t="s">
        <v>48</v>
      </c>
      <c r="M596" s="2">
        <v>1</v>
      </c>
      <c r="N596" s="2" t="s">
        <v>33</v>
      </c>
      <c r="O596" s="2" t="s">
        <v>25</v>
      </c>
      <c r="P596" s="2" t="s">
        <v>49</v>
      </c>
    </row>
    <row r="597" spans="1:16" x14ac:dyDescent="0.25">
      <c r="A597" s="2" t="s">
        <v>1556</v>
      </c>
      <c r="B597" s="2" t="s">
        <v>2005</v>
      </c>
      <c r="C597" s="2">
        <v>4272</v>
      </c>
      <c r="D597" s="2" t="s">
        <v>5656</v>
      </c>
      <c r="E597" s="2" t="s">
        <v>18</v>
      </c>
      <c r="F597" s="2" t="s">
        <v>58</v>
      </c>
      <c r="G597" s="2">
        <v>13006.73</v>
      </c>
      <c r="H597" s="2">
        <v>6991.16</v>
      </c>
      <c r="I597" s="2" t="s">
        <v>59</v>
      </c>
      <c r="J597" s="2" t="s">
        <v>41</v>
      </c>
      <c r="K597" s="2" t="s">
        <v>42</v>
      </c>
      <c r="L597" s="2" t="s">
        <v>23</v>
      </c>
      <c r="M597" s="2">
        <v>2</v>
      </c>
      <c r="N597" s="2" t="s">
        <v>24</v>
      </c>
      <c r="O597" s="2" t="s">
        <v>25</v>
      </c>
      <c r="P597" s="2" t="s">
        <v>49</v>
      </c>
    </row>
    <row r="598" spans="1:16" x14ac:dyDescent="0.25">
      <c r="A598" s="2" t="s">
        <v>1559</v>
      </c>
      <c r="B598" s="2" t="s">
        <v>7417</v>
      </c>
      <c r="C598" s="2">
        <v>1544</v>
      </c>
      <c r="D598" s="2" t="s">
        <v>3973</v>
      </c>
      <c r="E598" s="2" t="s">
        <v>18</v>
      </c>
      <c r="F598" s="2" t="s">
        <v>58</v>
      </c>
      <c r="G598" s="2">
        <v>61577.65</v>
      </c>
      <c r="H598" s="2">
        <v>32138.13</v>
      </c>
      <c r="I598" s="2" t="s">
        <v>84</v>
      </c>
      <c r="J598" s="2" t="s">
        <v>54</v>
      </c>
      <c r="K598" s="2" t="s">
        <v>80</v>
      </c>
      <c r="L598" s="2" t="s">
        <v>43</v>
      </c>
      <c r="M598" s="2">
        <v>5</v>
      </c>
      <c r="N598" s="2" t="s">
        <v>69</v>
      </c>
      <c r="O598" s="2" t="s">
        <v>25</v>
      </c>
      <c r="P598" s="2" t="s">
        <v>49</v>
      </c>
    </row>
    <row r="599" spans="1:16" x14ac:dyDescent="0.25">
      <c r="A599" s="2" t="s">
        <v>1562</v>
      </c>
      <c r="B599" s="2" t="s">
        <v>7418</v>
      </c>
      <c r="C599" s="2">
        <v>8761</v>
      </c>
      <c r="D599" s="2" t="s">
        <v>7419</v>
      </c>
      <c r="E599" s="2" t="s">
        <v>38</v>
      </c>
      <c r="F599" s="2" t="s">
        <v>30</v>
      </c>
      <c r="G599" s="2">
        <v>24239.93</v>
      </c>
      <c r="H599" s="2">
        <v>15269.97</v>
      </c>
      <c r="I599" s="2" t="s">
        <v>40</v>
      </c>
      <c r="J599" s="2" t="s">
        <v>41</v>
      </c>
      <c r="K599" s="2" t="s">
        <v>32</v>
      </c>
      <c r="L599" s="2" t="s">
        <v>55</v>
      </c>
      <c r="M599" s="2">
        <v>4</v>
      </c>
      <c r="N599" s="2" t="s">
        <v>33</v>
      </c>
      <c r="O599" s="2" t="s">
        <v>25</v>
      </c>
      <c r="P599" s="2" t="s">
        <v>26</v>
      </c>
    </row>
    <row r="600" spans="1:16" x14ac:dyDescent="0.25">
      <c r="A600" s="2" t="s">
        <v>1565</v>
      </c>
      <c r="B600" s="2" t="s">
        <v>946</v>
      </c>
      <c r="C600" s="2">
        <v>9856</v>
      </c>
      <c r="D600" s="2" t="s">
        <v>7420</v>
      </c>
      <c r="E600" s="2" t="s">
        <v>38</v>
      </c>
      <c r="F600" s="2" t="s">
        <v>39</v>
      </c>
      <c r="G600" s="2">
        <v>7898.78</v>
      </c>
      <c r="H600" s="2">
        <v>4851.95</v>
      </c>
      <c r="I600" s="2" t="s">
        <v>84</v>
      </c>
      <c r="J600" s="2" t="s">
        <v>54</v>
      </c>
      <c r="K600" s="2" t="s">
        <v>42</v>
      </c>
      <c r="L600" s="2" t="s">
        <v>88</v>
      </c>
      <c r="M600" s="2">
        <v>4</v>
      </c>
      <c r="N600" s="2" t="s">
        <v>24</v>
      </c>
      <c r="O600" s="2" t="s">
        <v>25</v>
      </c>
      <c r="P600" s="2" t="s">
        <v>26</v>
      </c>
    </row>
    <row r="601" spans="1:16" x14ac:dyDescent="0.25">
      <c r="A601" s="2" t="s">
        <v>1567</v>
      </c>
      <c r="B601" s="2" t="s">
        <v>7421</v>
      </c>
      <c r="C601" s="2">
        <v>6115</v>
      </c>
      <c r="D601" s="2" t="s">
        <v>7422</v>
      </c>
      <c r="E601" s="2" t="s">
        <v>6698</v>
      </c>
      <c r="F601" s="2" t="s">
        <v>39</v>
      </c>
      <c r="G601" s="2">
        <v>37833.089999999997</v>
      </c>
      <c r="H601" s="2">
        <v>21155.82</v>
      </c>
      <c r="I601" s="2" t="s">
        <v>84</v>
      </c>
      <c r="J601" s="2" t="s">
        <v>6729</v>
      </c>
      <c r="K601" s="2" t="s">
        <v>22</v>
      </c>
      <c r="L601" s="2" t="s">
        <v>43</v>
      </c>
      <c r="M601" s="2">
        <v>4</v>
      </c>
      <c r="N601" s="2" t="s">
        <v>69</v>
      </c>
      <c r="O601" s="2" t="s">
        <v>70</v>
      </c>
      <c r="P601" s="2" t="s">
        <v>49</v>
      </c>
    </row>
    <row r="602" spans="1:16" x14ac:dyDescent="0.25">
      <c r="A602" s="2" t="s">
        <v>1569</v>
      </c>
      <c r="B602" s="2" t="s">
        <v>7423</v>
      </c>
      <c r="C602" s="2">
        <v>9086</v>
      </c>
      <c r="D602" s="2" t="s">
        <v>639</v>
      </c>
      <c r="E602" s="2" t="s">
        <v>18</v>
      </c>
      <c r="F602" s="2" t="s">
        <v>39</v>
      </c>
      <c r="G602" s="2">
        <v>50380.27</v>
      </c>
      <c r="H602" s="2">
        <v>28352.57</v>
      </c>
      <c r="I602" s="2" t="s">
        <v>84</v>
      </c>
      <c r="J602" s="2" t="s">
        <v>54</v>
      </c>
      <c r="K602" s="2" t="s">
        <v>22</v>
      </c>
      <c r="L602" s="2" t="s">
        <v>88</v>
      </c>
      <c r="M602" s="2">
        <v>1</v>
      </c>
      <c r="N602" s="2" t="s">
        <v>69</v>
      </c>
      <c r="O602" s="2" t="s">
        <v>25</v>
      </c>
      <c r="P602" s="2" t="s">
        <v>49</v>
      </c>
    </row>
    <row r="603" spans="1:16" x14ac:dyDescent="0.25">
      <c r="A603" s="2" t="s">
        <v>1571</v>
      </c>
      <c r="B603" s="2" t="s">
        <v>520</v>
      </c>
      <c r="C603" s="2">
        <v>1583</v>
      </c>
      <c r="D603" s="2" t="s">
        <v>7424</v>
      </c>
      <c r="E603" s="2" t="s">
        <v>6719</v>
      </c>
      <c r="F603" s="2" t="s">
        <v>47</v>
      </c>
      <c r="G603" s="2">
        <v>6633.79</v>
      </c>
      <c r="H603" s="2">
        <v>3848.05</v>
      </c>
      <c r="I603" s="2" t="s">
        <v>6681</v>
      </c>
      <c r="J603" s="2" t="s">
        <v>6713</v>
      </c>
      <c r="K603" s="2" t="s">
        <v>80</v>
      </c>
      <c r="L603" s="2" t="s">
        <v>64</v>
      </c>
      <c r="M603" s="2">
        <v>3</v>
      </c>
      <c r="N603" s="2" t="s">
        <v>24</v>
      </c>
      <c r="O603" s="2" t="s">
        <v>70</v>
      </c>
      <c r="P603" s="2" t="s">
        <v>26</v>
      </c>
    </row>
    <row r="604" spans="1:16" x14ac:dyDescent="0.25">
      <c r="A604" s="2" t="s">
        <v>1574</v>
      </c>
      <c r="B604" s="2" t="s">
        <v>1666</v>
      </c>
      <c r="C604" s="2">
        <v>8040</v>
      </c>
      <c r="D604" s="2" t="s">
        <v>7425</v>
      </c>
      <c r="E604" s="2" t="s">
        <v>38</v>
      </c>
      <c r="F604" s="2" t="s">
        <v>30</v>
      </c>
      <c r="G604" s="2">
        <v>39087.58</v>
      </c>
      <c r="H604" s="2">
        <v>18492.98</v>
      </c>
      <c r="I604" s="2" t="s">
        <v>6918</v>
      </c>
      <c r="J604" s="2" t="s">
        <v>6724</v>
      </c>
      <c r="K604" s="2" t="s">
        <v>22</v>
      </c>
      <c r="L604" s="2" t="s">
        <v>43</v>
      </c>
      <c r="M604" s="2">
        <v>3</v>
      </c>
      <c r="N604" s="2" t="s">
        <v>33</v>
      </c>
      <c r="O604" s="2" t="s">
        <v>25</v>
      </c>
      <c r="P604" s="2" t="s">
        <v>26</v>
      </c>
    </row>
    <row r="605" spans="1:16" x14ac:dyDescent="0.25">
      <c r="A605" s="2" t="s">
        <v>1577</v>
      </c>
      <c r="B605" s="2" t="s">
        <v>217</v>
      </c>
      <c r="C605" s="2">
        <v>1931</v>
      </c>
      <c r="D605" s="2" t="s">
        <v>7426</v>
      </c>
      <c r="E605" s="2" t="s">
        <v>18</v>
      </c>
      <c r="F605" s="2" t="s">
        <v>30</v>
      </c>
      <c r="G605" s="2">
        <v>20169.73</v>
      </c>
      <c r="H605" s="2">
        <v>10845.49</v>
      </c>
      <c r="I605" s="2" t="s">
        <v>31</v>
      </c>
      <c r="J605" s="2" t="s">
        <v>21</v>
      </c>
      <c r="K605" s="2" t="s">
        <v>42</v>
      </c>
      <c r="L605" s="2" t="s">
        <v>55</v>
      </c>
      <c r="M605" s="2">
        <v>3</v>
      </c>
      <c r="N605" s="2" t="s">
        <v>33</v>
      </c>
      <c r="O605" s="2" t="s">
        <v>70</v>
      </c>
      <c r="P605" s="2" t="s">
        <v>26</v>
      </c>
    </row>
    <row r="606" spans="1:16" x14ac:dyDescent="0.25">
      <c r="A606" s="2" t="s">
        <v>1579</v>
      </c>
      <c r="B606" s="2" t="s">
        <v>7427</v>
      </c>
      <c r="C606" s="2">
        <v>5099</v>
      </c>
      <c r="D606" s="2" t="s">
        <v>5208</v>
      </c>
      <c r="E606" s="2" t="s">
        <v>6694</v>
      </c>
      <c r="F606" s="2" t="s">
        <v>30</v>
      </c>
      <c r="G606" s="2">
        <v>49092.43</v>
      </c>
      <c r="H606" s="2">
        <v>29310.33</v>
      </c>
      <c r="I606" s="2" t="s">
        <v>6812</v>
      </c>
      <c r="J606" s="2" t="s">
        <v>6700</v>
      </c>
      <c r="K606" s="2" t="s">
        <v>42</v>
      </c>
      <c r="L606" s="2" t="s">
        <v>23</v>
      </c>
      <c r="M606" s="2">
        <v>4</v>
      </c>
      <c r="N606" s="2" t="s">
        <v>24</v>
      </c>
      <c r="O606" s="2" t="s">
        <v>70</v>
      </c>
      <c r="P606" s="2" t="s">
        <v>49</v>
      </c>
    </row>
    <row r="607" spans="1:16" x14ac:dyDescent="0.25">
      <c r="A607" s="2" t="s">
        <v>1582</v>
      </c>
      <c r="B607" s="2" t="s">
        <v>7428</v>
      </c>
      <c r="C607" s="2">
        <v>8966</v>
      </c>
      <c r="D607" s="2" t="s">
        <v>7429</v>
      </c>
      <c r="E607" s="2" t="s">
        <v>6708</v>
      </c>
      <c r="F607" s="2" t="s">
        <v>58</v>
      </c>
      <c r="G607" s="2">
        <v>10902.5</v>
      </c>
      <c r="H607" s="2">
        <v>6894.85</v>
      </c>
      <c r="I607" s="2" t="s">
        <v>6771</v>
      </c>
      <c r="J607" s="2" t="s">
        <v>21</v>
      </c>
      <c r="K607" s="2" t="s">
        <v>32</v>
      </c>
      <c r="L607" s="2" t="s">
        <v>88</v>
      </c>
      <c r="M607" s="2">
        <v>5</v>
      </c>
      <c r="N607" s="2" t="s">
        <v>33</v>
      </c>
      <c r="O607" s="2" t="s">
        <v>25</v>
      </c>
      <c r="P607" s="2" t="s">
        <v>26</v>
      </c>
    </row>
    <row r="608" spans="1:16" x14ac:dyDescent="0.25">
      <c r="A608" s="2" t="s">
        <v>1584</v>
      </c>
      <c r="B608" s="2" t="s">
        <v>7430</v>
      </c>
      <c r="C608" s="2">
        <v>1978</v>
      </c>
      <c r="D608" s="2" t="s">
        <v>7431</v>
      </c>
      <c r="E608" s="2" t="s">
        <v>38</v>
      </c>
      <c r="F608" s="2" t="s">
        <v>39</v>
      </c>
      <c r="G608" s="2">
        <v>48577.31</v>
      </c>
      <c r="H608" s="2">
        <v>25589.91</v>
      </c>
      <c r="I608" s="2" t="s">
        <v>6720</v>
      </c>
      <c r="J608" s="2" t="s">
        <v>54</v>
      </c>
      <c r="K608" s="2" t="s">
        <v>22</v>
      </c>
      <c r="L608" s="2" t="s">
        <v>64</v>
      </c>
      <c r="M608" s="2">
        <v>4</v>
      </c>
      <c r="N608" s="2" t="s">
        <v>33</v>
      </c>
      <c r="O608" s="2" t="s">
        <v>25</v>
      </c>
      <c r="P608" s="2" t="s">
        <v>34</v>
      </c>
    </row>
    <row r="609" spans="1:16" x14ac:dyDescent="0.25">
      <c r="A609" s="2" t="s">
        <v>1586</v>
      </c>
      <c r="B609" s="2" t="s">
        <v>1895</v>
      </c>
      <c r="C609" s="2">
        <v>4547</v>
      </c>
      <c r="D609" s="2" t="s">
        <v>918</v>
      </c>
      <c r="E609" s="2" t="s">
        <v>18</v>
      </c>
      <c r="F609" s="2" t="s">
        <v>47</v>
      </c>
      <c r="G609" s="2">
        <v>8452.26</v>
      </c>
      <c r="H609" s="2">
        <v>5205.3100000000004</v>
      </c>
      <c r="I609" s="2" t="s">
        <v>120</v>
      </c>
      <c r="J609" s="2" t="s">
        <v>21</v>
      </c>
      <c r="K609" s="2" t="s">
        <v>80</v>
      </c>
      <c r="L609" s="2" t="s">
        <v>64</v>
      </c>
      <c r="M609" s="2">
        <v>1</v>
      </c>
      <c r="N609" s="2" t="s">
        <v>69</v>
      </c>
      <c r="O609" s="2" t="s">
        <v>25</v>
      </c>
      <c r="P609" s="2" t="s">
        <v>49</v>
      </c>
    </row>
    <row r="610" spans="1:16" x14ac:dyDescent="0.25">
      <c r="A610" s="2" t="s">
        <v>1589</v>
      </c>
      <c r="B610" s="2" t="s">
        <v>7432</v>
      </c>
      <c r="C610" s="2">
        <v>5261</v>
      </c>
      <c r="D610" s="2" t="s">
        <v>7433</v>
      </c>
      <c r="E610" s="2" t="s">
        <v>6743</v>
      </c>
      <c r="F610" s="2" t="s">
        <v>30</v>
      </c>
      <c r="G610" s="2">
        <v>113301.13</v>
      </c>
      <c r="H610" s="2">
        <v>61575.37</v>
      </c>
      <c r="I610" s="2" t="s">
        <v>6739</v>
      </c>
      <c r="J610" s="2" t="s">
        <v>6691</v>
      </c>
      <c r="K610" s="2" t="s">
        <v>32</v>
      </c>
      <c r="L610" s="2" t="s">
        <v>23</v>
      </c>
      <c r="M610" s="2">
        <v>1</v>
      </c>
      <c r="N610" s="2" t="s">
        <v>33</v>
      </c>
      <c r="O610" s="2" t="s">
        <v>70</v>
      </c>
      <c r="P610" s="2" t="s">
        <v>34</v>
      </c>
    </row>
    <row r="611" spans="1:16" x14ac:dyDescent="0.25">
      <c r="A611" s="2" t="s">
        <v>1591</v>
      </c>
      <c r="B611" s="2" t="s">
        <v>7434</v>
      </c>
      <c r="C611" s="2">
        <v>1202</v>
      </c>
      <c r="D611" s="2" t="s">
        <v>7435</v>
      </c>
      <c r="E611" s="2" t="s">
        <v>6756</v>
      </c>
      <c r="F611" s="2" t="s">
        <v>39</v>
      </c>
      <c r="G611" s="2">
        <v>20553.05</v>
      </c>
      <c r="H611" s="2">
        <v>11965.07</v>
      </c>
      <c r="I611" s="2" t="s">
        <v>6699</v>
      </c>
      <c r="J611" s="2" t="s">
        <v>6753</v>
      </c>
      <c r="K611" s="2" t="s">
        <v>42</v>
      </c>
      <c r="L611" s="2" t="s">
        <v>23</v>
      </c>
      <c r="M611" s="2">
        <v>4</v>
      </c>
      <c r="N611" s="2" t="s">
        <v>24</v>
      </c>
      <c r="O611" s="2" t="s">
        <v>25</v>
      </c>
      <c r="P611" s="2" t="s">
        <v>34</v>
      </c>
    </row>
    <row r="612" spans="1:16" x14ac:dyDescent="0.25">
      <c r="A612" s="2" t="s">
        <v>1593</v>
      </c>
      <c r="B612" s="2" t="s">
        <v>5412</v>
      </c>
      <c r="C612" s="2">
        <v>8216</v>
      </c>
      <c r="D612" s="2" t="s">
        <v>7436</v>
      </c>
      <c r="E612" s="2" t="s">
        <v>18</v>
      </c>
      <c r="F612" s="2" t="s">
        <v>39</v>
      </c>
      <c r="G612" s="2">
        <v>21409.64</v>
      </c>
      <c r="H612" s="2">
        <v>13003.08</v>
      </c>
      <c r="I612" s="2" t="s">
        <v>63</v>
      </c>
      <c r="J612" s="2" t="s">
        <v>54</v>
      </c>
      <c r="K612" s="2" t="s">
        <v>42</v>
      </c>
      <c r="L612" s="2" t="s">
        <v>64</v>
      </c>
      <c r="M612" s="2">
        <v>2</v>
      </c>
      <c r="N612" s="2" t="s">
        <v>33</v>
      </c>
      <c r="O612" s="2" t="s">
        <v>25</v>
      </c>
      <c r="P612" s="2" t="s">
        <v>49</v>
      </c>
    </row>
    <row r="613" spans="1:16" x14ac:dyDescent="0.25">
      <c r="A613" s="2" t="s">
        <v>1596</v>
      </c>
      <c r="B613" s="2" t="s">
        <v>1001</v>
      </c>
      <c r="C613" s="2">
        <v>6199</v>
      </c>
      <c r="D613" s="2" t="s">
        <v>7437</v>
      </c>
      <c r="E613" s="2" t="s">
        <v>18</v>
      </c>
      <c r="F613" s="2" t="s">
        <v>58</v>
      </c>
      <c r="G613" s="2">
        <v>39297</v>
      </c>
      <c r="H613" s="2">
        <v>19475.22</v>
      </c>
      <c r="I613" s="2" t="s">
        <v>84</v>
      </c>
      <c r="J613" s="2" t="s">
        <v>54</v>
      </c>
      <c r="K613" s="2" t="s">
        <v>42</v>
      </c>
      <c r="L613" s="2" t="s">
        <v>88</v>
      </c>
      <c r="M613" s="2">
        <v>1</v>
      </c>
      <c r="N613" s="2" t="s">
        <v>24</v>
      </c>
      <c r="O613" s="2" t="s">
        <v>70</v>
      </c>
      <c r="P613" s="2" t="s">
        <v>34</v>
      </c>
    </row>
    <row r="614" spans="1:16" x14ac:dyDescent="0.25">
      <c r="A614" s="2" t="s">
        <v>1599</v>
      </c>
      <c r="B614" s="2" t="s">
        <v>7438</v>
      </c>
      <c r="C614" s="2">
        <v>9372</v>
      </c>
      <c r="D614" s="2" t="s">
        <v>7439</v>
      </c>
      <c r="E614" s="2" t="s">
        <v>6743</v>
      </c>
      <c r="F614" s="2" t="s">
        <v>39</v>
      </c>
      <c r="G614" s="2">
        <v>13338.27</v>
      </c>
      <c r="H614" s="2">
        <v>6871.31</v>
      </c>
      <c r="I614" s="2" t="s">
        <v>6720</v>
      </c>
      <c r="J614" s="2" t="s">
        <v>6753</v>
      </c>
      <c r="K614" s="2" t="s">
        <v>42</v>
      </c>
      <c r="L614" s="2" t="s">
        <v>48</v>
      </c>
      <c r="M614" s="2">
        <v>4</v>
      </c>
      <c r="N614" s="2" t="s">
        <v>33</v>
      </c>
      <c r="O614" s="2" t="s">
        <v>25</v>
      </c>
      <c r="P614" s="2" t="s">
        <v>34</v>
      </c>
    </row>
    <row r="615" spans="1:16" x14ac:dyDescent="0.25">
      <c r="A615" s="2" t="s">
        <v>1602</v>
      </c>
      <c r="B615" s="2" t="s">
        <v>2930</v>
      </c>
      <c r="C615" s="2">
        <v>3626</v>
      </c>
      <c r="D615" s="2" t="s">
        <v>7440</v>
      </c>
      <c r="E615" s="2" t="s">
        <v>38</v>
      </c>
      <c r="F615" s="2" t="s">
        <v>30</v>
      </c>
      <c r="G615" s="2">
        <v>14303.04</v>
      </c>
      <c r="H615" s="2">
        <v>9097.6200000000008</v>
      </c>
      <c r="I615" s="2" t="s">
        <v>59</v>
      </c>
      <c r="J615" s="2" t="s">
        <v>41</v>
      </c>
      <c r="K615" s="2" t="s">
        <v>22</v>
      </c>
      <c r="L615" s="2" t="s">
        <v>55</v>
      </c>
      <c r="M615" s="2">
        <v>5</v>
      </c>
      <c r="N615" s="2" t="s">
        <v>33</v>
      </c>
      <c r="O615" s="2" t="s">
        <v>25</v>
      </c>
      <c r="P615" s="2" t="s">
        <v>49</v>
      </c>
    </row>
    <row r="616" spans="1:16" x14ac:dyDescent="0.25">
      <c r="A616" s="2" t="s">
        <v>1604</v>
      </c>
      <c r="B616" s="2" t="s">
        <v>1729</v>
      </c>
      <c r="C616" s="2">
        <v>1534</v>
      </c>
      <c r="D616" s="2" t="s">
        <v>7441</v>
      </c>
      <c r="E616" s="2" t="s">
        <v>18</v>
      </c>
      <c r="F616" s="2" t="s">
        <v>19</v>
      </c>
      <c r="G616" s="2">
        <v>11282.25</v>
      </c>
      <c r="H616" s="2">
        <v>7328.55</v>
      </c>
      <c r="I616" s="2" t="s">
        <v>31</v>
      </c>
      <c r="J616" s="2" t="s">
        <v>21</v>
      </c>
      <c r="K616" s="2" t="s">
        <v>22</v>
      </c>
      <c r="L616" s="2" t="s">
        <v>55</v>
      </c>
      <c r="M616" s="2">
        <v>2</v>
      </c>
      <c r="N616" s="2" t="s">
        <v>24</v>
      </c>
      <c r="O616" s="2" t="s">
        <v>70</v>
      </c>
      <c r="P616" s="2" t="s">
        <v>49</v>
      </c>
    </row>
    <row r="617" spans="1:16" x14ac:dyDescent="0.25">
      <c r="A617" s="2" t="s">
        <v>1606</v>
      </c>
      <c r="B617" s="2" t="s">
        <v>7442</v>
      </c>
      <c r="C617" s="2">
        <v>8738</v>
      </c>
      <c r="D617" s="2" t="s">
        <v>7443</v>
      </c>
      <c r="E617" s="2" t="s">
        <v>38</v>
      </c>
      <c r="F617" s="2" t="s">
        <v>58</v>
      </c>
      <c r="G617" s="2">
        <v>29590.13</v>
      </c>
      <c r="H617" s="2">
        <v>14469.71</v>
      </c>
      <c r="I617" s="2" t="s">
        <v>6699</v>
      </c>
      <c r="J617" s="2" t="s">
        <v>6753</v>
      </c>
      <c r="K617" s="2" t="s">
        <v>42</v>
      </c>
      <c r="L617" s="2" t="s">
        <v>23</v>
      </c>
      <c r="M617" s="2">
        <v>3</v>
      </c>
      <c r="N617" s="2" t="s">
        <v>33</v>
      </c>
      <c r="O617" s="2" t="s">
        <v>70</v>
      </c>
      <c r="P617" s="2" t="s">
        <v>34</v>
      </c>
    </row>
    <row r="618" spans="1:16" x14ac:dyDescent="0.25">
      <c r="A618" s="2" t="s">
        <v>1609</v>
      </c>
      <c r="B618" s="2" t="s">
        <v>7444</v>
      </c>
      <c r="C618" s="2">
        <v>6935</v>
      </c>
      <c r="D618" s="2" t="s">
        <v>7445</v>
      </c>
      <c r="E618" s="2" t="s">
        <v>6680</v>
      </c>
      <c r="F618" s="2" t="s">
        <v>39</v>
      </c>
      <c r="G618" s="2">
        <v>26972.21</v>
      </c>
      <c r="H618" s="2">
        <v>14559.43</v>
      </c>
      <c r="I618" s="2" t="s">
        <v>6726</v>
      </c>
      <c r="J618" s="2" t="s">
        <v>6789</v>
      </c>
      <c r="K618" s="2" t="s">
        <v>80</v>
      </c>
      <c r="L618" s="2" t="s">
        <v>23</v>
      </c>
      <c r="M618" s="2">
        <v>5</v>
      </c>
      <c r="N618" s="2" t="s">
        <v>69</v>
      </c>
      <c r="O618" s="2" t="s">
        <v>70</v>
      </c>
      <c r="P618" s="2" t="s">
        <v>49</v>
      </c>
    </row>
    <row r="619" spans="1:16" x14ac:dyDescent="0.25">
      <c r="A619" s="2" t="s">
        <v>1611</v>
      </c>
      <c r="B619" s="2" t="s">
        <v>7446</v>
      </c>
      <c r="C619" s="2">
        <v>9274</v>
      </c>
      <c r="D619" s="2" t="s">
        <v>7344</v>
      </c>
      <c r="E619" s="2" t="s">
        <v>18</v>
      </c>
      <c r="F619" s="2" t="s">
        <v>39</v>
      </c>
      <c r="G619" s="2">
        <v>26528.560000000001</v>
      </c>
      <c r="H619" s="2">
        <v>15294.4</v>
      </c>
      <c r="I619" s="2" t="s">
        <v>53</v>
      </c>
      <c r="J619" s="2" t="s">
        <v>54</v>
      </c>
      <c r="K619" s="2" t="s">
        <v>32</v>
      </c>
      <c r="L619" s="2" t="s">
        <v>23</v>
      </c>
      <c r="M619" s="2">
        <v>4</v>
      </c>
      <c r="N619" s="2" t="s">
        <v>33</v>
      </c>
      <c r="O619" s="2" t="s">
        <v>25</v>
      </c>
      <c r="P619" s="2" t="s">
        <v>34</v>
      </c>
    </row>
    <row r="620" spans="1:16" x14ac:dyDescent="0.25">
      <c r="A620" s="2" t="s">
        <v>1613</v>
      </c>
      <c r="B620" s="2" t="s">
        <v>1501</v>
      </c>
      <c r="C620" s="2">
        <v>1392</v>
      </c>
      <c r="D620" s="2" t="s">
        <v>7447</v>
      </c>
      <c r="E620" s="2" t="s">
        <v>18</v>
      </c>
      <c r="F620" s="2" t="s">
        <v>19</v>
      </c>
      <c r="G620" s="2">
        <v>15175.93</v>
      </c>
      <c r="H620" s="2">
        <v>7230.96</v>
      </c>
      <c r="I620" s="2" t="s">
        <v>120</v>
      </c>
      <c r="J620" s="2" t="s">
        <v>21</v>
      </c>
      <c r="K620" s="2" t="s">
        <v>80</v>
      </c>
      <c r="L620" s="2" t="s">
        <v>64</v>
      </c>
      <c r="M620" s="2">
        <v>3</v>
      </c>
      <c r="N620" s="2" t="s">
        <v>33</v>
      </c>
      <c r="O620" s="2" t="s">
        <v>70</v>
      </c>
      <c r="P620" s="2" t="s">
        <v>26</v>
      </c>
    </row>
    <row r="621" spans="1:16" x14ac:dyDescent="0.25">
      <c r="A621" s="2" t="s">
        <v>1616</v>
      </c>
      <c r="B621" s="2" t="s">
        <v>569</v>
      </c>
      <c r="C621" s="2">
        <v>6815</v>
      </c>
      <c r="D621" s="2" t="s">
        <v>7448</v>
      </c>
      <c r="E621" s="2" t="s">
        <v>38</v>
      </c>
      <c r="F621" s="2" t="s">
        <v>30</v>
      </c>
      <c r="G621" s="2">
        <v>108301.32</v>
      </c>
      <c r="H621" s="2">
        <v>62399.58</v>
      </c>
      <c r="I621" s="2" t="s">
        <v>53</v>
      </c>
      <c r="J621" s="2" t="s">
        <v>54</v>
      </c>
      <c r="K621" s="2" t="s">
        <v>80</v>
      </c>
      <c r="L621" s="2" t="s">
        <v>88</v>
      </c>
      <c r="M621" s="2">
        <v>4</v>
      </c>
      <c r="N621" s="2" t="s">
        <v>24</v>
      </c>
      <c r="O621" s="2" t="s">
        <v>70</v>
      </c>
      <c r="P621" s="2" t="s">
        <v>49</v>
      </c>
    </row>
    <row r="622" spans="1:16" x14ac:dyDescent="0.25">
      <c r="A622" s="2" t="s">
        <v>1619</v>
      </c>
      <c r="B622" s="2" t="s">
        <v>7449</v>
      </c>
      <c r="C622" s="2">
        <v>7060</v>
      </c>
      <c r="D622" s="2" t="s">
        <v>7450</v>
      </c>
      <c r="E622" s="2" t="s">
        <v>38</v>
      </c>
      <c r="F622" s="2" t="s">
        <v>58</v>
      </c>
      <c r="G622" s="2">
        <v>20659.560000000001</v>
      </c>
      <c r="H622" s="2">
        <v>11109.01</v>
      </c>
      <c r="I622" s="2" t="s">
        <v>40</v>
      </c>
      <c r="J622" s="2" t="s">
        <v>41</v>
      </c>
      <c r="K622" s="2" t="s">
        <v>42</v>
      </c>
      <c r="L622" s="2" t="s">
        <v>55</v>
      </c>
      <c r="M622" s="2">
        <v>2</v>
      </c>
      <c r="N622" s="2" t="s">
        <v>33</v>
      </c>
      <c r="O622" s="2" t="s">
        <v>25</v>
      </c>
      <c r="P622" s="2" t="s">
        <v>49</v>
      </c>
    </row>
    <row r="623" spans="1:16" x14ac:dyDescent="0.25">
      <c r="A623" s="2" t="s">
        <v>1622</v>
      </c>
      <c r="B623" s="2" t="s">
        <v>7451</v>
      </c>
      <c r="C623" s="2">
        <v>6219</v>
      </c>
      <c r="D623" s="2" t="s">
        <v>7452</v>
      </c>
      <c r="E623" s="2" t="s">
        <v>18</v>
      </c>
      <c r="F623" s="2" t="s">
        <v>47</v>
      </c>
      <c r="G623" s="2">
        <v>14418.92</v>
      </c>
      <c r="H623" s="2">
        <v>6609.44</v>
      </c>
      <c r="I623" s="2" t="s">
        <v>6695</v>
      </c>
      <c r="J623" s="2" t="s">
        <v>6696</v>
      </c>
      <c r="K623" s="2" t="s">
        <v>32</v>
      </c>
      <c r="L623" s="2" t="s">
        <v>64</v>
      </c>
      <c r="M623" s="2">
        <v>5</v>
      </c>
      <c r="N623" s="2" t="s">
        <v>33</v>
      </c>
      <c r="O623" s="2" t="s">
        <v>70</v>
      </c>
      <c r="P623" s="2" t="s">
        <v>34</v>
      </c>
    </row>
    <row r="624" spans="1:16" x14ac:dyDescent="0.25">
      <c r="A624" s="2" t="s">
        <v>1623</v>
      </c>
      <c r="B624" s="2" t="s">
        <v>4055</v>
      </c>
      <c r="C624" s="2">
        <v>2738</v>
      </c>
      <c r="D624" s="2" t="s">
        <v>7453</v>
      </c>
      <c r="E624" s="2" t="s">
        <v>18</v>
      </c>
      <c r="F624" s="2" t="s">
        <v>47</v>
      </c>
      <c r="G624" s="2">
        <v>10830.42</v>
      </c>
      <c r="H624" s="2">
        <v>5179.1099999999997</v>
      </c>
      <c r="I624" s="2" t="s">
        <v>20</v>
      </c>
      <c r="J624" s="2" t="s">
        <v>21</v>
      </c>
      <c r="K624" s="2" t="s">
        <v>32</v>
      </c>
      <c r="L624" s="2" t="s">
        <v>43</v>
      </c>
      <c r="M624" s="2">
        <v>5</v>
      </c>
      <c r="N624" s="2" t="s">
        <v>24</v>
      </c>
      <c r="O624" s="2" t="s">
        <v>25</v>
      </c>
      <c r="P624" s="2" t="s">
        <v>26</v>
      </c>
    </row>
    <row r="625" spans="1:16" x14ac:dyDescent="0.25">
      <c r="A625" s="2" t="s">
        <v>1625</v>
      </c>
      <c r="B625" s="2" t="s">
        <v>2126</v>
      </c>
      <c r="C625" s="2">
        <v>4328</v>
      </c>
      <c r="D625" s="2" t="s">
        <v>7454</v>
      </c>
      <c r="E625" s="2" t="s">
        <v>38</v>
      </c>
      <c r="F625" s="2" t="s">
        <v>58</v>
      </c>
      <c r="G625" s="2">
        <v>53558.53</v>
      </c>
      <c r="H625" s="2">
        <v>30219.49</v>
      </c>
      <c r="I625" s="2" t="s">
        <v>20</v>
      </c>
      <c r="J625" s="2" t="s">
        <v>21</v>
      </c>
      <c r="K625" s="2" t="s">
        <v>80</v>
      </c>
      <c r="L625" s="2" t="s">
        <v>43</v>
      </c>
      <c r="M625" s="2">
        <v>2</v>
      </c>
      <c r="N625" s="2" t="s">
        <v>69</v>
      </c>
      <c r="O625" s="2" t="s">
        <v>25</v>
      </c>
      <c r="P625" s="2" t="s">
        <v>26</v>
      </c>
    </row>
    <row r="626" spans="1:16" x14ac:dyDescent="0.25">
      <c r="A626" s="2" t="s">
        <v>1628</v>
      </c>
      <c r="B626" s="2" t="s">
        <v>7455</v>
      </c>
      <c r="C626" s="2">
        <v>3241</v>
      </c>
      <c r="D626" s="2" t="s">
        <v>7456</v>
      </c>
      <c r="E626" s="2" t="s">
        <v>6748</v>
      </c>
      <c r="F626" s="2" t="s">
        <v>30</v>
      </c>
      <c r="G626" s="2">
        <v>49056.95</v>
      </c>
      <c r="H626" s="2">
        <v>23218.29</v>
      </c>
      <c r="I626" s="2" t="s">
        <v>68</v>
      </c>
      <c r="J626" s="2" t="s">
        <v>6713</v>
      </c>
      <c r="K626" s="2" t="s">
        <v>42</v>
      </c>
      <c r="L626" s="2" t="s">
        <v>55</v>
      </c>
      <c r="M626" s="2">
        <v>2</v>
      </c>
      <c r="N626" s="2" t="s">
        <v>24</v>
      </c>
      <c r="O626" s="2" t="s">
        <v>25</v>
      </c>
      <c r="P626" s="2" t="s">
        <v>49</v>
      </c>
    </row>
    <row r="627" spans="1:16" x14ac:dyDescent="0.25">
      <c r="A627" s="2" t="s">
        <v>1630</v>
      </c>
      <c r="B627" s="2" t="s">
        <v>7457</v>
      </c>
      <c r="C627" s="2">
        <v>4119</v>
      </c>
      <c r="D627" s="2" t="s">
        <v>7458</v>
      </c>
      <c r="E627" s="2" t="s">
        <v>32</v>
      </c>
      <c r="F627" s="2" t="s">
        <v>30</v>
      </c>
      <c r="G627" s="2">
        <v>101612.91</v>
      </c>
      <c r="H627" s="2">
        <v>58473.86</v>
      </c>
      <c r="I627" s="2" t="s">
        <v>6918</v>
      </c>
      <c r="J627" s="2" t="s">
        <v>6795</v>
      </c>
      <c r="K627" s="2" t="s">
        <v>32</v>
      </c>
      <c r="L627" s="2" t="s">
        <v>23</v>
      </c>
      <c r="M627" s="2">
        <v>5</v>
      </c>
      <c r="N627" s="2" t="s">
        <v>33</v>
      </c>
      <c r="O627" s="2" t="s">
        <v>70</v>
      </c>
      <c r="P627" s="2" t="s">
        <v>49</v>
      </c>
    </row>
    <row r="628" spans="1:16" x14ac:dyDescent="0.25">
      <c r="A628" s="2" t="s">
        <v>1632</v>
      </c>
      <c r="B628" s="2" t="s">
        <v>7459</v>
      </c>
      <c r="C628" s="2">
        <v>1052</v>
      </c>
      <c r="D628" s="2" t="s">
        <v>6066</v>
      </c>
      <c r="E628" s="2" t="s">
        <v>6719</v>
      </c>
      <c r="F628" s="2" t="s">
        <v>58</v>
      </c>
      <c r="G628" s="2">
        <v>13110.83</v>
      </c>
      <c r="H628" s="2">
        <v>7362.35</v>
      </c>
      <c r="I628" s="2" t="s">
        <v>6915</v>
      </c>
      <c r="J628" s="2" t="s">
        <v>6724</v>
      </c>
      <c r="K628" s="2" t="s">
        <v>32</v>
      </c>
      <c r="L628" s="2" t="s">
        <v>48</v>
      </c>
      <c r="M628" s="2">
        <v>2</v>
      </c>
      <c r="N628" s="2" t="s">
        <v>33</v>
      </c>
      <c r="O628" s="2" t="s">
        <v>70</v>
      </c>
      <c r="P628" s="2" t="s">
        <v>49</v>
      </c>
    </row>
    <row r="629" spans="1:16" x14ac:dyDescent="0.25">
      <c r="A629" s="2" t="s">
        <v>1635</v>
      </c>
      <c r="B629" s="2" t="s">
        <v>328</v>
      </c>
      <c r="C629" s="2">
        <v>8947</v>
      </c>
      <c r="D629" s="2" t="s">
        <v>7460</v>
      </c>
      <c r="E629" s="2" t="s">
        <v>6708</v>
      </c>
      <c r="F629" s="2" t="s">
        <v>47</v>
      </c>
      <c r="G629" s="2">
        <v>15574.16</v>
      </c>
      <c r="H629" s="2">
        <v>8230.0400000000009</v>
      </c>
      <c r="I629" s="2" t="s">
        <v>6915</v>
      </c>
      <c r="J629" s="2" t="s">
        <v>6802</v>
      </c>
      <c r="K629" s="2" t="s">
        <v>42</v>
      </c>
      <c r="L629" s="2" t="s">
        <v>43</v>
      </c>
      <c r="M629" s="2">
        <v>4</v>
      </c>
      <c r="N629" s="2" t="s">
        <v>33</v>
      </c>
      <c r="O629" s="2" t="s">
        <v>25</v>
      </c>
      <c r="P629" s="2" t="s">
        <v>34</v>
      </c>
    </row>
    <row r="630" spans="1:16" x14ac:dyDescent="0.25">
      <c r="A630" s="2" t="s">
        <v>1637</v>
      </c>
      <c r="B630" s="2" t="s">
        <v>489</v>
      </c>
      <c r="C630" s="2">
        <v>6694</v>
      </c>
      <c r="D630" s="2" t="s">
        <v>7461</v>
      </c>
      <c r="E630" s="2" t="s">
        <v>38</v>
      </c>
      <c r="F630" s="2" t="s">
        <v>58</v>
      </c>
      <c r="G630" s="2">
        <v>42597.87</v>
      </c>
      <c r="H630" s="2">
        <v>25760.48</v>
      </c>
      <c r="I630" s="2" t="s">
        <v>6910</v>
      </c>
      <c r="J630" s="2" t="s">
        <v>6696</v>
      </c>
      <c r="K630" s="2" t="s">
        <v>80</v>
      </c>
      <c r="L630" s="2" t="s">
        <v>64</v>
      </c>
      <c r="M630" s="2">
        <v>5</v>
      </c>
      <c r="N630" s="2" t="s">
        <v>33</v>
      </c>
      <c r="O630" s="2" t="s">
        <v>25</v>
      </c>
      <c r="P630" s="2" t="s">
        <v>34</v>
      </c>
    </row>
    <row r="632" spans="1:16" x14ac:dyDescent="0.25">
      <c r="A632" s="2" t="s">
        <v>1640</v>
      </c>
      <c r="B632" s="2" t="s">
        <v>1964</v>
      </c>
      <c r="C632" s="2">
        <v>5271</v>
      </c>
      <c r="D632" s="2" t="s">
        <v>7462</v>
      </c>
      <c r="E632" s="2" t="s">
        <v>18</v>
      </c>
      <c r="F632" s="2" t="s">
        <v>39</v>
      </c>
      <c r="G632" s="2">
        <v>23781.7</v>
      </c>
      <c r="H632" s="2">
        <v>14165.27</v>
      </c>
      <c r="I632" s="2" t="s">
        <v>53</v>
      </c>
      <c r="J632" s="2" t="s">
        <v>54</v>
      </c>
      <c r="K632" s="2" t="s">
        <v>42</v>
      </c>
      <c r="L632" s="2" t="s">
        <v>48</v>
      </c>
      <c r="M632" s="2">
        <v>1</v>
      </c>
      <c r="N632" s="2" t="s">
        <v>33</v>
      </c>
      <c r="O632" s="2" t="s">
        <v>25</v>
      </c>
      <c r="P632" s="2" t="s">
        <v>49</v>
      </c>
    </row>
    <row r="633" spans="1:16" x14ac:dyDescent="0.25">
      <c r="A633" s="2" t="s">
        <v>1643</v>
      </c>
      <c r="B633" s="2" t="s">
        <v>7463</v>
      </c>
      <c r="C633" s="2">
        <v>3117</v>
      </c>
      <c r="D633" s="2" t="s">
        <v>7464</v>
      </c>
      <c r="E633" s="2" t="s">
        <v>6703</v>
      </c>
      <c r="F633" s="2" t="s">
        <v>58</v>
      </c>
      <c r="G633" s="2">
        <v>53950.38</v>
      </c>
      <c r="H633" s="2">
        <v>24505.53</v>
      </c>
      <c r="I633" s="2" t="s">
        <v>6695</v>
      </c>
      <c r="J633" s="2" t="s">
        <v>6789</v>
      </c>
      <c r="K633" s="2" t="s">
        <v>80</v>
      </c>
      <c r="L633" s="2" t="s">
        <v>55</v>
      </c>
      <c r="M633" s="2">
        <v>3</v>
      </c>
      <c r="N633" s="2" t="s">
        <v>69</v>
      </c>
      <c r="O633" s="2" t="s">
        <v>70</v>
      </c>
      <c r="P633" s="2" t="s">
        <v>49</v>
      </c>
    </row>
    <row r="634" spans="1:16" x14ac:dyDescent="0.25">
      <c r="A634" s="2" t="s">
        <v>1645</v>
      </c>
      <c r="B634" s="2" t="s">
        <v>7465</v>
      </c>
      <c r="C634" s="2">
        <v>3644</v>
      </c>
      <c r="D634" s="2" t="s">
        <v>7466</v>
      </c>
      <c r="E634" s="2" t="s">
        <v>38</v>
      </c>
      <c r="F634" s="2" t="s">
        <v>47</v>
      </c>
      <c r="G634" s="2">
        <v>7972.53</v>
      </c>
      <c r="H634" s="2">
        <v>3931.44</v>
      </c>
      <c r="I634" s="2" t="s">
        <v>6808</v>
      </c>
      <c r="J634" s="2" t="s">
        <v>6700</v>
      </c>
      <c r="K634" s="2" t="s">
        <v>32</v>
      </c>
      <c r="L634" s="2" t="s">
        <v>55</v>
      </c>
      <c r="M634" s="2">
        <v>1</v>
      </c>
      <c r="N634" s="2" t="s">
        <v>69</v>
      </c>
      <c r="O634" s="2" t="s">
        <v>70</v>
      </c>
      <c r="P634" s="2" t="s">
        <v>49</v>
      </c>
    </row>
    <row r="635" spans="1:16" x14ac:dyDescent="0.25">
      <c r="A635" s="2" t="s">
        <v>1648</v>
      </c>
      <c r="B635" s="2" t="s">
        <v>1826</v>
      </c>
      <c r="C635" s="2">
        <v>3025</v>
      </c>
      <c r="D635" s="2" t="s">
        <v>859</v>
      </c>
      <c r="E635" s="2" t="s">
        <v>38</v>
      </c>
      <c r="F635" s="2" t="s">
        <v>19</v>
      </c>
      <c r="G635" s="2">
        <v>17942.07</v>
      </c>
      <c r="H635" s="2">
        <v>8544.7099999999991</v>
      </c>
      <c r="I635" s="2" t="s">
        <v>6736</v>
      </c>
      <c r="J635" s="2" t="s">
        <v>6691</v>
      </c>
      <c r="K635" s="2" t="s">
        <v>42</v>
      </c>
      <c r="L635" s="2" t="s">
        <v>55</v>
      </c>
      <c r="M635" s="2">
        <v>1</v>
      </c>
      <c r="N635" s="2" t="s">
        <v>33</v>
      </c>
      <c r="O635" s="2" t="s">
        <v>70</v>
      </c>
      <c r="P635" s="2" t="s">
        <v>49</v>
      </c>
    </row>
    <row r="636" spans="1:16" x14ac:dyDescent="0.25">
      <c r="A636" s="2" t="s">
        <v>1650</v>
      </c>
      <c r="B636" s="2" t="s">
        <v>178</v>
      </c>
      <c r="C636" s="2">
        <v>6114</v>
      </c>
      <c r="D636" s="2" t="s">
        <v>7467</v>
      </c>
      <c r="E636" s="2" t="s">
        <v>38</v>
      </c>
      <c r="F636" s="2" t="s">
        <v>19</v>
      </c>
      <c r="G636" s="2">
        <v>9060.67</v>
      </c>
      <c r="H636" s="2">
        <v>5424.59</v>
      </c>
      <c r="I636" s="2" t="s">
        <v>68</v>
      </c>
      <c r="J636" s="2" t="s">
        <v>41</v>
      </c>
      <c r="K636" s="2" t="s">
        <v>42</v>
      </c>
      <c r="L636" s="2" t="s">
        <v>88</v>
      </c>
      <c r="M636" s="2">
        <v>4</v>
      </c>
      <c r="N636" s="2" t="s">
        <v>33</v>
      </c>
      <c r="O636" s="2" t="s">
        <v>25</v>
      </c>
      <c r="P636" s="2" t="s">
        <v>49</v>
      </c>
    </row>
    <row r="637" spans="1:16" x14ac:dyDescent="0.25">
      <c r="A637" s="2" t="s">
        <v>1652</v>
      </c>
      <c r="B637" s="2" t="s">
        <v>4162</v>
      </c>
      <c r="C637" s="2">
        <v>8919</v>
      </c>
      <c r="D637" s="2" t="s">
        <v>7468</v>
      </c>
      <c r="E637" s="2" t="s">
        <v>38</v>
      </c>
      <c r="F637" s="2" t="s">
        <v>58</v>
      </c>
      <c r="G637" s="2">
        <v>62375.45</v>
      </c>
      <c r="H637" s="2">
        <v>34720.720000000001</v>
      </c>
      <c r="I637" s="2" t="s">
        <v>53</v>
      </c>
      <c r="J637" s="2" t="s">
        <v>54</v>
      </c>
      <c r="K637" s="2" t="s">
        <v>32</v>
      </c>
      <c r="L637" s="2" t="s">
        <v>64</v>
      </c>
      <c r="M637" s="2">
        <v>1</v>
      </c>
      <c r="N637" s="2" t="s">
        <v>69</v>
      </c>
      <c r="O637" s="2" t="s">
        <v>70</v>
      </c>
      <c r="P637" s="2" t="s">
        <v>34</v>
      </c>
    </row>
    <row r="638" spans="1:16" x14ac:dyDescent="0.25">
      <c r="A638" s="2" t="s">
        <v>1654</v>
      </c>
      <c r="B638" s="2" t="s">
        <v>239</v>
      </c>
      <c r="C638" s="2">
        <v>8325</v>
      </c>
      <c r="D638" s="2" t="s">
        <v>7201</v>
      </c>
      <c r="E638" s="2" t="s">
        <v>38</v>
      </c>
      <c r="F638" s="2" t="s">
        <v>39</v>
      </c>
      <c r="G638" s="2">
        <v>28418.26</v>
      </c>
      <c r="H638" s="2">
        <v>13407.44</v>
      </c>
      <c r="I638" s="2" t="s">
        <v>120</v>
      </c>
      <c r="J638" s="2" t="s">
        <v>21</v>
      </c>
      <c r="K638" s="2" t="s">
        <v>42</v>
      </c>
      <c r="L638" s="2" t="s">
        <v>88</v>
      </c>
      <c r="M638" s="2">
        <v>2</v>
      </c>
      <c r="N638" s="2" t="s">
        <v>69</v>
      </c>
      <c r="O638" s="2" t="s">
        <v>70</v>
      </c>
      <c r="P638" s="2" t="s">
        <v>26</v>
      </c>
    </row>
    <row r="639" spans="1:16" x14ac:dyDescent="0.25">
      <c r="A639" s="2" t="s">
        <v>1655</v>
      </c>
      <c r="B639" s="2" t="s">
        <v>7469</v>
      </c>
      <c r="C639" s="2">
        <v>8758</v>
      </c>
      <c r="D639" s="2" t="s">
        <v>7470</v>
      </c>
      <c r="E639" s="2" t="s">
        <v>18</v>
      </c>
      <c r="F639" s="2" t="s">
        <v>30</v>
      </c>
      <c r="G639" s="2">
        <v>14671.9</v>
      </c>
      <c r="H639" s="2">
        <v>8050.23</v>
      </c>
      <c r="I639" s="2" t="s">
        <v>53</v>
      </c>
      <c r="J639" s="2" t="s">
        <v>54</v>
      </c>
      <c r="K639" s="2" t="s">
        <v>80</v>
      </c>
      <c r="L639" s="2" t="s">
        <v>88</v>
      </c>
      <c r="M639" s="2">
        <v>3</v>
      </c>
      <c r="N639" s="2" t="s">
        <v>69</v>
      </c>
      <c r="O639" s="2" t="s">
        <v>25</v>
      </c>
      <c r="P639" s="2" t="s">
        <v>49</v>
      </c>
    </row>
    <row r="640" spans="1:16" x14ac:dyDescent="0.25">
      <c r="A640" s="2" t="s">
        <v>1658</v>
      </c>
      <c r="B640" s="2" t="s">
        <v>7471</v>
      </c>
      <c r="C640" s="2">
        <v>9938</v>
      </c>
      <c r="D640" s="2" t="s">
        <v>7472</v>
      </c>
      <c r="E640" s="2" t="s">
        <v>6748</v>
      </c>
      <c r="F640" s="2" t="s">
        <v>39</v>
      </c>
      <c r="G640" s="2">
        <v>17676.12</v>
      </c>
      <c r="H640" s="2">
        <v>10259.25</v>
      </c>
      <c r="I640" s="2" t="s">
        <v>63</v>
      </c>
      <c r="J640" s="2" t="s">
        <v>6753</v>
      </c>
      <c r="K640" s="2" t="s">
        <v>42</v>
      </c>
      <c r="L640" s="2" t="s">
        <v>64</v>
      </c>
      <c r="M640" s="2">
        <v>4</v>
      </c>
      <c r="N640" s="2" t="s">
        <v>24</v>
      </c>
      <c r="O640" s="2" t="s">
        <v>70</v>
      </c>
      <c r="P640" s="2" t="s">
        <v>49</v>
      </c>
    </row>
    <row r="641" spans="1:16" x14ac:dyDescent="0.25">
      <c r="A641" s="2" t="s">
        <v>1661</v>
      </c>
      <c r="B641" s="2" t="s">
        <v>4903</v>
      </c>
      <c r="C641" s="2">
        <v>8169</v>
      </c>
      <c r="D641" s="2" t="s">
        <v>6566</v>
      </c>
      <c r="E641" s="2" t="s">
        <v>18</v>
      </c>
      <c r="F641" s="2" t="s">
        <v>58</v>
      </c>
      <c r="G641" s="2">
        <v>14167.94</v>
      </c>
      <c r="H641" s="2">
        <v>7577.53</v>
      </c>
      <c r="I641" s="2" t="s">
        <v>6720</v>
      </c>
      <c r="J641" s="2" t="s">
        <v>54</v>
      </c>
      <c r="K641" s="2" t="s">
        <v>32</v>
      </c>
      <c r="L641" s="2" t="s">
        <v>48</v>
      </c>
      <c r="M641" s="2">
        <v>5</v>
      </c>
      <c r="N641" s="2" t="s">
        <v>24</v>
      </c>
      <c r="O641" s="2" t="s">
        <v>70</v>
      </c>
      <c r="P641" s="2" t="s">
        <v>49</v>
      </c>
    </row>
    <row r="642" spans="1:16" x14ac:dyDescent="0.25">
      <c r="A642" s="2" t="s">
        <v>1663</v>
      </c>
      <c r="B642" s="2" t="s">
        <v>3325</v>
      </c>
      <c r="C642" s="2">
        <v>6281</v>
      </c>
      <c r="D642" s="2" t="s">
        <v>7473</v>
      </c>
      <c r="E642" s="2" t="s">
        <v>38</v>
      </c>
      <c r="F642" s="2" t="s">
        <v>19</v>
      </c>
      <c r="G642" s="2">
        <v>17512.88</v>
      </c>
      <c r="H642" s="2">
        <v>8462.0300000000007</v>
      </c>
      <c r="I642" s="2" t="s">
        <v>53</v>
      </c>
      <c r="J642" s="2" t="s">
        <v>54</v>
      </c>
      <c r="K642" s="2" t="s">
        <v>42</v>
      </c>
      <c r="L642" s="2" t="s">
        <v>43</v>
      </c>
      <c r="M642" s="2">
        <v>2</v>
      </c>
      <c r="N642" s="2" t="s">
        <v>69</v>
      </c>
      <c r="O642" s="2" t="s">
        <v>70</v>
      </c>
      <c r="P642" s="2" t="s">
        <v>34</v>
      </c>
    </row>
    <row r="643" spans="1:16" x14ac:dyDescent="0.25">
      <c r="A643" s="2" t="s">
        <v>1665</v>
      </c>
      <c r="B643" s="2" t="s">
        <v>7474</v>
      </c>
      <c r="C643" s="2">
        <v>9591</v>
      </c>
      <c r="D643" s="2" t="s">
        <v>4844</v>
      </c>
      <c r="E643" s="2" t="s">
        <v>6680</v>
      </c>
      <c r="F643" s="2" t="s">
        <v>58</v>
      </c>
      <c r="G643" s="2">
        <v>10036.06</v>
      </c>
      <c r="H643" s="2">
        <v>5351.84</v>
      </c>
      <c r="I643" s="2" t="s">
        <v>6759</v>
      </c>
      <c r="J643" s="2" t="s">
        <v>6700</v>
      </c>
      <c r="K643" s="2" t="s">
        <v>32</v>
      </c>
      <c r="L643" s="2" t="s">
        <v>64</v>
      </c>
      <c r="M643" s="2">
        <v>1</v>
      </c>
      <c r="N643" s="2" t="s">
        <v>69</v>
      </c>
      <c r="O643" s="2" t="s">
        <v>25</v>
      </c>
      <c r="P643" s="2" t="s">
        <v>49</v>
      </c>
    </row>
    <row r="644" spans="1:16" x14ac:dyDescent="0.25">
      <c r="A644" s="2" t="s">
        <v>1668</v>
      </c>
      <c r="B644" s="2" t="s">
        <v>3486</v>
      </c>
      <c r="C644" s="2">
        <v>4703</v>
      </c>
      <c r="D644" s="2" t="s">
        <v>7475</v>
      </c>
      <c r="E644" s="2" t="s">
        <v>38</v>
      </c>
      <c r="F644" s="2" t="s">
        <v>30</v>
      </c>
      <c r="G644" s="2">
        <v>59062.07</v>
      </c>
      <c r="H644" s="2">
        <v>37538.43</v>
      </c>
      <c r="I644" s="2" t="s">
        <v>84</v>
      </c>
      <c r="J644" s="2" t="s">
        <v>54</v>
      </c>
      <c r="K644" s="2" t="s">
        <v>42</v>
      </c>
      <c r="L644" s="2" t="s">
        <v>88</v>
      </c>
      <c r="M644" s="2">
        <v>4</v>
      </c>
      <c r="N644" s="2" t="s">
        <v>24</v>
      </c>
      <c r="O644" s="2" t="s">
        <v>25</v>
      </c>
      <c r="P644" s="2" t="s">
        <v>49</v>
      </c>
    </row>
    <row r="645" spans="1:16" x14ac:dyDescent="0.25">
      <c r="A645" s="2" t="s">
        <v>1671</v>
      </c>
      <c r="B645" s="2" t="s">
        <v>7348</v>
      </c>
      <c r="C645" s="2">
        <v>3497</v>
      </c>
      <c r="D645" s="2" t="s">
        <v>7476</v>
      </c>
      <c r="E645" s="2" t="s">
        <v>18</v>
      </c>
      <c r="F645" s="2" t="s">
        <v>30</v>
      </c>
      <c r="G645" s="2">
        <v>56354.06</v>
      </c>
      <c r="H645" s="2">
        <v>28514.99</v>
      </c>
      <c r="I645" s="2" t="s">
        <v>40</v>
      </c>
      <c r="J645" s="2" t="s">
        <v>41</v>
      </c>
      <c r="K645" s="2" t="s">
        <v>42</v>
      </c>
      <c r="L645" s="2" t="s">
        <v>43</v>
      </c>
      <c r="M645" s="2">
        <v>1</v>
      </c>
      <c r="N645" s="2" t="s">
        <v>33</v>
      </c>
      <c r="O645" s="2" t="s">
        <v>25</v>
      </c>
      <c r="P645" s="2" t="s">
        <v>49</v>
      </c>
    </row>
    <row r="646" spans="1:16" x14ac:dyDescent="0.25">
      <c r="A646" s="2" t="s">
        <v>1674</v>
      </c>
      <c r="B646" s="2" t="s">
        <v>4467</v>
      </c>
      <c r="C646" s="2">
        <v>8756</v>
      </c>
      <c r="D646" s="2" t="s">
        <v>7477</v>
      </c>
      <c r="E646" s="2" t="s">
        <v>6703</v>
      </c>
      <c r="F646" s="2" t="s">
        <v>30</v>
      </c>
      <c r="G646" s="2">
        <v>36406.879999999997</v>
      </c>
      <c r="H646" s="2">
        <v>22087.07</v>
      </c>
      <c r="I646" s="2" t="s">
        <v>6752</v>
      </c>
      <c r="J646" s="2" t="s">
        <v>6753</v>
      </c>
      <c r="K646" s="2" t="s">
        <v>32</v>
      </c>
      <c r="L646" s="2" t="s">
        <v>55</v>
      </c>
      <c r="M646" s="2">
        <v>5</v>
      </c>
      <c r="N646" s="2" t="s">
        <v>33</v>
      </c>
      <c r="O646" s="2" t="s">
        <v>25</v>
      </c>
      <c r="P646" s="2" t="s">
        <v>26</v>
      </c>
    </row>
    <row r="647" spans="1:16" x14ac:dyDescent="0.25">
      <c r="A647" s="2" t="s">
        <v>1677</v>
      </c>
      <c r="B647" s="2" t="s">
        <v>1051</v>
      </c>
      <c r="C647" s="2">
        <v>7442</v>
      </c>
      <c r="D647" s="2" t="s">
        <v>3918</v>
      </c>
      <c r="E647" s="2" t="s">
        <v>38</v>
      </c>
      <c r="F647" s="2" t="s">
        <v>39</v>
      </c>
      <c r="G647" s="2">
        <v>40674.18</v>
      </c>
      <c r="H647" s="2">
        <v>24048.560000000001</v>
      </c>
      <c r="I647" s="2" t="s">
        <v>120</v>
      </c>
      <c r="J647" s="2" t="s">
        <v>21</v>
      </c>
      <c r="K647" s="2" t="s">
        <v>42</v>
      </c>
      <c r="L647" s="2" t="s">
        <v>88</v>
      </c>
      <c r="M647" s="2">
        <v>5</v>
      </c>
      <c r="N647" s="2" t="s">
        <v>33</v>
      </c>
      <c r="O647" s="2" t="s">
        <v>25</v>
      </c>
      <c r="P647" s="2" t="s">
        <v>49</v>
      </c>
    </row>
    <row r="648" spans="1:16" x14ac:dyDescent="0.25">
      <c r="A648" s="2" t="s">
        <v>1679</v>
      </c>
      <c r="B648" s="2" t="s">
        <v>339</v>
      </c>
      <c r="C648" s="2">
        <v>8235</v>
      </c>
      <c r="D648" s="2" t="s">
        <v>7478</v>
      </c>
      <c r="E648" s="2" t="s">
        <v>38</v>
      </c>
      <c r="F648" s="2" t="s">
        <v>47</v>
      </c>
      <c r="G648" s="2">
        <v>10489.45</v>
      </c>
      <c r="H648" s="2">
        <v>5245.86</v>
      </c>
      <c r="I648" s="2" t="s">
        <v>40</v>
      </c>
      <c r="J648" s="2" t="s">
        <v>41</v>
      </c>
      <c r="K648" s="2" t="s">
        <v>22</v>
      </c>
      <c r="L648" s="2" t="s">
        <v>43</v>
      </c>
      <c r="M648" s="2">
        <v>4</v>
      </c>
      <c r="N648" s="2" t="s">
        <v>24</v>
      </c>
      <c r="O648" s="2" t="s">
        <v>25</v>
      </c>
      <c r="P648" s="2" t="s">
        <v>34</v>
      </c>
    </row>
    <row r="649" spans="1:16" x14ac:dyDescent="0.25">
      <c r="A649" s="2" t="s">
        <v>1681</v>
      </c>
      <c r="B649" s="2" t="s">
        <v>6408</v>
      </c>
      <c r="C649" s="2">
        <v>7266</v>
      </c>
      <c r="D649" s="2" t="s">
        <v>7479</v>
      </c>
      <c r="E649" s="2" t="s">
        <v>6698</v>
      </c>
      <c r="F649" s="2" t="s">
        <v>19</v>
      </c>
      <c r="G649" s="2">
        <v>5181.24</v>
      </c>
      <c r="H649" s="2">
        <v>3106.29</v>
      </c>
      <c r="I649" s="2" t="s">
        <v>6845</v>
      </c>
      <c r="J649" s="2" t="s">
        <v>6789</v>
      </c>
      <c r="K649" s="2" t="s">
        <v>22</v>
      </c>
      <c r="L649" s="2" t="s">
        <v>23</v>
      </c>
      <c r="M649" s="2">
        <v>4</v>
      </c>
      <c r="N649" s="2" t="s">
        <v>33</v>
      </c>
      <c r="O649" s="2" t="s">
        <v>25</v>
      </c>
      <c r="P649" s="2" t="s">
        <v>49</v>
      </c>
    </row>
    <row r="650" spans="1:16" x14ac:dyDescent="0.25">
      <c r="A650" s="2" t="s">
        <v>1684</v>
      </c>
      <c r="B650" s="2" t="s">
        <v>7480</v>
      </c>
      <c r="C650" s="2">
        <v>7525</v>
      </c>
      <c r="D650" s="2" t="s">
        <v>7481</v>
      </c>
      <c r="E650" s="2" t="s">
        <v>18</v>
      </c>
      <c r="F650" s="2" t="s">
        <v>39</v>
      </c>
      <c r="G650" s="2">
        <v>34378.69</v>
      </c>
      <c r="H650" s="2">
        <v>20312.75</v>
      </c>
      <c r="I650" s="2" t="s">
        <v>40</v>
      </c>
      <c r="J650" s="2" t="s">
        <v>41</v>
      </c>
      <c r="K650" s="2" t="s">
        <v>42</v>
      </c>
      <c r="L650" s="2" t="s">
        <v>48</v>
      </c>
      <c r="M650" s="2">
        <v>1</v>
      </c>
      <c r="N650" s="2" t="s">
        <v>69</v>
      </c>
      <c r="O650" s="2" t="s">
        <v>70</v>
      </c>
      <c r="P650" s="2" t="s">
        <v>49</v>
      </c>
    </row>
    <row r="651" spans="1:16" x14ac:dyDescent="0.25">
      <c r="A651" s="2" t="s">
        <v>1687</v>
      </c>
      <c r="B651" s="2" t="s">
        <v>6966</v>
      </c>
      <c r="C651" s="2">
        <v>2702</v>
      </c>
      <c r="D651" s="2" t="s">
        <v>7482</v>
      </c>
      <c r="E651" s="2" t="s">
        <v>18</v>
      </c>
      <c r="F651" s="2" t="s">
        <v>30</v>
      </c>
      <c r="G651" s="2">
        <v>24847.18</v>
      </c>
      <c r="H651" s="2">
        <v>14227.1</v>
      </c>
      <c r="I651" s="2" t="s">
        <v>40</v>
      </c>
      <c r="J651" s="2" t="s">
        <v>41</v>
      </c>
      <c r="K651" s="2" t="s">
        <v>32</v>
      </c>
      <c r="L651" s="2" t="s">
        <v>48</v>
      </c>
      <c r="M651" s="2">
        <v>2</v>
      </c>
      <c r="N651" s="2" t="s">
        <v>69</v>
      </c>
      <c r="O651" s="2" t="s">
        <v>25</v>
      </c>
      <c r="P651" s="2" t="s">
        <v>34</v>
      </c>
    </row>
    <row r="652" spans="1:16" x14ac:dyDescent="0.25">
      <c r="A652" s="2" t="s">
        <v>1690</v>
      </c>
      <c r="B652" s="2" t="s">
        <v>7483</v>
      </c>
      <c r="C652" s="2">
        <v>5546</v>
      </c>
      <c r="D652" s="2" t="s">
        <v>7484</v>
      </c>
      <c r="E652" s="2" t="s">
        <v>18</v>
      </c>
      <c r="F652" s="2" t="s">
        <v>19</v>
      </c>
      <c r="G652" s="2">
        <v>11699.12</v>
      </c>
      <c r="H652" s="2">
        <v>6990.12</v>
      </c>
      <c r="I652" s="2" t="s">
        <v>53</v>
      </c>
      <c r="J652" s="2" t="s">
        <v>54</v>
      </c>
      <c r="K652" s="2" t="s">
        <v>42</v>
      </c>
      <c r="L652" s="2" t="s">
        <v>48</v>
      </c>
      <c r="M652" s="2">
        <v>3</v>
      </c>
      <c r="N652" s="2" t="s">
        <v>69</v>
      </c>
      <c r="O652" s="2" t="s">
        <v>25</v>
      </c>
      <c r="P652" s="2" t="s">
        <v>49</v>
      </c>
    </row>
    <row r="653" spans="1:16" x14ac:dyDescent="0.25">
      <c r="A653" s="2" t="s">
        <v>1693</v>
      </c>
      <c r="B653" s="2" t="s">
        <v>5004</v>
      </c>
      <c r="C653" s="2">
        <v>2007</v>
      </c>
      <c r="D653" s="2" t="s">
        <v>2347</v>
      </c>
      <c r="E653" s="2" t="s">
        <v>18</v>
      </c>
      <c r="F653" s="2" t="s">
        <v>47</v>
      </c>
      <c r="G653" s="2">
        <v>5894.1</v>
      </c>
      <c r="H653" s="2">
        <v>3549.77</v>
      </c>
      <c r="I653" s="2" t="s">
        <v>63</v>
      </c>
      <c r="J653" s="2" t="s">
        <v>54</v>
      </c>
      <c r="K653" s="2" t="s">
        <v>32</v>
      </c>
      <c r="L653" s="2" t="s">
        <v>48</v>
      </c>
      <c r="M653" s="2">
        <v>3</v>
      </c>
      <c r="N653" s="2" t="s">
        <v>33</v>
      </c>
      <c r="O653" s="2" t="s">
        <v>25</v>
      </c>
      <c r="P653" s="2" t="s">
        <v>34</v>
      </c>
    </row>
    <row r="654" spans="1:16" x14ac:dyDescent="0.25">
      <c r="A654" s="2" t="s">
        <v>1696</v>
      </c>
      <c r="B654" s="2" t="s">
        <v>1517</v>
      </c>
      <c r="C654" s="2">
        <v>5485</v>
      </c>
      <c r="D654" s="2" t="s">
        <v>1404</v>
      </c>
      <c r="E654" s="2" t="s">
        <v>38</v>
      </c>
      <c r="F654" s="2" t="s">
        <v>58</v>
      </c>
      <c r="G654" s="2">
        <v>15444.3</v>
      </c>
      <c r="H654" s="2">
        <v>8390.1200000000008</v>
      </c>
      <c r="I654" s="2" t="s">
        <v>120</v>
      </c>
      <c r="J654" s="2" t="s">
        <v>21</v>
      </c>
      <c r="K654" s="2" t="s">
        <v>22</v>
      </c>
      <c r="L654" s="2" t="s">
        <v>43</v>
      </c>
      <c r="M654" s="2">
        <v>4</v>
      </c>
      <c r="N654" s="2" t="s">
        <v>33</v>
      </c>
      <c r="O654" s="2" t="s">
        <v>70</v>
      </c>
      <c r="P654" s="2" t="s">
        <v>26</v>
      </c>
    </row>
    <row r="655" spans="1:16" x14ac:dyDescent="0.25">
      <c r="A655" s="2" t="s">
        <v>1698</v>
      </c>
      <c r="B655" s="2" t="s">
        <v>7485</v>
      </c>
      <c r="C655" s="2">
        <v>4563</v>
      </c>
      <c r="D655" s="2" t="s">
        <v>7486</v>
      </c>
      <c r="E655" s="2" t="s">
        <v>6719</v>
      </c>
      <c r="F655" s="2" t="s">
        <v>19</v>
      </c>
      <c r="G655" s="2">
        <v>9157.56</v>
      </c>
      <c r="H655" s="2">
        <v>5727.5</v>
      </c>
      <c r="I655" s="2" t="s">
        <v>6739</v>
      </c>
      <c r="J655" s="2" t="s">
        <v>6753</v>
      </c>
      <c r="K655" s="2" t="s">
        <v>32</v>
      </c>
      <c r="L655" s="2" t="s">
        <v>88</v>
      </c>
      <c r="M655" s="2">
        <v>2</v>
      </c>
      <c r="N655" s="2" t="s">
        <v>24</v>
      </c>
      <c r="O655" s="2" t="s">
        <v>70</v>
      </c>
      <c r="P655" s="2" t="s">
        <v>34</v>
      </c>
    </row>
    <row r="656" spans="1:16" x14ac:dyDescent="0.25">
      <c r="A656" s="2" t="s">
        <v>1701</v>
      </c>
      <c r="B656" s="2" t="s">
        <v>7487</v>
      </c>
      <c r="C656" s="2">
        <v>8202</v>
      </c>
      <c r="D656" s="2" t="s">
        <v>7488</v>
      </c>
      <c r="E656" s="2" t="s">
        <v>6719</v>
      </c>
      <c r="F656" s="2" t="s">
        <v>39</v>
      </c>
      <c r="G656" s="2">
        <v>10250.59</v>
      </c>
      <c r="H656" s="2">
        <v>5340.87</v>
      </c>
      <c r="I656" s="2" t="s">
        <v>6808</v>
      </c>
      <c r="J656" s="2" t="s">
        <v>6686</v>
      </c>
      <c r="K656" s="2" t="s">
        <v>42</v>
      </c>
      <c r="L656" s="2" t="s">
        <v>88</v>
      </c>
      <c r="M656" s="2">
        <v>5</v>
      </c>
      <c r="N656" s="2" t="s">
        <v>33</v>
      </c>
      <c r="O656" s="2" t="s">
        <v>70</v>
      </c>
      <c r="P656" s="2" t="s">
        <v>26</v>
      </c>
    </row>
    <row r="657" spans="1:16" x14ac:dyDescent="0.25">
      <c r="A657" s="2" t="s">
        <v>1704</v>
      </c>
      <c r="B657" s="2" t="s">
        <v>7489</v>
      </c>
      <c r="C657" s="2">
        <v>9253</v>
      </c>
      <c r="D657" s="2" t="s">
        <v>2971</v>
      </c>
      <c r="E657" s="2" t="s">
        <v>38</v>
      </c>
      <c r="F657" s="2" t="s">
        <v>47</v>
      </c>
      <c r="G657" s="2">
        <v>5451.7</v>
      </c>
      <c r="H657" s="2">
        <v>3296.54</v>
      </c>
      <c r="I657" s="2" t="s">
        <v>84</v>
      </c>
      <c r="J657" s="2" t="s">
        <v>54</v>
      </c>
      <c r="K657" s="2" t="s">
        <v>42</v>
      </c>
      <c r="L657" s="2" t="s">
        <v>23</v>
      </c>
      <c r="M657" s="2">
        <v>4</v>
      </c>
      <c r="N657" s="2" t="s">
        <v>33</v>
      </c>
      <c r="O657" s="2" t="s">
        <v>70</v>
      </c>
      <c r="P657" s="2" t="s">
        <v>49</v>
      </c>
    </row>
    <row r="658" spans="1:16" x14ac:dyDescent="0.25">
      <c r="A658" s="2" t="s">
        <v>1706</v>
      </c>
      <c r="B658" s="2" t="s">
        <v>7490</v>
      </c>
      <c r="C658" s="2">
        <v>1554</v>
      </c>
      <c r="D658" s="2" t="s">
        <v>7491</v>
      </c>
      <c r="E658" s="2" t="s">
        <v>6719</v>
      </c>
      <c r="F658" s="2" t="s">
        <v>30</v>
      </c>
      <c r="G658" s="2">
        <v>75832.850000000006</v>
      </c>
      <c r="H658" s="2">
        <v>43671.71</v>
      </c>
      <c r="I658" s="2" t="s">
        <v>6690</v>
      </c>
      <c r="J658" s="2" t="s">
        <v>6691</v>
      </c>
      <c r="K658" s="2" t="s">
        <v>22</v>
      </c>
      <c r="L658" s="2" t="s">
        <v>23</v>
      </c>
      <c r="M658" s="2">
        <v>4</v>
      </c>
      <c r="N658" s="2" t="s">
        <v>24</v>
      </c>
      <c r="O658" s="2" t="s">
        <v>25</v>
      </c>
      <c r="P658" s="2" t="s">
        <v>26</v>
      </c>
    </row>
    <row r="659" spans="1:16" x14ac:dyDescent="0.25">
      <c r="A659" s="2" t="s">
        <v>1709</v>
      </c>
      <c r="B659" s="2" t="s">
        <v>167</v>
      </c>
      <c r="C659" s="2">
        <v>8126</v>
      </c>
      <c r="D659" s="2" t="s">
        <v>7492</v>
      </c>
      <c r="E659" s="2" t="s">
        <v>38</v>
      </c>
      <c r="F659" s="2" t="s">
        <v>30</v>
      </c>
      <c r="G659" s="2">
        <v>64267.65</v>
      </c>
      <c r="H659" s="2">
        <v>32051.42</v>
      </c>
      <c r="I659" s="2" t="s">
        <v>63</v>
      </c>
      <c r="J659" s="2" t="s">
        <v>54</v>
      </c>
      <c r="K659" s="2" t="s">
        <v>42</v>
      </c>
      <c r="L659" s="2" t="s">
        <v>43</v>
      </c>
      <c r="M659" s="2">
        <v>3</v>
      </c>
      <c r="N659" s="2" t="s">
        <v>24</v>
      </c>
      <c r="O659" s="2" t="s">
        <v>25</v>
      </c>
      <c r="P659" s="2" t="s">
        <v>26</v>
      </c>
    </row>
    <row r="660" spans="1:16" x14ac:dyDescent="0.25">
      <c r="A660" s="2" t="s">
        <v>1711</v>
      </c>
      <c r="B660" s="2" t="s">
        <v>7493</v>
      </c>
      <c r="C660" s="2">
        <v>7565</v>
      </c>
      <c r="D660" s="2" t="s">
        <v>7494</v>
      </c>
      <c r="E660" s="2" t="s">
        <v>18</v>
      </c>
      <c r="F660" s="2" t="s">
        <v>58</v>
      </c>
      <c r="G660" s="2">
        <v>10551.72</v>
      </c>
      <c r="H660" s="2">
        <v>5099.3999999999996</v>
      </c>
      <c r="I660" s="2" t="s">
        <v>6777</v>
      </c>
      <c r="J660" s="2" t="s">
        <v>6705</v>
      </c>
      <c r="K660" s="2" t="s">
        <v>42</v>
      </c>
      <c r="L660" s="2" t="s">
        <v>43</v>
      </c>
      <c r="M660" s="2">
        <v>5</v>
      </c>
      <c r="N660" s="2" t="s">
        <v>33</v>
      </c>
      <c r="O660" s="2" t="s">
        <v>70</v>
      </c>
      <c r="P660" s="2" t="s">
        <v>26</v>
      </c>
    </row>
    <row r="661" spans="1:16" x14ac:dyDescent="0.25">
      <c r="A661" s="2" t="s">
        <v>1713</v>
      </c>
      <c r="B661" s="2" t="s">
        <v>5044</v>
      </c>
      <c r="C661" s="2">
        <v>4283</v>
      </c>
      <c r="D661" s="2" t="s">
        <v>1708</v>
      </c>
      <c r="E661" s="2" t="s">
        <v>18</v>
      </c>
      <c r="F661" s="2" t="s">
        <v>39</v>
      </c>
      <c r="G661" s="2">
        <v>14612.75</v>
      </c>
      <c r="H661" s="2">
        <v>6810.64</v>
      </c>
      <c r="I661" s="2" t="s">
        <v>59</v>
      </c>
      <c r="J661" s="2" t="s">
        <v>41</v>
      </c>
      <c r="K661" s="2" t="s">
        <v>32</v>
      </c>
      <c r="L661" s="2" t="s">
        <v>23</v>
      </c>
      <c r="M661" s="2">
        <v>4</v>
      </c>
      <c r="N661" s="2" t="s">
        <v>33</v>
      </c>
      <c r="O661" s="2" t="s">
        <v>25</v>
      </c>
      <c r="P661" s="2" t="s">
        <v>49</v>
      </c>
    </row>
    <row r="662" spans="1:16" x14ac:dyDescent="0.25">
      <c r="A662" s="2" t="s">
        <v>1715</v>
      </c>
      <c r="B662" s="2" t="s">
        <v>7495</v>
      </c>
      <c r="C662" s="2">
        <v>7456</v>
      </c>
      <c r="D662" s="2" t="s">
        <v>7496</v>
      </c>
      <c r="E662" s="2" t="s">
        <v>32</v>
      </c>
      <c r="F662" s="2" t="s">
        <v>30</v>
      </c>
      <c r="G662" s="2">
        <v>78636.81</v>
      </c>
      <c r="H662" s="2">
        <v>45899.31</v>
      </c>
      <c r="I662" s="2" t="s">
        <v>6915</v>
      </c>
      <c r="J662" s="2" t="s">
        <v>6696</v>
      </c>
      <c r="K662" s="2" t="s">
        <v>80</v>
      </c>
      <c r="L662" s="2" t="s">
        <v>48</v>
      </c>
      <c r="M662" s="2">
        <v>2</v>
      </c>
      <c r="N662" s="2" t="s">
        <v>24</v>
      </c>
      <c r="O662" s="2" t="s">
        <v>25</v>
      </c>
      <c r="P662" s="2" t="s">
        <v>26</v>
      </c>
    </row>
    <row r="663" spans="1:16" x14ac:dyDescent="0.25">
      <c r="A663" s="2" t="s">
        <v>1717</v>
      </c>
      <c r="B663" s="2" t="s">
        <v>736</v>
      </c>
      <c r="C663" s="2">
        <v>6683</v>
      </c>
      <c r="D663" s="2" t="s">
        <v>7497</v>
      </c>
      <c r="E663" s="2" t="s">
        <v>6680</v>
      </c>
      <c r="F663" s="2" t="s">
        <v>47</v>
      </c>
      <c r="G663" s="2">
        <v>9378.36</v>
      </c>
      <c r="H663" s="2">
        <v>6040.09</v>
      </c>
      <c r="I663" s="2" t="s">
        <v>6712</v>
      </c>
      <c r="J663" s="2" t="s">
        <v>41</v>
      </c>
      <c r="K663" s="2" t="s">
        <v>22</v>
      </c>
      <c r="L663" s="2" t="s">
        <v>23</v>
      </c>
      <c r="M663" s="2">
        <v>5</v>
      </c>
      <c r="N663" s="2" t="s">
        <v>33</v>
      </c>
      <c r="O663" s="2" t="s">
        <v>25</v>
      </c>
      <c r="P663" s="2" t="s">
        <v>34</v>
      </c>
    </row>
    <row r="664" spans="1:16" x14ac:dyDescent="0.25">
      <c r="A664" s="2" t="s">
        <v>1719</v>
      </c>
      <c r="B664" s="2" t="s">
        <v>7498</v>
      </c>
      <c r="C664" s="2">
        <v>2521</v>
      </c>
      <c r="D664" s="2" t="s">
        <v>7499</v>
      </c>
      <c r="E664" s="2" t="s">
        <v>6719</v>
      </c>
      <c r="F664" s="2" t="s">
        <v>30</v>
      </c>
      <c r="G664" s="2">
        <v>30027.64</v>
      </c>
      <c r="H664" s="2">
        <v>14592.69</v>
      </c>
      <c r="I664" s="2" t="s">
        <v>6723</v>
      </c>
      <c r="J664" s="2" t="s">
        <v>6795</v>
      </c>
      <c r="K664" s="2" t="s">
        <v>32</v>
      </c>
      <c r="L664" s="2" t="s">
        <v>88</v>
      </c>
      <c r="M664" s="2">
        <v>3</v>
      </c>
      <c r="N664" s="2" t="s">
        <v>33</v>
      </c>
      <c r="O664" s="2" t="s">
        <v>70</v>
      </c>
      <c r="P664" s="2" t="s">
        <v>26</v>
      </c>
    </row>
    <row r="665" spans="1:16" x14ac:dyDescent="0.25">
      <c r="A665" s="2" t="s">
        <v>1721</v>
      </c>
      <c r="B665" s="2" t="s">
        <v>2690</v>
      </c>
      <c r="C665" s="2">
        <v>7626</v>
      </c>
      <c r="D665" s="2" t="s">
        <v>7500</v>
      </c>
      <c r="E665" s="2" t="s">
        <v>18</v>
      </c>
      <c r="F665" s="2" t="s">
        <v>30</v>
      </c>
      <c r="G665" s="2">
        <v>17808.39</v>
      </c>
      <c r="H665" s="2">
        <v>8472.2999999999993</v>
      </c>
      <c r="I665" s="2" t="s">
        <v>6915</v>
      </c>
      <c r="J665" s="2" t="s">
        <v>6724</v>
      </c>
      <c r="K665" s="2" t="s">
        <v>80</v>
      </c>
      <c r="L665" s="2" t="s">
        <v>48</v>
      </c>
      <c r="M665" s="2">
        <v>4</v>
      </c>
      <c r="N665" s="2" t="s">
        <v>33</v>
      </c>
      <c r="O665" s="2" t="s">
        <v>70</v>
      </c>
      <c r="P665" s="2" t="s">
        <v>49</v>
      </c>
    </row>
    <row r="666" spans="1:16" x14ac:dyDescent="0.25">
      <c r="A666" s="2" t="s">
        <v>1724</v>
      </c>
      <c r="B666" s="2" t="s">
        <v>4746</v>
      </c>
      <c r="C666" s="2">
        <v>7108</v>
      </c>
      <c r="D666" s="2" t="s">
        <v>7501</v>
      </c>
      <c r="E666" s="2" t="s">
        <v>38</v>
      </c>
      <c r="F666" s="2" t="s">
        <v>58</v>
      </c>
      <c r="G666" s="2">
        <v>51517.3</v>
      </c>
      <c r="H666" s="2">
        <v>31880.639999999999</v>
      </c>
      <c r="I666" s="2" t="s">
        <v>84</v>
      </c>
      <c r="J666" s="2" t="s">
        <v>54</v>
      </c>
      <c r="K666" s="2" t="s">
        <v>42</v>
      </c>
      <c r="L666" s="2" t="s">
        <v>55</v>
      </c>
      <c r="M666" s="2">
        <v>2</v>
      </c>
      <c r="N666" s="2" t="s">
        <v>69</v>
      </c>
      <c r="O666" s="2" t="s">
        <v>25</v>
      </c>
      <c r="P666" s="2" t="s">
        <v>34</v>
      </c>
    </row>
    <row r="667" spans="1:16" x14ac:dyDescent="0.25">
      <c r="A667" s="2" t="s">
        <v>1726</v>
      </c>
      <c r="B667" s="2" t="s">
        <v>1880</v>
      </c>
      <c r="C667" s="2">
        <v>4237</v>
      </c>
      <c r="D667" s="2" t="s">
        <v>7502</v>
      </c>
      <c r="E667" s="2" t="s">
        <v>38</v>
      </c>
      <c r="F667" s="2" t="s">
        <v>39</v>
      </c>
      <c r="G667" s="2">
        <v>32026.959999999999</v>
      </c>
      <c r="H667" s="2">
        <v>17389.12</v>
      </c>
      <c r="I667" s="2" t="s">
        <v>63</v>
      </c>
      <c r="J667" s="2" t="s">
        <v>54</v>
      </c>
      <c r="K667" s="2" t="s">
        <v>22</v>
      </c>
      <c r="L667" s="2" t="s">
        <v>55</v>
      </c>
      <c r="M667" s="2">
        <v>4</v>
      </c>
      <c r="N667" s="2" t="s">
        <v>24</v>
      </c>
      <c r="O667" s="2" t="s">
        <v>25</v>
      </c>
      <c r="P667" s="2" t="s">
        <v>49</v>
      </c>
    </row>
    <row r="668" spans="1:16" x14ac:dyDescent="0.25">
      <c r="A668" s="2" t="s">
        <v>1728</v>
      </c>
      <c r="B668" s="2" t="s">
        <v>2273</v>
      </c>
      <c r="C668" s="2">
        <v>5378</v>
      </c>
      <c r="D668" s="2" t="s">
        <v>887</v>
      </c>
      <c r="E668" s="2" t="s">
        <v>18</v>
      </c>
      <c r="F668" s="2" t="s">
        <v>19</v>
      </c>
      <c r="G668" s="2">
        <v>11627.96</v>
      </c>
      <c r="H668" s="2">
        <v>6202.49</v>
      </c>
      <c r="I668" s="2" t="s">
        <v>53</v>
      </c>
      <c r="J668" s="2" t="s">
        <v>54</v>
      </c>
      <c r="K668" s="2" t="s">
        <v>80</v>
      </c>
      <c r="L668" s="2" t="s">
        <v>88</v>
      </c>
      <c r="M668" s="2">
        <v>3</v>
      </c>
      <c r="N668" s="2" t="s">
        <v>24</v>
      </c>
      <c r="O668" s="2" t="s">
        <v>25</v>
      </c>
      <c r="P668" s="2" t="s">
        <v>34</v>
      </c>
    </row>
    <row r="669" spans="1:16" x14ac:dyDescent="0.25">
      <c r="A669" s="2" t="s">
        <v>1731</v>
      </c>
      <c r="B669" s="2" t="s">
        <v>7503</v>
      </c>
      <c r="C669" s="2">
        <v>3369</v>
      </c>
      <c r="D669" s="2" t="s">
        <v>7504</v>
      </c>
      <c r="E669" s="2" t="s">
        <v>38</v>
      </c>
      <c r="F669" s="2" t="s">
        <v>39</v>
      </c>
      <c r="G669" s="2">
        <v>15919.74</v>
      </c>
      <c r="H669" s="2">
        <v>8038.5</v>
      </c>
      <c r="I669" s="2" t="s">
        <v>120</v>
      </c>
      <c r="J669" s="2" t="s">
        <v>21</v>
      </c>
      <c r="K669" s="2" t="s">
        <v>80</v>
      </c>
      <c r="L669" s="2" t="s">
        <v>48</v>
      </c>
      <c r="M669" s="2">
        <v>5</v>
      </c>
      <c r="N669" s="2" t="s">
        <v>33</v>
      </c>
      <c r="O669" s="2" t="s">
        <v>70</v>
      </c>
      <c r="P669" s="2" t="s">
        <v>49</v>
      </c>
    </row>
    <row r="670" spans="1:16" x14ac:dyDescent="0.25">
      <c r="A670" s="2" t="s">
        <v>1733</v>
      </c>
      <c r="B670" s="2" t="s">
        <v>7505</v>
      </c>
      <c r="C670" s="2">
        <v>2656</v>
      </c>
      <c r="D670" s="2" t="s">
        <v>7506</v>
      </c>
      <c r="E670" s="2" t="s">
        <v>38</v>
      </c>
      <c r="F670" s="2" t="s">
        <v>58</v>
      </c>
      <c r="G670" s="2">
        <v>26967.39</v>
      </c>
      <c r="H670" s="2">
        <v>16047.75</v>
      </c>
      <c r="I670" s="2" t="s">
        <v>6723</v>
      </c>
      <c r="J670" s="2" t="s">
        <v>21</v>
      </c>
      <c r="K670" s="2" t="s">
        <v>42</v>
      </c>
      <c r="L670" s="2" t="s">
        <v>48</v>
      </c>
      <c r="M670" s="2">
        <v>3</v>
      </c>
      <c r="N670" s="2" t="s">
        <v>33</v>
      </c>
      <c r="O670" s="2" t="s">
        <v>25</v>
      </c>
      <c r="P670" s="2" t="s">
        <v>49</v>
      </c>
    </row>
    <row r="671" spans="1:16" x14ac:dyDescent="0.25">
      <c r="A671" s="2" t="s">
        <v>1735</v>
      </c>
      <c r="B671" s="2" t="s">
        <v>7507</v>
      </c>
      <c r="C671" s="2">
        <v>4993</v>
      </c>
      <c r="D671" s="2" t="s">
        <v>7508</v>
      </c>
      <c r="E671" s="2" t="s">
        <v>6756</v>
      </c>
      <c r="F671" s="2" t="s">
        <v>39</v>
      </c>
      <c r="G671" s="2">
        <v>19349.8</v>
      </c>
      <c r="H671" s="2">
        <v>10537.59</v>
      </c>
      <c r="I671" s="2" t="s">
        <v>6695</v>
      </c>
      <c r="J671" s="2" t="s">
        <v>6696</v>
      </c>
      <c r="K671" s="2" t="s">
        <v>80</v>
      </c>
      <c r="L671" s="2" t="s">
        <v>88</v>
      </c>
      <c r="M671" s="2">
        <v>2</v>
      </c>
      <c r="N671" s="2" t="s">
        <v>33</v>
      </c>
      <c r="O671" s="2" t="s">
        <v>70</v>
      </c>
      <c r="P671" s="2" t="s">
        <v>49</v>
      </c>
    </row>
    <row r="672" spans="1:16" x14ac:dyDescent="0.25">
      <c r="A672" s="2" t="s">
        <v>1738</v>
      </c>
      <c r="B672" s="2" t="s">
        <v>7509</v>
      </c>
      <c r="C672" s="2">
        <v>5375</v>
      </c>
      <c r="D672" s="2" t="s">
        <v>7510</v>
      </c>
      <c r="E672" s="2" t="s">
        <v>6748</v>
      </c>
      <c r="F672" s="2" t="s">
        <v>58</v>
      </c>
      <c r="G672" s="2">
        <v>36199.129999999997</v>
      </c>
      <c r="H672" s="2">
        <v>23354.94</v>
      </c>
      <c r="I672" s="2" t="s">
        <v>6736</v>
      </c>
      <c r="J672" s="2" t="s">
        <v>6753</v>
      </c>
      <c r="K672" s="2" t="s">
        <v>42</v>
      </c>
      <c r="L672" s="2" t="s">
        <v>55</v>
      </c>
      <c r="M672" s="2">
        <v>2</v>
      </c>
      <c r="N672" s="2" t="s">
        <v>33</v>
      </c>
      <c r="O672" s="2" t="s">
        <v>70</v>
      </c>
      <c r="P672" s="2" t="s">
        <v>26</v>
      </c>
    </row>
    <row r="673" spans="1:16" x14ac:dyDescent="0.25">
      <c r="A673" s="2" t="s">
        <v>1741</v>
      </c>
      <c r="B673" s="2" t="s">
        <v>1045</v>
      </c>
      <c r="C673" s="2">
        <v>1205</v>
      </c>
      <c r="D673" s="2" t="s">
        <v>7511</v>
      </c>
      <c r="E673" s="2" t="s">
        <v>38</v>
      </c>
      <c r="F673" s="2" t="s">
        <v>30</v>
      </c>
      <c r="G673" s="2">
        <v>42393.03</v>
      </c>
      <c r="H673" s="2">
        <v>22013.57</v>
      </c>
      <c r="I673" s="2" t="s">
        <v>31</v>
      </c>
      <c r="J673" s="2" t="s">
        <v>21</v>
      </c>
      <c r="K673" s="2" t="s">
        <v>80</v>
      </c>
      <c r="L673" s="2" t="s">
        <v>23</v>
      </c>
      <c r="M673" s="2">
        <v>4</v>
      </c>
      <c r="N673" s="2" t="s">
        <v>69</v>
      </c>
      <c r="O673" s="2" t="s">
        <v>25</v>
      </c>
      <c r="P673" s="2" t="s">
        <v>49</v>
      </c>
    </row>
    <row r="674" spans="1:16" x14ac:dyDescent="0.25">
      <c r="A674" s="2" t="s">
        <v>1743</v>
      </c>
      <c r="B674" s="2" t="s">
        <v>7512</v>
      </c>
      <c r="C674" s="2">
        <v>8971</v>
      </c>
      <c r="D674" s="2" t="s">
        <v>7513</v>
      </c>
      <c r="E674" s="2" t="s">
        <v>6719</v>
      </c>
      <c r="F674" s="2" t="s">
        <v>39</v>
      </c>
      <c r="G674" s="2">
        <v>11203.34</v>
      </c>
      <c r="H674" s="2">
        <v>6717.55</v>
      </c>
      <c r="I674" s="2" t="s">
        <v>6794</v>
      </c>
      <c r="J674" s="2" t="s">
        <v>6724</v>
      </c>
      <c r="K674" s="2" t="s">
        <v>42</v>
      </c>
      <c r="L674" s="2" t="s">
        <v>88</v>
      </c>
      <c r="M674" s="2">
        <v>3</v>
      </c>
      <c r="N674" s="2" t="s">
        <v>24</v>
      </c>
      <c r="O674" s="2" t="s">
        <v>25</v>
      </c>
      <c r="P674" s="2" t="s">
        <v>34</v>
      </c>
    </row>
    <row r="675" spans="1:16" x14ac:dyDescent="0.25">
      <c r="A675" s="2" t="s">
        <v>1746</v>
      </c>
      <c r="B675" s="2" t="s">
        <v>5820</v>
      </c>
      <c r="C675" s="2">
        <v>7148</v>
      </c>
      <c r="D675" s="2" t="s">
        <v>7514</v>
      </c>
      <c r="E675" s="2" t="s">
        <v>32</v>
      </c>
      <c r="F675" s="2" t="s">
        <v>19</v>
      </c>
      <c r="G675" s="2">
        <v>6740.41</v>
      </c>
      <c r="H675" s="2">
        <v>4312.2700000000004</v>
      </c>
      <c r="I675" s="2" t="s">
        <v>6749</v>
      </c>
      <c r="J675" s="2" t="s">
        <v>6682</v>
      </c>
      <c r="K675" s="2" t="s">
        <v>22</v>
      </c>
      <c r="L675" s="2" t="s">
        <v>55</v>
      </c>
      <c r="M675" s="2">
        <v>4</v>
      </c>
      <c r="N675" s="2" t="s">
        <v>33</v>
      </c>
      <c r="O675" s="2" t="s">
        <v>70</v>
      </c>
      <c r="P675" s="2" t="s">
        <v>49</v>
      </c>
    </row>
    <row r="676" spans="1:16" x14ac:dyDescent="0.25">
      <c r="A676" s="2" t="s">
        <v>1748</v>
      </c>
      <c r="B676" s="2" t="s">
        <v>5564</v>
      </c>
      <c r="C676" s="2">
        <v>2730</v>
      </c>
      <c r="D676" s="2" t="s">
        <v>7515</v>
      </c>
      <c r="E676" s="2" t="s">
        <v>6698</v>
      </c>
      <c r="F676" s="2" t="s">
        <v>47</v>
      </c>
      <c r="G676" s="2">
        <v>8778.81</v>
      </c>
      <c r="H676" s="2">
        <v>4885.42</v>
      </c>
      <c r="I676" s="2" t="s">
        <v>120</v>
      </c>
      <c r="J676" s="2" t="s">
        <v>6789</v>
      </c>
      <c r="K676" s="2" t="s">
        <v>32</v>
      </c>
      <c r="L676" s="2" t="s">
        <v>64</v>
      </c>
      <c r="M676" s="2">
        <v>4</v>
      </c>
      <c r="N676" s="2" t="s">
        <v>24</v>
      </c>
      <c r="O676" s="2" t="s">
        <v>25</v>
      </c>
      <c r="P676" s="2" t="s">
        <v>34</v>
      </c>
    </row>
    <row r="677" spans="1:16" x14ac:dyDescent="0.25">
      <c r="A677" s="2" t="s">
        <v>1750</v>
      </c>
      <c r="B677" s="2" t="s">
        <v>7516</v>
      </c>
      <c r="C677" s="2">
        <v>7850</v>
      </c>
      <c r="D677" s="2" t="s">
        <v>680</v>
      </c>
      <c r="E677" s="2" t="s">
        <v>38</v>
      </c>
      <c r="F677" s="2" t="s">
        <v>19</v>
      </c>
      <c r="G677" s="2">
        <v>8149.99</v>
      </c>
      <c r="H677" s="2">
        <v>4704.8500000000004</v>
      </c>
      <c r="I677" s="2" t="s">
        <v>59</v>
      </c>
      <c r="J677" s="2" t="s">
        <v>41</v>
      </c>
      <c r="K677" s="2" t="s">
        <v>32</v>
      </c>
      <c r="L677" s="2" t="s">
        <v>23</v>
      </c>
      <c r="M677" s="2">
        <v>5</v>
      </c>
      <c r="N677" s="2" t="s">
        <v>24</v>
      </c>
      <c r="O677" s="2" t="s">
        <v>70</v>
      </c>
      <c r="P677" s="2" t="s">
        <v>49</v>
      </c>
    </row>
    <row r="678" spans="1:16" x14ac:dyDescent="0.25">
      <c r="A678" s="2" t="s">
        <v>1752</v>
      </c>
      <c r="B678" s="2" t="s">
        <v>3596</v>
      </c>
      <c r="C678" s="2">
        <v>8731</v>
      </c>
      <c r="D678" s="2" t="s">
        <v>7517</v>
      </c>
      <c r="E678" s="2" t="s">
        <v>6756</v>
      </c>
      <c r="F678" s="2" t="s">
        <v>39</v>
      </c>
      <c r="G678" s="2">
        <v>39179.14</v>
      </c>
      <c r="H678" s="2">
        <v>17808.64</v>
      </c>
      <c r="I678" s="2" t="s">
        <v>6808</v>
      </c>
      <c r="J678" s="2" t="s">
        <v>6729</v>
      </c>
      <c r="K678" s="2" t="s">
        <v>80</v>
      </c>
      <c r="L678" s="2" t="s">
        <v>43</v>
      </c>
      <c r="M678" s="2">
        <v>5</v>
      </c>
      <c r="N678" s="2" t="s">
        <v>69</v>
      </c>
      <c r="O678" s="2" t="s">
        <v>70</v>
      </c>
      <c r="P678" s="2" t="s">
        <v>26</v>
      </c>
    </row>
    <row r="679" spans="1:16" x14ac:dyDescent="0.25">
      <c r="A679" s="2" t="s">
        <v>1755</v>
      </c>
      <c r="B679" s="2" t="s">
        <v>730</v>
      </c>
      <c r="C679" s="2">
        <v>1506</v>
      </c>
      <c r="D679" s="2" t="s">
        <v>7518</v>
      </c>
      <c r="E679" s="2" t="s">
        <v>18</v>
      </c>
      <c r="F679" s="2" t="s">
        <v>47</v>
      </c>
      <c r="G679" s="2">
        <v>9720.0300000000007</v>
      </c>
      <c r="H679" s="2">
        <v>5266.69</v>
      </c>
      <c r="I679" s="2" t="s">
        <v>31</v>
      </c>
      <c r="J679" s="2" t="s">
        <v>21</v>
      </c>
      <c r="K679" s="2" t="s">
        <v>80</v>
      </c>
      <c r="L679" s="2" t="s">
        <v>23</v>
      </c>
      <c r="M679" s="2">
        <v>2</v>
      </c>
      <c r="N679" s="2" t="s">
        <v>69</v>
      </c>
      <c r="O679" s="2" t="s">
        <v>25</v>
      </c>
      <c r="P679" s="2" t="s">
        <v>26</v>
      </c>
    </row>
    <row r="680" spans="1:16" x14ac:dyDescent="0.25">
      <c r="A680" s="2" t="s">
        <v>1757</v>
      </c>
      <c r="B680" s="2" t="s">
        <v>7519</v>
      </c>
      <c r="C680" s="2">
        <v>1529</v>
      </c>
      <c r="D680" s="2" t="s">
        <v>7520</v>
      </c>
      <c r="E680" s="2" t="s">
        <v>6680</v>
      </c>
      <c r="F680" s="2" t="s">
        <v>39</v>
      </c>
      <c r="G680" s="2">
        <v>33387.25</v>
      </c>
      <c r="H680" s="2">
        <v>21671.89</v>
      </c>
      <c r="I680" s="2" t="s">
        <v>68</v>
      </c>
      <c r="J680" s="2" t="s">
        <v>6732</v>
      </c>
      <c r="K680" s="2" t="s">
        <v>80</v>
      </c>
      <c r="L680" s="2" t="s">
        <v>55</v>
      </c>
      <c r="M680" s="2">
        <v>4</v>
      </c>
      <c r="N680" s="2" t="s">
        <v>69</v>
      </c>
      <c r="O680" s="2" t="s">
        <v>70</v>
      </c>
      <c r="P680" s="2" t="s">
        <v>49</v>
      </c>
    </row>
    <row r="681" spans="1:16" x14ac:dyDescent="0.25">
      <c r="A681" s="2" t="s">
        <v>1760</v>
      </c>
      <c r="B681" s="2" t="s">
        <v>7521</v>
      </c>
      <c r="C681" s="2">
        <v>7544</v>
      </c>
      <c r="D681" s="2" t="s">
        <v>7522</v>
      </c>
      <c r="E681" s="2" t="s">
        <v>6698</v>
      </c>
      <c r="F681" s="2" t="s">
        <v>58</v>
      </c>
      <c r="G681" s="2">
        <v>29822.22</v>
      </c>
      <c r="H681" s="2">
        <v>14159.93</v>
      </c>
      <c r="I681" s="2" t="s">
        <v>6867</v>
      </c>
      <c r="J681" s="2" t="s">
        <v>6802</v>
      </c>
      <c r="K681" s="2" t="s">
        <v>32</v>
      </c>
      <c r="L681" s="2" t="s">
        <v>88</v>
      </c>
      <c r="M681" s="2">
        <v>5</v>
      </c>
      <c r="N681" s="2" t="s">
        <v>24</v>
      </c>
      <c r="O681" s="2" t="s">
        <v>25</v>
      </c>
      <c r="P681" s="2" t="s">
        <v>26</v>
      </c>
    </row>
    <row r="682" spans="1:16" x14ac:dyDescent="0.25">
      <c r="A682" s="2" t="s">
        <v>1762</v>
      </c>
      <c r="B682" s="2" t="s">
        <v>3320</v>
      </c>
      <c r="C682" s="2">
        <v>8507</v>
      </c>
      <c r="D682" s="2" t="s">
        <v>7523</v>
      </c>
      <c r="E682" s="2" t="s">
        <v>38</v>
      </c>
      <c r="F682" s="2" t="s">
        <v>39</v>
      </c>
      <c r="G682" s="2">
        <v>31832.58</v>
      </c>
      <c r="H682" s="2">
        <v>19143.990000000002</v>
      </c>
      <c r="I682" s="2" t="s">
        <v>20</v>
      </c>
      <c r="J682" s="2" t="s">
        <v>21</v>
      </c>
      <c r="K682" s="2" t="s">
        <v>42</v>
      </c>
      <c r="L682" s="2" t="s">
        <v>88</v>
      </c>
      <c r="M682" s="2">
        <v>4</v>
      </c>
      <c r="N682" s="2" t="s">
        <v>33</v>
      </c>
      <c r="O682" s="2" t="s">
        <v>25</v>
      </c>
      <c r="P682" s="2" t="s">
        <v>34</v>
      </c>
    </row>
    <row r="683" spans="1:16" x14ac:dyDescent="0.25">
      <c r="A683" s="2" t="s">
        <v>1765</v>
      </c>
      <c r="B683" s="2" t="s">
        <v>7524</v>
      </c>
      <c r="C683" s="2">
        <v>6942</v>
      </c>
      <c r="D683" s="2" t="s">
        <v>7525</v>
      </c>
      <c r="E683" s="2" t="s">
        <v>6708</v>
      </c>
      <c r="F683" s="2" t="s">
        <v>58</v>
      </c>
      <c r="G683" s="2">
        <v>19346.52</v>
      </c>
      <c r="H683" s="2">
        <v>11475.72</v>
      </c>
      <c r="I683" s="2" t="s">
        <v>6915</v>
      </c>
      <c r="J683" s="2" t="s">
        <v>6795</v>
      </c>
      <c r="K683" s="2" t="s">
        <v>42</v>
      </c>
      <c r="L683" s="2" t="s">
        <v>64</v>
      </c>
      <c r="M683" s="2">
        <v>4</v>
      </c>
      <c r="N683" s="2" t="s">
        <v>24</v>
      </c>
      <c r="O683" s="2" t="s">
        <v>25</v>
      </c>
      <c r="P683" s="2" t="s">
        <v>49</v>
      </c>
    </row>
    <row r="684" spans="1:16" x14ac:dyDescent="0.25">
      <c r="A684" s="2" t="s">
        <v>1768</v>
      </c>
      <c r="B684" s="2" t="s">
        <v>7526</v>
      </c>
      <c r="C684" s="2">
        <v>6966</v>
      </c>
      <c r="D684" s="2" t="s">
        <v>7527</v>
      </c>
      <c r="E684" s="2" t="s">
        <v>6748</v>
      </c>
      <c r="F684" s="2" t="s">
        <v>30</v>
      </c>
      <c r="G684" s="2">
        <v>47755.51</v>
      </c>
      <c r="H684" s="2">
        <v>30086.01</v>
      </c>
      <c r="I684" s="2" t="s">
        <v>6808</v>
      </c>
      <c r="J684" s="2" t="s">
        <v>6691</v>
      </c>
      <c r="K684" s="2" t="s">
        <v>42</v>
      </c>
      <c r="L684" s="2" t="s">
        <v>48</v>
      </c>
      <c r="M684" s="2">
        <v>2</v>
      </c>
      <c r="N684" s="2" t="s">
        <v>24</v>
      </c>
      <c r="O684" s="2" t="s">
        <v>25</v>
      </c>
      <c r="P684" s="2" t="s">
        <v>49</v>
      </c>
    </row>
    <row r="685" spans="1:16" x14ac:dyDescent="0.25">
      <c r="A685" s="2" t="s">
        <v>1771</v>
      </c>
      <c r="B685" s="2" t="s">
        <v>7528</v>
      </c>
      <c r="C685" s="2">
        <v>4683</v>
      </c>
      <c r="D685" s="2" t="s">
        <v>7529</v>
      </c>
      <c r="E685" s="2" t="s">
        <v>38</v>
      </c>
      <c r="F685" s="2" t="s">
        <v>47</v>
      </c>
      <c r="G685" s="2">
        <v>3810.27</v>
      </c>
      <c r="H685" s="2">
        <v>1829</v>
      </c>
      <c r="I685" s="2" t="s">
        <v>120</v>
      </c>
      <c r="J685" s="2" t="s">
        <v>21</v>
      </c>
      <c r="K685" s="2" t="s">
        <v>22</v>
      </c>
      <c r="L685" s="2" t="s">
        <v>48</v>
      </c>
      <c r="M685" s="2">
        <v>2</v>
      </c>
      <c r="N685" s="2" t="s">
        <v>33</v>
      </c>
      <c r="O685" s="2" t="s">
        <v>25</v>
      </c>
      <c r="P685" s="2" t="s">
        <v>49</v>
      </c>
    </row>
    <row r="686" spans="1:16" x14ac:dyDescent="0.25">
      <c r="A686" s="2" t="s">
        <v>1773</v>
      </c>
      <c r="B686" s="2" t="s">
        <v>718</v>
      </c>
      <c r="C686" s="2">
        <v>1538</v>
      </c>
      <c r="D686" s="2" t="s">
        <v>7530</v>
      </c>
      <c r="E686" s="2" t="s">
        <v>38</v>
      </c>
      <c r="F686" s="2" t="s">
        <v>47</v>
      </c>
      <c r="G686" s="2">
        <v>9684.4</v>
      </c>
      <c r="H686" s="2">
        <v>6201.94</v>
      </c>
      <c r="I686" s="2" t="s">
        <v>40</v>
      </c>
      <c r="J686" s="2" t="s">
        <v>41</v>
      </c>
      <c r="K686" s="2" t="s">
        <v>22</v>
      </c>
      <c r="L686" s="2" t="s">
        <v>88</v>
      </c>
      <c r="M686" s="2">
        <v>5</v>
      </c>
      <c r="N686" s="2" t="s">
        <v>69</v>
      </c>
      <c r="O686" s="2" t="s">
        <v>70</v>
      </c>
      <c r="P686" s="2" t="s">
        <v>49</v>
      </c>
    </row>
    <row r="687" spans="1:16" x14ac:dyDescent="0.25">
      <c r="A687" s="2" t="s">
        <v>1775</v>
      </c>
      <c r="B687" s="2" t="s">
        <v>2082</v>
      </c>
      <c r="C687" s="2">
        <v>3993</v>
      </c>
      <c r="D687" s="2" t="s">
        <v>7531</v>
      </c>
      <c r="E687" s="2" t="s">
        <v>6694</v>
      </c>
      <c r="F687" s="2" t="s">
        <v>30</v>
      </c>
      <c r="G687" s="2">
        <v>24726.85</v>
      </c>
      <c r="H687" s="2">
        <v>14674.79</v>
      </c>
      <c r="I687" s="2" t="s">
        <v>6704</v>
      </c>
      <c r="J687" s="2" t="s">
        <v>41</v>
      </c>
      <c r="K687" s="2" t="s">
        <v>32</v>
      </c>
      <c r="L687" s="2" t="s">
        <v>55</v>
      </c>
      <c r="M687" s="2">
        <v>5</v>
      </c>
      <c r="N687" s="2" t="s">
        <v>33</v>
      </c>
      <c r="O687" s="2" t="s">
        <v>25</v>
      </c>
      <c r="P687" s="2" t="s">
        <v>49</v>
      </c>
    </row>
    <row r="688" spans="1:16" x14ac:dyDescent="0.25">
      <c r="A688" s="2" t="s">
        <v>1778</v>
      </c>
      <c r="B688" s="2" t="s">
        <v>3470</v>
      </c>
      <c r="C688" s="2">
        <v>9797</v>
      </c>
      <c r="D688" s="2" t="s">
        <v>7532</v>
      </c>
      <c r="E688" s="2" t="s">
        <v>18</v>
      </c>
      <c r="F688" s="2" t="s">
        <v>30</v>
      </c>
      <c r="G688" s="2">
        <v>48681.79</v>
      </c>
      <c r="H688" s="2">
        <v>28078.74</v>
      </c>
      <c r="I688" s="2" t="s">
        <v>63</v>
      </c>
      <c r="J688" s="2" t="s">
        <v>54</v>
      </c>
      <c r="K688" s="2" t="s">
        <v>32</v>
      </c>
      <c r="L688" s="2" t="s">
        <v>64</v>
      </c>
      <c r="M688" s="2">
        <v>1</v>
      </c>
      <c r="N688" s="2" t="s">
        <v>33</v>
      </c>
      <c r="O688" s="2" t="s">
        <v>25</v>
      </c>
      <c r="P688" s="2" t="s">
        <v>26</v>
      </c>
    </row>
    <row r="689" spans="1:16" x14ac:dyDescent="0.25">
      <c r="A689" s="2" t="s">
        <v>1780</v>
      </c>
      <c r="B689" s="2" t="s">
        <v>281</v>
      </c>
      <c r="C689" s="2">
        <v>8252</v>
      </c>
      <c r="D689" s="2" t="s">
        <v>1041</v>
      </c>
      <c r="E689" s="2" t="s">
        <v>18</v>
      </c>
      <c r="F689" s="2" t="s">
        <v>39</v>
      </c>
      <c r="G689" s="2">
        <v>23791.439999999999</v>
      </c>
      <c r="H689" s="2">
        <v>13727.34</v>
      </c>
      <c r="I689" s="2" t="s">
        <v>53</v>
      </c>
      <c r="J689" s="2" t="s">
        <v>54</v>
      </c>
      <c r="K689" s="2" t="s">
        <v>80</v>
      </c>
      <c r="L689" s="2" t="s">
        <v>55</v>
      </c>
      <c r="M689" s="2">
        <v>3</v>
      </c>
      <c r="N689" s="2" t="s">
        <v>24</v>
      </c>
      <c r="O689" s="2" t="s">
        <v>70</v>
      </c>
      <c r="P689" s="2" t="s">
        <v>34</v>
      </c>
    </row>
    <row r="690" spans="1:16" x14ac:dyDescent="0.25">
      <c r="A690" s="2" t="s">
        <v>1783</v>
      </c>
      <c r="B690" s="2" t="s">
        <v>4299</v>
      </c>
      <c r="C690" s="2">
        <v>9719</v>
      </c>
      <c r="D690" s="2" t="s">
        <v>7533</v>
      </c>
      <c r="E690" s="2" t="s">
        <v>6743</v>
      </c>
      <c r="F690" s="2" t="s">
        <v>30</v>
      </c>
      <c r="G690" s="2">
        <v>55355.08</v>
      </c>
      <c r="H690" s="2">
        <v>32414.19</v>
      </c>
      <c r="I690" s="2" t="s">
        <v>6759</v>
      </c>
      <c r="J690" s="2" t="s">
        <v>6753</v>
      </c>
      <c r="K690" s="2" t="s">
        <v>42</v>
      </c>
      <c r="L690" s="2" t="s">
        <v>48</v>
      </c>
      <c r="M690" s="2">
        <v>4</v>
      </c>
      <c r="N690" s="2" t="s">
        <v>33</v>
      </c>
      <c r="O690" s="2" t="s">
        <v>70</v>
      </c>
      <c r="P690" s="2" t="s">
        <v>26</v>
      </c>
    </row>
    <row r="691" spans="1:16" x14ac:dyDescent="0.25">
      <c r="A691" s="2" t="s">
        <v>1785</v>
      </c>
      <c r="B691" s="2" t="s">
        <v>7534</v>
      </c>
      <c r="C691" s="2">
        <v>6610</v>
      </c>
      <c r="D691" s="2" t="s">
        <v>7535</v>
      </c>
      <c r="E691" s="2" t="s">
        <v>6756</v>
      </c>
      <c r="F691" s="2" t="s">
        <v>19</v>
      </c>
      <c r="G691" s="2">
        <v>8703.85</v>
      </c>
      <c r="H691" s="2">
        <v>4105.97</v>
      </c>
      <c r="I691" s="2" t="s">
        <v>6720</v>
      </c>
      <c r="J691" s="2" t="s">
        <v>6691</v>
      </c>
      <c r="K691" s="2" t="s">
        <v>32</v>
      </c>
      <c r="L691" s="2" t="s">
        <v>23</v>
      </c>
      <c r="M691" s="2">
        <v>3</v>
      </c>
      <c r="N691" s="2" t="s">
        <v>24</v>
      </c>
      <c r="O691" s="2" t="s">
        <v>25</v>
      </c>
      <c r="P691" s="2" t="s">
        <v>49</v>
      </c>
    </row>
    <row r="692" spans="1:16" x14ac:dyDescent="0.25">
      <c r="A692" s="2" t="s">
        <v>1787</v>
      </c>
      <c r="B692" s="2" t="s">
        <v>7536</v>
      </c>
      <c r="C692" s="2">
        <v>3587</v>
      </c>
      <c r="D692" s="2" t="s">
        <v>7537</v>
      </c>
      <c r="E692" s="2" t="s">
        <v>6743</v>
      </c>
      <c r="F692" s="2" t="s">
        <v>58</v>
      </c>
      <c r="G692" s="2">
        <v>20451.21</v>
      </c>
      <c r="H692" s="2">
        <v>11315.52</v>
      </c>
      <c r="I692" s="2" t="s">
        <v>6739</v>
      </c>
      <c r="J692" s="2" t="s">
        <v>6729</v>
      </c>
      <c r="K692" s="2" t="s">
        <v>80</v>
      </c>
      <c r="L692" s="2" t="s">
        <v>48</v>
      </c>
      <c r="M692" s="2">
        <v>5</v>
      </c>
      <c r="N692" s="2" t="s">
        <v>24</v>
      </c>
      <c r="O692" s="2" t="s">
        <v>70</v>
      </c>
      <c r="P692" s="2" t="s">
        <v>34</v>
      </c>
    </row>
    <row r="693" spans="1:16" x14ac:dyDescent="0.25">
      <c r="A693" s="2" t="s">
        <v>1789</v>
      </c>
      <c r="B693" s="2" t="s">
        <v>4746</v>
      </c>
      <c r="C693" s="2">
        <v>7968</v>
      </c>
      <c r="D693" s="2" t="s">
        <v>2320</v>
      </c>
      <c r="E693" s="2" t="s">
        <v>38</v>
      </c>
      <c r="F693" s="2" t="s">
        <v>39</v>
      </c>
      <c r="G693" s="2">
        <v>48253.41</v>
      </c>
      <c r="H693" s="2">
        <v>21768.78</v>
      </c>
      <c r="I693" s="2" t="s">
        <v>84</v>
      </c>
      <c r="J693" s="2" t="s">
        <v>54</v>
      </c>
      <c r="K693" s="2" t="s">
        <v>80</v>
      </c>
      <c r="L693" s="2" t="s">
        <v>55</v>
      </c>
      <c r="M693" s="2">
        <v>4</v>
      </c>
      <c r="N693" s="2" t="s">
        <v>33</v>
      </c>
      <c r="O693" s="2" t="s">
        <v>70</v>
      </c>
      <c r="P693" s="2" t="s">
        <v>34</v>
      </c>
    </row>
    <row r="694" spans="1:16" x14ac:dyDescent="0.25">
      <c r="A694" s="2" t="s">
        <v>1792</v>
      </c>
      <c r="B694" s="2" t="s">
        <v>2144</v>
      </c>
      <c r="C694" s="2">
        <v>7119</v>
      </c>
      <c r="D694" s="2" t="s">
        <v>7538</v>
      </c>
      <c r="E694" s="2" t="s">
        <v>18</v>
      </c>
      <c r="F694" s="2" t="s">
        <v>58</v>
      </c>
      <c r="G694" s="2">
        <v>27473.45</v>
      </c>
      <c r="H694" s="2">
        <v>16708.91</v>
      </c>
      <c r="I694" s="2" t="s">
        <v>84</v>
      </c>
      <c r="J694" s="2" t="s">
        <v>54</v>
      </c>
      <c r="K694" s="2" t="s">
        <v>42</v>
      </c>
      <c r="L694" s="2" t="s">
        <v>43</v>
      </c>
      <c r="M694" s="2">
        <v>5</v>
      </c>
      <c r="N694" s="2" t="s">
        <v>24</v>
      </c>
      <c r="O694" s="2" t="s">
        <v>70</v>
      </c>
      <c r="P694" s="2" t="s">
        <v>49</v>
      </c>
    </row>
    <row r="695" spans="1:16" x14ac:dyDescent="0.25">
      <c r="A695" s="2" t="s">
        <v>1794</v>
      </c>
      <c r="B695" s="2" t="s">
        <v>7539</v>
      </c>
      <c r="C695" s="2">
        <v>8698</v>
      </c>
      <c r="D695" s="2" t="s">
        <v>7540</v>
      </c>
      <c r="E695" s="2" t="s">
        <v>6743</v>
      </c>
      <c r="F695" s="2" t="s">
        <v>58</v>
      </c>
      <c r="G695" s="2">
        <v>23527.21</v>
      </c>
      <c r="H695" s="2">
        <v>12422.66</v>
      </c>
      <c r="I695" s="2" t="s">
        <v>6704</v>
      </c>
      <c r="J695" s="2" t="s">
        <v>6732</v>
      </c>
      <c r="K695" s="2" t="s">
        <v>80</v>
      </c>
      <c r="L695" s="2" t="s">
        <v>23</v>
      </c>
      <c r="M695" s="2">
        <v>3</v>
      </c>
      <c r="N695" s="2" t="s">
        <v>69</v>
      </c>
      <c r="O695" s="2" t="s">
        <v>25</v>
      </c>
      <c r="P695" s="2" t="s">
        <v>26</v>
      </c>
    </row>
    <row r="696" spans="1:16" x14ac:dyDescent="0.25">
      <c r="A696" s="2" t="s">
        <v>1796</v>
      </c>
      <c r="B696" s="2" t="s">
        <v>5909</v>
      </c>
      <c r="C696" s="2">
        <v>7779</v>
      </c>
      <c r="D696" s="2" t="s">
        <v>2109</v>
      </c>
      <c r="E696" s="2" t="s">
        <v>18</v>
      </c>
      <c r="F696" s="2" t="s">
        <v>30</v>
      </c>
      <c r="G696" s="2">
        <v>71061</v>
      </c>
      <c r="H696" s="2">
        <v>40359.919999999998</v>
      </c>
      <c r="I696" s="2" t="s">
        <v>68</v>
      </c>
      <c r="J696" s="2" t="s">
        <v>41</v>
      </c>
      <c r="K696" s="2" t="s">
        <v>32</v>
      </c>
      <c r="L696" s="2" t="s">
        <v>43</v>
      </c>
      <c r="M696" s="2">
        <v>1</v>
      </c>
      <c r="N696" s="2" t="s">
        <v>33</v>
      </c>
      <c r="O696" s="2" t="s">
        <v>25</v>
      </c>
      <c r="P696" s="2" t="s">
        <v>49</v>
      </c>
    </row>
    <row r="698" spans="1:16" x14ac:dyDescent="0.25">
      <c r="A698" s="2" t="s">
        <v>1799</v>
      </c>
      <c r="B698" s="2" t="s">
        <v>7541</v>
      </c>
      <c r="C698" s="2">
        <v>6143</v>
      </c>
      <c r="D698" s="2" t="s">
        <v>7542</v>
      </c>
      <c r="E698" s="2" t="s">
        <v>6698</v>
      </c>
      <c r="F698" s="2" t="s">
        <v>47</v>
      </c>
      <c r="G698" s="2">
        <v>19063.04</v>
      </c>
      <c r="H698" s="2">
        <v>10278.18</v>
      </c>
      <c r="I698" s="2" t="s">
        <v>84</v>
      </c>
      <c r="J698" s="2" t="s">
        <v>6729</v>
      </c>
      <c r="K698" s="2" t="s">
        <v>32</v>
      </c>
      <c r="L698" s="2" t="s">
        <v>23</v>
      </c>
      <c r="M698" s="2">
        <v>3</v>
      </c>
      <c r="N698" s="2" t="s">
        <v>24</v>
      </c>
      <c r="O698" s="2" t="s">
        <v>25</v>
      </c>
      <c r="P698" s="2" t="s">
        <v>34</v>
      </c>
    </row>
    <row r="699" spans="1:16" x14ac:dyDescent="0.25">
      <c r="A699" s="2" t="s">
        <v>1801</v>
      </c>
      <c r="B699" s="2" t="s">
        <v>3164</v>
      </c>
      <c r="C699" s="2">
        <v>1987</v>
      </c>
      <c r="D699" s="2" t="s">
        <v>7543</v>
      </c>
      <c r="E699" s="2" t="s">
        <v>6748</v>
      </c>
      <c r="F699" s="2" t="s">
        <v>30</v>
      </c>
      <c r="G699" s="2">
        <v>19774.04</v>
      </c>
      <c r="H699" s="2">
        <v>10627.39</v>
      </c>
      <c r="I699" s="2" t="s">
        <v>53</v>
      </c>
      <c r="J699" s="2" t="s">
        <v>6691</v>
      </c>
      <c r="K699" s="2" t="s">
        <v>22</v>
      </c>
      <c r="L699" s="2" t="s">
        <v>43</v>
      </c>
      <c r="M699" s="2">
        <v>3</v>
      </c>
      <c r="N699" s="2" t="s">
        <v>24</v>
      </c>
      <c r="O699" s="2" t="s">
        <v>25</v>
      </c>
      <c r="P699" s="2" t="s">
        <v>49</v>
      </c>
    </row>
    <row r="700" spans="1:16" x14ac:dyDescent="0.25">
      <c r="A700" s="2" t="s">
        <v>1804</v>
      </c>
      <c r="B700" s="2" t="s">
        <v>7544</v>
      </c>
      <c r="C700" s="2">
        <v>8675</v>
      </c>
      <c r="D700" s="2" t="s">
        <v>4554</v>
      </c>
      <c r="E700" s="2" t="s">
        <v>6703</v>
      </c>
      <c r="F700" s="2" t="s">
        <v>19</v>
      </c>
      <c r="G700" s="2">
        <v>19875.669999999998</v>
      </c>
      <c r="H700" s="2">
        <v>11993.44</v>
      </c>
      <c r="I700" s="2" t="s">
        <v>6739</v>
      </c>
      <c r="J700" s="2" t="s">
        <v>6753</v>
      </c>
      <c r="K700" s="2" t="s">
        <v>80</v>
      </c>
      <c r="L700" s="2" t="s">
        <v>88</v>
      </c>
      <c r="M700" s="2">
        <v>4</v>
      </c>
      <c r="N700" s="2" t="s">
        <v>24</v>
      </c>
      <c r="O700" s="2" t="s">
        <v>70</v>
      </c>
      <c r="P700" s="2" t="s">
        <v>49</v>
      </c>
    </row>
    <row r="701" spans="1:16" x14ac:dyDescent="0.25">
      <c r="A701" s="2" t="s">
        <v>1806</v>
      </c>
      <c r="B701" s="2" t="s">
        <v>1417</v>
      </c>
      <c r="C701" s="2">
        <v>5813</v>
      </c>
      <c r="D701" s="2" t="s">
        <v>5131</v>
      </c>
      <c r="E701" s="2" t="s">
        <v>18</v>
      </c>
      <c r="F701" s="2" t="s">
        <v>19</v>
      </c>
      <c r="G701" s="2">
        <v>15679.38</v>
      </c>
      <c r="H701" s="2">
        <v>8278.5499999999993</v>
      </c>
      <c r="I701" s="2" t="s">
        <v>31</v>
      </c>
      <c r="J701" s="2" t="s">
        <v>21</v>
      </c>
      <c r="K701" s="2" t="s">
        <v>22</v>
      </c>
      <c r="L701" s="2" t="s">
        <v>23</v>
      </c>
      <c r="M701" s="2">
        <v>3</v>
      </c>
      <c r="N701" s="2" t="s">
        <v>33</v>
      </c>
      <c r="O701" s="2" t="s">
        <v>25</v>
      </c>
      <c r="P701" s="2" t="s">
        <v>26</v>
      </c>
    </row>
    <row r="702" spans="1:16" x14ac:dyDescent="0.25">
      <c r="A702" s="2" t="s">
        <v>1808</v>
      </c>
      <c r="B702" s="2" t="s">
        <v>513</v>
      </c>
      <c r="C702" s="2">
        <v>3500</v>
      </c>
      <c r="D702" s="2" t="s">
        <v>5959</v>
      </c>
      <c r="E702" s="2" t="s">
        <v>18</v>
      </c>
      <c r="F702" s="2" t="s">
        <v>30</v>
      </c>
      <c r="G702" s="2">
        <v>78692.679999999993</v>
      </c>
      <c r="H702" s="2">
        <v>38656.11</v>
      </c>
      <c r="I702" s="2" t="s">
        <v>31</v>
      </c>
      <c r="J702" s="2" t="s">
        <v>21</v>
      </c>
      <c r="K702" s="2" t="s">
        <v>32</v>
      </c>
      <c r="L702" s="2" t="s">
        <v>55</v>
      </c>
      <c r="M702" s="2">
        <v>1</v>
      </c>
      <c r="N702" s="2" t="s">
        <v>24</v>
      </c>
      <c r="O702" s="2" t="s">
        <v>70</v>
      </c>
      <c r="P702" s="2" t="s">
        <v>26</v>
      </c>
    </row>
    <row r="703" spans="1:16" x14ac:dyDescent="0.25">
      <c r="A703" s="2" t="s">
        <v>1811</v>
      </c>
      <c r="B703" s="2" t="s">
        <v>7465</v>
      </c>
      <c r="C703" s="2">
        <v>4421</v>
      </c>
      <c r="D703" s="2" t="s">
        <v>6212</v>
      </c>
      <c r="E703" s="2" t="s">
        <v>32</v>
      </c>
      <c r="F703" s="2" t="s">
        <v>39</v>
      </c>
      <c r="G703" s="2">
        <v>16996.669999999998</v>
      </c>
      <c r="H703" s="2">
        <v>9090.7800000000007</v>
      </c>
      <c r="I703" s="2" t="s">
        <v>6918</v>
      </c>
      <c r="J703" s="2" t="s">
        <v>6724</v>
      </c>
      <c r="K703" s="2" t="s">
        <v>42</v>
      </c>
      <c r="L703" s="2" t="s">
        <v>23</v>
      </c>
      <c r="M703" s="2">
        <v>2</v>
      </c>
      <c r="N703" s="2" t="s">
        <v>24</v>
      </c>
      <c r="O703" s="2" t="s">
        <v>25</v>
      </c>
      <c r="P703" s="2" t="s">
        <v>34</v>
      </c>
    </row>
    <row r="704" spans="1:16" x14ac:dyDescent="0.25">
      <c r="A704" s="2" t="s">
        <v>1813</v>
      </c>
      <c r="B704" s="2" t="s">
        <v>7545</v>
      </c>
      <c r="C704" s="2">
        <v>3042</v>
      </c>
      <c r="D704" s="2" t="s">
        <v>7546</v>
      </c>
      <c r="E704" s="2" t="s">
        <v>32</v>
      </c>
      <c r="F704" s="2" t="s">
        <v>39</v>
      </c>
      <c r="G704" s="2">
        <v>39764.75</v>
      </c>
      <c r="H704" s="2">
        <v>21923.919999999998</v>
      </c>
      <c r="I704" s="2" t="s">
        <v>6728</v>
      </c>
      <c r="J704" s="2" t="s">
        <v>6729</v>
      </c>
      <c r="K704" s="2" t="s">
        <v>22</v>
      </c>
      <c r="L704" s="2" t="s">
        <v>23</v>
      </c>
      <c r="M704" s="2">
        <v>2</v>
      </c>
      <c r="N704" s="2" t="s">
        <v>33</v>
      </c>
      <c r="O704" s="2" t="s">
        <v>25</v>
      </c>
      <c r="P704" s="2" t="s">
        <v>49</v>
      </c>
    </row>
    <row r="705" spans="1:16" x14ac:dyDescent="0.25">
      <c r="A705" s="2" t="s">
        <v>1815</v>
      </c>
      <c r="B705" s="2" t="s">
        <v>7547</v>
      </c>
      <c r="C705" s="2">
        <v>1264</v>
      </c>
      <c r="D705" s="2" t="s">
        <v>1518</v>
      </c>
      <c r="E705" s="2" t="s">
        <v>18</v>
      </c>
      <c r="F705" s="2" t="s">
        <v>39</v>
      </c>
      <c r="G705" s="2">
        <v>14655.72</v>
      </c>
      <c r="H705" s="2">
        <v>7826.2</v>
      </c>
      <c r="I705" s="2" t="s">
        <v>40</v>
      </c>
      <c r="J705" s="2" t="s">
        <v>41</v>
      </c>
      <c r="K705" s="2" t="s">
        <v>22</v>
      </c>
      <c r="L705" s="2" t="s">
        <v>88</v>
      </c>
      <c r="M705" s="2">
        <v>3</v>
      </c>
      <c r="N705" s="2" t="s">
        <v>69</v>
      </c>
      <c r="O705" s="2" t="s">
        <v>70</v>
      </c>
      <c r="P705" s="2" t="s">
        <v>34</v>
      </c>
    </row>
    <row r="706" spans="1:16" x14ac:dyDescent="0.25">
      <c r="A706" s="2" t="s">
        <v>1817</v>
      </c>
      <c r="B706" s="2" t="s">
        <v>7548</v>
      </c>
      <c r="C706" s="2">
        <v>8722</v>
      </c>
      <c r="D706" s="2" t="s">
        <v>7549</v>
      </c>
      <c r="E706" s="2" t="s">
        <v>6756</v>
      </c>
      <c r="F706" s="2" t="s">
        <v>47</v>
      </c>
      <c r="G706" s="2">
        <v>10793.52</v>
      </c>
      <c r="H706" s="2">
        <v>5450.11</v>
      </c>
      <c r="I706" s="2" t="s">
        <v>6723</v>
      </c>
      <c r="J706" s="2" t="s">
        <v>21</v>
      </c>
      <c r="K706" s="2" t="s">
        <v>42</v>
      </c>
      <c r="L706" s="2" t="s">
        <v>55</v>
      </c>
      <c r="M706" s="2">
        <v>2</v>
      </c>
      <c r="N706" s="2" t="s">
        <v>69</v>
      </c>
      <c r="O706" s="2" t="s">
        <v>25</v>
      </c>
      <c r="P706" s="2" t="s">
        <v>26</v>
      </c>
    </row>
    <row r="707" spans="1:16" x14ac:dyDescent="0.25">
      <c r="A707" s="2" t="s">
        <v>1820</v>
      </c>
      <c r="B707" s="2" t="s">
        <v>2885</v>
      </c>
      <c r="C707" s="2">
        <v>7797</v>
      </c>
      <c r="D707" s="2" t="s">
        <v>7550</v>
      </c>
      <c r="E707" s="2" t="s">
        <v>32</v>
      </c>
      <c r="F707" s="2" t="s">
        <v>47</v>
      </c>
      <c r="G707" s="2">
        <v>10681.88</v>
      </c>
      <c r="H707" s="2">
        <v>5179.9399999999996</v>
      </c>
      <c r="I707" s="2" t="s">
        <v>6720</v>
      </c>
      <c r="J707" s="2" t="s">
        <v>6691</v>
      </c>
      <c r="K707" s="2" t="s">
        <v>32</v>
      </c>
      <c r="L707" s="2" t="s">
        <v>48</v>
      </c>
      <c r="M707" s="2">
        <v>2</v>
      </c>
      <c r="N707" s="2" t="s">
        <v>33</v>
      </c>
      <c r="O707" s="2" t="s">
        <v>70</v>
      </c>
      <c r="P707" s="2" t="s">
        <v>26</v>
      </c>
    </row>
    <row r="708" spans="1:16" x14ac:dyDescent="0.25">
      <c r="A708" s="2" t="s">
        <v>1823</v>
      </c>
      <c r="B708" s="2" t="s">
        <v>3344</v>
      </c>
      <c r="C708" s="2">
        <v>7679</v>
      </c>
      <c r="D708" s="2" t="s">
        <v>7551</v>
      </c>
      <c r="E708" s="2" t="s">
        <v>18</v>
      </c>
      <c r="F708" s="2" t="s">
        <v>39</v>
      </c>
      <c r="G708" s="2">
        <v>37204.01</v>
      </c>
      <c r="H708" s="2">
        <v>22415.43</v>
      </c>
      <c r="I708" s="2" t="s">
        <v>63</v>
      </c>
      <c r="J708" s="2" t="s">
        <v>6753</v>
      </c>
      <c r="K708" s="2" t="s">
        <v>32</v>
      </c>
      <c r="L708" s="2" t="s">
        <v>23</v>
      </c>
      <c r="M708" s="2">
        <v>1</v>
      </c>
      <c r="N708" s="2" t="s">
        <v>33</v>
      </c>
      <c r="O708" s="2" t="s">
        <v>70</v>
      </c>
      <c r="P708" s="2" t="s">
        <v>26</v>
      </c>
    </row>
    <row r="709" spans="1:16" x14ac:dyDescent="0.25">
      <c r="A709" s="2" t="s">
        <v>1825</v>
      </c>
      <c r="B709" s="2" t="s">
        <v>6978</v>
      </c>
      <c r="C709" s="2">
        <v>1011</v>
      </c>
      <c r="D709" s="2" t="s">
        <v>487</v>
      </c>
      <c r="E709" s="2" t="s">
        <v>38</v>
      </c>
      <c r="F709" s="2" t="s">
        <v>47</v>
      </c>
      <c r="G709" s="2">
        <v>9721</v>
      </c>
      <c r="H709" s="2">
        <v>6123.35</v>
      </c>
      <c r="I709" s="2" t="s">
        <v>120</v>
      </c>
      <c r="J709" s="2" t="s">
        <v>21</v>
      </c>
      <c r="K709" s="2" t="s">
        <v>42</v>
      </c>
      <c r="L709" s="2" t="s">
        <v>23</v>
      </c>
      <c r="M709" s="2">
        <v>3</v>
      </c>
      <c r="N709" s="2" t="s">
        <v>24</v>
      </c>
      <c r="O709" s="2" t="s">
        <v>25</v>
      </c>
      <c r="P709" s="2" t="s">
        <v>49</v>
      </c>
    </row>
    <row r="710" spans="1:16" x14ac:dyDescent="0.25">
      <c r="A710" s="2" t="s">
        <v>1828</v>
      </c>
      <c r="B710" s="2" t="s">
        <v>2554</v>
      </c>
      <c r="C710" s="2">
        <v>4593</v>
      </c>
      <c r="D710" s="2" t="s">
        <v>7552</v>
      </c>
      <c r="E710" s="2" t="s">
        <v>6703</v>
      </c>
      <c r="F710" s="2" t="s">
        <v>19</v>
      </c>
      <c r="G710" s="2">
        <v>22768.48</v>
      </c>
      <c r="H710" s="2">
        <v>10895.15</v>
      </c>
      <c r="I710" s="2" t="s">
        <v>6812</v>
      </c>
      <c r="J710" s="2" t="s">
        <v>6700</v>
      </c>
      <c r="K710" s="2" t="s">
        <v>22</v>
      </c>
      <c r="L710" s="2" t="s">
        <v>48</v>
      </c>
      <c r="M710" s="2">
        <v>1</v>
      </c>
      <c r="N710" s="2" t="s">
        <v>24</v>
      </c>
      <c r="O710" s="2" t="s">
        <v>25</v>
      </c>
      <c r="P710" s="2" t="s">
        <v>49</v>
      </c>
    </row>
    <row r="711" spans="1:16" x14ac:dyDescent="0.25">
      <c r="A711" s="2" t="s">
        <v>1829</v>
      </c>
      <c r="B711" s="2" t="s">
        <v>7553</v>
      </c>
      <c r="C711" s="2">
        <v>3157</v>
      </c>
      <c r="D711" s="2" t="s">
        <v>2150</v>
      </c>
      <c r="E711" s="2" t="s">
        <v>6719</v>
      </c>
      <c r="F711" s="2" t="s">
        <v>19</v>
      </c>
      <c r="G711" s="2">
        <v>11062.2</v>
      </c>
      <c r="H711" s="2">
        <v>6440.86</v>
      </c>
      <c r="I711" s="2" t="s">
        <v>6845</v>
      </c>
      <c r="J711" s="2" t="s">
        <v>21</v>
      </c>
      <c r="K711" s="2" t="s">
        <v>22</v>
      </c>
      <c r="L711" s="2" t="s">
        <v>48</v>
      </c>
      <c r="M711" s="2">
        <v>4</v>
      </c>
      <c r="N711" s="2" t="s">
        <v>24</v>
      </c>
      <c r="O711" s="2" t="s">
        <v>70</v>
      </c>
      <c r="P711" s="2" t="s">
        <v>26</v>
      </c>
    </row>
    <row r="712" spans="1:16" x14ac:dyDescent="0.25">
      <c r="A712" s="2" t="s">
        <v>1831</v>
      </c>
      <c r="B712" s="2" t="s">
        <v>7554</v>
      </c>
      <c r="C712" s="2">
        <v>8407</v>
      </c>
      <c r="D712" s="2" t="s">
        <v>7555</v>
      </c>
      <c r="E712" s="2" t="s">
        <v>6743</v>
      </c>
      <c r="F712" s="2" t="s">
        <v>47</v>
      </c>
      <c r="G712" s="2">
        <v>6940.18</v>
      </c>
      <c r="H712" s="2">
        <v>3487.86</v>
      </c>
      <c r="I712" s="2" t="s">
        <v>6845</v>
      </c>
      <c r="J712" s="2" t="s">
        <v>6724</v>
      </c>
      <c r="K712" s="2" t="s">
        <v>80</v>
      </c>
      <c r="L712" s="2" t="s">
        <v>55</v>
      </c>
      <c r="M712" s="2">
        <v>3</v>
      </c>
      <c r="N712" s="2" t="s">
        <v>24</v>
      </c>
      <c r="O712" s="2" t="s">
        <v>25</v>
      </c>
      <c r="P712" s="2" t="s">
        <v>34</v>
      </c>
    </row>
    <row r="713" spans="1:16" x14ac:dyDescent="0.25">
      <c r="A713" s="2" t="s">
        <v>1833</v>
      </c>
      <c r="B713" s="2" t="s">
        <v>7556</v>
      </c>
      <c r="C713" s="2">
        <v>5306</v>
      </c>
      <c r="D713" s="2" t="s">
        <v>7557</v>
      </c>
      <c r="E713" s="2" t="s">
        <v>6703</v>
      </c>
      <c r="F713" s="2" t="s">
        <v>19</v>
      </c>
      <c r="G713" s="2">
        <v>17064.09</v>
      </c>
      <c r="H713" s="2">
        <v>9134.4599999999991</v>
      </c>
      <c r="I713" s="2" t="s">
        <v>6845</v>
      </c>
      <c r="J713" s="2" t="s">
        <v>6696</v>
      </c>
      <c r="K713" s="2" t="s">
        <v>22</v>
      </c>
      <c r="L713" s="2" t="s">
        <v>43</v>
      </c>
      <c r="M713" s="2">
        <v>2</v>
      </c>
      <c r="N713" s="2" t="s">
        <v>33</v>
      </c>
      <c r="O713" s="2" t="s">
        <v>70</v>
      </c>
      <c r="P713" s="2" t="s">
        <v>26</v>
      </c>
    </row>
    <row r="714" spans="1:16" x14ac:dyDescent="0.25">
      <c r="A714" s="2" t="s">
        <v>1835</v>
      </c>
      <c r="B714" s="2" t="s">
        <v>7558</v>
      </c>
      <c r="C714" s="2">
        <v>7513</v>
      </c>
      <c r="D714" s="2" t="s">
        <v>2159</v>
      </c>
      <c r="E714" s="2" t="s">
        <v>18</v>
      </c>
      <c r="F714" s="2" t="s">
        <v>47</v>
      </c>
      <c r="G714" s="2">
        <v>3203.52</v>
      </c>
      <c r="H714" s="2">
        <v>1877.63</v>
      </c>
      <c r="I714" s="2" t="s">
        <v>31</v>
      </c>
      <c r="J714" s="2" t="s">
        <v>21</v>
      </c>
      <c r="K714" s="2" t="s">
        <v>22</v>
      </c>
      <c r="L714" s="2" t="s">
        <v>23</v>
      </c>
      <c r="M714" s="2">
        <v>3</v>
      </c>
      <c r="N714" s="2" t="s">
        <v>24</v>
      </c>
      <c r="O714" s="2" t="s">
        <v>70</v>
      </c>
      <c r="P714" s="2" t="s">
        <v>49</v>
      </c>
    </row>
    <row r="716" spans="1:16" x14ac:dyDescent="0.25">
      <c r="A716" s="2" t="s">
        <v>1837</v>
      </c>
      <c r="B716" s="2" t="s">
        <v>4092</v>
      </c>
      <c r="C716" s="2">
        <v>7135</v>
      </c>
      <c r="D716" s="2" t="s">
        <v>7559</v>
      </c>
      <c r="E716" s="2" t="s">
        <v>18</v>
      </c>
      <c r="F716" s="2" t="s">
        <v>39</v>
      </c>
      <c r="G716" s="2">
        <v>8758.8700000000008</v>
      </c>
      <c r="H716" s="2">
        <v>4231.6499999999996</v>
      </c>
      <c r="I716" s="2" t="s">
        <v>31</v>
      </c>
      <c r="J716" s="2" t="s">
        <v>21</v>
      </c>
      <c r="K716" s="2" t="s">
        <v>32</v>
      </c>
      <c r="L716" s="2" t="s">
        <v>48</v>
      </c>
      <c r="M716" s="2">
        <v>2</v>
      </c>
      <c r="N716" s="2" t="s">
        <v>24</v>
      </c>
      <c r="O716" s="2" t="s">
        <v>70</v>
      </c>
      <c r="P716" s="2" t="s">
        <v>34</v>
      </c>
    </row>
    <row r="717" spans="1:16" x14ac:dyDescent="0.25">
      <c r="A717" s="2" t="s">
        <v>1839</v>
      </c>
      <c r="B717" s="2" t="s">
        <v>5329</v>
      </c>
      <c r="C717" s="2">
        <v>8667</v>
      </c>
      <c r="D717" s="2" t="s">
        <v>1375</v>
      </c>
      <c r="E717" s="2" t="s">
        <v>38</v>
      </c>
      <c r="F717" s="2" t="s">
        <v>39</v>
      </c>
      <c r="G717" s="2">
        <v>17237.93</v>
      </c>
      <c r="H717" s="2">
        <v>10991.4</v>
      </c>
      <c r="I717" s="2" t="s">
        <v>53</v>
      </c>
      <c r="J717" s="2" t="s">
        <v>54</v>
      </c>
      <c r="K717" s="2" t="s">
        <v>22</v>
      </c>
      <c r="L717" s="2" t="s">
        <v>55</v>
      </c>
      <c r="M717" s="2">
        <v>3</v>
      </c>
      <c r="N717" s="2" t="s">
        <v>24</v>
      </c>
      <c r="O717" s="2" t="s">
        <v>70</v>
      </c>
      <c r="P717" s="2" t="s">
        <v>26</v>
      </c>
    </row>
    <row r="718" spans="1:16" x14ac:dyDescent="0.25">
      <c r="A718" s="2" t="s">
        <v>1841</v>
      </c>
      <c r="B718" s="2" t="s">
        <v>7560</v>
      </c>
      <c r="C718" s="2">
        <v>3625</v>
      </c>
      <c r="D718" s="2" t="s">
        <v>7561</v>
      </c>
      <c r="E718" s="2" t="s">
        <v>32</v>
      </c>
      <c r="F718" s="2" t="s">
        <v>58</v>
      </c>
      <c r="G718" s="2">
        <v>22475.82</v>
      </c>
      <c r="H718" s="2">
        <v>10830.84</v>
      </c>
      <c r="I718" s="2" t="s">
        <v>20</v>
      </c>
      <c r="J718" s="2" t="s">
        <v>6795</v>
      </c>
      <c r="K718" s="2" t="s">
        <v>80</v>
      </c>
      <c r="L718" s="2" t="s">
        <v>64</v>
      </c>
      <c r="M718" s="2">
        <v>5</v>
      </c>
      <c r="N718" s="2" t="s">
        <v>33</v>
      </c>
      <c r="O718" s="2" t="s">
        <v>70</v>
      </c>
      <c r="P718" s="2" t="s">
        <v>26</v>
      </c>
    </row>
    <row r="719" spans="1:16" x14ac:dyDescent="0.25">
      <c r="A719" s="2" t="s">
        <v>1843</v>
      </c>
      <c r="B719" s="2" t="s">
        <v>4309</v>
      </c>
      <c r="C719" s="2">
        <v>6365</v>
      </c>
      <c r="D719" s="2" t="s">
        <v>7562</v>
      </c>
      <c r="E719" s="2" t="s">
        <v>18</v>
      </c>
      <c r="F719" s="2" t="s">
        <v>58</v>
      </c>
      <c r="G719" s="2">
        <v>31559.99</v>
      </c>
      <c r="H719" s="2">
        <v>17488.150000000001</v>
      </c>
      <c r="I719" s="2" t="s">
        <v>31</v>
      </c>
      <c r="J719" s="2" t="s">
        <v>21</v>
      </c>
      <c r="K719" s="2" t="s">
        <v>22</v>
      </c>
      <c r="L719" s="2" t="s">
        <v>48</v>
      </c>
      <c r="M719" s="2">
        <v>5</v>
      </c>
      <c r="N719" s="2" t="s">
        <v>24</v>
      </c>
      <c r="O719" s="2" t="s">
        <v>70</v>
      </c>
      <c r="P719" s="2" t="s">
        <v>34</v>
      </c>
    </row>
    <row r="720" spans="1:16" x14ac:dyDescent="0.25">
      <c r="A720" s="2" t="s">
        <v>1846</v>
      </c>
      <c r="B720" s="2" t="s">
        <v>7563</v>
      </c>
      <c r="C720" s="2">
        <v>1671</v>
      </c>
      <c r="D720" s="2" t="s">
        <v>7564</v>
      </c>
      <c r="E720" s="2" t="s">
        <v>38</v>
      </c>
      <c r="F720" s="2" t="s">
        <v>30</v>
      </c>
      <c r="G720" s="2">
        <v>54879.27</v>
      </c>
      <c r="H720" s="2">
        <v>27499.48</v>
      </c>
      <c r="I720" s="2" t="s">
        <v>31</v>
      </c>
      <c r="J720" s="2" t="s">
        <v>21</v>
      </c>
      <c r="K720" s="2" t="s">
        <v>80</v>
      </c>
      <c r="L720" s="2" t="s">
        <v>64</v>
      </c>
      <c r="M720" s="2">
        <v>5</v>
      </c>
      <c r="N720" s="2" t="s">
        <v>33</v>
      </c>
      <c r="O720" s="2" t="s">
        <v>70</v>
      </c>
      <c r="P720" s="2" t="s">
        <v>34</v>
      </c>
    </row>
    <row r="721" spans="1:16" x14ac:dyDescent="0.25">
      <c r="A721" s="2" t="s">
        <v>1848</v>
      </c>
      <c r="B721" s="2" t="s">
        <v>1155</v>
      </c>
      <c r="C721" s="2">
        <v>4953</v>
      </c>
      <c r="D721" s="2" t="s">
        <v>7565</v>
      </c>
      <c r="E721" s="2" t="s">
        <v>38</v>
      </c>
      <c r="F721" s="2" t="s">
        <v>58</v>
      </c>
      <c r="G721" s="2">
        <v>58437.36</v>
      </c>
      <c r="H721" s="2">
        <v>37554.699999999997</v>
      </c>
      <c r="I721" s="2" t="s">
        <v>63</v>
      </c>
      <c r="J721" s="2" t="s">
        <v>54</v>
      </c>
      <c r="K721" s="2" t="s">
        <v>80</v>
      </c>
      <c r="L721" s="2" t="s">
        <v>55</v>
      </c>
      <c r="M721" s="2">
        <v>1</v>
      </c>
      <c r="N721" s="2" t="s">
        <v>69</v>
      </c>
      <c r="O721" s="2" t="s">
        <v>25</v>
      </c>
      <c r="P721" s="2" t="s">
        <v>49</v>
      </c>
    </row>
    <row r="722" spans="1:16" x14ac:dyDescent="0.25">
      <c r="A722" s="2" t="s">
        <v>1851</v>
      </c>
      <c r="B722" s="2" t="s">
        <v>7566</v>
      </c>
      <c r="C722" s="2">
        <v>2361</v>
      </c>
      <c r="D722" s="2" t="s">
        <v>7567</v>
      </c>
      <c r="E722" s="2" t="s">
        <v>6694</v>
      </c>
      <c r="F722" s="2" t="s">
        <v>30</v>
      </c>
      <c r="G722" s="2">
        <v>14536.92</v>
      </c>
      <c r="H722" s="2">
        <v>8884.94</v>
      </c>
      <c r="I722" s="2" t="s">
        <v>6712</v>
      </c>
      <c r="J722" s="2" t="s">
        <v>6793</v>
      </c>
      <c r="K722" s="2" t="s">
        <v>32</v>
      </c>
      <c r="L722" s="2" t="s">
        <v>43</v>
      </c>
      <c r="M722" s="2">
        <v>4</v>
      </c>
      <c r="N722" s="2" t="s">
        <v>33</v>
      </c>
      <c r="O722" s="2" t="s">
        <v>25</v>
      </c>
      <c r="P722" s="2" t="s">
        <v>34</v>
      </c>
    </row>
    <row r="723" spans="1:16" x14ac:dyDescent="0.25">
      <c r="A723" s="2" t="s">
        <v>1853</v>
      </c>
      <c r="B723" s="2" t="s">
        <v>7568</v>
      </c>
      <c r="C723" s="2">
        <v>2615</v>
      </c>
      <c r="D723" s="2" t="s">
        <v>7569</v>
      </c>
      <c r="E723" s="2" t="s">
        <v>32</v>
      </c>
      <c r="F723" s="2" t="s">
        <v>39</v>
      </c>
      <c r="G723" s="2">
        <v>12508.11</v>
      </c>
      <c r="H723" s="2">
        <v>7539.97</v>
      </c>
      <c r="I723" s="2" t="s">
        <v>31</v>
      </c>
      <c r="J723" s="2" t="s">
        <v>6724</v>
      </c>
      <c r="K723" s="2" t="s">
        <v>42</v>
      </c>
      <c r="L723" s="2" t="s">
        <v>43</v>
      </c>
      <c r="M723" s="2">
        <v>5</v>
      </c>
      <c r="N723" s="2" t="s">
        <v>33</v>
      </c>
      <c r="O723" s="2" t="s">
        <v>25</v>
      </c>
      <c r="P723" s="2" t="s">
        <v>49</v>
      </c>
    </row>
    <row r="724" spans="1:16" x14ac:dyDescent="0.25">
      <c r="A724" s="2" t="s">
        <v>1854</v>
      </c>
      <c r="B724" s="2" t="s">
        <v>7570</v>
      </c>
      <c r="C724" s="2">
        <v>3961</v>
      </c>
      <c r="D724" s="2" t="s">
        <v>7571</v>
      </c>
      <c r="E724" s="2" t="s">
        <v>6743</v>
      </c>
      <c r="F724" s="2" t="s">
        <v>19</v>
      </c>
      <c r="G724" s="2">
        <v>9481.92</v>
      </c>
      <c r="H724" s="2">
        <v>4890.7</v>
      </c>
      <c r="I724" s="2" t="s">
        <v>6777</v>
      </c>
      <c r="J724" s="2" t="s">
        <v>6705</v>
      </c>
      <c r="K724" s="2" t="s">
        <v>42</v>
      </c>
      <c r="L724" s="2" t="s">
        <v>64</v>
      </c>
      <c r="M724" s="2">
        <v>1</v>
      </c>
      <c r="N724" s="2" t="s">
        <v>24</v>
      </c>
      <c r="O724" s="2" t="s">
        <v>70</v>
      </c>
      <c r="P724" s="2" t="s">
        <v>34</v>
      </c>
    </row>
    <row r="725" spans="1:16" x14ac:dyDescent="0.25">
      <c r="A725" s="2" t="s">
        <v>1856</v>
      </c>
      <c r="B725" s="2" t="s">
        <v>198</v>
      </c>
      <c r="C725" s="2">
        <v>3631</v>
      </c>
      <c r="D725" s="2" t="s">
        <v>7572</v>
      </c>
      <c r="E725" s="2" t="s">
        <v>18</v>
      </c>
      <c r="F725" s="2" t="s">
        <v>39</v>
      </c>
      <c r="G725" s="2">
        <v>35093.08</v>
      </c>
      <c r="H725" s="2">
        <v>21852.34</v>
      </c>
      <c r="I725" s="2" t="s">
        <v>63</v>
      </c>
      <c r="J725" s="2" t="s">
        <v>54</v>
      </c>
      <c r="K725" s="2" t="s">
        <v>42</v>
      </c>
      <c r="L725" s="2" t="s">
        <v>48</v>
      </c>
      <c r="M725" s="2">
        <v>4</v>
      </c>
      <c r="N725" s="2" t="s">
        <v>24</v>
      </c>
      <c r="O725" s="2" t="s">
        <v>70</v>
      </c>
      <c r="P725" s="2" t="s">
        <v>26</v>
      </c>
    </row>
    <row r="726" spans="1:16" x14ac:dyDescent="0.25">
      <c r="A726" s="2" t="s">
        <v>1858</v>
      </c>
      <c r="B726" s="2" t="s">
        <v>7573</v>
      </c>
      <c r="C726" s="2">
        <v>6010</v>
      </c>
      <c r="D726" s="2" t="s">
        <v>7574</v>
      </c>
      <c r="E726" s="2" t="s">
        <v>6743</v>
      </c>
      <c r="F726" s="2" t="s">
        <v>39</v>
      </c>
      <c r="G726" s="2">
        <v>32057.1</v>
      </c>
      <c r="H726" s="2">
        <v>15005.5</v>
      </c>
      <c r="I726" s="2" t="s">
        <v>6681</v>
      </c>
      <c r="J726" s="2" t="s">
        <v>6732</v>
      </c>
      <c r="K726" s="2" t="s">
        <v>80</v>
      </c>
      <c r="L726" s="2" t="s">
        <v>88</v>
      </c>
      <c r="M726" s="2">
        <v>5</v>
      </c>
      <c r="N726" s="2" t="s">
        <v>24</v>
      </c>
      <c r="O726" s="2" t="s">
        <v>25</v>
      </c>
      <c r="P726" s="2" t="s">
        <v>34</v>
      </c>
    </row>
    <row r="727" spans="1:16" x14ac:dyDescent="0.25">
      <c r="A727" s="2" t="s">
        <v>1859</v>
      </c>
      <c r="B727" s="2" t="s">
        <v>7547</v>
      </c>
      <c r="C727" s="2">
        <v>6087</v>
      </c>
      <c r="D727" s="2" t="s">
        <v>7575</v>
      </c>
      <c r="E727" s="2" t="s">
        <v>38</v>
      </c>
      <c r="F727" s="2" t="s">
        <v>47</v>
      </c>
      <c r="G727" s="2">
        <v>8969.7199999999993</v>
      </c>
      <c r="H727" s="2">
        <v>5001.97</v>
      </c>
      <c r="I727" s="2" t="s">
        <v>68</v>
      </c>
      <c r="J727" s="2" t="s">
        <v>41</v>
      </c>
      <c r="K727" s="2" t="s">
        <v>80</v>
      </c>
      <c r="L727" s="2" t="s">
        <v>43</v>
      </c>
      <c r="M727" s="2">
        <v>1</v>
      </c>
      <c r="N727" s="2" t="s">
        <v>33</v>
      </c>
      <c r="O727" s="2" t="s">
        <v>25</v>
      </c>
      <c r="P727" s="2" t="s">
        <v>49</v>
      </c>
    </row>
    <row r="728" spans="1:16" x14ac:dyDescent="0.25">
      <c r="A728" s="2" t="s">
        <v>1861</v>
      </c>
      <c r="B728" s="2" t="s">
        <v>6469</v>
      </c>
      <c r="C728" s="2">
        <v>3179</v>
      </c>
      <c r="D728" s="2" t="s">
        <v>2152</v>
      </c>
      <c r="E728" s="2" t="s">
        <v>38</v>
      </c>
      <c r="F728" s="2" t="s">
        <v>58</v>
      </c>
      <c r="G728" s="2">
        <v>11834.16</v>
      </c>
      <c r="H728" s="2">
        <v>7588.24</v>
      </c>
      <c r="I728" s="2" t="s">
        <v>6726</v>
      </c>
      <c r="J728" s="2" t="s">
        <v>6789</v>
      </c>
      <c r="K728" s="2" t="s">
        <v>42</v>
      </c>
      <c r="L728" s="2" t="s">
        <v>43</v>
      </c>
      <c r="M728" s="2">
        <v>5</v>
      </c>
      <c r="N728" s="2" t="s">
        <v>69</v>
      </c>
      <c r="O728" s="2" t="s">
        <v>25</v>
      </c>
      <c r="P728" s="2" t="s">
        <v>26</v>
      </c>
    </row>
    <row r="729" spans="1:16" x14ac:dyDescent="0.25">
      <c r="A729" s="2" t="s">
        <v>1863</v>
      </c>
      <c r="B729" s="2" t="s">
        <v>7576</v>
      </c>
      <c r="C729" s="2">
        <v>5019</v>
      </c>
      <c r="D729" s="2" t="s">
        <v>7577</v>
      </c>
      <c r="E729" s="2" t="s">
        <v>32</v>
      </c>
      <c r="F729" s="2" t="s">
        <v>58</v>
      </c>
      <c r="G729" s="2">
        <v>24779.03</v>
      </c>
      <c r="H729" s="2">
        <v>15172.33</v>
      </c>
      <c r="I729" s="2" t="s">
        <v>6759</v>
      </c>
      <c r="J729" s="2" t="s">
        <v>6691</v>
      </c>
      <c r="K729" s="2" t="s">
        <v>32</v>
      </c>
      <c r="L729" s="2" t="s">
        <v>55</v>
      </c>
      <c r="M729" s="2">
        <v>3</v>
      </c>
      <c r="N729" s="2" t="s">
        <v>33</v>
      </c>
      <c r="O729" s="2" t="s">
        <v>25</v>
      </c>
      <c r="P729" s="2" t="s">
        <v>49</v>
      </c>
    </row>
    <row r="730" spans="1:16" x14ac:dyDescent="0.25">
      <c r="A730" s="2" t="s">
        <v>1865</v>
      </c>
      <c r="B730" s="2" t="s">
        <v>7578</v>
      </c>
      <c r="C730" s="2">
        <v>7547</v>
      </c>
      <c r="D730" s="2" t="s">
        <v>4815</v>
      </c>
      <c r="E730" s="2" t="s">
        <v>38</v>
      </c>
      <c r="F730" s="2" t="s">
        <v>58</v>
      </c>
      <c r="G730" s="2">
        <v>30286.63</v>
      </c>
      <c r="H730" s="2">
        <v>17909.97</v>
      </c>
      <c r="I730" s="2" t="s">
        <v>6867</v>
      </c>
      <c r="J730" s="2" t="s">
        <v>6696</v>
      </c>
      <c r="K730" s="2" t="s">
        <v>42</v>
      </c>
      <c r="L730" s="2" t="s">
        <v>88</v>
      </c>
      <c r="M730" s="2">
        <v>4</v>
      </c>
      <c r="N730" s="2" t="s">
        <v>33</v>
      </c>
      <c r="O730" s="2" t="s">
        <v>70</v>
      </c>
      <c r="P730" s="2" t="s">
        <v>26</v>
      </c>
    </row>
    <row r="731" spans="1:16" x14ac:dyDescent="0.25">
      <c r="A731" s="2" t="s">
        <v>1868</v>
      </c>
      <c r="B731" s="2" t="s">
        <v>2204</v>
      </c>
      <c r="C731" s="2">
        <v>9314</v>
      </c>
      <c r="D731" s="2" t="s">
        <v>2205</v>
      </c>
      <c r="E731" s="2" t="s">
        <v>38</v>
      </c>
      <c r="F731" s="2" t="s">
        <v>39</v>
      </c>
      <c r="G731" s="2">
        <v>21275.18</v>
      </c>
      <c r="H731" s="2">
        <v>10019.790000000001</v>
      </c>
      <c r="I731" s="2" t="s">
        <v>40</v>
      </c>
      <c r="J731" s="2" t="s">
        <v>41</v>
      </c>
      <c r="K731" s="2" t="s">
        <v>32</v>
      </c>
      <c r="L731" s="2" t="s">
        <v>48</v>
      </c>
      <c r="M731" s="2">
        <v>3</v>
      </c>
      <c r="N731" s="2" t="s">
        <v>24</v>
      </c>
      <c r="O731" s="2" t="s">
        <v>70</v>
      </c>
      <c r="P731" s="2" t="s">
        <v>49</v>
      </c>
    </row>
    <row r="732" spans="1:16" x14ac:dyDescent="0.25">
      <c r="A732" s="2" t="s">
        <v>1871</v>
      </c>
      <c r="B732" s="2" t="s">
        <v>4702</v>
      </c>
      <c r="C732" s="2">
        <v>9145</v>
      </c>
      <c r="D732" s="2" t="s">
        <v>7579</v>
      </c>
      <c r="E732" s="2" t="s">
        <v>6748</v>
      </c>
      <c r="F732" s="2" t="s">
        <v>30</v>
      </c>
      <c r="G732" s="2">
        <v>15048.01</v>
      </c>
      <c r="H732" s="2">
        <v>9768.5300000000007</v>
      </c>
      <c r="I732" s="2" t="s">
        <v>6728</v>
      </c>
      <c r="J732" s="2" t="s">
        <v>54</v>
      </c>
      <c r="K732" s="2" t="s">
        <v>22</v>
      </c>
      <c r="L732" s="2" t="s">
        <v>43</v>
      </c>
      <c r="M732" s="2">
        <v>4</v>
      </c>
      <c r="N732" s="2" t="s">
        <v>24</v>
      </c>
      <c r="O732" s="2" t="s">
        <v>25</v>
      </c>
      <c r="P732" s="2" t="s">
        <v>34</v>
      </c>
    </row>
    <row r="733" spans="1:16" x14ac:dyDescent="0.25">
      <c r="A733" s="2" t="s">
        <v>1873</v>
      </c>
      <c r="B733" s="2" t="s">
        <v>7580</v>
      </c>
      <c r="C733" s="2">
        <v>9041</v>
      </c>
      <c r="D733" s="2" t="s">
        <v>3862</v>
      </c>
      <c r="E733" s="2" t="s">
        <v>6680</v>
      </c>
      <c r="F733" s="2" t="s">
        <v>47</v>
      </c>
      <c r="G733" s="2">
        <v>11302.72</v>
      </c>
      <c r="H733" s="2">
        <v>7217.35</v>
      </c>
      <c r="I733" s="2" t="s">
        <v>6723</v>
      </c>
      <c r="J733" s="2" t="s">
        <v>6802</v>
      </c>
      <c r="K733" s="2" t="s">
        <v>80</v>
      </c>
      <c r="L733" s="2" t="s">
        <v>23</v>
      </c>
      <c r="M733" s="2">
        <v>4</v>
      </c>
      <c r="N733" s="2" t="s">
        <v>33</v>
      </c>
      <c r="O733" s="2" t="s">
        <v>70</v>
      </c>
      <c r="P733" s="2" t="s">
        <v>34</v>
      </c>
    </row>
    <row r="734" spans="1:16" x14ac:dyDescent="0.25">
      <c r="A734" s="2" t="s">
        <v>1874</v>
      </c>
      <c r="B734" s="2" t="s">
        <v>7463</v>
      </c>
      <c r="C734" s="2">
        <v>6871</v>
      </c>
      <c r="D734" s="2" t="s">
        <v>7581</v>
      </c>
      <c r="E734" s="2" t="s">
        <v>18</v>
      </c>
      <c r="F734" s="2" t="s">
        <v>30</v>
      </c>
      <c r="G734" s="2">
        <v>85684.160000000003</v>
      </c>
      <c r="H734" s="2">
        <v>39774.82</v>
      </c>
      <c r="I734" s="2" t="s">
        <v>31</v>
      </c>
      <c r="J734" s="2" t="s">
        <v>21</v>
      </c>
      <c r="K734" s="2" t="s">
        <v>22</v>
      </c>
      <c r="L734" s="2" t="s">
        <v>43</v>
      </c>
      <c r="M734" s="2">
        <v>4</v>
      </c>
      <c r="N734" s="2" t="s">
        <v>24</v>
      </c>
      <c r="O734" s="2" t="s">
        <v>70</v>
      </c>
      <c r="P734" s="2" t="s">
        <v>26</v>
      </c>
    </row>
    <row r="735" spans="1:16" x14ac:dyDescent="0.25">
      <c r="A735" s="2" t="s">
        <v>1876</v>
      </c>
      <c r="B735" s="2" t="s">
        <v>7582</v>
      </c>
      <c r="C735" s="2">
        <v>6436</v>
      </c>
      <c r="D735" s="2" t="s">
        <v>7583</v>
      </c>
      <c r="E735" s="2" t="s">
        <v>6703</v>
      </c>
      <c r="F735" s="2" t="s">
        <v>47</v>
      </c>
      <c r="G735" s="2">
        <v>2757.76</v>
      </c>
      <c r="H735" s="2">
        <v>1463.57</v>
      </c>
      <c r="I735" s="2" t="s">
        <v>6723</v>
      </c>
      <c r="J735" s="2" t="s">
        <v>6696</v>
      </c>
      <c r="K735" s="2" t="s">
        <v>80</v>
      </c>
      <c r="L735" s="2" t="s">
        <v>64</v>
      </c>
      <c r="M735" s="2">
        <v>4</v>
      </c>
      <c r="N735" s="2" t="s">
        <v>24</v>
      </c>
      <c r="O735" s="2" t="s">
        <v>25</v>
      </c>
      <c r="P735" s="2" t="s">
        <v>34</v>
      </c>
    </row>
    <row r="736" spans="1:16" x14ac:dyDescent="0.25">
      <c r="A736" s="2" t="s">
        <v>1879</v>
      </c>
      <c r="B736" s="2" t="s">
        <v>7584</v>
      </c>
      <c r="C736" s="2">
        <v>2336</v>
      </c>
      <c r="D736" s="2" t="s">
        <v>2729</v>
      </c>
      <c r="E736" s="2" t="s">
        <v>38</v>
      </c>
      <c r="F736" s="2" t="s">
        <v>39</v>
      </c>
      <c r="G736" s="2">
        <v>18620.96</v>
      </c>
      <c r="H736" s="2">
        <v>8729.61</v>
      </c>
      <c r="I736" s="2" t="s">
        <v>6910</v>
      </c>
      <c r="J736" s="2" t="s">
        <v>21</v>
      </c>
      <c r="K736" s="2" t="s">
        <v>42</v>
      </c>
      <c r="L736" s="2" t="s">
        <v>55</v>
      </c>
      <c r="M736" s="2">
        <v>5</v>
      </c>
      <c r="N736" s="2" t="s">
        <v>33</v>
      </c>
      <c r="O736" s="2" t="s">
        <v>25</v>
      </c>
      <c r="P736" s="2" t="s">
        <v>49</v>
      </c>
    </row>
    <row r="737" spans="1:16" x14ac:dyDescent="0.25">
      <c r="A737" s="2" t="s">
        <v>1882</v>
      </c>
      <c r="B737" s="2" t="s">
        <v>2285</v>
      </c>
      <c r="C737" s="2">
        <v>7141</v>
      </c>
      <c r="D737" s="2" t="s">
        <v>2220</v>
      </c>
      <c r="E737" s="2" t="s">
        <v>18</v>
      </c>
      <c r="F737" s="2" t="s">
        <v>39</v>
      </c>
      <c r="G737" s="2">
        <v>57807.73</v>
      </c>
      <c r="H737" s="2">
        <v>28192.62</v>
      </c>
      <c r="I737" s="2" t="s">
        <v>53</v>
      </c>
      <c r="J737" s="2" t="s">
        <v>54</v>
      </c>
      <c r="K737" s="2" t="s">
        <v>80</v>
      </c>
      <c r="L737" s="2" t="s">
        <v>23</v>
      </c>
      <c r="M737" s="2">
        <v>5</v>
      </c>
      <c r="N737" s="2" t="s">
        <v>33</v>
      </c>
      <c r="O737" s="2" t="s">
        <v>25</v>
      </c>
      <c r="P737" s="2" t="s">
        <v>49</v>
      </c>
    </row>
    <row r="738" spans="1:16" x14ac:dyDescent="0.25">
      <c r="A738" s="2" t="s">
        <v>1885</v>
      </c>
      <c r="B738" s="2" t="s">
        <v>744</v>
      </c>
      <c r="C738" s="2">
        <v>3438</v>
      </c>
      <c r="D738" s="2" t="s">
        <v>7585</v>
      </c>
      <c r="E738" s="2" t="s">
        <v>38</v>
      </c>
      <c r="F738" s="2" t="s">
        <v>58</v>
      </c>
      <c r="G738" s="2">
        <v>9122.64</v>
      </c>
      <c r="H738" s="2">
        <v>4175.93</v>
      </c>
      <c r="I738" s="2" t="s">
        <v>31</v>
      </c>
      <c r="J738" s="2" t="s">
        <v>21</v>
      </c>
      <c r="K738" s="2" t="s">
        <v>22</v>
      </c>
      <c r="L738" s="2" t="s">
        <v>88</v>
      </c>
      <c r="M738" s="2">
        <v>3</v>
      </c>
      <c r="N738" s="2" t="s">
        <v>33</v>
      </c>
      <c r="O738" s="2" t="s">
        <v>70</v>
      </c>
      <c r="P738" s="2" t="s">
        <v>49</v>
      </c>
    </row>
    <row r="739" spans="1:16" x14ac:dyDescent="0.25">
      <c r="A739" s="2" t="s">
        <v>1887</v>
      </c>
      <c r="B739" s="2" t="s">
        <v>7586</v>
      </c>
      <c r="C739" s="2">
        <v>8449</v>
      </c>
      <c r="D739" s="2" t="s">
        <v>2432</v>
      </c>
      <c r="E739" s="2" t="s">
        <v>6698</v>
      </c>
      <c r="F739" s="2" t="s">
        <v>58</v>
      </c>
      <c r="G739" s="2">
        <v>23594.080000000002</v>
      </c>
      <c r="H739" s="2">
        <v>15071.95</v>
      </c>
      <c r="I739" s="2" t="s">
        <v>59</v>
      </c>
      <c r="J739" s="2" t="s">
        <v>6732</v>
      </c>
      <c r="K739" s="2" t="s">
        <v>22</v>
      </c>
      <c r="L739" s="2" t="s">
        <v>88</v>
      </c>
      <c r="M739" s="2">
        <v>2</v>
      </c>
      <c r="N739" s="2" t="s">
        <v>33</v>
      </c>
      <c r="O739" s="2" t="s">
        <v>25</v>
      </c>
      <c r="P739" s="2" t="s">
        <v>34</v>
      </c>
    </row>
    <row r="740" spans="1:16" x14ac:dyDescent="0.25">
      <c r="A740" s="2" t="s">
        <v>1889</v>
      </c>
      <c r="B740" s="2" t="s">
        <v>7587</v>
      </c>
      <c r="C740" s="2">
        <v>2490</v>
      </c>
      <c r="D740" s="2" t="s">
        <v>7588</v>
      </c>
      <c r="E740" s="2" t="s">
        <v>6708</v>
      </c>
      <c r="F740" s="2" t="s">
        <v>19</v>
      </c>
      <c r="G740" s="2">
        <v>15676.94</v>
      </c>
      <c r="H740" s="2">
        <v>8819.84</v>
      </c>
      <c r="I740" s="2" t="s">
        <v>6712</v>
      </c>
      <c r="J740" s="2" t="s">
        <v>6732</v>
      </c>
      <c r="K740" s="2" t="s">
        <v>80</v>
      </c>
      <c r="L740" s="2" t="s">
        <v>43</v>
      </c>
      <c r="M740" s="2">
        <v>2</v>
      </c>
      <c r="N740" s="2" t="s">
        <v>33</v>
      </c>
      <c r="O740" s="2" t="s">
        <v>25</v>
      </c>
      <c r="P740" s="2" t="s">
        <v>26</v>
      </c>
    </row>
    <row r="741" spans="1:16" x14ac:dyDescent="0.25">
      <c r="A741" s="2" t="s">
        <v>1891</v>
      </c>
      <c r="B741" s="2" t="s">
        <v>7589</v>
      </c>
      <c r="C741" s="2">
        <v>7370</v>
      </c>
      <c r="D741" s="2" t="s">
        <v>7590</v>
      </c>
      <c r="E741" s="2" t="s">
        <v>6748</v>
      </c>
      <c r="F741" s="2" t="s">
        <v>30</v>
      </c>
      <c r="G741" s="2">
        <v>57991.040000000001</v>
      </c>
      <c r="H741" s="2">
        <v>35216.33</v>
      </c>
      <c r="I741" s="2" t="s">
        <v>6736</v>
      </c>
      <c r="J741" s="2" t="s">
        <v>6691</v>
      </c>
      <c r="K741" s="2" t="s">
        <v>42</v>
      </c>
      <c r="L741" s="2" t="s">
        <v>48</v>
      </c>
      <c r="M741" s="2">
        <v>1</v>
      </c>
      <c r="N741" s="2" t="s">
        <v>24</v>
      </c>
      <c r="O741" s="2" t="s">
        <v>25</v>
      </c>
      <c r="P741" s="2" t="s">
        <v>26</v>
      </c>
    </row>
    <row r="742" spans="1:16" x14ac:dyDescent="0.25">
      <c r="A742" s="2" t="s">
        <v>1894</v>
      </c>
      <c r="B742" s="2" t="s">
        <v>1900</v>
      </c>
      <c r="C742" s="2">
        <v>7306</v>
      </c>
      <c r="D742" s="2" t="s">
        <v>7591</v>
      </c>
      <c r="E742" s="2" t="s">
        <v>18</v>
      </c>
      <c r="F742" s="2" t="s">
        <v>19</v>
      </c>
      <c r="G742" s="2">
        <v>11868.83</v>
      </c>
      <c r="H742" s="2">
        <v>6617.5</v>
      </c>
      <c r="I742" s="2" t="s">
        <v>53</v>
      </c>
      <c r="J742" s="2" t="s">
        <v>54</v>
      </c>
      <c r="K742" s="2" t="s">
        <v>80</v>
      </c>
      <c r="L742" s="2" t="s">
        <v>48</v>
      </c>
      <c r="M742" s="2">
        <v>5</v>
      </c>
      <c r="N742" s="2" t="s">
        <v>24</v>
      </c>
      <c r="O742" s="2" t="s">
        <v>25</v>
      </c>
      <c r="P742" s="2" t="s">
        <v>34</v>
      </c>
    </row>
    <row r="743" spans="1:16" x14ac:dyDescent="0.25">
      <c r="A743" s="2" t="s">
        <v>1897</v>
      </c>
      <c r="B743" s="2" t="s">
        <v>7592</v>
      </c>
      <c r="C743" s="2">
        <v>2195</v>
      </c>
      <c r="D743" s="2" t="s">
        <v>7593</v>
      </c>
      <c r="E743" s="2" t="s">
        <v>6743</v>
      </c>
      <c r="F743" s="2" t="s">
        <v>58</v>
      </c>
      <c r="G743" s="2">
        <v>39487.769999999997</v>
      </c>
      <c r="H743" s="2">
        <v>22280.15</v>
      </c>
      <c r="I743" s="2" t="s">
        <v>6690</v>
      </c>
      <c r="J743" s="2" t="s">
        <v>6729</v>
      </c>
      <c r="K743" s="2" t="s">
        <v>22</v>
      </c>
      <c r="L743" s="2" t="s">
        <v>55</v>
      </c>
      <c r="M743" s="2">
        <v>4</v>
      </c>
      <c r="N743" s="2" t="s">
        <v>33</v>
      </c>
      <c r="O743" s="2" t="s">
        <v>70</v>
      </c>
      <c r="P743" s="2" t="s">
        <v>34</v>
      </c>
    </row>
    <row r="744" spans="1:16" x14ac:dyDescent="0.25">
      <c r="A744" s="2" t="s">
        <v>1899</v>
      </c>
      <c r="B744" s="2" t="s">
        <v>7594</v>
      </c>
      <c r="C744" s="2">
        <v>5230</v>
      </c>
      <c r="D744" s="2" t="s">
        <v>7595</v>
      </c>
      <c r="E744" s="2" t="s">
        <v>6708</v>
      </c>
      <c r="F744" s="2" t="s">
        <v>58</v>
      </c>
      <c r="G744" s="2">
        <v>33838.129999999997</v>
      </c>
      <c r="H744" s="2">
        <v>20033.34</v>
      </c>
      <c r="I744" s="2" t="s">
        <v>6812</v>
      </c>
      <c r="J744" s="2" t="s">
        <v>6691</v>
      </c>
      <c r="K744" s="2" t="s">
        <v>42</v>
      </c>
      <c r="L744" s="2" t="s">
        <v>23</v>
      </c>
      <c r="M744" s="2">
        <v>3</v>
      </c>
      <c r="N744" s="2" t="s">
        <v>33</v>
      </c>
      <c r="O744" s="2" t="s">
        <v>25</v>
      </c>
      <c r="P744" s="2" t="s">
        <v>34</v>
      </c>
    </row>
    <row r="745" spans="1:16" x14ac:dyDescent="0.25">
      <c r="A745" s="2" t="s">
        <v>1902</v>
      </c>
      <c r="B745" s="2" t="s">
        <v>7596</v>
      </c>
      <c r="C745" s="2">
        <v>4653</v>
      </c>
      <c r="D745" s="2" t="s">
        <v>7597</v>
      </c>
      <c r="E745" s="2" t="s">
        <v>6756</v>
      </c>
      <c r="F745" s="2" t="s">
        <v>39</v>
      </c>
      <c r="G745" s="2">
        <v>38696.17</v>
      </c>
      <c r="H745" s="2">
        <v>18305.439999999999</v>
      </c>
      <c r="I745" s="2" t="s">
        <v>6752</v>
      </c>
      <c r="J745" s="2" t="s">
        <v>6700</v>
      </c>
      <c r="K745" s="2" t="s">
        <v>80</v>
      </c>
      <c r="L745" s="2" t="s">
        <v>55</v>
      </c>
      <c r="M745" s="2">
        <v>2</v>
      </c>
      <c r="N745" s="2" t="s">
        <v>24</v>
      </c>
      <c r="O745" s="2" t="s">
        <v>25</v>
      </c>
      <c r="P745" s="2" t="s">
        <v>49</v>
      </c>
    </row>
    <row r="746" spans="1:16" x14ac:dyDescent="0.25">
      <c r="A746" s="2" t="s">
        <v>1905</v>
      </c>
      <c r="B746" s="2" t="s">
        <v>7598</v>
      </c>
      <c r="C746" s="2">
        <v>4311</v>
      </c>
      <c r="D746" s="2" t="s">
        <v>7599</v>
      </c>
      <c r="E746" s="2" t="s">
        <v>18</v>
      </c>
      <c r="F746" s="2" t="s">
        <v>47</v>
      </c>
      <c r="G746" s="2">
        <v>9434.3700000000008</v>
      </c>
      <c r="H746" s="2">
        <v>5185.07</v>
      </c>
      <c r="I746" s="2" t="s">
        <v>120</v>
      </c>
      <c r="J746" s="2" t="s">
        <v>6802</v>
      </c>
      <c r="K746" s="2" t="s">
        <v>32</v>
      </c>
      <c r="L746" s="2" t="s">
        <v>43</v>
      </c>
      <c r="M746" s="2">
        <v>1</v>
      </c>
      <c r="N746" s="2" t="s">
        <v>24</v>
      </c>
      <c r="O746" s="2" t="s">
        <v>25</v>
      </c>
      <c r="P746" s="2" t="s">
        <v>26</v>
      </c>
    </row>
    <row r="747" spans="1:16" x14ac:dyDescent="0.25">
      <c r="A747" s="2" t="s">
        <v>1908</v>
      </c>
      <c r="B747" s="2" t="s">
        <v>251</v>
      </c>
      <c r="C747" s="2">
        <v>9251</v>
      </c>
      <c r="D747" s="2" t="s">
        <v>2251</v>
      </c>
      <c r="E747" s="2" t="s">
        <v>18</v>
      </c>
      <c r="F747" s="2" t="s">
        <v>30</v>
      </c>
      <c r="G747" s="2">
        <v>69466.17</v>
      </c>
      <c r="H747" s="2">
        <v>41331.120000000003</v>
      </c>
      <c r="I747" s="2" t="s">
        <v>53</v>
      </c>
      <c r="J747" s="2" t="s">
        <v>54</v>
      </c>
      <c r="K747" s="2" t="s">
        <v>22</v>
      </c>
      <c r="L747" s="2" t="s">
        <v>43</v>
      </c>
      <c r="M747" s="2">
        <v>1</v>
      </c>
      <c r="N747" s="2" t="s">
        <v>69</v>
      </c>
      <c r="O747" s="2" t="s">
        <v>25</v>
      </c>
      <c r="P747" s="2" t="s">
        <v>34</v>
      </c>
    </row>
    <row r="748" spans="1:16" x14ac:dyDescent="0.25">
      <c r="A748" s="2" t="s">
        <v>1910</v>
      </c>
      <c r="B748" s="2" t="s">
        <v>7600</v>
      </c>
      <c r="C748" s="2">
        <v>5780</v>
      </c>
      <c r="D748" s="2" t="s">
        <v>7601</v>
      </c>
      <c r="E748" s="2" t="s">
        <v>18</v>
      </c>
      <c r="F748" s="2" t="s">
        <v>47</v>
      </c>
      <c r="G748" s="2">
        <v>4783.8999999999996</v>
      </c>
      <c r="H748" s="2">
        <v>2752.86</v>
      </c>
      <c r="I748" s="2" t="s">
        <v>63</v>
      </c>
      <c r="J748" s="2" t="s">
        <v>54</v>
      </c>
      <c r="K748" s="2" t="s">
        <v>42</v>
      </c>
      <c r="L748" s="2" t="s">
        <v>48</v>
      </c>
      <c r="M748" s="2">
        <v>4</v>
      </c>
      <c r="N748" s="2" t="s">
        <v>33</v>
      </c>
      <c r="O748" s="2" t="s">
        <v>25</v>
      </c>
      <c r="P748" s="2" t="s">
        <v>26</v>
      </c>
    </row>
    <row r="749" spans="1:16" x14ac:dyDescent="0.25">
      <c r="A749" s="2" t="s">
        <v>1913</v>
      </c>
      <c r="B749" s="2" t="s">
        <v>3041</v>
      </c>
      <c r="C749" s="2">
        <v>2067</v>
      </c>
      <c r="D749" s="2" t="s">
        <v>7602</v>
      </c>
      <c r="E749" s="2" t="s">
        <v>38</v>
      </c>
      <c r="F749" s="2" t="s">
        <v>58</v>
      </c>
      <c r="G749" s="2">
        <v>40751.629999999997</v>
      </c>
      <c r="H749" s="2">
        <v>18480.55</v>
      </c>
      <c r="I749" s="2" t="s">
        <v>63</v>
      </c>
      <c r="J749" s="2" t="s">
        <v>54</v>
      </c>
      <c r="K749" s="2" t="s">
        <v>32</v>
      </c>
      <c r="L749" s="2" t="s">
        <v>48</v>
      </c>
      <c r="M749" s="2">
        <v>3</v>
      </c>
      <c r="N749" s="2" t="s">
        <v>33</v>
      </c>
      <c r="O749" s="2" t="s">
        <v>25</v>
      </c>
      <c r="P749" s="2" t="s">
        <v>26</v>
      </c>
    </row>
    <row r="750" spans="1:16" x14ac:dyDescent="0.25">
      <c r="A750" s="2" t="s">
        <v>1916</v>
      </c>
      <c r="B750" s="2" t="s">
        <v>2285</v>
      </c>
      <c r="C750" s="2">
        <v>4678</v>
      </c>
      <c r="D750" s="2" t="s">
        <v>7603</v>
      </c>
      <c r="E750" s="2" t="s">
        <v>18</v>
      </c>
      <c r="F750" s="2" t="s">
        <v>30</v>
      </c>
      <c r="G750" s="2">
        <v>79718.44</v>
      </c>
      <c r="H750" s="2">
        <v>37051.919999999998</v>
      </c>
      <c r="I750" s="2" t="s">
        <v>63</v>
      </c>
      <c r="J750" s="2" t="s">
        <v>54</v>
      </c>
      <c r="K750" s="2" t="s">
        <v>80</v>
      </c>
      <c r="L750" s="2" t="s">
        <v>43</v>
      </c>
      <c r="M750" s="2">
        <v>4</v>
      </c>
      <c r="N750" s="2" t="s">
        <v>33</v>
      </c>
      <c r="O750" s="2" t="s">
        <v>70</v>
      </c>
      <c r="P750" s="2" t="s">
        <v>34</v>
      </c>
    </row>
    <row r="751" spans="1:16" x14ac:dyDescent="0.25">
      <c r="A751" s="2" t="s">
        <v>1919</v>
      </c>
      <c r="B751" s="2" t="s">
        <v>1334</v>
      </c>
      <c r="C751" s="2">
        <v>8850</v>
      </c>
      <c r="D751" s="2" t="s">
        <v>7604</v>
      </c>
      <c r="E751" s="2" t="s">
        <v>18</v>
      </c>
      <c r="F751" s="2" t="s">
        <v>30</v>
      </c>
      <c r="G751" s="2">
        <v>54189.95</v>
      </c>
      <c r="H751" s="2">
        <v>33916.89</v>
      </c>
      <c r="I751" s="2" t="s">
        <v>53</v>
      </c>
      <c r="J751" s="2" t="s">
        <v>54</v>
      </c>
      <c r="K751" s="2" t="s">
        <v>32</v>
      </c>
      <c r="L751" s="2" t="s">
        <v>23</v>
      </c>
      <c r="M751" s="2">
        <v>3</v>
      </c>
      <c r="N751" s="2" t="s">
        <v>24</v>
      </c>
      <c r="O751" s="2" t="s">
        <v>25</v>
      </c>
      <c r="P751" s="2" t="s">
        <v>34</v>
      </c>
    </row>
    <row r="752" spans="1:16" x14ac:dyDescent="0.25">
      <c r="A752" s="2" t="s">
        <v>1920</v>
      </c>
      <c r="B752" s="2" t="s">
        <v>4725</v>
      </c>
      <c r="C752" s="2">
        <v>1697</v>
      </c>
      <c r="D752" s="2" t="s">
        <v>7605</v>
      </c>
      <c r="E752" s="2" t="s">
        <v>6708</v>
      </c>
      <c r="F752" s="2" t="s">
        <v>19</v>
      </c>
      <c r="G752" s="2">
        <v>7087.79</v>
      </c>
      <c r="H752" s="2">
        <v>4436.68</v>
      </c>
      <c r="I752" s="2" t="s">
        <v>6681</v>
      </c>
      <c r="J752" s="2" t="s">
        <v>6713</v>
      </c>
      <c r="K752" s="2" t="s">
        <v>32</v>
      </c>
      <c r="L752" s="2" t="s">
        <v>64</v>
      </c>
      <c r="M752" s="2">
        <v>2</v>
      </c>
      <c r="N752" s="2" t="s">
        <v>69</v>
      </c>
      <c r="O752" s="2" t="s">
        <v>25</v>
      </c>
      <c r="P752" s="2" t="s">
        <v>34</v>
      </c>
    </row>
    <row r="753" spans="1:16" x14ac:dyDescent="0.25">
      <c r="A753" s="2" t="s">
        <v>1923</v>
      </c>
      <c r="B753" s="2" t="s">
        <v>7606</v>
      </c>
      <c r="C753" s="2">
        <v>3180</v>
      </c>
      <c r="D753" s="2" t="s">
        <v>7607</v>
      </c>
      <c r="E753" s="2" t="s">
        <v>6703</v>
      </c>
      <c r="F753" s="2" t="s">
        <v>30</v>
      </c>
      <c r="G753" s="2">
        <v>29958.52</v>
      </c>
      <c r="H753" s="2">
        <v>17750.96</v>
      </c>
      <c r="I753" s="2" t="s">
        <v>6794</v>
      </c>
      <c r="J753" s="2" t="s">
        <v>6802</v>
      </c>
      <c r="K753" s="2" t="s">
        <v>32</v>
      </c>
      <c r="L753" s="2" t="s">
        <v>48</v>
      </c>
      <c r="M753" s="2">
        <v>5</v>
      </c>
      <c r="N753" s="2" t="s">
        <v>33</v>
      </c>
      <c r="O753" s="2" t="s">
        <v>25</v>
      </c>
      <c r="P753" s="2" t="s">
        <v>34</v>
      </c>
    </row>
    <row r="754" spans="1:16" x14ac:dyDescent="0.25">
      <c r="A754" s="2" t="s">
        <v>1926</v>
      </c>
      <c r="B754" s="2" t="s">
        <v>7608</v>
      </c>
      <c r="C754" s="2">
        <v>1833</v>
      </c>
      <c r="D754" s="2" t="s">
        <v>7609</v>
      </c>
      <c r="E754" s="2" t="s">
        <v>6694</v>
      </c>
      <c r="F754" s="2" t="s">
        <v>19</v>
      </c>
      <c r="G754" s="2">
        <v>6649.08</v>
      </c>
      <c r="H754" s="2">
        <v>3725.74</v>
      </c>
      <c r="I754" s="2" t="s">
        <v>6695</v>
      </c>
      <c r="J754" s="2" t="s">
        <v>6795</v>
      </c>
      <c r="K754" s="2" t="s">
        <v>32</v>
      </c>
      <c r="L754" s="2" t="s">
        <v>48</v>
      </c>
      <c r="M754" s="2">
        <v>4</v>
      </c>
      <c r="N754" s="2" t="s">
        <v>69</v>
      </c>
      <c r="O754" s="2" t="s">
        <v>25</v>
      </c>
      <c r="P754" s="2" t="s">
        <v>34</v>
      </c>
    </row>
    <row r="755" spans="1:16" x14ac:dyDescent="0.25">
      <c r="A755" s="2" t="s">
        <v>1929</v>
      </c>
      <c r="B755" s="2" t="s">
        <v>4428</v>
      </c>
      <c r="C755" s="2">
        <v>7738</v>
      </c>
      <c r="D755" s="2" t="s">
        <v>7610</v>
      </c>
      <c r="E755" s="2" t="s">
        <v>38</v>
      </c>
      <c r="F755" s="2" t="s">
        <v>19</v>
      </c>
      <c r="G755" s="2">
        <v>11838.57</v>
      </c>
      <c r="H755" s="2">
        <v>7382.6</v>
      </c>
      <c r="I755" s="2" t="s">
        <v>20</v>
      </c>
      <c r="J755" s="2" t="s">
        <v>21</v>
      </c>
      <c r="K755" s="2" t="s">
        <v>32</v>
      </c>
      <c r="L755" s="2" t="s">
        <v>64</v>
      </c>
      <c r="M755" s="2">
        <v>3</v>
      </c>
      <c r="N755" s="2" t="s">
        <v>24</v>
      </c>
      <c r="O755" s="2" t="s">
        <v>70</v>
      </c>
      <c r="P755" s="2" t="s">
        <v>49</v>
      </c>
    </row>
    <row r="756" spans="1:16" x14ac:dyDescent="0.25">
      <c r="A756" s="2" t="s">
        <v>1931</v>
      </c>
      <c r="B756" s="2" t="s">
        <v>7611</v>
      </c>
      <c r="C756" s="2">
        <v>1864</v>
      </c>
      <c r="D756" s="2" t="s">
        <v>7612</v>
      </c>
      <c r="E756" s="2" t="s">
        <v>6680</v>
      </c>
      <c r="F756" s="2" t="s">
        <v>58</v>
      </c>
      <c r="G756" s="2">
        <v>22244.76</v>
      </c>
      <c r="H756" s="2">
        <v>11403.97</v>
      </c>
      <c r="I756" s="2" t="s">
        <v>6712</v>
      </c>
      <c r="J756" s="2" t="s">
        <v>6732</v>
      </c>
      <c r="K756" s="2" t="s">
        <v>42</v>
      </c>
      <c r="L756" s="2" t="s">
        <v>23</v>
      </c>
      <c r="M756" s="2">
        <v>2</v>
      </c>
      <c r="N756" s="2" t="s">
        <v>69</v>
      </c>
      <c r="O756" s="2" t="s">
        <v>25</v>
      </c>
      <c r="P756" s="2" t="s">
        <v>26</v>
      </c>
    </row>
    <row r="757" spans="1:16" x14ac:dyDescent="0.25">
      <c r="A757" s="2" t="s">
        <v>1933</v>
      </c>
      <c r="B757" s="2" t="s">
        <v>7471</v>
      </c>
      <c r="C757" s="2">
        <v>3490</v>
      </c>
      <c r="D757" s="2" t="s">
        <v>7613</v>
      </c>
      <c r="E757" s="2" t="s">
        <v>18</v>
      </c>
      <c r="F757" s="2" t="s">
        <v>39</v>
      </c>
      <c r="G757" s="2">
        <v>21115.16</v>
      </c>
      <c r="H757" s="2">
        <v>11749.76</v>
      </c>
      <c r="I757" s="2" t="s">
        <v>63</v>
      </c>
      <c r="J757" s="2" t="s">
        <v>54</v>
      </c>
      <c r="K757" s="2" t="s">
        <v>80</v>
      </c>
      <c r="L757" s="2" t="s">
        <v>23</v>
      </c>
      <c r="M757" s="2">
        <v>5</v>
      </c>
      <c r="N757" s="2" t="s">
        <v>24</v>
      </c>
      <c r="O757" s="2" t="s">
        <v>25</v>
      </c>
      <c r="P757" s="2" t="s">
        <v>34</v>
      </c>
    </row>
    <row r="758" spans="1:16" x14ac:dyDescent="0.25">
      <c r="A758" s="2" t="s">
        <v>1935</v>
      </c>
      <c r="B758" s="2" t="s">
        <v>6311</v>
      </c>
      <c r="C758" s="2">
        <v>1645</v>
      </c>
      <c r="D758" s="2" t="s">
        <v>7614</v>
      </c>
      <c r="E758" s="2" t="s">
        <v>18</v>
      </c>
      <c r="F758" s="2" t="s">
        <v>19</v>
      </c>
      <c r="G758" s="2">
        <v>10367.89</v>
      </c>
      <c r="H758" s="2">
        <v>5645.97</v>
      </c>
      <c r="I758" s="2" t="s">
        <v>68</v>
      </c>
      <c r="J758" s="2" t="s">
        <v>41</v>
      </c>
      <c r="K758" s="2" t="s">
        <v>80</v>
      </c>
      <c r="L758" s="2" t="s">
        <v>23</v>
      </c>
      <c r="M758" s="2">
        <v>1</v>
      </c>
      <c r="N758" s="2" t="s">
        <v>24</v>
      </c>
      <c r="O758" s="2" t="s">
        <v>70</v>
      </c>
      <c r="P758" s="2" t="s">
        <v>34</v>
      </c>
    </row>
    <row r="759" spans="1:16" x14ac:dyDescent="0.25">
      <c r="A759" s="2" t="s">
        <v>1937</v>
      </c>
      <c r="B759" s="2" t="s">
        <v>7615</v>
      </c>
      <c r="C759" s="2">
        <v>6633</v>
      </c>
      <c r="D759" s="2" t="s">
        <v>7616</v>
      </c>
      <c r="E759" s="2" t="s">
        <v>6748</v>
      </c>
      <c r="F759" s="2" t="s">
        <v>30</v>
      </c>
      <c r="G759" s="2">
        <v>63082.89</v>
      </c>
      <c r="H759" s="2">
        <v>39571.78</v>
      </c>
      <c r="I759" s="2" t="s">
        <v>6915</v>
      </c>
      <c r="J759" s="2" t="s">
        <v>6696</v>
      </c>
      <c r="K759" s="2" t="s">
        <v>22</v>
      </c>
      <c r="L759" s="2" t="s">
        <v>23</v>
      </c>
      <c r="M759" s="2">
        <v>2</v>
      </c>
      <c r="N759" s="2" t="s">
        <v>24</v>
      </c>
      <c r="O759" s="2" t="s">
        <v>70</v>
      </c>
      <c r="P759" s="2" t="s">
        <v>26</v>
      </c>
    </row>
    <row r="760" spans="1:16" x14ac:dyDescent="0.25">
      <c r="A760" s="2" t="s">
        <v>1939</v>
      </c>
      <c r="B760" s="2" t="s">
        <v>3265</v>
      </c>
      <c r="C760" s="2">
        <v>7844</v>
      </c>
      <c r="D760" s="2" t="s">
        <v>7617</v>
      </c>
      <c r="E760" s="2" t="s">
        <v>18</v>
      </c>
      <c r="F760" s="2" t="s">
        <v>39</v>
      </c>
      <c r="G760" s="2">
        <v>23815.16</v>
      </c>
      <c r="H760" s="2">
        <v>11920.52</v>
      </c>
      <c r="I760" s="2" t="s">
        <v>20</v>
      </c>
      <c r="J760" s="2" t="s">
        <v>21</v>
      </c>
      <c r="K760" s="2" t="s">
        <v>42</v>
      </c>
      <c r="L760" s="2" t="s">
        <v>43</v>
      </c>
      <c r="M760" s="2">
        <v>1</v>
      </c>
      <c r="N760" s="2" t="s">
        <v>24</v>
      </c>
      <c r="O760" s="2" t="s">
        <v>70</v>
      </c>
      <c r="P760" s="2" t="s">
        <v>26</v>
      </c>
    </row>
    <row r="761" spans="1:16" x14ac:dyDescent="0.25">
      <c r="A761" s="2" t="s">
        <v>1941</v>
      </c>
      <c r="B761" s="2" t="s">
        <v>2693</v>
      </c>
      <c r="C761" s="2">
        <v>8505</v>
      </c>
      <c r="D761" s="2" t="s">
        <v>7618</v>
      </c>
      <c r="E761" s="2" t="s">
        <v>6756</v>
      </c>
      <c r="F761" s="2" t="s">
        <v>30</v>
      </c>
      <c r="G761" s="2">
        <v>36303.08</v>
      </c>
      <c r="H761" s="2">
        <v>16564.18</v>
      </c>
      <c r="I761" s="2" t="s">
        <v>6845</v>
      </c>
      <c r="J761" s="2" t="s">
        <v>6795</v>
      </c>
      <c r="K761" s="2" t="s">
        <v>22</v>
      </c>
      <c r="L761" s="2" t="s">
        <v>48</v>
      </c>
      <c r="M761" s="2">
        <v>5</v>
      </c>
      <c r="N761" s="2" t="s">
        <v>33</v>
      </c>
      <c r="O761" s="2" t="s">
        <v>25</v>
      </c>
      <c r="P761" s="2" t="s">
        <v>34</v>
      </c>
    </row>
    <row r="762" spans="1:16" x14ac:dyDescent="0.25">
      <c r="A762" s="2" t="s">
        <v>1943</v>
      </c>
      <c r="B762" s="2" t="s">
        <v>7619</v>
      </c>
      <c r="C762" s="2">
        <v>6605</v>
      </c>
      <c r="D762" s="2" t="s">
        <v>7620</v>
      </c>
      <c r="E762" s="2" t="s">
        <v>6694</v>
      </c>
      <c r="F762" s="2" t="s">
        <v>47</v>
      </c>
      <c r="G762" s="2">
        <v>21429.49</v>
      </c>
      <c r="H762" s="2">
        <v>12725.33</v>
      </c>
      <c r="I762" s="2" t="s">
        <v>53</v>
      </c>
      <c r="J762" s="2" t="s">
        <v>54</v>
      </c>
      <c r="K762" s="2" t="s">
        <v>32</v>
      </c>
      <c r="L762" s="2" t="s">
        <v>64</v>
      </c>
      <c r="M762" s="2">
        <v>3</v>
      </c>
      <c r="N762" s="2" t="s">
        <v>33</v>
      </c>
      <c r="O762" s="2" t="s">
        <v>70</v>
      </c>
      <c r="P762" s="2" t="s">
        <v>49</v>
      </c>
    </row>
    <row r="763" spans="1:16" x14ac:dyDescent="0.25">
      <c r="A763" s="2" t="s">
        <v>1944</v>
      </c>
      <c r="B763" s="2" t="s">
        <v>7621</v>
      </c>
      <c r="C763" s="2">
        <v>4882</v>
      </c>
      <c r="D763" s="2" t="s">
        <v>7622</v>
      </c>
      <c r="E763" s="2" t="s">
        <v>18</v>
      </c>
      <c r="F763" s="2" t="s">
        <v>39</v>
      </c>
      <c r="G763" s="2">
        <v>22632.39</v>
      </c>
      <c r="H763" s="2">
        <v>10228.23</v>
      </c>
      <c r="I763" s="2" t="s">
        <v>68</v>
      </c>
      <c r="J763" s="2" t="s">
        <v>41</v>
      </c>
      <c r="K763" s="2" t="s">
        <v>22</v>
      </c>
      <c r="L763" s="2" t="s">
        <v>48</v>
      </c>
      <c r="M763" s="2">
        <v>3</v>
      </c>
      <c r="N763" s="2" t="s">
        <v>69</v>
      </c>
      <c r="O763" s="2" t="s">
        <v>70</v>
      </c>
      <c r="P763" s="2" t="s">
        <v>26</v>
      </c>
    </row>
    <row r="764" spans="1:16" x14ac:dyDescent="0.25">
      <c r="A764" s="2" t="s">
        <v>1947</v>
      </c>
      <c r="B764" s="2" t="s">
        <v>1537</v>
      </c>
      <c r="C764" s="2">
        <v>2998</v>
      </c>
      <c r="D764" s="2" t="s">
        <v>7623</v>
      </c>
      <c r="E764" s="2" t="s">
        <v>18</v>
      </c>
      <c r="F764" s="2" t="s">
        <v>19</v>
      </c>
      <c r="G764" s="2">
        <v>10282.61</v>
      </c>
      <c r="H764" s="2">
        <v>5037.49</v>
      </c>
      <c r="I764" s="2" t="s">
        <v>59</v>
      </c>
      <c r="J764" s="2" t="s">
        <v>41</v>
      </c>
      <c r="K764" s="2" t="s">
        <v>22</v>
      </c>
      <c r="L764" s="2" t="s">
        <v>23</v>
      </c>
      <c r="M764" s="2">
        <v>1</v>
      </c>
      <c r="N764" s="2" t="s">
        <v>24</v>
      </c>
      <c r="O764" s="2" t="s">
        <v>25</v>
      </c>
      <c r="P764" s="2" t="s">
        <v>34</v>
      </c>
    </row>
    <row r="765" spans="1:16" x14ac:dyDescent="0.25">
      <c r="A765" s="2" t="s">
        <v>1950</v>
      </c>
      <c r="B765" s="2" t="s">
        <v>1392</v>
      </c>
      <c r="C765" s="2">
        <v>4156</v>
      </c>
      <c r="D765" s="2" t="s">
        <v>7624</v>
      </c>
      <c r="E765" s="2" t="s">
        <v>38</v>
      </c>
      <c r="F765" s="2" t="s">
        <v>19</v>
      </c>
      <c r="G765" s="2">
        <v>18425.39</v>
      </c>
      <c r="H765" s="2">
        <v>10901.34</v>
      </c>
      <c r="I765" s="2" t="s">
        <v>63</v>
      </c>
      <c r="J765" s="2" t="s">
        <v>54</v>
      </c>
      <c r="K765" s="2" t="s">
        <v>80</v>
      </c>
      <c r="L765" s="2" t="s">
        <v>43</v>
      </c>
      <c r="M765" s="2">
        <v>2</v>
      </c>
      <c r="N765" s="2" t="s">
        <v>24</v>
      </c>
      <c r="O765" s="2" t="s">
        <v>70</v>
      </c>
      <c r="P765" s="2" t="s">
        <v>49</v>
      </c>
    </row>
    <row r="766" spans="1:16" x14ac:dyDescent="0.25">
      <c r="A766" s="2" t="s">
        <v>1952</v>
      </c>
      <c r="B766" s="2" t="s">
        <v>7625</v>
      </c>
      <c r="C766" s="2">
        <v>3357</v>
      </c>
      <c r="D766" s="2" t="s">
        <v>7626</v>
      </c>
      <c r="E766" s="2" t="s">
        <v>6743</v>
      </c>
      <c r="F766" s="2" t="s">
        <v>30</v>
      </c>
      <c r="G766" s="2">
        <v>56787.83</v>
      </c>
      <c r="H766" s="2">
        <v>33537.39</v>
      </c>
      <c r="I766" s="2" t="s">
        <v>6736</v>
      </c>
      <c r="J766" s="2" t="s">
        <v>6753</v>
      </c>
      <c r="K766" s="2" t="s">
        <v>22</v>
      </c>
      <c r="L766" s="2" t="s">
        <v>23</v>
      </c>
      <c r="M766" s="2">
        <v>2</v>
      </c>
      <c r="N766" s="2" t="s">
        <v>69</v>
      </c>
      <c r="O766" s="2" t="s">
        <v>70</v>
      </c>
      <c r="P766" s="2" t="s">
        <v>26</v>
      </c>
    </row>
    <row r="767" spans="1:16" x14ac:dyDescent="0.25">
      <c r="A767" s="2" t="s">
        <v>1954</v>
      </c>
      <c r="B767" s="2" t="s">
        <v>373</v>
      </c>
      <c r="C767" s="2">
        <v>9692</v>
      </c>
      <c r="D767" s="2" t="s">
        <v>7627</v>
      </c>
      <c r="E767" s="2" t="s">
        <v>18</v>
      </c>
      <c r="F767" s="2" t="s">
        <v>58</v>
      </c>
      <c r="G767" s="2">
        <v>32229.16</v>
      </c>
      <c r="H767" s="2">
        <v>20743.580000000002</v>
      </c>
      <c r="I767" s="2" t="s">
        <v>120</v>
      </c>
      <c r="J767" s="2" t="s">
        <v>21</v>
      </c>
      <c r="K767" s="2" t="s">
        <v>42</v>
      </c>
      <c r="L767" s="2" t="s">
        <v>88</v>
      </c>
      <c r="M767" s="2">
        <v>2</v>
      </c>
      <c r="N767" s="2" t="s">
        <v>33</v>
      </c>
      <c r="O767" s="2" t="s">
        <v>25</v>
      </c>
      <c r="P767" s="2" t="s">
        <v>34</v>
      </c>
    </row>
    <row r="768" spans="1:16" x14ac:dyDescent="0.25">
      <c r="A768" s="2" t="s">
        <v>1957</v>
      </c>
      <c r="B768" s="2" t="s">
        <v>619</v>
      </c>
      <c r="C768" s="2">
        <v>2445</v>
      </c>
      <c r="D768" s="2" t="s">
        <v>7628</v>
      </c>
      <c r="E768" s="2" t="s">
        <v>38</v>
      </c>
      <c r="F768" s="2" t="s">
        <v>58</v>
      </c>
      <c r="G768" s="2">
        <v>44641.69</v>
      </c>
      <c r="H768" s="2">
        <v>28270.09</v>
      </c>
      <c r="I768" s="2" t="s">
        <v>53</v>
      </c>
      <c r="J768" s="2" t="s">
        <v>54</v>
      </c>
      <c r="K768" s="2" t="s">
        <v>42</v>
      </c>
      <c r="L768" s="2" t="s">
        <v>48</v>
      </c>
      <c r="M768" s="2">
        <v>5</v>
      </c>
      <c r="N768" s="2" t="s">
        <v>24</v>
      </c>
      <c r="O768" s="2" t="s">
        <v>25</v>
      </c>
      <c r="P768" s="2" t="s">
        <v>34</v>
      </c>
    </row>
    <row r="769" spans="1:16" x14ac:dyDescent="0.25">
      <c r="A769" s="2" t="s">
        <v>1959</v>
      </c>
      <c r="B769" s="2" t="s">
        <v>597</v>
      </c>
      <c r="C769" s="2">
        <v>9013</v>
      </c>
      <c r="D769" s="2" t="s">
        <v>7629</v>
      </c>
      <c r="E769" s="2" t="s">
        <v>38</v>
      </c>
      <c r="F769" s="2" t="s">
        <v>19</v>
      </c>
      <c r="G769" s="2">
        <v>15753.8</v>
      </c>
      <c r="H769" s="2">
        <v>9436.43</v>
      </c>
      <c r="I769" s="2" t="s">
        <v>53</v>
      </c>
      <c r="J769" s="2" t="s">
        <v>54</v>
      </c>
      <c r="K769" s="2" t="s">
        <v>32</v>
      </c>
      <c r="L769" s="2" t="s">
        <v>43</v>
      </c>
      <c r="M769" s="2">
        <v>2</v>
      </c>
      <c r="N769" s="2" t="s">
        <v>33</v>
      </c>
      <c r="O769" s="2" t="s">
        <v>25</v>
      </c>
      <c r="P769" s="2" t="s">
        <v>34</v>
      </c>
    </row>
    <row r="770" spans="1:16" x14ac:dyDescent="0.25">
      <c r="A770" s="2" t="s">
        <v>1961</v>
      </c>
      <c r="B770" s="2" t="s">
        <v>7630</v>
      </c>
      <c r="C770" s="2">
        <v>3327</v>
      </c>
      <c r="D770" s="2" t="s">
        <v>6911</v>
      </c>
      <c r="E770" s="2" t="s">
        <v>6748</v>
      </c>
      <c r="F770" s="2" t="s">
        <v>30</v>
      </c>
      <c r="G770" s="2">
        <v>63945.89</v>
      </c>
      <c r="H770" s="2">
        <v>29088.73</v>
      </c>
      <c r="I770" s="2" t="s">
        <v>6728</v>
      </c>
      <c r="J770" s="2" t="s">
        <v>6729</v>
      </c>
      <c r="K770" s="2" t="s">
        <v>32</v>
      </c>
      <c r="L770" s="2" t="s">
        <v>88</v>
      </c>
      <c r="M770" s="2">
        <v>4</v>
      </c>
      <c r="N770" s="2" t="s">
        <v>69</v>
      </c>
      <c r="O770" s="2" t="s">
        <v>70</v>
      </c>
      <c r="P770" s="2" t="s">
        <v>34</v>
      </c>
    </row>
    <row r="771" spans="1:16" x14ac:dyDescent="0.25">
      <c r="A771" s="2" t="s">
        <v>1963</v>
      </c>
      <c r="B771" s="2" t="s">
        <v>7631</v>
      </c>
      <c r="C771" s="2">
        <v>5438</v>
      </c>
      <c r="D771" s="2" t="s">
        <v>7632</v>
      </c>
      <c r="E771" s="2" t="s">
        <v>38</v>
      </c>
      <c r="F771" s="2" t="s">
        <v>58</v>
      </c>
      <c r="G771" s="2">
        <v>11487.74</v>
      </c>
      <c r="H771" s="2">
        <v>6312.11</v>
      </c>
      <c r="I771" s="2" t="s">
        <v>20</v>
      </c>
      <c r="J771" s="2" t="s">
        <v>21</v>
      </c>
      <c r="K771" s="2" t="s">
        <v>32</v>
      </c>
      <c r="L771" s="2" t="s">
        <v>88</v>
      </c>
      <c r="M771" s="2">
        <v>5</v>
      </c>
      <c r="N771" s="2" t="s">
        <v>33</v>
      </c>
      <c r="O771" s="2" t="s">
        <v>25</v>
      </c>
      <c r="P771" s="2" t="s">
        <v>49</v>
      </c>
    </row>
    <row r="772" spans="1:16" x14ac:dyDescent="0.25">
      <c r="A772" s="2" t="s">
        <v>1966</v>
      </c>
      <c r="B772" s="2" t="s">
        <v>1202</v>
      </c>
      <c r="C772" s="2">
        <v>2096</v>
      </c>
      <c r="D772" s="2" t="s">
        <v>7633</v>
      </c>
      <c r="E772" s="2" t="s">
        <v>6698</v>
      </c>
      <c r="F772" s="2" t="s">
        <v>30</v>
      </c>
      <c r="G772" s="2">
        <v>87684.87</v>
      </c>
      <c r="H772" s="2">
        <v>50117.47</v>
      </c>
      <c r="I772" s="2" t="s">
        <v>6808</v>
      </c>
      <c r="J772" s="2" t="s">
        <v>6700</v>
      </c>
      <c r="K772" s="2" t="s">
        <v>32</v>
      </c>
      <c r="L772" s="2" t="s">
        <v>23</v>
      </c>
      <c r="M772" s="2">
        <v>5</v>
      </c>
      <c r="N772" s="2" t="s">
        <v>69</v>
      </c>
      <c r="O772" s="2" t="s">
        <v>70</v>
      </c>
      <c r="P772" s="2" t="s">
        <v>34</v>
      </c>
    </row>
    <row r="773" spans="1:16" x14ac:dyDescent="0.25">
      <c r="A773" s="2" t="s">
        <v>1968</v>
      </c>
      <c r="B773" s="2" t="s">
        <v>7634</v>
      </c>
      <c r="C773" s="2">
        <v>9677</v>
      </c>
      <c r="D773" s="2" t="s">
        <v>7635</v>
      </c>
      <c r="E773" s="2" t="s">
        <v>6719</v>
      </c>
      <c r="F773" s="2" t="s">
        <v>30</v>
      </c>
      <c r="G773" s="2">
        <v>42435.11</v>
      </c>
      <c r="H773" s="2">
        <v>22264.47</v>
      </c>
      <c r="I773" s="2" t="s">
        <v>6695</v>
      </c>
      <c r="J773" s="2" t="s">
        <v>6795</v>
      </c>
      <c r="K773" s="2" t="s">
        <v>32</v>
      </c>
      <c r="L773" s="2" t="s">
        <v>88</v>
      </c>
      <c r="M773" s="2">
        <v>5</v>
      </c>
      <c r="N773" s="2" t="s">
        <v>69</v>
      </c>
      <c r="O773" s="2" t="s">
        <v>25</v>
      </c>
      <c r="P773" s="2" t="s">
        <v>34</v>
      </c>
    </row>
    <row r="774" spans="1:16" x14ac:dyDescent="0.25">
      <c r="A774" s="2" t="s">
        <v>1970</v>
      </c>
      <c r="B774" s="2" t="s">
        <v>829</v>
      </c>
      <c r="C774" s="2">
        <v>6582</v>
      </c>
      <c r="D774" s="2" t="s">
        <v>3758</v>
      </c>
      <c r="E774" s="2" t="s">
        <v>38</v>
      </c>
      <c r="F774" s="2" t="s">
        <v>19</v>
      </c>
      <c r="G774" s="2">
        <v>20438.669999999998</v>
      </c>
      <c r="H774" s="2">
        <v>12883.95</v>
      </c>
      <c r="I774" s="2" t="s">
        <v>53</v>
      </c>
      <c r="J774" s="2" t="s">
        <v>54</v>
      </c>
      <c r="K774" s="2" t="s">
        <v>42</v>
      </c>
      <c r="L774" s="2" t="s">
        <v>48</v>
      </c>
      <c r="M774" s="2">
        <v>5</v>
      </c>
      <c r="N774" s="2" t="s">
        <v>69</v>
      </c>
      <c r="O774" s="2" t="s">
        <v>25</v>
      </c>
      <c r="P774" s="2" t="s">
        <v>49</v>
      </c>
    </row>
    <row r="775" spans="1:16" x14ac:dyDescent="0.25">
      <c r="A775" s="2" t="s">
        <v>1972</v>
      </c>
      <c r="B775" s="2" t="s">
        <v>7636</v>
      </c>
      <c r="C775" s="2">
        <v>9371</v>
      </c>
      <c r="D775" s="2" t="s">
        <v>7637</v>
      </c>
      <c r="E775" s="2" t="s">
        <v>6703</v>
      </c>
      <c r="F775" s="2" t="s">
        <v>30</v>
      </c>
      <c r="G775" s="2">
        <v>34536.629999999997</v>
      </c>
      <c r="H775" s="2">
        <v>16566.22</v>
      </c>
      <c r="I775" s="2" t="s">
        <v>6704</v>
      </c>
      <c r="J775" s="2" t="s">
        <v>6713</v>
      </c>
      <c r="K775" s="2" t="s">
        <v>42</v>
      </c>
      <c r="L775" s="2" t="s">
        <v>55</v>
      </c>
      <c r="M775" s="2">
        <v>5</v>
      </c>
      <c r="N775" s="2" t="s">
        <v>24</v>
      </c>
      <c r="O775" s="2" t="s">
        <v>70</v>
      </c>
      <c r="P775" s="2" t="s">
        <v>49</v>
      </c>
    </row>
    <row r="776" spans="1:16" x14ac:dyDescent="0.25">
      <c r="A776" s="2" t="s">
        <v>1975</v>
      </c>
      <c r="B776" s="2" t="s">
        <v>7638</v>
      </c>
      <c r="C776" s="2">
        <v>6835</v>
      </c>
      <c r="D776" s="2" t="s">
        <v>7639</v>
      </c>
      <c r="E776" s="2" t="s">
        <v>38</v>
      </c>
      <c r="F776" s="2" t="s">
        <v>30</v>
      </c>
      <c r="G776" s="2">
        <v>54077.43</v>
      </c>
      <c r="H776" s="2">
        <v>32810.769999999997</v>
      </c>
      <c r="I776" s="2" t="s">
        <v>6720</v>
      </c>
      <c r="J776" s="2" t="s">
        <v>6686</v>
      </c>
      <c r="K776" s="2" t="s">
        <v>42</v>
      </c>
      <c r="L776" s="2" t="s">
        <v>64</v>
      </c>
      <c r="M776" s="2">
        <v>3</v>
      </c>
      <c r="N776" s="2" t="s">
        <v>24</v>
      </c>
      <c r="O776" s="2" t="s">
        <v>25</v>
      </c>
      <c r="P776" s="2" t="s">
        <v>49</v>
      </c>
    </row>
    <row r="777" spans="1:16" x14ac:dyDescent="0.25">
      <c r="A777" s="2" t="s">
        <v>1977</v>
      </c>
      <c r="B777" s="2" t="s">
        <v>1207</v>
      </c>
      <c r="C777" s="2">
        <v>7930</v>
      </c>
      <c r="D777" s="2" t="s">
        <v>7640</v>
      </c>
      <c r="E777" s="2" t="s">
        <v>32</v>
      </c>
      <c r="F777" s="2" t="s">
        <v>30</v>
      </c>
      <c r="G777" s="2">
        <v>46598.35</v>
      </c>
      <c r="H777" s="2">
        <v>22872.71</v>
      </c>
      <c r="I777" s="2" t="s">
        <v>6690</v>
      </c>
      <c r="J777" s="2" t="s">
        <v>6691</v>
      </c>
      <c r="K777" s="2" t="s">
        <v>42</v>
      </c>
      <c r="L777" s="2" t="s">
        <v>55</v>
      </c>
      <c r="M777" s="2">
        <v>1</v>
      </c>
      <c r="N777" s="2" t="s">
        <v>24</v>
      </c>
      <c r="O777" s="2" t="s">
        <v>70</v>
      </c>
      <c r="P777" s="2" t="s">
        <v>26</v>
      </c>
    </row>
    <row r="778" spans="1:16" x14ac:dyDescent="0.25">
      <c r="A778" s="2" t="s">
        <v>1980</v>
      </c>
      <c r="B778" s="2" t="s">
        <v>1739</v>
      </c>
      <c r="C778" s="2">
        <v>5521</v>
      </c>
      <c r="D778" s="2" t="s">
        <v>7641</v>
      </c>
      <c r="E778" s="2" t="s">
        <v>18</v>
      </c>
      <c r="F778" s="2" t="s">
        <v>19</v>
      </c>
      <c r="G778" s="2">
        <v>14016.13</v>
      </c>
      <c r="H778" s="2">
        <v>7578.05</v>
      </c>
      <c r="I778" s="2" t="s">
        <v>53</v>
      </c>
      <c r="J778" s="2" t="s">
        <v>54</v>
      </c>
      <c r="K778" s="2" t="s">
        <v>32</v>
      </c>
      <c r="L778" s="2" t="s">
        <v>43</v>
      </c>
      <c r="M778" s="2">
        <v>2</v>
      </c>
      <c r="N778" s="2" t="s">
        <v>33</v>
      </c>
      <c r="O778" s="2" t="s">
        <v>25</v>
      </c>
      <c r="P778" s="2" t="s">
        <v>26</v>
      </c>
    </row>
    <row r="779" spans="1:16" x14ac:dyDescent="0.25">
      <c r="A779" s="2" t="s">
        <v>1983</v>
      </c>
      <c r="B779" s="2" t="s">
        <v>7642</v>
      </c>
      <c r="C779" s="2">
        <v>1417</v>
      </c>
      <c r="D779" s="2" t="s">
        <v>6664</v>
      </c>
      <c r="E779" s="2" t="s">
        <v>6748</v>
      </c>
      <c r="F779" s="2" t="s">
        <v>58</v>
      </c>
      <c r="G779" s="2">
        <v>39892.68</v>
      </c>
      <c r="H779" s="2">
        <v>21107.52</v>
      </c>
      <c r="I779" s="2" t="s">
        <v>6726</v>
      </c>
      <c r="J779" s="2" t="s">
        <v>6724</v>
      </c>
      <c r="K779" s="2" t="s">
        <v>42</v>
      </c>
      <c r="L779" s="2" t="s">
        <v>43</v>
      </c>
      <c r="M779" s="2">
        <v>1</v>
      </c>
      <c r="N779" s="2" t="s">
        <v>24</v>
      </c>
      <c r="O779" s="2" t="s">
        <v>25</v>
      </c>
      <c r="P779" s="2" t="s">
        <v>49</v>
      </c>
    </row>
    <row r="780" spans="1:16" x14ac:dyDescent="0.25">
      <c r="A780" s="2" t="s">
        <v>1985</v>
      </c>
      <c r="B780" s="2" t="s">
        <v>3620</v>
      </c>
      <c r="C780" s="2">
        <v>2505</v>
      </c>
      <c r="D780" s="2" t="s">
        <v>7643</v>
      </c>
      <c r="E780" s="2" t="s">
        <v>6708</v>
      </c>
      <c r="F780" s="2" t="s">
        <v>58</v>
      </c>
      <c r="G780" s="2">
        <v>44855.34</v>
      </c>
      <c r="H780" s="2">
        <v>23218.54</v>
      </c>
      <c r="I780" s="2" t="s">
        <v>6808</v>
      </c>
      <c r="J780" s="2" t="s">
        <v>6691</v>
      </c>
      <c r="K780" s="2" t="s">
        <v>80</v>
      </c>
      <c r="L780" s="2" t="s">
        <v>88</v>
      </c>
      <c r="M780" s="2">
        <v>1</v>
      </c>
      <c r="N780" s="2" t="s">
        <v>24</v>
      </c>
      <c r="O780" s="2" t="s">
        <v>25</v>
      </c>
      <c r="P780" s="2" t="s">
        <v>49</v>
      </c>
    </row>
    <row r="781" spans="1:16" x14ac:dyDescent="0.25">
      <c r="A781" s="2" t="s">
        <v>1987</v>
      </c>
      <c r="B781" s="2" t="s">
        <v>2066</v>
      </c>
      <c r="C781" s="2">
        <v>4920</v>
      </c>
      <c r="D781" s="2" t="s">
        <v>7644</v>
      </c>
      <c r="E781" s="2" t="s">
        <v>18</v>
      </c>
      <c r="F781" s="2" t="s">
        <v>30</v>
      </c>
      <c r="G781" s="2">
        <v>37655.449999999997</v>
      </c>
      <c r="H781" s="2">
        <v>21144.93</v>
      </c>
      <c r="I781" s="2" t="s">
        <v>68</v>
      </c>
      <c r="J781" s="2" t="s">
        <v>41</v>
      </c>
      <c r="K781" s="2" t="s">
        <v>22</v>
      </c>
      <c r="L781" s="2" t="s">
        <v>48</v>
      </c>
      <c r="M781" s="2">
        <v>2</v>
      </c>
      <c r="N781" s="2" t="s">
        <v>24</v>
      </c>
      <c r="O781" s="2" t="s">
        <v>25</v>
      </c>
      <c r="P781" s="2" t="s">
        <v>26</v>
      </c>
    </row>
    <row r="782" spans="1:16" x14ac:dyDescent="0.25">
      <c r="A782" s="2" t="s">
        <v>1990</v>
      </c>
      <c r="B782" s="2" t="s">
        <v>7645</v>
      </c>
      <c r="C782" s="2">
        <v>7484</v>
      </c>
      <c r="D782" s="2" t="s">
        <v>7646</v>
      </c>
      <c r="E782" s="2" t="s">
        <v>32</v>
      </c>
      <c r="F782" s="2" t="s">
        <v>30</v>
      </c>
      <c r="G782" s="2" t="s">
        <v>7647</v>
      </c>
      <c r="H782" s="2">
        <v>18760.830000000002</v>
      </c>
      <c r="I782" s="2" t="s">
        <v>68</v>
      </c>
      <c r="J782" s="2" t="s">
        <v>6793</v>
      </c>
      <c r="K782" s="2" t="s">
        <v>22</v>
      </c>
      <c r="L782" s="2" t="s">
        <v>48</v>
      </c>
      <c r="M782" s="2">
        <v>4</v>
      </c>
      <c r="N782" s="2" t="s">
        <v>24</v>
      </c>
      <c r="O782" s="2" t="s">
        <v>25</v>
      </c>
      <c r="P782" s="2" t="s">
        <v>49</v>
      </c>
    </row>
    <row r="783" spans="1:16" x14ac:dyDescent="0.25">
      <c r="A783" s="2" t="s">
        <v>1992</v>
      </c>
      <c r="B783" s="2" t="s">
        <v>1672</v>
      </c>
      <c r="C783" s="2">
        <v>9785</v>
      </c>
      <c r="D783" s="2" t="s">
        <v>7648</v>
      </c>
      <c r="E783" s="2" t="s">
        <v>18</v>
      </c>
      <c r="F783" s="2" t="s">
        <v>47</v>
      </c>
      <c r="G783" s="2">
        <v>8886.76</v>
      </c>
      <c r="H783" s="2">
        <v>5321.84</v>
      </c>
      <c r="I783" s="2" t="s">
        <v>40</v>
      </c>
      <c r="J783" s="2" t="s">
        <v>41</v>
      </c>
      <c r="K783" s="2" t="s">
        <v>42</v>
      </c>
      <c r="L783" s="2" t="s">
        <v>88</v>
      </c>
      <c r="M783" s="2">
        <v>5</v>
      </c>
      <c r="N783" s="2" t="s">
        <v>33</v>
      </c>
      <c r="O783" s="2" t="s">
        <v>25</v>
      </c>
      <c r="P783" s="2" t="s">
        <v>26</v>
      </c>
    </row>
    <row r="784" spans="1:16" x14ac:dyDescent="0.25">
      <c r="A784" s="2" t="s">
        <v>1994</v>
      </c>
      <c r="B784" s="2" t="s">
        <v>3474</v>
      </c>
      <c r="C784" s="2">
        <v>5675</v>
      </c>
      <c r="D784" s="2" t="s">
        <v>5157</v>
      </c>
      <c r="E784" s="2" t="s">
        <v>38</v>
      </c>
      <c r="F784" s="2" t="s">
        <v>39</v>
      </c>
      <c r="G784" s="2">
        <v>9541.17</v>
      </c>
      <c r="H784" s="2">
        <v>5444.89</v>
      </c>
      <c r="I784" s="2" t="s">
        <v>63</v>
      </c>
      <c r="J784" s="2" t="s">
        <v>54</v>
      </c>
      <c r="K784" s="2" t="s">
        <v>80</v>
      </c>
      <c r="L784" s="2" t="s">
        <v>23</v>
      </c>
      <c r="M784" s="2">
        <v>2</v>
      </c>
      <c r="N784" s="2" t="s">
        <v>33</v>
      </c>
      <c r="O784" s="2" t="s">
        <v>25</v>
      </c>
      <c r="P784" s="2" t="s">
        <v>26</v>
      </c>
    </row>
    <row r="785" spans="1:16" x14ac:dyDescent="0.25">
      <c r="A785" s="2" t="s">
        <v>1996</v>
      </c>
      <c r="B785" s="2" t="s">
        <v>5605</v>
      </c>
      <c r="C785" s="2">
        <v>4511</v>
      </c>
      <c r="D785" s="2" t="s">
        <v>7649</v>
      </c>
      <c r="E785" s="2" t="s">
        <v>6719</v>
      </c>
      <c r="F785" s="2" t="s">
        <v>19</v>
      </c>
      <c r="G785" s="2">
        <v>8187.76</v>
      </c>
      <c r="H785" s="2">
        <v>3773.52</v>
      </c>
      <c r="I785" s="2" t="s">
        <v>6749</v>
      </c>
      <c r="J785" s="2" t="s">
        <v>6713</v>
      </c>
      <c r="K785" s="2" t="s">
        <v>32</v>
      </c>
      <c r="L785" s="2" t="s">
        <v>43</v>
      </c>
      <c r="M785" s="2">
        <v>3</v>
      </c>
      <c r="N785" s="2" t="s">
        <v>33</v>
      </c>
      <c r="O785" s="2" t="s">
        <v>25</v>
      </c>
      <c r="P785" s="2" t="s">
        <v>26</v>
      </c>
    </row>
    <row r="786" spans="1:16" x14ac:dyDescent="0.25">
      <c r="A786" s="2" t="s">
        <v>1998</v>
      </c>
      <c r="B786" s="2" t="s">
        <v>1326</v>
      </c>
      <c r="C786" s="2">
        <v>8867</v>
      </c>
      <c r="D786" s="2" t="s">
        <v>3719</v>
      </c>
      <c r="E786" s="2" t="s">
        <v>38</v>
      </c>
      <c r="F786" s="2" t="s">
        <v>30</v>
      </c>
      <c r="G786" s="2">
        <v>84042.28</v>
      </c>
      <c r="H786" s="2">
        <v>49030.67</v>
      </c>
      <c r="I786" s="2" t="s">
        <v>53</v>
      </c>
      <c r="J786" s="2" t="s">
        <v>54</v>
      </c>
      <c r="K786" s="2" t="s">
        <v>32</v>
      </c>
      <c r="L786" s="2" t="s">
        <v>55</v>
      </c>
      <c r="M786" s="2">
        <v>5</v>
      </c>
      <c r="N786" s="2" t="s">
        <v>33</v>
      </c>
      <c r="O786" s="2" t="s">
        <v>25</v>
      </c>
      <c r="P786" s="2" t="s">
        <v>26</v>
      </c>
    </row>
    <row r="787" spans="1:16" x14ac:dyDescent="0.25">
      <c r="A787" s="2" t="s">
        <v>2000</v>
      </c>
      <c r="B787" s="2" t="s">
        <v>6905</v>
      </c>
      <c r="C787" s="2">
        <v>3613</v>
      </c>
      <c r="D787" s="2" t="s">
        <v>7650</v>
      </c>
      <c r="E787" s="2" t="s">
        <v>6743</v>
      </c>
      <c r="F787" s="2" t="s">
        <v>47</v>
      </c>
      <c r="G787" s="2">
        <v>2376.92</v>
      </c>
      <c r="H787" s="2">
        <v>1171.97</v>
      </c>
      <c r="I787" s="2" t="s">
        <v>59</v>
      </c>
      <c r="J787" s="2" t="s">
        <v>6682</v>
      </c>
      <c r="K787" s="2" t="s">
        <v>32</v>
      </c>
      <c r="L787" s="2" t="s">
        <v>64</v>
      </c>
      <c r="M787" s="2">
        <v>3</v>
      </c>
      <c r="N787" s="2" t="s">
        <v>33</v>
      </c>
      <c r="O787" s="2" t="s">
        <v>25</v>
      </c>
      <c r="P787" s="2" t="s">
        <v>26</v>
      </c>
    </row>
    <row r="788" spans="1:16" x14ac:dyDescent="0.25">
      <c r="A788" s="2" t="s">
        <v>2002</v>
      </c>
      <c r="B788" s="2" t="s">
        <v>1691</v>
      </c>
      <c r="C788" s="2">
        <v>8807</v>
      </c>
      <c r="D788" s="2" t="s">
        <v>7651</v>
      </c>
      <c r="E788" s="2" t="s">
        <v>18</v>
      </c>
      <c r="F788" s="2" t="s">
        <v>58</v>
      </c>
      <c r="G788" s="2">
        <v>9810.34</v>
      </c>
      <c r="H788" s="2">
        <v>4583.58</v>
      </c>
      <c r="I788" s="2" t="s">
        <v>20</v>
      </c>
      <c r="J788" s="2" t="s">
        <v>21</v>
      </c>
      <c r="K788" s="2" t="s">
        <v>32</v>
      </c>
      <c r="L788" s="2" t="s">
        <v>64</v>
      </c>
      <c r="M788" s="2">
        <v>5</v>
      </c>
      <c r="N788" s="2" t="s">
        <v>24</v>
      </c>
      <c r="O788" s="2" t="s">
        <v>25</v>
      </c>
      <c r="P788" s="2" t="s">
        <v>26</v>
      </c>
    </row>
    <row r="789" spans="1:16" x14ac:dyDescent="0.25">
      <c r="A789" s="2" t="s">
        <v>2004</v>
      </c>
      <c r="B789" s="2" t="s">
        <v>2365</v>
      </c>
      <c r="C789" s="2">
        <v>7183</v>
      </c>
      <c r="D789" s="2" t="s">
        <v>2366</v>
      </c>
      <c r="E789" s="2" t="s">
        <v>18</v>
      </c>
      <c r="F789" s="2" t="s">
        <v>19</v>
      </c>
      <c r="G789" s="2">
        <v>3433.01</v>
      </c>
      <c r="H789" s="2">
        <v>1841.8</v>
      </c>
      <c r="I789" s="2" t="s">
        <v>31</v>
      </c>
      <c r="J789" s="2" t="s">
        <v>21</v>
      </c>
      <c r="K789" s="2" t="s">
        <v>80</v>
      </c>
      <c r="L789" s="2" t="s">
        <v>64</v>
      </c>
      <c r="M789" s="2">
        <v>2</v>
      </c>
      <c r="N789" s="2" t="s">
        <v>69</v>
      </c>
      <c r="O789" s="2" t="s">
        <v>25</v>
      </c>
      <c r="P789" s="2" t="s">
        <v>26</v>
      </c>
    </row>
    <row r="790" spans="1:16" x14ac:dyDescent="0.25">
      <c r="A790" s="2" t="s">
        <v>2007</v>
      </c>
      <c r="B790" s="2" t="s">
        <v>1617</v>
      </c>
      <c r="C790" s="2">
        <v>1399</v>
      </c>
      <c r="D790" s="2" t="s">
        <v>2368</v>
      </c>
      <c r="E790" s="2" t="s">
        <v>38</v>
      </c>
      <c r="F790" s="2" t="s">
        <v>19</v>
      </c>
      <c r="G790" s="2">
        <v>16374.61</v>
      </c>
      <c r="H790" s="2">
        <v>7984.49</v>
      </c>
      <c r="I790" s="2" t="s">
        <v>59</v>
      </c>
      <c r="J790" s="2" t="s">
        <v>41</v>
      </c>
      <c r="K790" s="2" t="s">
        <v>80</v>
      </c>
      <c r="L790" s="2" t="s">
        <v>55</v>
      </c>
      <c r="M790" s="2">
        <v>1</v>
      </c>
      <c r="N790" s="2" t="s">
        <v>69</v>
      </c>
      <c r="O790" s="2" t="s">
        <v>70</v>
      </c>
      <c r="P790" s="2" t="s">
        <v>34</v>
      </c>
    </row>
    <row r="791" spans="1:16" x14ac:dyDescent="0.25">
      <c r="A791" s="2" t="s">
        <v>2009</v>
      </c>
      <c r="B791" s="2" t="s">
        <v>7652</v>
      </c>
      <c r="C791" s="2">
        <v>2448</v>
      </c>
      <c r="D791" s="2" t="s">
        <v>5076</v>
      </c>
      <c r="E791" s="2" t="s">
        <v>38</v>
      </c>
      <c r="F791" s="2" t="s">
        <v>19</v>
      </c>
      <c r="G791" s="2">
        <v>12644.67</v>
      </c>
      <c r="H791" s="2">
        <v>6884.96</v>
      </c>
      <c r="I791" s="2" t="s">
        <v>20</v>
      </c>
      <c r="J791" s="2" t="s">
        <v>21</v>
      </c>
      <c r="K791" s="2" t="s">
        <v>32</v>
      </c>
      <c r="L791" s="2" t="s">
        <v>88</v>
      </c>
      <c r="M791" s="2">
        <v>3</v>
      </c>
      <c r="N791" s="2" t="s">
        <v>24</v>
      </c>
      <c r="O791" s="2" t="s">
        <v>25</v>
      </c>
      <c r="P791" s="2" t="s">
        <v>34</v>
      </c>
    </row>
    <row r="792" spans="1:16" x14ac:dyDescent="0.25">
      <c r="A792" s="2" t="s">
        <v>2011</v>
      </c>
      <c r="B792" s="2" t="s">
        <v>861</v>
      </c>
      <c r="C792" s="2">
        <v>3418</v>
      </c>
      <c r="D792" s="2" t="s">
        <v>7653</v>
      </c>
      <c r="E792" s="2" t="s">
        <v>38</v>
      </c>
      <c r="F792" s="2" t="s">
        <v>30</v>
      </c>
      <c r="G792" s="2">
        <v>73592.259999999995</v>
      </c>
      <c r="H792" s="2">
        <v>39119.08</v>
      </c>
      <c r="I792" s="2" t="s">
        <v>63</v>
      </c>
      <c r="J792" s="2" t="s">
        <v>54</v>
      </c>
      <c r="K792" s="2" t="s">
        <v>80</v>
      </c>
      <c r="L792" s="2" t="s">
        <v>55</v>
      </c>
      <c r="M792" s="2">
        <v>5</v>
      </c>
      <c r="N792" s="2" t="s">
        <v>33</v>
      </c>
      <c r="O792" s="2" t="s">
        <v>25</v>
      </c>
      <c r="P792" s="2" t="s">
        <v>34</v>
      </c>
    </row>
    <row r="793" spans="1:16" x14ac:dyDescent="0.25">
      <c r="A793" s="2" t="s">
        <v>2014</v>
      </c>
      <c r="B793" s="2" t="s">
        <v>7654</v>
      </c>
      <c r="C793" s="2">
        <v>9296</v>
      </c>
      <c r="D793" s="2" t="s">
        <v>7655</v>
      </c>
      <c r="E793" s="2" t="s">
        <v>18</v>
      </c>
      <c r="F793" s="2" t="s">
        <v>47</v>
      </c>
      <c r="G793" s="2">
        <v>8487.17</v>
      </c>
      <c r="H793" s="2">
        <v>4736.2</v>
      </c>
      <c r="I793" s="2" t="s">
        <v>31</v>
      </c>
      <c r="J793" s="2" t="s">
        <v>6789</v>
      </c>
      <c r="K793" s="2" t="s">
        <v>32</v>
      </c>
      <c r="L793" s="2" t="s">
        <v>43</v>
      </c>
      <c r="M793" s="2">
        <v>2</v>
      </c>
      <c r="N793" s="2" t="s">
        <v>69</v>
      </c>
      <c r="O793" s="2" t="s">
        <v>70</v>
      </c>
      <c r="P793" s="2" t="s">
        <v>49</v>
      </c>
    </row>
    <row r="794" spans="1:16" x14ac:dyDescent="0.25">
      <c r="A794" s="2" t="s">
        <v>2016</v>
      </c>
      <c r="B794" s="2" t="s">
        <v>1355</v>
      </c>
      <c r="C794" s="2">
        <v>6486</v>
      </c>
      <c r="D794" s="2" t="s">
        <v>7656</v>
      </c>
      <c r="E794" s="2" t="s">
        <v>38</v>
      </c>
      <c r="F794" s="2" t="s">
        <v>39</v>
      </c>
      <c r="G794" s="2">
        <v>14984.6</v>
      </c>
      <c r="H794" s="2">
        <v>8936.3799999999992</v>
      </c>
      <c r="I794" s="2" t="s">
        <v>63</v>
      </c>
      <c r="J794" s="2" t="s">
        <v>54</v>
      </c>
      <c r="K794" s="2" t="s">
        <v>42</v>
      </c>
      <c r="L794" s="2" t="s">
        <v>43</v>
      </c>
      <c r="M794" s="2">
        <v>4</v>
      </c>
      <c r="N794" s="2" t="s">
        <v>24</v>
      </c>
      <c r="O794" s="2" t="s">
        <v>70</v>
      </c>
      <c r="P794" s="2" t="s">
        <v>26</v>
      </c>
    </row>
    <row r="795" spans="1:16" x14ac:dyDescent="0.25">
      <c r="A795" s="2" t="s">
        <v>2019</v>
      </c>
      <c r="B795" s="2" t="s">
        <v>4630</v>
      </c>
      <c r="C795" s="2">
        <v>8432</v>
      </c>
      <c r="D795" s="2" t="s">
        <v>7657</v>
      </c>
      <c r="E795" s="2" t="s">
        <v>18</v>
      </c>
      <c r="F795" s="2" t="s">
        <v>19</v>
      </c>
      <c r="G795" s="2">
        <v>13258.35</v>
      </c>
      <c r="H795" s="2">
        <v>8340.1200000000008</v>
      </c>
      <c r="I795" s="2" t="s">
        <v>6695</v>
      </c>
      <c r="J795" s="2" t="s">
        <v>6802</v>
      </c>
      <c r="K795" s="2" t="s">
        <v>32</v>
      </c>
      <c r="L795" s="2" t="s">
        <v>48</v>
      </c>
      <c r="M795" s="2">
        <v>1</v>
      </c>
      <c r="N795" s="2" t="s">
        <v>69</v>
      </c>
      <c r="O795" s="2" t="s">
        <v>70</v>
      </c>
      <c r="P795" s="2" t="s">
        <v>26</v>
      </c>
    </row>
    <row r="796" spans="1:16" x14ac:dyDescent="0.25">
      <c r="A796" s="2" t="s">
        <v>2021</v>
      </c>
      <c r="B796" s="2" t="s">
        <v>7658</v>
      </c>
      <c r="C796" s="2">
        <v>1385</v>
      </c>
      <c r="D796" s="2" t="s">
        <v>7479</v>
      </c>
      <c r="E796" s="2" t="s">
        <v>6743</v>
      </c>
      <c r="F796" s="2" t="s">
        <v>47</v>
      </c>
      <c r="G796" s="2">
        <v>3322.03</v>
      </c>
      <c r="H796" s="2">
        <v>1575.36</v>
      </c>
      <c r="I796" s="2" t="s">
        <v>6794</v>
      </c>
      <c r="J796" s="2" t="s">
        <v>21</v>
      </c>
      <c r="K796" s="2" t="s">
        <v>32</v>
      </c>
      <c r="L796" s="2" t="s">
        <v>48</v>
      </c>
      <c r="M796" s="2">
        <v>1</v>
      </c>
      <c r="N796" s="2" t="s">
        <v>33</v>
      </c>
      <c r="O796" s="2" t="s">
        <v>25</v>
      </c>
      <c r="P796" s="2" t="s">
        <v>26</v>
      </c>
    </row>
    <row r="797" spans="1:16" x14ac:dyDescent="0.25">
      <c r="A797" s="2" t="s">
        <v>2023</v>
      </c>
      <c r="B797" s="2" t="s">
        <v>5697</v>
      </c>
      <c r="C797" s="2">
        <v>8838</v>
      </c>
      <c r="D797" s="2" t="s">
        <v>7659</v>
      </c>
      <c r="E797" s="2" t="s">
        <v>18</v>
      </c>
      <c r="F797" s="2" t="s">
        <v>39</v>
      </c>
      <c r="G797" s="2">
        <v>29410.87</v>
      </c>
      <c r="H797" s="2">
        <v>18981.849999999999</v>
      </c>
      <c r="I797" s="2" t="s">
        <v>120</v>
      </c>
      <c r="J797" s="2" t="s">
        <v>21</v>
      </c>
      <c r="K797" s="2" t="s">
        <v>80</v>
      </c>
      <c r="L797" s="2" t="s">
        <v>88</v>
      </c>
      <c r="M797" s="2">
        <v>3</v>
      </c>
      <c r="N797" s="2" t="s">
        <v>33</v>
      </c>
      <c r="O797" s="2" t="s">
        <v>70</v>
      </c>
      <c r="P797" s="2" t="s">
        <v>34</v>
      </c>
    </row>
    <row r="798" spans="1:16" x14ac:dyDescent="0.25">
      <c r="A798" s="2" t="s">
        <v>2026</v>
      </c>
      <c r="B798" s="2" t="s">
        <v>1790</v>
      </c>
      <c r="C798" s="2">
        <v>9033</v>
      </c>
      <c r="D798" s="2" t="s">
        <v>7660</v>
      </c>
      <c r="E798" s="2" t="s">
        <v>18</v>
      </c>
      <c r="F798" s="2" t="s">
        <v>19</v>
      </c>
      <c r="G798" s="2">
        <v>10360.950000000001</v>
      </c>
      <c r="H798" s="2">
        <v>6657.47</v>
      </c>
      <c r="I798" s="2" t="s">
        <v>120</v>
      </c>
      <c r="J798" s="2" t="s">
        <v>21</v>
      </c>
      <c r="K798" s="2" t="s">
        <v>22</v>
      </c>
      <c r="L798" s="2" t="s">
        <v>64</v>
      </c>
      <c r="M798" s="2">
        <v>3</v>
      </c>
      <c r="N798" s="2" t="s">
        <v>24</v>
      </c>
      <c r="O798" s="2" t="s">
        <v>25</v>
      </c>
      <c r="P798" s="2" t="s">
        <v>49</v>
      </c>
    </row>
    <row r="799" spans="1:16" x14ac:dyDescent="0.25">
      <c r="A799" s="2" t="s">
        <v>2029</v>
      </c>
      <c r="B799" s="2" t="s">
        <v>1051</v>
      </c>
      <c r="C799" s="2">
        <v>8688</v>
      </c>
      <c r="D799" s="2" t="s">
        <v>4335</v>
      </c>
      <c r="E799" s="2" t="s">
        <v>18</v>
      </c>
      <c r="F799" s="2" t="s">
        <v>30</v>
      </c>
      <c r="G799" s="2">
        <v>44462.12</v>
      </c>
      <c r="H799" s="2">
        <v>24922.14</v>
      </c>
      <c r="I799" s="2" t="s">
        <v>20</v>
      </c>
      <c r="J799" s="2" t="s">
        <v>21</v>
      </c>
      <c r="K799" s="2" t="s">
        <v>80</v>
      </c>
      <c r="L799" s="2" t="s">
        <v>23</v>
      </c>
      <c r="M799" s="2">
        <v>5</v>
      </c>
      <c r="N799" s="2" t="s">
        <v>33</v>
      </c>
      <c r="O799" s="2" t="s">
        <v>25</v>
      </c>
      <c r="P799" s="2" t="s">
        <v>26</v>
      </c>
    </row>
    <row r="800" spans="1:16" x14ac:dyDescent="0.25">
      <c r="A800" s="2" t="s">
        <v>2032</v>
      </c>
      <c r="B800" s="2" t="s">
        <v>1620</v>
      </c>
      <c r="C800" s="2">
        <v>8588</v>
      </c>
      <c r="D800" s="2" t="s">
        <v>705</v>
      </c>
      <c r="E800" s="2" t="s">
        <v>38</v>
      </c>
      <c r="F800" s="2" t="s">
        <v>47</v>
      </c>
      <c r="G800" s="2">
        <v>11214.14</v>
      </c>
      <c r="H800" s="2">
        <v>5916.98</v>
      </c>
      <c r="I800" s="2" t="s">
        <v>20</v>
      </c>
      <c r="J800" s="2" t="s">
        <v>21</v>
      </c>
      <c r="K800" s="2" t="s">
        <v>22</v>
      </c>
      <c r="L800" s="2" t="s">
        <v>88</v>
      </c>
      <c r="M800" s="2">
        <v>5</v>
      </c>
      <c r="N800" s="2" t="s">
        <v>33</v>
      </c>
      <c r="O800" s="2" t="s">
        <v>25</v>
      </c>
      <c r="P800" s="2" t="s">
        <v>26</v>
      </c>
    </row>
    <row r="801" spans="1:16" x14ac:dyDescent="0.25">
      <c r="A801" s="2" t="s">
        <v>2035</v>
      </c>
      <c r="B801" s="2" t="s">
        <v>7661</v>
      </c>
      <c r="C801" s="2">
        <v>3536</v>
      </c>
      <c r="D801" s="2" t="s">
        <v>7662</v>
      </c>
      <c r="E801" s="2" t="s">
        <v>32</v>
      </c>
      <c r="F801" s="2" t="s">
        <v>58</v>
      </c>
      <c r="G801" s="2">
        <v>21207.22</v>
      </c>
      <c r="H801" s="2">
        <v>11605.64</v>
      </c>
      <c r="I801" s="2" t="s">
        <v>6808</v>
      </c>
      <c r="J801" s="2" t="s">
        <v>6686</v>
      </c>
      <c r="K801" s="2" t="s">
        <v>22</v>
      </c>
      <c r="L801" s="2" t="s">
        <v>64</v>
      </c>
      <c r="M801" s="2">
        <v>2</v>
      </c>
      <c r="N801" s="2" t="s">
        <v>24</v>
      </c>
      <c r="O801" s="2" t="s">
        <v>25</v>
      </c>
      <c r="P801" s="2" t="s">
        <v>26</v>
      </c>
    </row>
    <row r="802" spans="1:16" x14ac:dyDescent="0.25">
      <c r="A802" s="2" t="s">
        <v>2038</v>
      </c>
      <c r="B802" s="2" t="s">
        <v>7663</v>
      </c>
      <c r="C802" s="2">
        <v>3162</v>
      </c>
      <c r="D802" s="2" t="s">
        <v>7664</v>
      </c>
      <c r="E802" s="2" t="s">
        <v>6743</v>
      </c>
      <c r="F802" s="2" t="s">
        <v>47</v>
      </c>
      <c r="G802" s="2">
        <v>8135.74</v>
      </c>
      <c r="H802" s="2">
        <v>4257.72</v>
      </c>
      <c r="I802" s="2" t="s">
        <v>6752</v>
      </c>
      <c r="J802" s="2" t="s">
        <v>6691</v>
      </c>
      <c r="K802" s="2" t="s">
        <v>80</v>
      </c>
      <c r="L802" s="2" t="s">
        <v>55</v>
      </c>
      <c r="M802" s="2">
        <v>5</v>
      </c>
      <c r="N802" s="2" t="s">
        <v>69</v>
      </c>
      <c r="O802" s="2" t="s">
        <v>25</v>
      </c>
      <c r="P802" s="2" t="s">
        <v>49</v>
      </c>
    </row>
    <row r="803" spans="1:16" x14ac:dyDescent="0.25">
      <c r="A803" s="2" t="s">
        <v>2041</v>
      </c>
      <c r="B803" s="2" t="s">
        <v>7665</v>
      </c>
      <c r="C803" s="2">
        <v>8776</v>
      </c>
      <c r="D803" s="2" t="s">
        <v>7666</v>
      </c>
      <c r="E803" s="2" t="s">
        <v>6698</v>
      </c>
      <c r="F803" s="2" t="s">
        <v>58</v>
      </c>
      <c r="G803" s="2">
        <v>26763.200000000001</v>
      </c>
      <c r="H803" s="2">
        <v>13345.37</v>
      </c>
      <c r="I803" s="2" t="s">
        <v>6910</v>
      </c>
      <c r="J803" s="2" t="s">
        <v>6696</v>
      </c>
      <c r="K803" s="2" t="s">
        <v>32</v>
      </c>
      <c r="L803" s="2" t="s">
        <v>55</v>
      </c>
      <c r="M803" s="2">
        <v>1</v>
      </c>
      <c r="N803" s="2" t="s">
        <v>33</v>
      </c>
      <c r="O803" s="2" t="s">
        <v>25</v>
      </c>
      <c r="P803" s="2" t="s">
        <v>49</v>
      </c>
    </row>
    <row r="804" spans="1:16" x14ac:dyDescent="0.25">
      <c r="A804" s="2" t="s">
        <v>2043</v>
      </c>
      <c r="B804" s="2" t="s">
        <v>3786</v>
      </c>
      <c r="C804" s="2">
        <v>4805</v>
      </c>
      <c r="D804" s="2" t="s">
        <v>7667</v>
      </c>
      <c r="E804" s="2" t="s">
        <v>18</v>
      </c>
      <c r="F804" s="2" t="s">
        <v>58</v>
      </c>
      <c r="G804" s="2">
        <v>13453.33</v>
      </c>
      <c r="H804" s="2">
        <v>6412.44</v>
      </c>
      <c r="I804" s="2" t="s">
        <v>31</v>
      </c>
      <c r="J804" s="2" t="s">
        <v>21</v>
      </c>
      <c r="K804" s="2" t="s">
        <v>80</v>
      </c>
      <c r="L804" s="2" t="s">
        <v>55</v>
      </c>
      <c r="M804" s="2">
        <v>3</v>
      </c>
      <c r="N804" s="2" t="s">
        <v>33</v>
      </c>
      <c r="O804" s="2" t="s">
        <v>70</v>
      </c>
      <c r="P804" s="2" t="s">
        <v>26</v>
      </c>
    </row>
    <row r="805" spans="1:16" x14ac:dyDescent="0.25">
      <c r="A805" s="2" t="s">
        <v>2045</v>
      </c>
      <c r="B805" s="2" t="s">
        <v>2685</v>
      </c>
      <c r="C805" s="2">
        <v>4992</v>
      </c>
      <c r="D805" s="2" t="s">
        <v>3962</v>
      </c>
      <c r="E805" s="2" t="s">
        <v>38</v>
      </c>
      <c r="F805" s="2" t="s">
        <v>58</v>
      </c>
      <c r="G805" s="2">
        <v>56468</v>
      </c>
      <c r="H805" s="2">
        <v>27541.33</v>
      </c>
      <c r="I805" s="2" t="s">
        <v>84</v>
      </c>
      <c r="J805" s="2" t="s">
        <v>54</v>
      </c>
      <c r="K805" s="2" t="s">
        <v>80</v>
      </c>
      <c r="L805" s="2" t="s">
        <v>64</v>
      </c>
      <c r="M805" s="2">
        <v>4</v>
      </c>
      <c r="N805" s="2" t="s">
        <v>33</v>
      </c>
      <c r="O805" s="2" t="s">
        <v>25</v>
      </c>
      <c r="P805" s="2" t="s">
        <v>49</v>
      </c>
    </row>
    <row r="806" spans="1:16" x14ac:dyDescent="0.25">
      <c r="A806" s="2" t="s">
        <v>2047</v>
      </c>
      <c r="B806" s="2" t="s">
        <v>3404</v>
      </c>
      <c r="C806" s="2">
        <v>2114</v>
      </c>
      <c r="D806" s="2" t="s">
        <v>7668</v>
      </c>
      <c r="E806" s="2" t="s">
        <v>38</v>
      </c>
      <c r="F806" s="2" t="s">
        <v>58</v>
      </c>
      <c r="G806" s="2">
        <v>22945.95</v>
      </c>
      <c r="H806" s="2">
        <v>14856.87</v>
      </c>
      <c r="I806" s="2" t="s">
        <v>20</v>
      </c>
      <c r="J806" s="2" t="s">
        <v>21</v>
      </c>
      <c r="K806" s="2" t="s">
        <v>32</v>
      </c>
      <c r="L806" s="2" t="s">
        <v>23</v>
      </c>
      <c r="M806" s="2">
        <v>4</v>
      </c>
      <c r="N806" s="2" t="s">
        <v>69</v>
      </c>
      <c r="O806" s="2" t="s">
        <v>25</v>
      </c>
      <c r="P806" s="2" t="s">
        <v>26</v>
      </c>
    </row>
    <row r="807" spans="1:16" x14ac:dyDescent="0.25">
      <c r="A807" s="2" t="s">
        <v>2049</v>
      </c>
      <c r="B807" s="2" t="s">
        <v>319</v>
      </c>
      <c r="C807" s="2">
        <v>4155</v>
      </c>
      <c r="D807" s="2" t="s">
        <v>7669</v>
      </c>
      <c r="E807" s="2" t="s">
        <v>38</v>
      </c>
      <c r="F807" s="2" t="s">
        <v>58</v>
      </c>
      <c r="G807" s="2">
        <v>26950.46</v>
      </c>
      <c r="H807" s="2">
        <v>15396.46</v>
      </c>
      <c r="I807" s="2" t="s">
        <v>53</v>
      </c>
      <c r="J807" s="2" t="s">
        <v>54</v>
      </c>
      <c r="K807" s="2" t="s">
        <v>32</v>
      </c>
      <c r="L807" s="2" t="s">
        <v>48</v>
      </c>
      <c r="M807" s="2">
        <v>2</v>
      </c>
      <c r="N807" s="2" t="s">
        <v>24</v>
      </c>
      <c r="O807" s="2" t="s">
        <v>70</v>
      </c>
      <c r="P807" s="2" t="s">
        <v>49</v>
      </c>
    </row>
    <row r="808" spans="1:16" x14ac:dyDescent="0.25">
      <c r="A808" s="2" t="s">
        <v>2052</v>
      </c>
      <c r="B808" s="2" t="s">
        <v>7670</v>
      </c>
      <c r="C808" s="2">
        <v>2229</v>
      </c>
      <c r="D808" s="2" t="s">
        <v>7671</v>
      </c>
      <c r="E808" s="2" t="s">
        <v>6748</v>
      </c>
      <c r="F808" s="2" t="s">
        <v>58</v>
      </c>
      <c r="G808" s="2">
        <v>34722.42</v>
      </c>
      <c r="H808" s="2">
        <v>18523.14</v>
      </c>
      <c r="I808" s="2" t="s">
        <v>6695</v>
      </c>
      <c r="J808" s="2" t="s">
        <v>6696</v>
      </c>
      <c r="K808" s="2" t="s">
        <v>22</v>
      </c>
      <c r="L808" s="2" t="s">
        <v>48</v>
      </c>
      <c r="M808" s="2">
        <v>2</v>
      </c>
      <c r="N808" s="2" t="s">
        <v>24</v>
      </c>
      <c r="O808" s="2" t="s">
        <v>25</v>
      </c>
      <c r="P808" s="2" t="s">
        <v>34</v>
      </c>
    </row>
    <row r="809" spans="1:16" x14ac:dyDescent="0.25">
      <c r="A809" s="2" t="s">
        <v>2055</v>
      </c>
      <c r="B809" s="2" t="s">
        <v>331</v>
      </c>
      <c r="C809" s="2">
        <v>8991</v>
      </c>
      <c r="D809" s="2" t="s">
        <v>7672</v>
      </c>
      <c r="E809" s="2" t="s">
        <v>38</v>
      </c>
      <c r="F809" s="2" t="s">
        <v>39</v>
      </c>
      <c r="G809" s="2">
        <v>23996.09</v>
      </c>
      <c r="H809" s="2">
        <v>14827.22</v>
      </c>
      <c r="I809" s="2" t="s">
        <v>40</v>
      </c>
      <c r="J809" s="2" t="s">
        <v>41</v>
      </c>
      <c r="K809" s="2" t="s">
        <v>32</v>
      </c>
      <c r="L809" s="2" t="s">
        <v>64</v>
      </c>
      <c r="M809" s="2">
        <v>3</v>
      </c>
      <c r="N809" s="2" t="s">
        <v>33</v>
      </c>
      <c r="O809" s="2" t="s">
        <v>25</v>
      </c>
      <c r="P809" s="2" t="s">
        <v>34</v>
      </c>
    </row>
    <row r="810" spans="1:16" x14ac:dyDescent="0.25">
      <c r="A810" s="2" t="s">
        <v>2057</v>
      </c>
      <c r="B810" s="2" t="s">
        <v>5968</v>
      </c>
      <c r="C810" s="2">
        <v>9413</v>
      </c>
      <c r="D810" s="2" t="s">
        <v>7673</v>
      </c>
      <c r="E810" s="2" t="s">
        <v>18</v>
      </c>
      <c r="F810" s="2" t="s">
        <v>39</v>
      </c>
      <c r="G810" s="2">
        <v>17330.7</v>
      </c>
      <c r="H810" s="2">
        <v>10938.48</v>
      </c>
      <c r="I810" s="2" t="s">
        <v>20</v>
      </c>
      <c r="J810" s="2" t="s">
        <v>21</v>
      </c>
      <c r="K810" s="2" t="s">
        <v>32</v>
      </c>
      <c r="L810" s="2" t="s">
        <v>43</v>
      </c>
      <c r="M810" s="2">
        <v>2</v>
      </c>
      <c r="N810" s="2" t="s">
        <v>33</v>
      </c>
      <c r="O810" s="2" t="s">
        <v>25</v>
      </c>
      <c r="P810" s="2" t="s">
        <v>34</v>
      </c>
    </row>
    <row r="811" spans="1:16" x14ac:dyDescent="0.25">
      <c r="A811" s="2" t="s">
        <v>2059</v>
      </c>
      <c r="B811" s="2" t="s">
        <v>7674</v>
      </c>
      <c r="C811" s="2">
        <v>3281</v>
      </c>
      <c r="D811" s="2" t="s">
        <v>7675</v>
      </c>
      <c r="E811" s="2" t="s">
        <v>38</v>
      </c>
      <c r="F811" s="2" t="s">
        <v>30</v>
      </c>
      <c r="G811" s="2">
        <v>35697.18</v>
      </c>
      <c r="H811" s="2">
        <v>20961.240000000002</v>
      </c>
      <c r="I811" s="2" t="s">
        <v>53</v>
      </c>
      <c r="J811" s="2" t="s">
        <v>54</v>
      </c>
      <c r="K811" s="2" t="s">
        <v>42</v>
      </c>
      <c r="L811" s="2" t="s">
        <v>23</v>
      </c>
      <c r="M811" s="2">
        <v>4</v>
      </c>
      <c r="N811" s="2" t="s">
        <v>24</v>
      </c>
      <c r="O811" s="2" t="s">
        <v>25</v>
      </c>
      <c r="P811" s="2" t="s">
        <v>49</v>
      </c>
    </row>
    <row r="812" spans="1:16" x14ac:dyDescent="0.25">
      <c r="A812" s="2" t="s">
        <v>2062</v>
      </c>
      <c r="B812" s="2" t="s">
        <v>1895</v>
      </c>
      <c r="C812" s="2">
        <v>9142</v>
      </c>
      <c r="D812" s="2" t="s">
        <v>7676</v>
      </c>
      <c r="E812" s="2" t="s">
        <v>6680</v>
      </c>
      <c r="F812" s="2" t="s">
        <v>58</v>
      </c>
      <c r="G812" s="2">
        <v>25632.68</v>
      </c>
      <c r="H812" s="2">
        <v>14017.71</v>
      </c>
      <c r="I812" s="2" t="s">
        <v>6690</v>
      </c>
      <c r="J812" s="2" t="s">
        <v>54</v>
      </c>
      <c r="K812" s="2" t="s">
        <v>42</v>
      </c>
      <c r="L812" s="2" t="s">
        <v>43</v>
      </c>
      <c r="M812" s="2">
        <v>4</v>
      </c>
      <c r="N812" s="2" t="s">
        <v>24</v>
      </c>
      <c r="O812" s="2" t="s">
        <v>25</v>
      </c>
      <c r="P812" s="2" t="s">
        <v>49</v>
      </c>
    </row>
    <row r="813" spans="1:16" x14ac:dyDescent="0.25">
      <c r="A813" s="2" t="s">
        <v>2065</v>
      </c>
      <c r="B813" s="2" t="s">
        <v>1194</v>
      </c>
      <c r="C813" s="2">
        <v>5539</v>
      </c>
      <c r="D813" s="2" t="s">
        <v>7677</v>
      </c>
      <c r="E813" s="2" t="s">
        <v>6719</v>
      </c>
      <c r="F813" s="2" t="s">
        <v>47</v>
      </c>
      <c r="G813" s="2">
        <v>6886.03</v>
      </c>
      <c r="H813" s="2">
        <v>3168.94</v>
      </c>
      <c r="I813" s="2" t="s">
        <v>53</v>
      </c>
      <c r="J813" s="2" t="s">
        <v>6700</v>
      </c>
      <c r="K813" s="2" t="s">
        <v>80</v>
      </c>
      <c r="L813" s="2" t="s">
        <v>48</v>
      </c>
      <c r="M813" s="2">
        <v>4</v>
      </c>
      <c r="N813" s="2" t="s">
        <v>24</v>
      </c>
      <c r="O813" s="2" t="s">
        <v>25</v>
      </c>
      <c r="P813" s="2" t="s">
        <v>34</v>
      </c>
    </row>
    <row r="814" spans="1:16" x14ac:dyDescent="0.25">
      <c r="A814" s="2" t="s">
        <v>2068</v>
      </c>
      <c r="B814" s="2" t="s">
        <v>7678</v>
      </c>
      <c r="C814" s="2">
        <v>9769</v>
      </c>
      <c r="D814" s="2" t="s">
        <v>7679</v>
      </c>
      <c r="E814" s="2" t="s">
        <v>6698</v>
      </c>
      <c r="F814" s="2" t="s">
        <v>58</v>
      </c>
      <c r="G814" s="2">
        <v>9535.9599999999991</v>
      </c>
      <c r="H814" s="2">
        <v>4474.0600000000004</v>
      </c>
      <c r="I814" s="2" t="s">
        <v>6915</v>
      </c>
      <c r="J814" s="2" t="s">
        <v>6724</v>
      </c>
      <c r="K814" s="2" t="s">
        <v>80</v>
      </c>
      <c r="L814" s="2" t="s">
        <v>23</v>
      </c>
      <c r="M814" s="2">
        <v>1</v>
      </c>
      <c r="N814" s="2" t="s">
        <v>69</v>
      </c>
      <c r="O814" s="2" t="s">
        <v>25</v>
      </c>
      <c r="P814" s="2" t="s">
        <v>26</v>
      </c>
    </row>
    <row r="815" spans="1:16" x14ac:dyDescent="0.25">
      <c r="A815" s="2" t="s">
        <v>2070</v>
      </c>
      <c r="B815" s="2" t="s">
        <v>1514</v>
      </c>
      <c r="C815" s="2">
        <v>6792</v>
      </c>
      <c r="D815" s="2" t="s">
        <v>7680</v>
      </c>
      <c r="E815" s="2" t="s">
        <v>18</v>
      </c>
      <c r="F815" s="2" t="s">
        <v>30</v>
      </c>
      <c r="G815" s="2">
        <v>31842.55</v>
      </c>
      <c r="H815" s="2">
        <v>17855.46</v>
      </c>
      <c r="I815" s="2" t="s">
        <v>63</v>
      </c>
      <c r="J815" s="2" t="s">
        <v>54</v>
      </c>
      <c r="K815" s="2" t="s">
        <v>42</v>
      </c>
      <c r="L815" s="2" t="s">
        <v>23</v>
      </c>
      <c r="M815" s="2">
        <v>2</v>
      </c>
      <c r="N815" s="2" t="s">
        <v>69</v>
      </c>
      <c r="O815" s="2" t="s">
        <v>70</v>
      </c>
      <c r="P815" s="2" t="s">
        <v>26</v>
      </c>
    </row>
    <row r="816" spans="1:16" x14ac:dyDescent="0.25">
      <c r="A816" s="2" t="s">
        <v>2073</v>
      </c>
      <c r="B816" s="2" t="s">
        <v>3325</v>
      </c>
      <c r="C816" s="2">
        <v>3040</v>
      </c>
      <c r="D816" s="2" t="s">
        <v>7681</v>
      </c>
      <c r="E816" s="2" t="s">
        <v>6756</v>
      </c>
      <c r="F816" s="2" t="s">
        <v>58</v>
      </c>
      <c r="G816" s="2">
        <v>25663.71</v>
      </c>
      <c r="H816" s="2">
        <v>13634.63</v>
      </c>
      <c r="I816" s="2" t="s">
        <v>6720</v>
      </c>
      <c r="J816" s="2" t="s">
        <v>6753</v>
      </c>
      <c r="K816" s="2" t="s">
        <v>32</v>
      </c>
      <c r="L816" s="2" t="s">
        <v>64</v>
      </c>
      <c r="M816" s="2">
        <v>5</v>
      </c>
      <c r="N816" s="2" t="s">
        <v>33</v>
      </c>
      <c r="O816" s="2" t="s">
        <v>25</v>
      </c>
      <c r="P816" s="2" t="s">
        <v>26</v>
      </c>
    </row>
    <row r="817" spans="1:16" x14ac:dyDescent="0.25">
      <c r="A817" s="2" t="s">
        <v>2076</v>
      </c>
      <c r="B817" s="2" t="s">
        <v>7682</v>
      </c>
      <c r="C817" s="2">
        <v>2343</v>
      </c>
      <c r="D817" s="2" t="s">
        <v>7683</v>
      </c>
      <c r="E817" s="2" t="s">
        <v>38</v>
      </c>
      <c r="F817" s="2" t="s">
        <v>47</v>
      </c>
      <c r="G817" s="2">
        <v>11405.31</v>
      </c>
      <c r="H817" s="2">
        <v>6141.82</v>
      </c>
      <c r="I817" s="2" t="s">
        <v>31</v>
      </c>
      <c r="J817" s="2" t="s">
        <v>21</v>
      </c>
      <c r="K817" s="2" t="s">
        <v>80</v>
      </c>
      <c r="L817" s="2" t="s">
        <v>43</v>
      </c>
      <c r="M817" s="2">
        <v>4</v>
      </c>
      <c r="N817" s="2" t="s">
        <v>33</v>
      </c>
      <c r="O817" s="2" t="s">
        <v>70</v>
      </c>
      <c r="P817" s="2" t="s">
        <v>26</v>
      </c>
    </row>
    <row r="818" spans="1:16" x14ac:dyDescent="0.25">
      <c r="A818" s="2" t="s">
        <v>2079</v>
      </c>
      <c r="B818" s="2" t="s">
        <v>7684</v>
      </c>
      <c r="C818" s="2">
        <v>7355</v>
      </c>
      <c r="D818" s="2" t="s">
        <v>7685</v>
      </c>
      <c r="E818" s="2" t="s">
        <v>6698</v>
      </c>
      <c r="F818" s="2" t="s">
        <v>39</v>
      </c>
      <c r="G818" s="2">
        <v>20262.21</v>
      </c>
      <c r="H818" s="2">
        <v>10629.4</v>
      </c>
      <c r="I818" s="2" t="s">
        <v>6867</v>
      </c>
      <c r="J818" s="2" t="s">
        <v>6795</v>
      </c>
      <c r="K818" s="2" t="s">
        <v>22</v>
      </c>
      <c r="L818" s="2" t="s">
        <v>43</v>
      </c>
      <c r="M818" s="2">
        <v>4</v>
      </c>
      <c r="N818" s="2" t="s">
        <v>33</v>
      </c>
      <c r="O818" s="2" t="s">
        <v>25</v>
      </c>
      <c r="P818" s="2" t="s">
        <v>26</v>
      </c>
    </row>
    <row r="819" spans="1:16" x14ac:dyDescent="0.25">
      <c r="A819" s="2" t="s">
        <v>2081</v>
      </c>
      <c r="B819" s="2" t="s">
        <v>2273</v>
      </c>
      <c r="C819" s="2">
        <v>4998</v>
      </c>
      <c r="D819" s="2" t="s">
        <v>7686</v>
      </c>
      <c r="E819" s="2" t="s">
        <v>18</v>
      </c>
      <c r="F819" s="2" t="s">
        <v>39</v>
      </c>
      <c r="G819" s="2">
        <v>32886.17</v>
      </c>
      <c r="H819" s="2">
        <v>20061.23</v>
      </c>
      <c r="I819" s="2" t="s">
        <v>63</v>
      </c>
      <c r="J819" s="2" t="s">
        <v>54</v>
      </c>
      <c r="K819" s="2" t="s">
        <v>80</v>
      </c>
      <c r="L819" s="2" t="s">
        <v>43</v>
      </c>
      <c r="M819" s="2">
        <v>3</v>
      </c>
      <c r="N819" s="2" t="s">
        <v>33</v>
      </c>
      <c r="O819" s="2" t="s">
        <v>25</v>
      </c>
      <c r="P819" s="2" t="s">
        <v>34</v>
      </c>
    </row>
    <row r="820" spans="1:16" x14ac:dyDescent="0.25">
      <c r="A820" s="2" t="s">
        <v>2084</v>
      </c>
      <c r="B820" s="2" t="s">
        <v>2453</v>
      </c>
      <c r="C820" s="2">
        <v>5257</v>
      </c>
      <c r="D820" s="2" t="s">
        <v>2454</v>
      </c>
      <c r="E820" s="2" t="s">
        <v>38</v>
      </c>
      <c r="F820" s="2" t="s">
        <v>30</v>
      </c>
      <c r="G820" s="2">
        <v>17655.88</v>
      </c>
      <c r="H820" s="2">
        <v>8718.9599999999991</v>
      </c>
      <c r="I820" s="2" t="s">
        <v>68</v>
      </c>
      <c r="J820" s="2" t="s">
        <v>41</v>
      </c>
      <c r="K820" s="2" t="s">
        <v>32</v>
      </c>
      <c r="L820" s="2" t="s">
        <v>55</v>
      </c>
      <c r="M820" s="2">
        <v>4</v>
      </c>
      <c r="N820" s="2" t="s">
        <v>33</v>
      </c>
      <c r="O820" s="2" t="s">
        <v>70</v>
      </c>
      <c r="P820" s="2" t="s">
        <v>26</v>
      </c>
    </row>
    <row r="821" spans="1:16" x14ac:dyDescent="0.25">
      <c r="A821" s="2" t="s">
        <v>2087</v>
      </c>
      <c r="B821" s="2" t="s">
        <v>7687</v>
      </c>
      <c r="C821" s="2">
        <v>5180</v>
      </c>
      <c r="D821" s="2" t="s">
        <v>7688</v>
      </c>
      <c r="E821" s="2" t="s">
        <v>38</v>
      </c>
      <c r="F821" s="2" t="s">
        <v>19</v>
      </c>
      <c r="G821" s="2">
        <v>5094.83</v>
      </c>
      <c r="H821" s="2">
        <v>2436.9899999999998</v>
      </c>
      <c r="I821" s="2" t="s">
        <v>6699</v>
      </c>
      <c r="J821" s="2" t="s">
        <v>6700</v>
      </c>
      <c r="K821" s="2" t="s">
        <v>80</v>
      </c>
      <c r="L821" s="2" t="s">
        <v>88</v>
      </c>
      <c r="M821" s="2">
        <v>2</v>
      </c>
      <c r="N821" s="2" t="s">
        <v>33</v>
      </c>
      <c r="O821" s="2" t="s">
        <v>25</v>
      </c>
      <c r="P821" s="2" t="s">
        <v>49</v>
      </c>
    </row>
    <row r="822" spans="1:16" x14ac:dyDescent="0.25">
      <c r="A822" s="2" t="s">
        <v>2090</v>
      </c>
      <c r="B822" s="2" t="s">
        <v>2406</v>
      </c>
      <c r="C822" s="2">
        <v>2262</v>
      </c>
      <c r="D822" s="2" t="s">
        <v>7689</v>
      </c>
      <c r="E822" s="2" t="s">
        <v>18</v>
      </c>
      <c r="F822" s="2" t="s">
        <v>47</v>
      </c>
      <c r="G822" s="2">
        <v>10336.39</v>
      </c>
      <c r="H822" s="2">
        <v>5207.5600000000004</v>
      </c>
      <c r="I822" s="2" t="s">
        <v>120</v>
      </c>
      <c r="J822" s="2" t="s">
        <v>21</v>
      </c>
      <c r="K822" s="2" t="s">
        <v>32</v>
      </c>
      <c r="L822" s="2" t="s">
        <v>43</v>
      </c>
      <c r="M822" s="2">
        <v>1</v>
      </c>
      <c r="N822" s="2" t="s">
        <v>24</v>
      </c>
      <c r="O822" s="2" t="s">
        <v>25</v>
      </c>
      <c r="P822" s="2" t="s">
        <v>34</v>
      </c>
    </row>
    <row r="823" spans="1:16" x14ac:dyDescent="0.25">
      <c r="A823" s="2" t="s">
        <v>2092</v>
      </c>
      <c r="B823" s="2" t="s">
        <v>7690</v>
      </c>
      <c r="C823" s="2">
        <v>9409</v>
      </c>
      <c r="D823" s="2" t="s">
        <v>7691</v>
      </c>
      <c r="E823" s="2" t="s">
        <v>6694</v>
      </c>
      <c r="F823" s="2" t="s">
        <v>39</v>
      </c>
      <c r="G823" s="2">
        <v>21177.119999999999</v>
      </c>
      <c r="H823" s="2">
        <v>13319.72</v>
      </c>
      <c r="I823" s="2" t="s">
        <v>6720</v>
      </c>
      <c r="J823" s="2" t="s">
        <v>6753</v>
      </c>
      <c r="K823" s="2" t="s">
        <v>80</v>
      </c>
      <c r="L823" s="2" t="s">
        <v>23</v>
      </c>
      <c r="M823" s="2">
        <v>2</v>
      </c>
      <c r="N823" s="2" t="s">
        <v>33</v>
      </c>
      <c r="O823" s="2" t="s">
        <v>25</v>
      </c>
      <c r="P823" s="2" t="s">
        <v>26</v>
      </c>
    </row>
    <row r="824" spans="1:16" x14ac:dyDescent="0.25">
      <c r="A824" s="2" t="s">
        <v>2095</v>
      </c>
      <c r="B824" s="2" t="s">
        <v>1685</v>
      </c>
      <c r="C824" s="2">
        <v>1692</v>
      </c>
      <c r="D824" s="2" t="s">
        <v>2877</v>
      </c>
      <c r="E824" s="2" t="s">
        <v>18</v>
      </c>
      <c r="F824" s="2" t="s">
        <v>19</v>
      </c>
      <c r="G824" s="2">
        <v>26627.119999999999</v>
      </c>
      <c r="H824" s="2">
        <v>12705.95</v>
      </c>
      <c r="I824" s="2" t="s">
        <v>63</v>
      </c>
      <c r="J824" s="2" t="s">
        <v>54</v>
      </c>
      <c r="K824" s="2" t="s">
        <v>42</v>
      </c>
      <c r="L824" s="2" t="s">
        <v>64</v>
      </c>
      <c r="M824" s="2">
        <v>5</v>
      </c>
      <c r="N824" s="2" t="s">
        <v>24</v>
      </c>
      <c r="O824" s="2" t="s">
        <v>70</v>
      </c>
      <c r="P824" s="2" t="s">
        <v>34</v>
      </c>
    </row>
    <row r="825" spans="1:16" x14ac:dyDescent="0.25">
      <c r="A825" s="2" t="s">
        <v>2097</v>
      </c>
      <c r="B825" s="2" t="s">
        <v>7692</v>
      </c>
      <c r="C825" s="2">
        <v>7638</v>
      </c>
      <c r="D825" s="2" t="s">
        <v>7693</v>
      </c>
      <c r="E825" s="2" t="s">
        <v>38</v>
      </c>
      <c r="F825" s="2" t="s">
        <v>30</v>
      </c>
      <c r="G825" s="2">
        <v>57745.34</v>
      </c>
      <c r="H825" s="2">
        <v>30693.71</v>
      </c>
      <c r="I825" s="2" t="s">
        <v>31</v>
      </c>
      <c r="J825" s="2" t="s">
        <v>21</v>
      </c>
      <c r="K825" s="2" t="s">
        <v>80</v>
      </c>
      <c r="L825" s="2" t="s">
        <v>23</v>
      </c>
      <c r="M825" s="2">
        <v>1</v>
      </c>
      <c r="N825" s="2" t="s">
        <v>33</v>
      </c>
      <c r="O825" s="2" t="s">
        <v>25</v>
      </c>
      <c r="P825" s="2" t="s">
        <v>34</v>
      </c>
    </row>
    <row r="826" spans="1:16" x14ac:dyDescent="0.25">
      <c r="A826" s="2" t="s">
        <v>2099</v>
      </c>
      <c r="B826" s="2" t="s">
        <v>1484</v>
      </c>
      <c r="C826" s="2">
        <v>8982</v>
      </c>
      <c r="D826" s="2" t="s">
        <v>2472</v>
      </c>
      <c r="E826" s="2" t="s">
        <v>18</v>
      </c>
      <c r="F826" s="2" t="s">
        <v>39</v>
      </c>
      <c r="G826" s="2">
        <v>38112.33</v>
      </c>
      <c r="H826" s="2">
        <v>18793.73</v>
      </c>
      <c r="I826" s="2" t="s">
        <v>53</v>
      </c>
      <c r="J826" s="2" t="s">
        <v>54</v>
      </c>
      <c r="K826" s="2" t="s">
        <v>32</v>
      </c>
      <c r="L826" s="2" t="s">
        <v>64</v>
      </c>
      <c r="M826" s="2">
        <v>5</v>
      </c>
      <c r="N826" s="2" t="s">
        <v>24</v>
      </c>
      <c r="O826" s="2" t="s">
        <v>70</v>
      </c>
      <c r="P826" s="2" t="s">
        <v>49</v>
      </c>
    </row>
    <row r="827" spans="1:16" x14ac:dyDescent="0.25">
      <c r="A827" s="2" t="s">
        <v>2101</v>
      </c>
      <c r="B827" s="2" t="s">
        <v>3123</v>
      </c>
      <c r="C827" s="2">
        <v>8975</v>
      </c>
      <c r="D827" s="2" t="s">
        <v>7694</v>
      </c>
      <c r="E827" s="2" t="s">
        <v>38</v>
      </c>
      <c r="F827" s="2" t="s">
        <v>58</v>
      </c>
      <c r="G827" s="2">
        <v>25760.01</v>
      </c>
      <c r="H827" s="2">
        <v>13988.74</v>
      </c>
      <c r="I827" s="2" t="s">
        <v>63</v>
      </c>
      <c r="J827" s="2" t="s">
        <v>54</v>
      </c>
      <c r="K827" s="2" t="s">
        <v>32</v>
      </c>
      <c r="L827" s="2" t="s">
        <v>64</v>
      </c>
      <c r="M827" s="2">
        <v>2</v>
      </c>
      <c r="N827" s="2" t="s">
        <v>33</v>
      </c>
      <c r="O827" s="2" t="s">
        <v>25</v>
      </c>
      <c r="P827" s="2" t="s">
        <v>26</v>
      </c>
    </row>
    <row r="828" spans="1:16" x14ac:dyDescent="0.25">
      <c r="A828" s="2" t="s">
        <v>2104</v>
      </c>
      <c r="B828" s="2" t="s">
        <v>7143</v>
      </c>
      <c r="C828" s="2">
        <v>8100</v>
      </c>
      <c r="D828" s="2" t="s">
        <v>7695</v>
      </c>
      <c r="E828" s="2" t="s">
        <v>18</v>
      </c>
      <c r="F828" s="2" t="s">
        <v>39</v>
      </c>
      <c r="G828" s="2">
        <v>20056.349999999999</v>
      </c>
      <c r="H828" s="2">
        <v>10448.450000000001</v>
      </c>
      <c r="I828" s="2" t="s">
        <v>59</v>
      </c>
      <c r="J828" s="2" t="s">
        <v>41</v>
      </c>
      <c r="K828" s="2" t="s">
        <v>80</v>
      </c>
      <c r="L828" s="2" t="s">
        <v>55</v>
      </c>
      <c r="M828" s="2">
        <v>4</v>
      </c>
      <c r="N828" s="2" t="s">
        <v>33</v>
      </c>
      <c r="O828" s="2" t="s">
        <v>25</v>
      </c>
      <c r="P828" s="2" t="s">
        <v>34</v>
      </c>
    </row>
    <row r="829" spans="1:16" x14ac:dyDescent="0.25">
      <c r="A829" s="2" t="s">
        <v>2106</v>
      </c>
      <c r="B829" s="2" t="s">
        <v>7696</v>
      </c>
      <c r="C829" s="2">
        <v>1404</v>
      </c>
      <c r="D829" s="2" t="s">
        <v>7697</v>
      </c>
      <c r="E829" s="2" t="s">
        <v>18</v>
      </c>
      <c r="F829" s="2" t="s">
        <v>58</v>
      </c>
      <c r="G829" s="2">
        <v>47002.44</v>
      </c>
      <c r="H829" s="2">
        <v>24641.18</v>
      </c>
      <c r="I829" s="2" t="s">
        <v>6736</v>
      </c>
      <c r="J829" s="2" t="s">
        <v>6691</v>
      </c>
      <c r="K829" s="2" t="s">
        <v>80</v>
      </c>
      <c r="L829" s="2" t="s">
        <v>64</v>
      </c>
      <c r="M829" s="2">
        <v>3</v>
      </c>
      <c r="N829" s="2" t="s">
        <v>24</v>
      </c>
      <c r="O829" s="2" t="s">
        <v>25</v>
      </c>
      <c r="P829" s="2" t="s">
        <v>49</v>
      </c>
    </row>
    <row r="830" spans="1:16" x14ac:dyDescent="0.25">
      <c r="A830" s="2" t="s">
        <v>2108</v>
      </c>
      <c r="B830" s="2" t="s">
        <v>7507</v>
      </c>
      <c r="C830" s="2">
        <v>9978</v>
      </c>
      <c r="D830" s="2" t="s">
        <v>7698</v>
      </c>
      <c r="E830" s="2" t="s">
        <v>6694</v>
      </c>
      <c r="F830" s="2" t="s">
        <v>19</v>
      </c>
      <c r="G830" s="2">
        <v>21576.41</v>
      </c>
      <c r="H830" s="2">
        <v>10371.049999999999</v>
      </c>
      <c r="I830" s="2" t="s">
        <v>6759</v>
      </c>
      <c r="J830" s="2" t="s">
        <v>6700</v>
      </c>
      <c r="K830" s="2" t="s">
        <v>80</v>
      </c>
      <c r="L830" s="2" t="s">
        <v>88</v>
      </c>
      <c r="M830" s="2">
        <v>4</v>
      </c>
      <c r="N830" s="2" t="s">
        <v>24</v>
      </c>
      <c r="O830" s="2" t="s">
        <v>70</v>
      </c>
      <c r="P830" s="2" t="s">
        <v>26</v>
      </c>
    </row>
    <row r="831" spans="1:16" x14ac:dyDescent="0.25">
      <c r="A831" s="2" t="s">
        <v>2110</v>
      </c>
      <c r="B831" s="2" t="s">
        <v>7699</v>
      </c>
      <c r="C831" s="2">
        <v>7854</v>
      </c>
      <c r="D831" s="2" t="s">
        <v>7700</v>
      </c>
      <c r="E831" s="2" t="s">
        <v>18</v>
      </c>
      <c r="F831" s="2" t="s">
        <v>58</v>
      </c>
      <c r="G831" s="2">
        <v>21105.72</v>
      </c>
      <c r="H831" s="2">
        <v>12983.91</v>
      </c>
      <c r="I831" s="2" t="s">
        <v>6690</v>
      </c>
      <c r="J831" s="2" t="s">
        <v>54</v>
      </c>
      <c r="K831" s="2" t="s">
        <v>32</v>
      </c>
      <c r="L831" s="2" t="s">
        <v>64</v>
      </c>
      <c r="M831" s="2">
        <v>5</v>
      </c>
      <c r="N831" s="2" t="s">
        <v>24</v>
      </c>
      <c r="O831" s="2" t="s">
        <v>70</v>
      </c>
      <c r="P831" s="2" t="s">
        <v>26</v>
      </c>
    </row>
    <row r="832" spans="1:16" x14ac:dyDescent="0.25">
      <c r="A832" s="2" t="s">
        <v>2111</v>
      </c>
      <c r="B832" s="2" t="s">
        <v>7701</v>
      </c>
      <c r="C832" s="2">
        <v>8530</v>
      </c>
      <c r="D832" s="2" t="s">
        <v>7702</v>
      </c>
      <c r="E832" s="2" t="s">
        <v>6698</v>
      </c>
      <c r="F832" s="2" t="s">
        <v>47</v>
      </c>
      <c r="G832" s="2">
        <v>14089.77</v>
      </c>
      <c r="H832" s="2">
        <v>9100.4599999999991</v>
      </c>
      <c r="I832" s="2" t="s">
        <v>6736</v>
      </c>
      <c r="J832" s="2" t="s">
        <v>6729</v>
      </c>
      <c r="K832" s="2" t="s">
        <v>80</v>
      </c>
      <c r="L832" s="2" t="s">
        <v>88</v>
      </c>
      <c r="M832" s="2">
        <v>5</v>
      </c>
      <c r="N832" s="2" t="s">
        <v>24</v>
      </c>
      <c r="O832" s="2" t="s">
        <v>70</v>
      </c>
      <c r="P832" s="2" t="s">
        <v>49</v>
      </c>
    </row>
    <row r="833" spans="1:16" x14ac:dyDescent="0.25">
      <c r="A833" s="2" t="s">
        <v>2114</v>
      </c>
      <c r="B833" s="2" t="s">
        <v>6744</v>
      </c>
      <c r="C833" s="2">
        <v>4706</v>
      </c>
      <c r="D833" s="2" t="s">
        <v>7703</v>
      </c>
      <c r="E833" s="2" t="s">
        <v>6703</v>
      </c>
      <c r="F833" s="2" t="s">
        <v>30</v>
      </c>
      <c r="G833" s="2">
        <v>50223.67</v>
      </c>
      <c r="H833" s="2">
        <v>25334.71</v>
      </c>
      <c r="I833" s="2" t="s">
        <v>6867</v>
      </c>
      <c r="J833" s="2" t="s">
        <v>6802</v>
      </c>
      <c r="K833" s="2" t="s">
        <v>42</v>
      </c>
      <c r="L833" s="2" t="s">
        <v>64</v>
      </c>
      <c r="M833" s="2">
        <v>4</v>
      </c>
      <c r="N833" s="2" t="s">
        <v>33</v>
      </c>
      <c r="O833" s="2" t="s">
        <v>25</v>
      </c>
      <c r="P833" s="2" t="s">
        <v>34</v>
      </c>
    </row>
    <row r="834" spans="1:16" x14ac:dyDescent="0.25">
      <c r="A834" s="2" t="s">
        <v>2116</v>
      </c>
      <c r="B834" s="2" t="s">
        <v>7704</v>
      </c>
      <c r="C834" s="2">
        <v>7760</v>
      </c>
      <c r="D834" s="2" t="s">
        <v>1235</v>
      </c>
      <c r="E834" s="2" t="s">
        <v>6708</v>
      </c>
      <c r="F834" s="2" t="s">
        <v>47</v>
      </c>
      <c r="G834" s="2">
        <v>8902.32</v>
      </c>
      <c r="H834" s="2">
        <v>4595.76</v>
      </c>
      <c r="I834" s="2" t="s">
        <v>6723</v>
      </c>
      <c r="J834" s="2" t="s">
        <v>6724</v>
      </c>
      <c r="K834" s="2" t="s">
        <v>22</v>
      </c>
      <c r="L834" s="2" t="s">
        <v>23</v>
      </c>
      <c r="M834" s="2">
        <v>2</v>
      </c>
      <c r="N834" s="2" t="s">
        <v>24</v>
      </c>
      <c r="O834" s="2" t="s">
        <v>70</v>
      </c>
      <c r="P834" s="2" t="s">
        <v>49</v>
      </c>
    </row>
    <row r="835" spans="1:16" x14ac:dyDescent="0.25">
      <c r="A835" s="2" t="s">
        <v>2118</v>
      </c>
      <c r="B835" s="2" t="s">
        <v>220</v>
      </c>
      <c r="C835" s="2">
        <v>6046</v>
      </c>
      <c r="D835" s="2" t="s">
        <v>7705</v>
      </c>
      <c r="E835" s="2" t="s">
        <v>6703</v>
      </c>
      <c r="F835" s="2" t="s">
        <v>47</v>
      </c>
      <c r="G835" s="2">
        <v>10297.799999999999</v>
      </c>
      <c r="H835" s="2">
        <v>6689.04</v>
      </c>
      <c r="I835" s="2" t="s">
        <v>6812</v>
      </c>
      <c r="J835" s="2" t="s">
        <v>6691</v>
      </c>
      <c r="K835" s="2" t="s">
        <v>80</v>
      </c>
      <c r="L835" s="2" t="s">
        <v>43</v>
      </c>
      <c r="M835" s="2">
        <v>2</v>
      </c>
      <c r="N835" s="2" t="s">
        <v>33</v>
      </c>
      <c r="O835" s="2" t="s">
        <v>70</v>
      </c>
      <c r="P835" s="2" t="s">
        <v>34</v>
      </c>
    </row>
    <row r="836" spans="1:16" x14ac:dyDescent="0.25">
      <c r="A836" s="2" t="s">
        <v>2120</v>
      </c>
      <c r="B836" s="2" t="s">
        <v>7706</v>
      </c>
      <c r="C836" s="2">
        <v>9853</v>
      </c>
      <c r="D836" s="2" t="s">
        <v>7707</v>
      </c>
      <c r="E836" s="2" t="s">
        <v>38</v>
      </c>
      <c r="F836" s="2" t="s">
        <v>58</v>
      </c>
      <c r="G836" s="2">
        <v>23605.19</v>
      </c>
      <c r="H836" s="2">
        <v>11058.16</v>
      </c>
      <c r="I836" s="2" t="s">
        <v>63</v>
      </c>
      <c r="J836" s="2" t="s">
        <v>54</v>
      </c>
      <c r="K836" s="2" t="s">
        <v>32</v>
      </c>
      <c r="L836" s="2" t="s">
        <v>55</v>
      </c>
      <c r="M836" s="2">
        <v>1</v>
      </c>
      <c r="N836" s="2" t="s">
        <v>24</v>
      </c>
      <c r="O836" s="2" t="s">
        <v>25</v>
      </c>
      <c r="P836" s="2" t="s">
        <v>34</v>
      </c>
    </row>
    <row r="837" spans="1:16" x14ac:dyDescent="0.25">
      <c r="A837" s="2" t="s">
        <v>2122</v>
      </c>
      <c r="B837" s="2" t="s">
        <v>2671</v>
      </c>
      <c r="C837" s="2">
        <v>2433</v>
      </c>
      <c r="D837" s="2" t="s">
        <v>7708</v>
      </c>
      <c r="E837" s="2" t="s">
        <v>18</v>
      </c>
      <c r="F837" s="2" t="s">
        <v>47</v>
      </c>
      <c r="G837" s="2">
        <v>6300.07</v>
      </c>
      <c r="H837" s="2">
        <v>3225.34</v>
      </c>
      <c r="I837" s="2" t="s">
        <v>84</v>
      </c>
      <c r="J837" s="2" t="s">
        <v>54</v>
      </c>
      <c r="K837" s="2" t="s">
        <v>22</v>
      </c>
      <c r="L837" s="2" t="s">
        <v>55</v>
      </c>
      <c r="M837" s="2">
        <v>5</v>
      </c>
      <c r="N837" s="2" t="s">
        <v>33</v>
      </c>
      <c r="O837" s="2" t="s">
        <v>25</v>
      </c>
      <c r="P837" s="2" t="s">
        <v>26</v>
      </c>
    </row>
    <row r="838" spans="1:16" x14ac:dyDescent="0.25">
      <c r="A838" s="2" t="s">
        <v>2125</v>
      </c>
      <c r="B838" s="2" t="s">
        <v>2507</v>
      </c>
      <c r="C838" s="2">
        <v>5379</v>
      </c>
      <c r="D838" s="2" t="s">
        <v>2508</v>
      </c>
      <c r="E838" s="2" t="s">
        <v>38</v>
      </c>
      <c r="F838" s="2" t="s">
        <v>47</v>
      </c>
      <c r="G838" s="2">
        <v>15289.41</v>
      </c>
      <c r="H838" s="2">
        <v>8488.9500000000007</v>
      </c>
      <c r="I838" s="2" t="s">
        <v>63</v>
      </c>
      <c r="J838" s="2" t="s">
        <v>54</v>
      </c>
      <c r="K838" s="2" t="s">
        <v>42</v>
      </c>
      <c r="L838" s="2" t="s">
        <v>23</v>
      </c>
      <c r="M838" s="2">
        <v>1</v>
      </c>
      <c r="N838" s="2" t="s">
        <v>24</v>
      </c>
      <c r="O838" s="2" t="s">
        <v>70</v>
      </c>
      <c r="P838" s="2" t="s">
        <v>26</v>
      </c>
    </row>
    <row r="839" spans="1:16" x14ac:dyDescent="0.25">
      <c r="A839" s="2" t="s">
        <v>2128</v>
      </c>
      <c r="B839" s="2" t="s">
        <v>971</v>
      </c>
      <c r="C839" s="2">
        <v>7445</v>
      </c>
      <c r="D839" s="2" t="s">
        <v>7709</v>
      </c>
      <c r="E839" s="2" t="s">
        <v>6719</v>
      </c>
      <c r="F839" s="2" t="s">
        <v>30</v>
      </c>
      <c r="G839" s="2">
        <v>51463.78</v>
      </c>
      <c r="H839" s="2">
        <v>30311.23</v>
      </c>
      <c r="I839" s="2" t="s">
        <v>6915</v>
      </c>
      <c r="J839" s="2" t="s">
        <v>6795</v>
      </c>
      <c r="K839" s="2" t="s">
        <v>80</v>
      </c>
      <c r="L839" s="2" t="s">
        <v>88</v>
      </c>
      <c r="M839" s="2">
        <v>5</v>
      </c>
      <c r="N839" s="2" t="s">
        <v>33</v>
      </c>
      <c r="O839" s="2" t="s">
        <v>70</v>
      </c>
      <c r="P839" s="2" t="s">
        <v>34</v>
      </c>
    </row>
    <row r="840" spans="1:16" x14ac:dyDescent="0.25">
      <c r="A840" s="2" t="s">
        <v>2130</v>
      </c>
      <c r="B840" s="2" t="s">
        <v>1945</v>
      </c>
      <c r="C840" s="2">
        <v>1962</v>
      </c>
      <c r="D840" s="2" t="s">
        <v>7710</v>
      </c>
      <c r="E840" s="2" t="s">
        <v>18</v>
      </c>
      <c r="F840" s="2" t="s">
        <v>30</v>
      </c>
      <c r="G840" s="2">
        <v>34170.959999999999</v>
      </c>
      <c r="H840" s="2">
        <v>22199</v>
      </c>
      <c r="I840" s="2" t="s">
        <v>63</v>
      </c>
      <c r="J840" s="2" t="s">
        <v>54</v>
      </c>
      <c r="K840" s="2" t="s">
        <v>32</v>
      </c>
      <c r="L840" s="2" t="s">
        <v>23</v>
      </c>
      <c r="M840" s="2">
        <v>1</v>
      </c>
      <c r="N840" s="2" t="s">
        <v>33</v>
      </c>
      <c r="O840" s="2" t="s">
        <v>25</v>
      </c>
      <c r="P840" s="2" t="s">
        <v>34</v>
      </c>
    </row>
    <row r="841" spans="1:16" x14ac:dyDescent="0.25">
      <c r="A841" s="2" t="s">
        <v>2133</v>
      </c>
      <c r="B841" s="2" t="s">
        <v>4835</v>
      </c>
      <c r="C841" s="2">
        <v>5956</v>
      </c>
      <c r="D841" s="2" t="s">
        <v>1227</v>
      </c>
      <c r="E841" s="2" t="s">
        <v>18</v>
      </c>
      <c r="F841" s="2" t="s">
        <v>39</v>
      </c>
      <c r="G841" s="2">
        <v>45693.07</v>
      </c>
      <c r="H841" s="2">
        <v>26558.47</v>
      </c>
      <c r="I841" s="2" t="s">
        <v>120</v>
      </c>
      <c r="J841" s="2" t="s">
        <v>21</v>
      </c>
      <c r="K841" s="2" t="s">
        <v>42</v>
      </c>
      <c r="L841" s="2" t="s">
        <v>23</v>
      </c>
      <c r="M841" s="2">
        <v>4</v>
      </c>
      <c r="N841" s="2" t="s">
        <v>33</v>
      </c>
      <c r="O841" s="2" t="s">
        <v>25</v>
      </c>
      <c r="P841" s="2" t="s">
        <v>26</v>
      </c>
    </row>
    <row r="842" spans="1:16" x14ac:dyDescent="0.25">
      <c r="A842" s="2" t="s">
        <v>2135</v>
      </c>
      <c r="B842" s="2" t="s">
        <v>4428</v>
      </c>
      <c r="C842" s="2">
        <v>6301</v>
      </c>
      <c r="D842" s="2" t="s">
        <v>7711</v>
      </c>
      <c r="E842" s="2" t="s">
        <v>6708</v>
      </c>
      <c r="F842" s="2" t="s">
        <v>58</v>
      </c>
      <c r="G842" s="2">
        <v>11141.28</v>
      </c>
      <c r="H842" s="2">
        <v>5742.01</v>
      </c>
      <c r="I842" s="2" t="s">
        <v>59</v>
      </c>
      <c r="J842" s="2" t="s">
        <v>6732</v>
      </c>
      <c r="K842" s="2" t="s">
        <v>80</v>
      </c>
      <c r="L842" s="2" t="s">
        <v>48</v>
      </c>
      <c r="M842" s="2">
        <v>3</v>
      </c>
      <c r="N842" s="2" t="s">
        <v>69</v>
      </c>
      <c r="O842" s="2" t="s">
        <v>70</v>
      </c>
      <c r="P842" s="2" t="s">
        <v>49</v>
      </c>
    </row>
    <row r="843" spans="1:16" x14ac:dyDescent="0.25">
      <c r="A843" s="2" t="s">
        <v>2138</v>
      </c>
      <c r="B843" s="2" t="s">
        <v>4112</v>
      </c>
      <c r="C843" s="2">
        <v>9115</v>
      </c>
      <c r="D843" s="2" t="s">
        <v>7712</v>
      </c>
      <c r="E843" s="2" t="s">
        <v>38</v>
      </c>
      <c r="F843" s="2" t="s">
        <v>58</v>
      </c>
      <c r="G843" s="2">
        <v>38972.21</v>
      </c>
      <c r="H843" s="2">
        <v>23155.61</v>
      </c>
      <c r="I843" s="2" t="s">
        <v>6681</v>
      </c>
      <c r="J843" s="2" t="s">
        <v>6793</v>
      </c>
      <c r="K843" s="2" t="s">
        <v>80</v>
      </c>
      <c r="L843" s="2" t="s">
        <v>55</v>
      </c>
      <c r="M843" s="2">
        <v>1</v>
      </c>
      <c r="N843" s="2" t="s">
        <v>24</v>
      </c>
      <c r="O843" s="2" t="s">
        <v>70</v>
      </c>
      <c r="P843" s="2" t="s">
        <v>49</v>
      </c>
    </row>
    <row r="844" spans="1:16" x14ac:dyDescent="0.25">
      <c r="A844" s="2" t="s">
        <v>2141</v>
      </c>
      <c r="B844" s="2" t="s">
        <v>7713</v>
      </c>
      <c r="C844" s="2">
        <v>9697</v>
      </c>
      <c r="D844" s="2" t="s">
        <v>6999</v>
      </c>
      <c r="E844" s="2" t="s">
        <v>6698</v>
      </c>
      <c r="F844" s="2" t="s">
        <v>39</v>
      </c>
      <c r="G844" s="2">
        <v>50171.76</v>
      </c>
      <c r="H844" s="2">
        <v>32547.74</v>
      </c>
      <c r="I844" s="2" t="s">
        <v>6720</v>
      </c>
      <c r="J844" s="2" t="s">
        <v>54</v>
      </c>
      <c r="K844" s="2" t="s">
        <v>32</v>
      </c>
      <c r="L844" s="2" t="s">
        <v>64</v>
      </c>
      <c r="M844" s="2">
        <v>1</v>
      </c>
      <c r="N844" s="2" t="s">
        <v>24</v>
      </c>
      <c r="O844" s="2" t="s">
        <v>70</v>
      </c>
      <c r="P844" s="2" t="s">
        <v>49</v>
      </c>
    </row>
    <row r="845" spans="1:16" x14ac:dyDescent="0.25">
      <c r="A845" s="2" t="s">
        <v>2143</v>
      </c>
      <c r="B845" s="2" t="s">
        <v>7714</v>
      </c>
      <c r="C845" s="2">
        <v>4783</v>
      </c>
      <c r="D845" s="2" t="s">
        <v>7715</v>
      </c>
      <c r="E845" s="2" t="s">
        <v>6680</v>
      </c>
      <c r="F845" s="2" t="s">
        <v>47</v>
      </c>
      <c r="G845" s="2">
        <v>11641.52</v>
      </c>
      <c r="H845" s="2">
        <v>5757.66</v>
      </c>
      <c r="I845" s="2" t="s">
        <v>6699</v>
      </c>
      <c r="J845" s="2" t="s">
        <v>54</v>
      </c>
      <c r="K845" s="2" t="s">
        <v>42</v>
      </c>
      <c r="L845" s="2" t="s">
        <v>88</v>
      </c>
      <c r="M845" s="2">
        <v>1</v>
      </c>
      <c r="N845" s="2" t="s">
        <v>69</v>
      </c>
      <c r="O845" s="2" t="s">
        <v>70</v>
      </c>
      <c r="P845" s="2" t="s">
        <v>49</v>
      </c>
    </row>
    <row r="846" spans="1:16" x14ac:dyDescent="0.25">
      <c r="A846" s="2" t="s">
        <v>2146</v>
      </c>
      <c r="B846" s="2" t="s">
        <v>61</v>
      </c>
      <c r="C846" s="2">
        <v>5483</v>
      </c>
      <c r="D846" s="2" t="s">
        <v>2362</v>
      </c>
      <c r="E846" s="2" t="s">
        <v>38</v>
      </c>
      <c r="F846" s="2" t="s">
        <v>39</v>
      </c>
      <c r="G846" s="2">
        <v>6785.4</v>
      </c>
      <c r="H846" s="2">
        <v>4232.12</v>
      </c>
      <c r="I846" s="2" t="s">
        <v>53</v>
      </c>
      <c r="J846" s="2" t="s">
        <v>54</v>
      </c>
      <c r="K846" s="2" t="s">
        <v>42</v>
      </c>
      <c r="L846" s="2" t="s">
        <v>43</v>
      </c>
      <c r="M846" s="2">
        <v>1</v>
      </c>
      <c r="N846" s="2" t="s">
        <v>24</v>
      </c>
      <c r="O846" s="2" t="s">
        <v>25</v>
      </c>
      <c r="P846" s="2" t="s">
        <v>49</v>
      </c>
    </row>
    <row r="847" spans="1:16" x14ac:dyDescent="0.25">
      <c r="A847" s="2" t="s">
        <v>2148</v>
      </c>
      <c r="B847" s="2" t="s">
        <v>7716</v>
      </c>
      <c r="C847" s="2">
        <v>6383</v>
      </c>
      <c r="D847" s="2" t="s">
        <v>7717</v>
      </c>
      <c r="E847" s="2" t="s">
        <v>6743</v>
      </c>
      <c r="F847" s="2" t="s">
        <v>47</v>
      </c>
      <c r="G847" s="2">
        <v>13969.94</v>
      </c>
      <c r="H847" s="2">
        <v>6845.99</v>
      </c>
      <c r="I847" s="2" t="s">
        <v>6808</v>
      </c>
      <c r="J847" s="2" t="s">
        <v>6686</v>
      </c>
      <c r="K847" s="2" t="s">
        <v>80</v>
      </c>
      <c r="L847" s="2" t="s">
        <v>55</v>
      </c>
      <c r="M847" s="2">
        <v>3</v>
      </c>
      <c r="N847" s="2" t="s">
        <v>24</v>
      </c>
      <c r="O847" s="2" t="s">
        <v>70</v>
      </c>
      <c r="P847" s="2" t="s">
        <v>26</v>
      </c>
    </row>
    <row r="848" spans="1:16" x14ac:dyDescent="0.25">
      <c r="A848" s="2" t="s">
        <v>2151</v>
      </c>
      <c r="B848" s="2" t="s">
        <v>203</v>
      </c>
      <c r="C848" s="2">
        <v>6921</v>
      </c>
      <c r="D848" s="2" t="s">
        <v>7718</v>
      </c>
      <c r="E848" s="2" t="s">
        <v>18</v>
      </c>
      <c r="F848" s="2" t="s">
        <v>39</v>
      </c>
      <c r="G848" s="2">
        <v>48372.09</v>
      </c>
      <c r="H848" s="2">
        <v>24561.200000000001</v>
      </c>
      <c r="I848" s="2" t="s">
        <v>53</v>
      </c>
      <c r="J848" s="2" t="s">
        <v>54</v>
      </c>
      <c r="K848" s="2" t="s">
        <v>22</v>
      </c>
      <c r="L848" s="2" t="s">
        <v>55</v>
      </c>
      <c r="M848" s="2">
        <v>2</v>
      </c>
      <c r="N848" s="2" t="s">
        <v>69</v>
      </c>
      <c r="O848" s="2" t="s">
        <v>70</v>
      </c>
      <c r="P848" s="2" t="s">
        <v>26</v>
      </c>
    </row>
    <row r="849" spans="1:16" x14ac:dyDescent="0.25">
      <c r="A849" s="2" t="s">
        <v>2153</v>
      </c>
      <c r="B849" s="2" t="s">
        <v>7719</v>
      </c>
      <c r="C849" s="2">
        <v>2989</v>
      </c>
      <c r="D849" s="2" t="s">
        <v>3729</v>
      </c>
      <c r="E849" s="2" t="s">
        <v>38</v>
      </c>
      <c r="F849" s="2" t="s">
        <v>47</v>
      </c>
      <c r="G849" s="2">
        <v>9062.44</v>
      </c>
      <c r="H849" s="2">
        <v>4950.34</v>
      </c>
      <c r="I849" s="2" t="s">
        <v>53</v>
      </c>
      <c r="J849" s="2" t="s">
        <v>54</v>
      </c>
      <c r="K849" s="2" t="s">
        <v>42</v>
      </c>
      <c r="L849" s="2" t="s">
        <v>55</v>
      </c>
      <c r="M849" s="2">
        <v>3</v>
      </c>
      <c r="N849" s="2" t="s">
        <v>24</v>
      </c>
      <c r="O849" s="2" t="s">
        <v>25</v>
      </c>
      <c r="P849" s="2" t="s">
        <v>34</v>
      </c>
    </row>
    <row r="850" spans="1:16" x14ac:dyDescent="0.25">
      <c r="A850" s="2" t="s">
        <v>2155</v>
      </c>
      <c r="B850" s="2" t="s">
        <v>7720</v>
      </c>
      <c r="C850" s="2">
        <v>2039</v>
      </c>
      <c r="D850" s="2" t="s">
        <v>7721</v>
      </c>
      <c r="E850" s="2" t="s">
        <v>6703</v>
      </c>
      <c r="F850" s="2" t="s">
        <v>19</v>
      </c>
      <c r="G850" s="2">
        <v>7017.86</v>
      </c>
      <c r="H850" s="2">
        <v>3383.09</v>
      </c>
      <c r="I850" s="2" t="s">
        <v>6726</v>
      </c>
      <c r="J850" s="2" t="s">
        <v>6802</v>
      </c>
      <c r="K850" s="2" t="s">
        <v>32</v>
      </c>
      <c r="L850" s="2" t="s">
        <v>64</v>
      </c>
      <c r="M850" s="2">
        <v>3</v>
      </c>
      <c r="N850" s="2" t="s">
        <v>33</v>
      </c>
      <c r="O850" s="2" t="s">
        <v>70</v>
      </c>
      <c r="P850" s="2" t="s">
        <v>34</v>
      </c>
    </row>
    <row r="851" spans="1:16" x14ac:dyDescent="0.25">
      <c r="A851" s="2" t="s">
        <v>2158</v>
      </c>
      <c r="B851" s="2" t="s">
        <v>7722</v>
      </c>
      <c r="C851" s="2">
        <v>9099</v>
      </c>
      <c r="D851" s="2" t="s">
        <v>7723</v>
      </c>
      <c r="E851" s="2" t="s">
        <v>6748</v>
      </c>
      <c r="F851" s="2" t="s">
        <v>19</v>
      </c>
      <c r="G851" s="2">
        <v>11394.37</v>
      </c>
      <c r="H851" s="2">
        <v>6591.71</v>
      </c>
      <c r="I851" s="2" t="s">
        <v>120</v>
      </c>
      <c r="J851" s="2" t="s">
        <v>6696</v>
      </c>
      <c r="K851" s="2" t="s">
        <v>32</v>
      </c>
      <c r="L851" s="2" t="s">
        <v>55</v>
      </c>
      <c r="M851" s="2">
        <v>1</v>
      </c>
      <c r="N851" s="2" t="s">
        <v>24</v>
      </c>
      <c r="O851" s="2" t="s">
        <v>25</v>
      </c>
      <c r="P851" s="2" t="s">
        <v>34</v>
      </c>
    </row>
    <row r="852" spans="1:16" x14ac:dyDescent="0.25">
      <c r="A852" s="2" t="s">
        <v>2160</v>
      </c>
      <c r="B852" s="2" t="s">
        <v>7724</v>
      </c>
      <c r="C852" s="2">
        <v>2908</v>
      </c>
      <c r="D852" s="2" t="s">
        <v>7725</v>
      </c>
      <c r="E852" s="2" t="s">
        <v>6694</v>
      </c>
      <c r="F852" s="2" t="s">
        <v>58</v>
      </c>
      <c r="G852" s="2">
        <v>14353.26</v>
      </c>
      <c r="H852" s="2">
        <v>8048.12</v>
      </c>
      <c r="I852" s="2" t="s">
        <v>6749</v>
      </c>
      <c r="J852" s="2" t="s">
        <v>6682</v>
      </c>
      <c r="K852" s="2" t="s">
        <v>42</v>
      </c>
      <c r="L852" s="2" t="s">
        <v>55</v>
      </c>
      <c r="M852" s="2">
        <v>5</v>
      </c>
      <c r="N852" s="2" t="s">
        <v>69</v>
      </c>
      <c r="O852" s="2" t="s">
        <v>70</v>
      </c>
      <c r="P852" s="2" t="s">
        <v>49</v>
      </c>
    </row>
    <row r="853" spans="1:16" x14ac:dyDescent="0.25">
      <c r="A853" s="2" t="s">
        <v>2162</v>
      </c>
      <c r="B853" s="2" t="s">
        <v>7726</v>
      </c>
      <c r="C853" s="2">
        <v>7219</v>
      </c>
      <c r="D853" s="2" t="s">
        <v>7727</v>
      </c>
      <c r="E853" s="2" t="s">
        <v>18</v>
      </c>
      <c r="F853" s="2" t="s">
        <v>58</v>
      </c>
      <c r="G853" s="2">
        <v>22061.66</v>
      </c>
      <c r="H853" s="2">
        <v>13677.07</v>
      </c>
      <c r="I853" s="2" t="s">
        <v>6720</v>
      </c>
      <c r="J853" s="2" t="s">
        <v>6700</v>
      </c>
      <c r="K853" s="2" t="s">
        <v>22</v>
      </c>
      <c r="L853" s="2" t="s">
        <v>43</v>
      </c>
      <c r="M853" s="2">
        <v>3</v>
      </c>
      <c r="N853" s="2" t="s">
        <v>33</v>
      </c>
      <c r="O853" s="2" t="s">
        <v>25</v>
      </c>
      <c r="P853" s="2" t="s">
        <v>34</v>
      </c>
    </row>
    <row r="854" spans="1:16" x14ac:dyDescent="0.25">
      <c r="A854" s="2" t="s">
        <v>2164</v>
      </c>
      <c r="B854" s="2" t="s">
        <v>7728</v>
      </c>
      <c r="C854" s="2">
        <v>2640</v>
      </c>
      <c r="D854" s="2" t="s">
        <v>7729</v>
      </c>
      <c r="E854" s="2" t="s">
        <v>6680</v>
      </c>
      <c r="F854" s="2" t="s">
        <v>47</v>
      </c>
      <c r="G854" s="2">
        <v>5875.77</v>
      </c>
      <c r="H854" s="2">
        <v>3789.45</v>
      </c>
      <c r="I854" s="2" t="s">
        <v>6736</v>
      </c>
      <c r="J854" s="2" t="s">
        <v>54</v>
      </c>
      <c r="K854" s="2" t="s">
        <v>42</v>
      </c>
      <c r="L854" s="2" t="s">
        <v>88</v>
      </c>
      <c r="M854" s="2">
        <v>1</v>
      </c>
      <c r="N854" s="2" t="s">
        <v>33</v>
      </c>
      <c r="O854" s="2" t="s">
        <v>25</v>
      </c>
      <c r="P854" s="2" t="s">
        <v>26</v>
      </c>
    </row>
    <row r="855" spans="1:16" x14ac:dyDescent="0.25">
      <c r="A855" s="2" t="s">
        <v>2166</v>
      </c>
      <c r="B855" s="2" t="s">
        <v>1821</v>
      </c>
      <c r="C855" s="2">
        <v>5874</v>
      </c>
      <c r="D855" s="2" t="s">
        <v>4628</v>
      </c>
      <c r="E855" s="2" t="s">
        <v>6694</v>
      </c>
      <c r="F855" s="2" t="s">
        <v>47</v>
      </c>
      <c r="G855" s="2" t="s">
        <v>7730</v>
      </c>
      <c r="H855" s="2">
        <v>7707.42</v>
      </c>
      <c r="I855" s="2" t="s">
        <v>6712</v>
      </c>
      <c r="J855" s="2" t="s">
        <v>41</v>
      </c>
      <c r="K855" s="2" t="s">
        <v>22</v>
      </c>
      <c r="L855" s="2" t="s">
        <v>88</v>
      </c>
      <c r="M855" s="2">
        <v>4</v>
      </c>
      <c r="N855" s="2" t="s">
        <v>33</v>
      </c>
      <c r="O855" s="2" t="s">
        <v>25</v>
      </c>
      <c r="P855" s="2" t="s">
        <v>49</v>
      </c>
    </row>
    <row r="856" spans="1:16" x14ac:dyDescent="0.25">
      <c r="A856" s="2" t="s">
        <v>2169</v>
      </c>
      <c r="B856" s="2" t="s">
        <v>6750</v>
      </c>
      <c r="C856" s="2">
        <v>5056</v>
      </c>
      <c r="D856" s="2" t="s">
        <v>7731</v>
      </c>
      <c r="E856" s="2" t="s">
        <v>6703</v>
      </c>
      <c r="F856" s="2" t="s">
        <v>39</v>
      </c>
      <c r="G856" s="2">
        <v>15320.46</v>
      </c>
      <c r="H856" s="2">
        <v>7461.46</v>
      </c>
      <c r="I856" s="2" t="s">
        <v>6794</v>
      </c>
      <c r="J856" s="2" t="s">
        <v>21</v>
      </c>
      <c r="K856" s="2" t="s">
        <v>22</v>
      </c>
      <c r="L856" s="2" t="s">
        <v>48</v>
      </c>
      <c r="M856" s="2">
        <v>1</v>
      </c>
      <c r="N856" s="2" t="s">
        <v>24</v>
      </c>
      <c r="O856" s="2" t="s">
        <v>70</v>
      </c>
      <c r="P856" s="2" t="s">
        <v>26</v>
      </c>
    </row>
    <row r="857" spans="1:16" x14ac:dyDescent="0.25">
      <c r="A857" s="2" t="s">
        <v>2172</v>
      </c>
      <c r="B857" s="2" t="s">
        <v>1182</v>
      </c>
      <c r="C857" s="2">
        <v>9971</v>
      </c>
      <c r="D857" s="2" t="s">
        <v>2562</v>
      </c>
      <c r="E857" s="2" t="s">
        <v>6694</v>
      </c>
      <c r="F857" s="2" t="s">
        <v>30</v>
      </c>
      <c r="G857" s="2">
        <v>20417.66</v>
      </c>
      <c r="H857" s="2">
        <v>10049.6</v>
      </c>
      <c r="I857" s="2" t="s">
        <v>6845</v>
      </c>
      <c r="J857" s="2" t="s">
        <v>6696</v>
      </c>
      <c r="K857" s="2" t="s">
        <v>80</v>
      </c>
      <c r="L857" s="2" t="s">
        <v>23</v>
      </c>
      <c r="M857" s="2">
        <v>5</v>
      </c>
      <c r="N857" s="2" t="s">
        <v>33</v>
      </c>
      <c r="O857" s="2" t="s">
        <v>25</v>
      </c>
      <c r="P857" s="2" t="s">
        <v>49</v>
      </c>
    </row>
    <row r="858" spans="1:16" x14ac:dyDescent="0.25">
      <c r="A858" s="2" t="s">
        <v>2174</v>
      </c>
      <c r="B858" s="2" t="s">
        <v>7732</v>
      </c>
      <c r="C858" s="2">
        <v>1023</v>
      </c>
      <c r="D858" s="2" t="s">
        <v>7733</v>
      </c>
      <c r="E858" s="2" t="s">
        <v>6703</v>
      </c>
      <c r="F858" s="2" t="s">
        <v>19</v>
      </c>
      <c r="G858" s="2">
        <v>11256.48</v>
      </c>
      <c r="H858" s="2">
        <v>5495.78</v>
      </c>
      <c r="I858" s="2" t="s">
        <v>63</v>
      </c>
      <c r="J858" s="2" t="s">
        <v>6729</v>
      </c>
      <c r="K858" s="2" t="s">
        <v>42</v>
      </c>
      <c r="L858" s="2" t="s">
        <v>48</v>
      </c>
      <c r="M858" s="2">
        <v>2</v>
      </c>
      <c r="N858" s="2" t="s">
        <v>24</v>
      </c>
      <c r="O858" s="2" t="s">
        <v>70</v>
      </c>
      <c r="P858" s="2" t="s">
        <v>49</v>
      </c>
    </row>
    <row r="859" spans="1:16" x14ac:dyDescent="0.25">
      <c r="A859" s="2" t="s">
        <v>2176</v>
      </c>
      <c r="B859" s="2" t="s">
        <v>7734</v>
      </c>
      <c r="C859" s="2">
        <v>4573</v>
      </c>
      <c r="D859" s="2" t="s">
        <v>7735</v>
      </c>
      <c r="E859" s="2" t="s">
        <v>6719</v>
      </c>
      <c r="F859" s="2" t="s">
        <v>58</v>
      </c>
      <c r="G859" s="2">
        <v>24467.51</v>
      </c>
      <c r="H859" s="2">
        <v>13822.06</v>
      </c>
      <c r="I859" s="2" t="s">
        <v>6761</v>
      </c>
      <c r="J859" s="2" t="s">
        <v>6713</v>
      </c>
      <c r="K859" s="2" t="s">
        <v>32</v>
      </c>
      <c r="L859" s="2" t="s">
        <v>48</v>
      </c>
      <c r="M859" s="2">
        <v>1</v>
      </c>
      <c r="N859" s="2" t="s">
        <v>69</v>
      </c>
      <c r="O859" s="2" t="s">
        <v>25</v>
      </c>
      <c r="P859" s="2" t="s">
        <v>26</v>
      </c>
    </row>
    <row r="860" spans="1:16" x14ac:dyDescent="0.25">
      <c r="A860" s="2" t="s">
        <v>2179</v>
      </c>
      <c r="B860" s="2" t="s">
        <v>6688</v>
      </c>
      <c r="C860" s="2">
        <v>9501</v>
      </c>
      <c r="D860" s="2" t="s">
        <v>7736</v>
      </c>
      <c r="E860" s="2" t="s">
        <v>6708</v>
      </c>
      <c r="F860" s="2" t="s">
        <v>47</v>
      </c>
      <c r="G860" s="2">
        <v>8042.65</v>
      </c>
      <c r="H860" s="2">
        <v>3943.39</v>
      </c>
      <c r="I860" s="2" t="s">
        <v>20</v>
      </c>
      <c r="J860" s="2" t="s">
        <v>6696</v>
      </c>
      <c r="K860" s="2" t="s">
        <v>32</v>
      </c>
      <c r="L860" s="2" t="s">
        <v>23</v>
      </c>
      <c r="M860" s="2">
        <v>4</v>
      </c>
      <c r="N860" s="2" t="s">
        <v>33</v>
      </c>
      <c r="O860" s="2" t="s">
        <v>70</v>
      </c>
      <c r="P860" s="2" t="s">
        <v>49</v>
      </c>
    </row>
    <row r="861" spans="1:16" x14ac:dyDescent="0.25">
      <c r="A861" s="2" t="s">
        <v>2182</v>
      </c>
      <c r="B861" s="2" t="s">
        <v>1656</v>
      </c>
      <c r="C861" s="2">
        <v>9589</v>
      </c>
      <c r="D861" s="2" t="s">
        <v>7737</v>
      </c>
      <c r="E861" s="2" t="s">
        <v>6680</v>
      </c>
      <c r="F861" s="2" t="s">
        <v>58</v>
      </c>
      <c r="G861" s="2">
        <v>23313.11</v>
      </c>
      <c r="H861" s="2">
        <v>11005.73</v>
      </c>
      <c r="I861" s="2" t="s">
        <v>53</v>
      </c>
      <c r="J861" s="2" t="s">
        <v>6691</v>
      </c>
      <c r="K861" s="2" t="s">
        <v>42</v>
      </c>
      <c r="L861" s="2" t="s">
        <v>23</v>
      </c>
      <c r="M861" s="2">
        <v>3</v>
      </c>
      <c r="N861" s="2" t="s">
        <v>33</v>
      </c>
      <c r="O861" s="2" t="s">
        <v>25</v>
      </c>
      <c r="P861" s="2" t="s">
        <v>26</v>
      </c>
    </row>
    <row r="862" spans="1:16" x14ac:dyDescent="0.25">
      <c r="A862" s="2" t="s">
        <v>2184</v>
      </c>
      <c r="B862" s="2" t="s">
        <v>7738</v>
      </c>
      <c r="C862" s="2">
        <v>8812</v>
      </c>
      <c r="D862" s="2" t="s">
        <v>7739</v>
      </c>
      <c r="E862" s="2" t="s">
        <v>6748</v>
      </c>
      <c r="F862" s="2" t="s">
        <v>19</v>
      </c>
      <c r="G862" s="2">
        <v>7409.77</v>
      </c>
      <c r="H862" s="2">
        <v>4046.25</v>
      </c>
      <c r="I862" s="2" t="s">
        <v>6726</v>
      </c>
      <c r="J862" s="2" t="s">
        <v>21</v>
      </c>
      <c r="K862" s="2" t="s">
        <v>80</v>
      </c>
      <c r="L862" s="2" t="s">
        <v>23</v>
      </c>
      <c r="M862" s="2">
        <v>1</v>
      </c>
      <c r="N862" s="2" t="s">
        <v>24</v>
      </c>
      <c r="O862" s="2" t="s">
        <v>70</v>
      </c>
      <c r="P862" s="2" t="s">
        <v>34</v>
      </c>
    </row>
    <row r="863" spans="1:16" x14ac:dyDescent="0.25">
      <c r="A863" s="2" t="s">
        <v>2186</v>
      </c>
      <c r="B863" s="2" t="s">
        <v>4462</v>
      </c>
      <c r="C863" s="2">
        <v>9462</v>
      </c>
      <c r="D863" s="2" t="s">
        <v>7740</v>
      </c>
      <c r="E863" s="2" t="s">
        <v>38</v>
      </c>
      <c r="F863" s="2" t="s">
        <v>30</v>
      </c>
      <c r="G863" s="2">
        <v>91752.63</v>
      </c>
      <c r="H863" s="2">
        <v>41661.19</v>
      </c>
      <c r="I863" s="2" t="s">
        <v>53</v>
      </c>
      <c r="J863" s="2" t="s">
        <v>54</v>
      </c>
      <c r="K863" s="2" t="s">
        <v>22</v>
      </c>
      <c r="L863" s="2" t="s">
        <v>23</v>
      </c>
      <c r="M863" s="2">
        <v>3</v>
      </c>
      <c r="N863" s="2" t="s">
        <v>33</v>
      </c>
      <c r="O863" s="2" t="s">
        <v>25</v>
      </c>
      <c r="P863" s="2" t="s">
        <v>49</v>
      </c>
    </row>
    <row r="864" spans="1:16" x14ac:dyDescent="0.25">
      <c r="A864" s="2" t="s">
        <v>2189</v>
      </c>
      <c r="B864" s="2" t="s">
        <v>2096</v>
      </c>
      <c r="C864" s="2">
        <v>9143</v>
      </c>
      <c r="D864" s="2" t="s">
        <v>7741</v>
      </c>
      <c r="E864" s="2" t="s">
        <v>18</v>
      </c>
      <c r="F864" s="2" t="s">
        <v>19</v>
      </c>
      <c r="G864" s="2">
        <v>4883.3900000000003</v>
      </c>
      <c r="H864" s="2">
        <v>2216.64</v>
      </c>
      <c r="I864" s="2" t="s">
        <v>40</v>
      </c>
      <c r="J864" s="2" t="s">
        <v>41</v>
      </c>
      <c r="K864" s="2" t="s">
        <v>80</v>
      </c>
      <c r="L864" s="2" t="s">
        <v>43</v>
      </c>
      <c r="M864" s="2">
        <v>3</v>
      </c>
      <c r="N864" s="2" t="s">
        <v>33</v>
      </c>
      <c r="O864" s="2" t="s">
        <v>25</v>
      </c>
      <c r="P864" s="2" t="s">
        <v>26</v>
      </c>
    </row>
    <row r="865" spans="1:16" x14ac:dyDescent="0.25">
      <c r="A865" s="2" t="s">
        <v>2192</v>
      </c>
      <c r="B865" s="2" t="s">
        <v>228</v>
      </c>
      <c r="C865" s="2">
        <v>7585</v>
      </c>
      <c r="D865" s="2" t="s">
        <v>7742</v>
      </c>
      <c r="E865" s="2" t="s">
        <v>38</v>
      </c>
      <c r="F865" s="2" t="s">
        <v>39</v>
      </c>
      <c r="G865" s="2">
        <v>12713.71</v>
      </c>
      <c r="H865" s="2">
        <v>6920.97</v>
      </c>
      <c r="I865" s="2" t="s">
        <v>120</v>
      </c>
      <c r="J865" s="2" t="s">
        <v>21</v>
      </c>
      <c r="K865" s="2" t="s">
        <v>32</v>
      </c>
      <c r="L865" s="2" t="s">
        <v>23</v>
      </c>
      <c r="M865" s="2">
        <v>3</v>
      </c>
      <c r="N865" s="2" t="s">
        <v>33</v>
      </c>
      <c r="O865" s="2" t="s">
        <v>25</v>
      </c>
      <c r="P865" s="2" t="s">
        <v>34</v>
      </c>
    </row>
    <row r="866" spans="1:16" x14ac:dyDescent="0.25">
      <c r="A866" s="2" t="s">
        <v>2194</v>
      </c>
      <c r="B866" s="2" t="s">
        <v>7743</v>
      </c>
      <c r="C866" s="2">
        <v>2249</v>
      </c>
      <c r="D866" s="2" t="s">
        <v>7744</v>
      </c>
      <c r="E866" s="2" t="s">
        <v>32</v>
      </c>
      <c r="F866" s="2" t="s">
        <v>39</v>
      </c>
      <c r="G866" s="2">
        <v>32062.81</v>
      </c>
      <c r="H866" s="2">
        <v>15306.76</v>
      </c>
      <c r="I866" s="2" t="s">
        <v>6726</v>
      </c>
      <c r="J866" s="2" t="s">
        <v>6802</v>
      </c>
      <c r="K866" s="2" t="s">
        <v>80</v>
      </c>
      <c r="L866" s="2" t="s">
        <v>55</v>
      </c>
      <c r="M866" s="2">
        <v>2</v>
      </c>
      <c r="N866" s="2" t="s">
        <v>24</v>
      </c>
      <c r="O866" s="2" t="s">
        <v>25</v>
      </c>
      <c r="P866" s="2" t="s">
        <v>49</v>
      </c>
    </row>
    <row r="867" spans="1:16" x14ac:dyDescent="0.25">
      <c r="A867" s="2" t="s">
        <v>2196</v>
      </c>
      <c r="B867" s="2" t="s">
        <v>7745</v>
      </c>
      <c r="C867" s="2">
        <v>7703</v>
      </c>
      <c r="D867" s="2" t="s">
        <v>7746</v>
      </c>
      <c r="E867" s="2" t="s">
        <v>6694</v>
      </c>
      <c r="F867" s="2" t="s">
        <v>39</v>
      </c>
      <c r="G867" s="2">
        <v>29785.06</v>
      </c>
      <c r="H867" s="2">
        <v>17233.75</v>
      </c>
      <c r="I867" s="2" t="s">
        <v>6918</v>
      </c>
      <c r="J867" s="2" t="s">
        <v>21</v>
      </c>
      <c r="K867" s="2" t="s">
        <v>80</v>
      </c>
      <c r="L867" s="2" t="s">
        <v>23</v>
      </c>
      <c r="M867" s="2">
        <v>1</v>
      </c>
      <c r="N867" s="2" t="s">
        <v>33</v>
      </c>
      <c r="O867" s="2" t="s">
        <v>25</v>
      </c>
      <c r="P867" s="2" t="s">
        <v>26</v>
      </c>
    </row>
    <row r="868" spans="1:16" x14ac:dyDescent="0.25">
      <c r="A868" s="2" t="s">
        <v>2199</v>
      </c>
      <c r="B868" s="2" t="s">
        <v>7747</v>
      </c>
      <c r="C868" s="2">
        <v>9020</v>
      </c>
      <c r="D868" s="2" t="s">
        <v>7748</v>
      </c>
      <c r="E868" s="2" t="s">
        <v>6743</v>
      </c>
      <c r="F868" s="2" t="s">
        <v>30</v>
      </c>
      <c r="G868" s="2">
        <v>80600.89</v>
      </c>
      <c r="H868" s="2">
        <v>50576.55</v>
      </c>
      <c r="I868" s="2" t="s">
        <v>6726</v>
      </c>
      <c r="J868" s="2" t="s">
        <v>21</v>
      </c>
      <c r="K868" s="2" t="s">
        <v>22</v>
      </c>
      <c r="L868" s="2" t="s">
        <v>55</v>
      </c>
      <c r="M868" s="2">
        <v>5</v>
      </c>
      <c r="N868" s="2" t="s">
        <v>24</v>
      </c>
      <c r="O868" s="2" t="s">
        <v>70</v>
      </c>
      <c r="P868" s="2" t="s">
        <v>34</v>
      </c>
    </row>
    <row r="869" spans="1:16" x14ac:dyDescent="0.25">
      <c r="A869" s="2" t="s">
        <v>2201</v>
      </c>
      <c r="B869" s="2" t="s">
        <v>7126</v>
      </c>
      <c r="C869" s="2">
        <v>3571</v>
      </c>
      <c r="D869" s="2" t="s">
        <v>7749</v>
      </c>
      <c r="E869" s="2" t="s">
        <v>6694</v>
      </c>
      <c r="F869" s="2" t="s">
        <v>30</v>
      </c>
      <c r="G869" s="2">
        <v>75711.03</v>
      </c>
      <c r="H869" s="2">
        <v>45160.72</v>
      </c>
      <c r="I869" s="2" t="s">
        <v>6867</v>
      </c>
      <c r="J869" s="2" t="s">
        <v>21</v>
      </c>
      <c r="K869" s="2" t="s">
        <v>32</v>
      </c>
      <c r="L869" s="2" t="s">
        <v>23</v>
      </c>
      <c r="M869" s="2">
        <v>2</v>
      </c>
      <c r="N869" s="2" t="s">
        <v>33</v>
      </c>
      <c r="O869" s="2" t="s">
        <v>25</v>
      </c>
      <c r="P869" s="2" t="s">
        <v>49</v>
      </c>
    </row>
    <row r="870" spans="1:16" x14ac:dyDescent="0.25">
      <c r="A870" s="2" t="s">
        <v>2203</v>
      </c>
      <c r="B870" s="2" t="s">
        <v>7430</v>
      </c>
      <c r="C870" s="2">
        <v>8074</v>
      </c>
      <c r="D870" s="2" t="s">
        <v>2599</v>
      </c>
      <c r="E870" s="2" t="s">
        <v>18</v>
      </c>
      <c r="F870" s="2" t="s">
        <v>58</v>
      </c>
      <c r="G870" s="2">
        <v>46165.05</v>
      </c>
      <c r="H870" s="2">
        <v>28471.09</v>
      </c>
      <c r="I870" s="2" t="s">
        <v>6699</v>
      </c>
      <c r="J870" s="2" t="s">
        <v>6729</v>
      </c>
      <c r="K870" s="2" t="s">
        <v>32</v>
      </c>
      <c r="L870" s="2" t="s">
        <v>64</v>
      </c>
      <c r="M870" s="2">
        <v>4</v>
      </c>
      <c r="N870" s="2" t="s">
        <v>33</v>
      </c>
      <c r="O870" s="2" t="s">
        <v>25</v>
      </c>
      <c r="P870" s="2" t="s">
        <v>49</v>
      </c>
    </row>
    <row r="871" spans="1:16" x14ac:dyDescent="0.25">
      <c r="A871" s="2" t="s">
        <v>2206</v>
      </c>
      <c r="B871" s="2" t="s">
        <v>7750</v>
      </c>
      <c r="C871" s="2">
        <v>9523</v>
      </c>
      <c r="D871" s="2" t="s">
        <v>7751</v>
      </c>
      <c r="E871" s="2" t="s">
        <v>6719</v>
      </c>
      <c r="F871" s="2" t="s">
        <v>58</v>
      </c>
      <c r="G871" s="2">
        <v>41612.29</v>
      </c>
      <c r="H871" s="2">
        <v>20035.46</v>
      </c>
      <c r="I871" s="2" t="s">
        <v>53</v>
      </c>
      <c r="J871" s="2" t="s">
        <v>6729</v>
      </c>
      <c r="K871" s="2" t="s">
        <v>32</v>
      </c>
      <c r="L871" s="2" t="s">
        <v>64</v>
      </c>
      <c r="M871" s="2">
        <v>4</v>
      </c>
      <c r="N871" s="2" t="s">
        <v>33</v>
      </c>
      <c r="O871" s="2" t="s">
        <v>70</v>
      </c>
      <c r="P871" s="2" t="s">
        <v>34</v>
      </c>
    </row>
    <row r="872" spans="1:16" x14ac:dyDescent="0.25">
      <c r="A872" s="2" t="s">
        <v>2209</v>
      </c>
      <c r="B872" s="2" t="s">
        <v>3382</v>
      </c>
      <c r="C872" s="2">
        <v>2889</v>
      </c>
      <c r="D872" s="2" t="s">
        <v>7752</v>
      </c>
      <c r="E872" s="2" t="s">
        <v>18</v>
      </c>
      <c r="F872" s="2" t="s">
        <v>19</v>
      </c>
      <c r="G872" s="2">
        <v>22855.63</v>
      </c>
      <c r="H872" s="2">
        <v>11335.19</v>
      </c>
      <c r="I872" s="2" t="s">
        <v>53</v>
      </c>
      <c r="J872" s="2" t="s">
        <v>54</v>
      </c>
      <c r="K872" s="2" t="s">
        <v>22</v>
      </c>
      <c r="L872" s="2" t="s">
        <v>43</v>
      </c>
      <c r="M872" s="2">
        <v>4</v>
      </c>
      <c r="N872" s="2" t="s">
        <v>33</v>
      </c>
      <c r="O872" s="2" t="s">
        <v>70</v>
      </c>
      <c r="P872" s="2" t="s">
        <v>49</v>
      </c>
    </row>
    <row r="873" spans="1:16" x14ac:dyDescent="0.25">
      <c r="A873" s="2" t="s">
        <v>2211</v>
      </c>
      <c r="B873" s="2" t="s">
        <v>1051</v>
      </c>
      <c r="C873" s="2">
        <v>1831</v>
      </c>
      <c r="D873" s="2" t="s">
        <v>7753</v>
      </c>
      <c r="E873" s="2" t="s">
        <v>32</v>
      </c>
      <c r="F873" s="2" t="s">
        <v>58</v>
      </c>
      <c r="G873" s="2">
        <v>25402.959999999999</v>
      </c>
      <c r="H873" s="2">
        <v>14237.23</v>
      </c>
      <c r="I873" s="2" t="s">
        <v>6752</v>
      </c>
      <c r="J873" s="2" t="s">
        <v>6729</v>
      </c>
      <c r="K873" s="2" t="s">
        <v>42</v>
      </c>
      <c r="L873" s="2" t="s">
        <v>43</v>
      </c>
      <c r="M873" s="2">
        <v>5</v>
      </c>
      <c r="N873" s="2" t="s">
        <v>33</v>
      </c>
      <c r="O873" s="2" t="s">
        <v>25</v>
      </c>
      <c r="P873" s="2" t="s">
        <v>49</v>
      </c>
    </row>
    <row r="874" spans="1:16" x14ac:dyDescent="0.25">
      <c r="A874" s="2" t="s">
        <v>2213</v>
      </c>
      <c r="B874" s="2" t="s">
        <v>3964</v>
      </c>
      <c r="C874" s="2">
        <v>8247</v>
      </c>
      <c r="D874" s="2" t="s">
        <v>7754</v>
      </c>
      <c r="E874" s="2" t="s">
        <v>6756</v>
      </c>
      <c r="F874" s="2" t="s">
        <v>19</v>
      </c>
      <c r="G874" s="2">
        <v>8658.7000000000007</v>
      </c>
      <c r="H874" s="2">
        <v>4994.09</v>
      </c>
      <c r="I874" s="2" t="s">
        <v>63</v>
      </c>
      <c r="J874" s="2" t="s">
        <v>54</v>
      </c>
      <c r="K874" s="2" t="s">
        <v>22</v>
      </c>
      <c r="L874" s="2" t="s">
        <v>48</v>
      </c>
      <c r="M874" s="2">
        <v>3</v>
      </c>
      <c r="N874" s="2" t="s">
        <v>24</v>
      </c>
      <c r="O874" s="2" t="s">
        <v>70</v>
      </c>
      <c r="P874" s="2" t="s">
        <v>34</v>
      </c>
    </row>
    <row r="875" spans="1:16" x14ac:dyDescent="0.25">
      <c r="A875" s="2" t="s">
        <v>2215</v>
      </c>
      <c r="B875" s="2" t="s">
        <v>7755</v>
      </c>
      <c r="C875" s="2">
        <v>4119</v>
      </c>
      <c r="D875" s="2" t="s">
        <v>7301</v>
      </c>
      <c r="E875" s="2" t="s">
        <v>38</v>
      </c>
      <c r="F875" s="2" t="s">
        <v>47</v>
      </c>
      <c r="G875" s="2">
        <v>19890.78</v>
      </c>
      <c r="H875" s="2">
        <v>9341.75</v>
      </c>
      <c r="I875" s="2" t="s">
        <v>6739</v>
      </c>
      <c r="J875" s="2" t="s">
        <v>6700</v>
      </c>
      <c r="K875" s="2" t="s">
        <v>42</v>
      </c>
      <c r="L875" s="2" t="s">
        <v>55</v>
      </c>
      <c r="M875" s="2">
        <v>5</v>
      </c>
      <c r="N875" s="2" t="s">
        <v>33</v>
      </c>
      <c r="O875" s="2" t="s">
        <v>25</v>
      </c>
      <c r="P875" s="2" t="s">
        <v>34</v>
      </c>
    </row>
    <row r="876" spans="1:16" x14ac:dyDescent="0.25">
      <c r="A876" s="2" t="s">
        <v>2217</v>
      </c>
      <c r="B876" s="2" t="s">
        <v>2579</v>
      </c>
      <c r="C876" s="2">
        <v>9847</v>
      </c>
      <c r="D876" s="2" t="s">
        <v>7756</v>
      </c>
      <c r="E876" s="2" t="s">
        <v>38</v>
      </c>
      <c r="F876" s="2" t="s">
        <v>30</v>
      </c>
      <c r="G876" s="2">
        <v>33623.71</v>
      </c>
      <c r="H876" s="2">
        <v>18642.48</v>
      </c>
      <c r="I876" s="2" t="s">
        <v>63</v>
      </c>
      <c r="J876" s="2" t="s">
        <v>54</v>
      </c>
      <c r="K876" s="2" t="s">
        <v>22</v>
      </c>
      <c r="L876" s="2" t="s">
        <v>23</v>
      </c>
      <c r="M876" s="2">
        <v>2</v>
      </c>
      <c r="N876" s="2" t="s">
        <v>69</v>
      </c>
      <c r="O876" s="2" t="s">
        <v>25</v>
      </c>
      <c r="P876" s="2" t="s">
        <v>49</v>
      </c>
    </row>
    <row r="878" spans="1:16" x14ac:dyDescent="0.25">
      <c r="A878" s="2" t="s">
        <v>2219</v>
      </c>
      <c r="B878" s="2" t="s">
        <v>1659</v>
      </c>
      <c r="C878" s="2">
        <v>1800</v>
      </c>
      <c r="D878" s="2" t="s">
        <v>2591</v>
      </c>
      <c r="E878" s="2" t="s">
        <v>18</v>
      </c>
      <c r="F878" s="2" t="s">
        <v>58</v>
      </c>
      <c r="G878" s="2">
        <v>38994.449999999997</v>
      </c>
      <c r="H878" s="2">
        <v>24455.7</v>
      </c>
      <c r="I878" s="2" t="s">
        <v>53</v>
      </c>
      <c r="J878" s="2" t="s">
        <v>54</v>
      </c>
      <c r="K878" s="2" t="s">
        <v>80</v>
      </c>
      <c r="L878" s="2" t="s">
        <v>88</v>
      </c>
      <c r="M878" s="2">
        <v>3</v>
      </c>
      <c r="N878" s="2" t="s">
        <v>33</v>
      </c>
      <c r="O878" s="2" t="s">
        <v>70</v>
      </c>
      <c r="P878" s="2" t="s">
        <v>34</v>
      </c>
    </row>
    <row r="879" spans="1:16" x14ac:dyDescent="0.25">
      <c r="A879" s="2" t="s">
        <v>2221</v>
      </c>
      <c r="B879" s="2" t="s">
        <v>7757</v>
      </c>
      <c r="C879" s="2">
        <v>4733</v>
      </c>
      <c r="D879" s="2" t="s">
        <v>7758</v>
      </c>
      <c r="E879" s="2" t="s">
        <v>6708</v>
      </c>
      <c r="F879" s="2" t="s">
        <v>58</v>
      </c>
      <c r="G879" s="2">
        <v>26008.74</v>
      </c>
      <c r="H879" s="2">
        <v>11958.81</v>
      </c>
      <c r="I879" s="2" t="s">
        <v>6752</v>
      </c>
      <c r="J879" s="2" t="s">
        <v>6691</v>
      </c>
      <c r="K879" s="2" t="s">
        <v>42</v>
      </c>
      <c r="L879" s="2" t="s">
        <v>23</v>
      </c>
      <c r="M879" s="2">
        <v>5</v>
      </c>
      <c r="N879" s="2" t="s">
        <v>33</v>
      </c>
      <c r="O879" s="2" t="s">
        <v>25</v>
      </c>
      <c r="P879" s="2" t="s">
        <v>49</v>
      </c>
    </row>
    <row r="880" spans="1:16" x14ac:dyDescent="0.25">
      <c r="A880" s="2" t="s">
        <v>2223</v>
      </c>
      <c r="B880" s="2" t="s">
        <v>172</v>
      </c>
      <c r="C880" s="2">
        <v>9615</v>
      </c>
      <c r="D880" s="2" t="s">
        <v>7759</v>
      </c>
      <c r="E880" s="2" t="s">
        <v>18</v>
      </c>
      <c r="F880" s="2" t="s">
        <v>30</v>
      </c>
      <c r="G880" s="2">
        <v>15885.73</v>
      </c>
      <c r="H880" s="2">
        <v>7341.47</v>
      </c>
      <c r="I880" s="2" t="s">
        <v>40</v>
      </c>
      <c r="J880" s="2" t="s">
        <v>41</v>
      </c>
      <c r="K880" s="2" t="s">
        <v>22</v>
      </c>
      <c r="L880" s="2" t="s">
        <v>55</v>
      </c>
      <c r="M880" s="2">
        <v>4</v>
      </c>
      <c r="N880" s="2" t="s">
        <v>33</v>
      </c>
      <c r="O880" s="2" t="s">
        <v>25</v>
      </c>
      <c r="P880" s="2" t="s">
        <v>49</v>
      </c>
    </row>
    <row r="881" spans="1:16" x14ac:dyDescent="0.25">
      <c r="A881" s="2" t="s">
        <v>2225</v>
      </c>
      <c r="B881" s="2" t="s">
        <v>7760</v>
      </c>
      <c r="C881" s="2">
        <v>9969</v>
      </c>
      <c r="D881" s="2" t="s">
        <v>7761</v>
      </c>
      <c r="E881" s="2" t="s">
        <v>6719</v>
      </c>
      <c r="F881" s="2" t="s">
        <v>19</v>
      </c>
      <c r="G881" s="2">
        <v>10727.48</v>
      </c>
      <c r="H881" s="2">
        <v>6824.61</v>
      </c>
      <c r="I881" s="2" t="s">
        <v>6794</v>
      </c>
      <c r="J881" s="2" t="s">
        <v>6789</v>
      </c>
      <c r="K881" s="2" t="s">
        <v>32</v>
      </c>
      <c r="L881" s="2" t="s">
        <v>64</v>
      </c>
      <c r="M881" s="2">
        <v>2</v>
      </c>
      <c r="N881" s="2" t="s">
        <v>24</v>
      </c>
      <c r="O881" s="2" t="s">
        <v>25</v>
      </c>
      <c r="P881" s="2" t="s">
        <v>34</v>
      </c>
    </row>
    <row r="882" spans="1:16" x14ac:dyDescent="0.25">
      <c r="A882" s="2" t="s">
        <v>2228</v>
      </c>
      <c r="B882" s="2" t="s">
        <v>5417</v>
      </c>
      <c r="C882" s="2">
        <v>6038</v>
      </c>
      <c r="D882" s="2" t="s">
        <v>7762</v>
      </c>
      <c r="E882" s="2" t="s">
        <v>38</v>
      </c>
      <c r="F882" s="2" t="s">
        <v>58</v>
      </c>
      <c r="G882" s="2">
        <v>21862.32</v>
      </c>
      <c r="H882" s="2">
        <v>9928.59</v>
      </c>
      <c r="I882" s="2" t="s">
        <v>6695</v>
      </c>
      <c r="J882" s="2" t="s">
        <v>6696</v>
      </c>
      <c r="K882" s="2" t="s">
        <v>80</v>
      </c>
      <c r="L882" s="2" t="s">
        <v>48</v>
      </c>
      <c r="M882" s="2">
        <v>2</v>
      </c>
      <c r="N882" s="2" t="s">
        <v>33</v>
      </c>
      <c r="O882" s="2" t="s">
        <v>70</v>
      </c>
      <c r="P882" s="2" t="s">
        <v>49</v>
      </c>
    </row>
    <row r="883" spans="1:16" x14ac:dyDescent="0.25">
      <c r="A883" s="2" t="s">
        <v>2230</v>
      </c>
      <c r="B883" s="2" t="s">
        <v>7763</v>
      </c>
      <c r="C883" s="2">
        <v>3566</v>
      </c>
      <c r="D883" s="2" t="s">
        <v>2640</v>
      </c>
      <c r="E883" s="2" t="s">
        <v>6748</v>
      </c>
      <c r="F883" s="2" t="s">
        <v>47</v>
      </c>
      <c r="G883" s="2">
        <v>17192.13</v>
      </c>
      <c r="H883" s="2">
        <v>9021.2800000000007</v>
      </c>
      <c r="I883" s="2" t="s">
        <v>6808</v>
      </c>
      <c r="J883" s="2" t="s">
        <v>6700</v>
      </c>
      <c r="K883" s="2" t="s">
        <v>42</v>
      </c>
      <c r="L883" s="2" t="s">
        <v>55</v>
      </c>
      <c r="M883" s="2">
        <v>2</v>
      </c>
      <c r="N883" s="2" t="s">
        <v>33</v>
      </c>
      <c r="O883" s="2" t="s">
        <v>25</v>
      </c>
      <c r="P883" s="2" t="s">
        <v>49</v>
      </c>
    </row>
    <row r="884" spans="1:16" x14ac:dyDescent="0.25">
      <c r="A884" s="2" t="s">
        <v>2232</v>
      </c>
      <c r="B884" s="2" t="s">
        <v>1666</v>
      </c>
      <c r="C884" s="2">
        <v>7736</v>
      </c>
      <c r="D884" s="2" t="s">
        <v>7764</v>
      </c>
      <c r="E884" s="2" t="s">
        <v>38</v>
      </c>
      <c r="F884" s="2" t="s">
        <v>58</v>
      </c>
      <c r="G884" s="2">
        <v>35940.699999999997</v>
      </c>
      <c r="H884" s="2">
        <v>19860.689999999999</v>
      </c>
      <c r="I884" s="2" t="s">
        <v>84</v>
      </c>
      <c r="J884" s="2" t="s">
        <v>54</v>
      </c>
      <c r="K884" s="2" t="s">
        <v>22</v>
      </c>
      <c r="L884" s="2" t="s">
        <v>23</v>
      </c>
      <c r="M884" s="2">
        <v>1</v>
      </c>
      <c r="N884" s="2" t="s">
        <v>33</v>
      </c>
      <c r="O884" s="2" t="s">
        <v>25</v>
      </c>
      <c r="P884" s="2" t="s">
        <v>49</v>
      </c>
    </row>
    <row r="885" spans="1:16" x14ac:dyDescent="0.25">
      <c r="A885" s="2" t="s">
        <v>2234</v>
      </c>
      <c r="B885" s="2" t="s">
        <v>7765</v>
      </c>
      <c r="C885" s="2">
        <v>2008</v>
      </c>
      <c r="D885" s="2" t="s">
        <v>7766</v>
      </c>
      <c r="E885" s="2" t="s">
        <v>6680</v>
      </c>
      <c r="F885" s="2" t="s">
        <v>39</v>
      </c>
      <c r="G885" s="2">
        <v>7723.92</v>
      </c>
      <c r="H885" s="2">
        <v>4536.76</v>
      </c>
      <c r="I885" s="2" t="s">
        <v>6681</v>
      </c>
      <c r="J885" s="2" t="s">
        <v>6713</v>
      </c>
      <c r="K885" s="2" t="s">
        <v>22</v>
      </c>
      <c r="L885" s="2" t="s">
        <v>88</v>
      </c>
      <c r="M885" s="2">
        <v>2</v>
      </c>
      <c r="N885" s="2" t="s">
        <v>33</v>
      </c>
      <c r="O885" s="2" t="s">
        <v>25</v>
      </c>
      <c r="P885" s="2" t="s">
        <v>34</v>
      </c>
    </row>
    <row r="886" spans="1:16" x14ac:dyDescent="0.25">
      <c r="A886" s="2" t="s">
        <v>2237</v>
      </c>
      <c r="B886" s="2" t="s">
        <v>7767</v>
      </c>
      <c r="C886" s="2">
        <v>2549</v>
      </c>
      <c r="D886" s="2" t="s">
        <v>7768</v>
      </c>
      <c r="E886" s="2" t="s">
        <v>6708</v>
      </c>
      <c r="F886" s="2" t="s">
        <v>39</v>
      </c>
      <c r="G886" s="2">
        <v>24852.28</v>
      </c>
      <c r="H886" s="2">
        <v>14768.48</v>
      </c>
      <c r="I886" s="2" t="s">
        <v>6699</v>
      </c>
      <c r="J886" s="2" t="s">
        <v>6729</v>
      </c>
      <c r="K886" s="2" t="s">
        <v>22</v>
      </c>
      <c r="L886" s="2" t="s">
        <v>43</v>
      </c>
      <c r="M886" s="2">
        <v>1</v>
      </c>
      <c r="N886" s="2" t="s">
        <v>24</v>
      </c>
      <c r="O886" s="2" t="s">
        <v>25</v>
      </c>
      <c r="P886" s="2" t="s">
        <v>49</v>
      </c>
    </row>
    <row r="887" spans="1:16" x14ac:dyDescent="0.25">
      <c r="A887" s="2" t="s">
        <v>2239</v>
      </c>
      <c r="B887" s="2" t="s">
        <v>6336</v>
      </c>
      <c r="C887" s="2">
        <v>2258</v>
      </c>
      <c r="D887" s="2" t="s">
        <v>4929</v>
      </c>
      <c r="E887" s="2" t="s">
        <v>18</v>
      </c>
      <c r="F887" s="2" t="s">
        <v>47</v>
      </c>
      <c r="G887" s="2">
        <v>12578.97</v>
      </c>
      <c r="H887" s="2">
        <v>7199.89</v>
      </c>
      <c r="I887" s="2" t="s">
        <v>53</v>
      </c>
      <c r="J887" s="2" t="s">
        <v>54</v>
      </c>
      <c r="K887" s="2" t="s">
        <v>80</v>
      </c>
      <c r="L887" s="2" t="s">
        <v>88</v>
      </c>
      <c r="M887" s="2">
        <v>4</v>
      </c>
      <c r="N887" s="2" t="s">
        <v>33</v>
      </c>
      <c r="O887" s="2" t="s">
        <v>70</v>
      </c>
      <c r="P887" s="2" t="s">
        <v>34</v>
      </c>
    </row>
    <row r="888" spans="1:16" x14ac:dyDescent="0.25">
      <c r="A888" s="2" t="s">
        <v>2241</v>
      </c>
      <c r="B888" s="2" t="s">
        <v>7769</v>
      </c>
      <c r="C888" s="2">
        <v>1435</v>
      </c>
      <c r="D888" s="2" t="s">
        <v>7770</v>
      </c>
      <c r="E888" s="2" t="s">
        <v>32</v>
      </c>
      <c r="F888" s="2" t="s">
        <v>47</v>
      </c>
      <c r="G888" s="2">
        <v>7369.6</v>
      </c>
      <c r="H888" s="2">
        <v>3809.48</v>
      </c>
      <c r="I888" s="2" t="s">
        <v>6771</v>
      </c>
      <c r="J888" s="2" t="s">
        <v>6696</v>
      </c>
      <c r="K888" s="2" t="s">
        <v>80</v>
      </c>
      <c r="L888" s="2" t="s">
        <v>55</v>
      </c>
      <c r="M888" s="2">
        <v>5</v>
      </c>
      <c r="N888" s="2" t="s">
        <v>33</v>
      </c>
      <c r="O888" s="2" t="s">
        <v>25</v>
      </c>
      <c r="P888" s="2" t="s">
        <v>26</v>
      </c>
    </row>
    <row r="889" spans="1:16" x14ac:dyDescent="0.25">
      <c r="A889" s="2" t="s">
        <v>2244</v>
      </c>
      <c r="B889" s="2" t="s">
        <v>3159</v>
      </c>
      <c r="C889" s="2">
        <v>4501</v>
      </c>
      <c r="D889" s="2" t="s">
        <v>7771</v>
      </c>
      <c r="E889" s="2" t="s">
        <v>38</v>
      </c>
      <c r="F889" s="2" t="s">
        <v>58</v>
      </c>
      <c r="G889" s="2">
        <v>27015.599999999999</v>
      </c>
      <c r="H889" s="2">
        <v>16436.740000000002</v>
      </c>
      <c r="I889" s="2" t="s">
        <v>31</v>
      </c>
      <c r="J889" s="2" t="s">
        <v>21</v>
      </c>
      <c r="K889" s="2" t="s">
        <v>32</v>
      </c>
      <c r="L889" s="2" t="s">
        <v>55</v>
      </c>
      <c r="M889" s="2">
        <v>1</v>
      </c>
      <c r="N889" s="2" t="s">
        <v>33</v>
      </c>
      <c r="O889" s="2" t="s">
        <v>25</v>
      </c>
      <c r="P889" s="2" t="s">
        <v>26</v>
      </c>
    </row>
    <row r="890" spans="1:16" x14ac:dyDescent="0.25">
      <c r="A890" s="2" t="s">
        <v>2247</v>
      </c>
      <c r="B890" s="2" t="s">
        <v>2417</v>
      </c>
      <c r="C890" s="2">
        <v>7504</v>
      </c>
      <c r="D890" s="2" t="s">
        <v>7772</v>
      </c>
      <c r="E890" s="2" t="s">
        <v>38</v>
      </c>
      <c r="F890" s="2" t="s">
        <v>39</v>
      </c>
      <c r="G890" s="2">
        <v>21064.959999999999</v>
      </c>
      <c r="H890" s="2">
        <v>9590.35</v>
      </c>
      <c r="I890" s="2" t="s">
        <v>31</v>
      </c>
      <c r="J890" s="2" t="s">
        <v>21</v>
      </c>
      <c r="K890" s="2" t="s">
        <v>32</v>
      </c>
      <c r="L890" s="2" t="s">
        <v>64</v>
      </c>
      <c r="M890" s="2">
        <v>2</v>
      </c>
      <c r="N890" s="2" t="s">
        <v>33</v>
      </c>
      <c r="O890" s="2" t="s">
        <v>70</v>
      </c>
      <c r="P890" s="2" t="s">
        <v>26</v>
      </c>
    </row>
    <row r="891" spans="1:16" x14ac:dyDescent="0.25">
      <c r="A891" s="2" t="s">
        <v>2250</v>
      </c>
      <c r="B891" s="2" t="s">
        <v>3411</v>
      </c>
      <c r="C891" s="2">
        <v>2257</v>
      </c>
      <c r="D891" s="2" t="s">
        <v>7773</v>
      </c>
      <c r="E891" s="2" t="s">
        <v>18</v>
      </c>
      <c r="F891" s="2" t="s">
        <v>39</v>
      </c>
      <c r="G891" s="2">
        <v>15419.86</v>
      </c>
      <c r="H891" s="2">
        <v>7051.45</v>
      </c>
      <c r="I891" s="2" t="s">
        <v>20</v>
      </c>
      <c r="J891" s="2" t="s">
        <v>21</v>
      </c>
      <c r="K891" s="2" t="s">
        <v>42</v>
      </c>
      <c r="L891" s="2" t="s">
        <v>23</v>
      </c>
      <c r="M891" s="2">
        <v>5</v>
      </c>
      <c r="N891" s="2" t="s">
        <v>24</v>
      </c>
      <c r="O891" s="2" t="s">
        <v>70</v>
      </c>
      <c r="P891" s="2" t="s">
        <v>26</v>
      </c>
    </row>
    <row r="892" spans="1:16" x14ac:dyDescent="0.25">
      <c r="A892" s="2" t="s">
        <v>2252</v>
      </c>
      <c r="B892" s="2" t="s">
        <v>7774</v>
      </c>
      <c r="C892" s="2">
        <v>1759</v>
      </c>
      <c r="D892" s="2" t="s">
        <v>7775</v>
      </c>
      <c r="E892" s="2" t="s">
        <v>6694</v>
      </c>
      <c r="F892" s="2" t="s">
        <v>39</v>
      </c>
      <c r="G892" s="2">
        <v>13556.15</v>
      </c>
      <c r="H892" s="2">
        <v>6449.44</v>
      </c>
      <c r="I892" s="2" t="s">
        <v>120</v>
      </c>
      <c r="J892" s="2" t="s">
        <v>21</v>
      </c>
      <c r="K892" s="2" t="s">
        <v>22</v>
      </c>
      <c r="L892" s="2" t="s">
        <v>55</v>
      </c>
      <c r="M892" s="2">
        <v>2</v>
      </c>
      <c r="N892" s="2" t="s">
        <v>69</v>
      </c>
      <c r="O892" s="2" t="s">
        <v>25</v>
      </c>
      <c r="P892" s="2" t="s">
        <v>26</v>
      </c>
    </row>
    <row r="893" spans="1:16" x14ac:dyDescent="0.25">
      <c r="A893" s="2" t="s">
        <v>2254</v>
      </c>
      <c r="B893" s="2" t="s">
        <v>533</v>
      </c>
      <c r="C893" s="2">
        <v>3875</v>
      </c>
      <c r="D893" s="2" t="s">
        <v>7776</v>
      </c>
      <c r="E893" s="2" t="s">
        <v>32</v>
      </c>
      <c r="F893" s="2" t="s">
        <v>30</v>
      </c>
      <c r="G893" s="2">
        <v>36652.76</v>
      </c>
      <c r="H893" s="2">
        <v>18990.04</v>
      </c>
      <c r="I893" s="2" t="s">
        <v>6752</v>
      </c>
      <c r="J893" s="2" t="s">
        <v>6691</v>
      </c>
      <c r="K893" s="2" t="s">
        <v>22</v>
      </c>
      <c r="L893" s="2" t="s">
        <v>64</v>
      </c>
      <c r="M893" s="2">
        <v>5</v>
      </c>
      <c r="N893" s="2" t="s">
        <v>24</v>
      </c>
      <c r="O893" s="2" t="s">
        <v>25</v>
      </c>
      <c r="P893" s="2" t="s">
        <v>26</v>
      </c>
    </row>
    <row r="894" spans="1:16" x14ac:dyDescent="0.25">
      <c r="A894" s="2" t="s">
        <v>2257</v>
      </c>
      <c r="B894" s="2" t="s">
        <v>633</v>
      </c>
      <c r="C894" s="2">
        <v>1660</v>
      </c>
      <c r="D894" s="2" t="s">
        <v>7777</v>
      </c>
      <c r="E894" s="2" t="s">
        <v>6756</v>
      </c>
      <c r="F894" s="2" t="s">
        <v>19</v>
      </c>
      <c r="G894" s="2">
        <v>8763.06</v>
      </c>
      <c r="H894" s="2">
        <v>5514.35</v>
      </c>
      <c r="I894" s="2" t="s">
        <v>6910</v>
      </c>
      <c r="J894" s="2" t="s">
        <v>6795</v>
      </c>
      <c r="K894" s="2" t="s">
        <v>22</v>
      </c>
      <c r="L894" s="2" t="s">
        <v>43</v>
      </c>
      <c r="M894" s="2">
        <v>4</v>
      </c>
      <c r="N894" s="2" t="s">
        <v>24</v>
      </c>
      <c r="O894" s="2" t="s">
        <v>25</v>
      </c>
      <c r="P894" s="2" t="s">
        <v>26</v>
      </c>
    </row>
    <row r="895" spans="1:16" x14ac:dyDescent="0.25">
      <c r="A895" s="2" t="s">
        <v>2259</v>
      </c>
      <c r="B895" s="2" t="s">
        <v>865</v>
      </c>
      <c r="C895" s="2">
        <v>3033</v>
      </c>
      <c r="D895" s="2" t="s">
        <v>7778</v>
      </c>
      <c r="E895" s="2" t="s">
        <v>18</v>
      </c>
      <c r="F895" s="2" t="s">
        <v>39</v>
      </c>
      <c r="G895" s="2">
        <v>6618.31</v>
      </c>
      <c r="H895" s="2">
        <v>3468.74</v>
      </c>
      <c r="I895" s="2" t="s">
        <v>68</v>
      </c>
      <c r="J895" s="2" t="s">
        <v>41</v>
      </c>
      <c r="K895" s="2" t="s">
        <v>22</v>
      </c>
      <c r="L895" s="2" t="s">
        <v>43</v>
      </c>
      <c r="M895" s="2">
        <v>1</v>
      </c>
      <c r="N895" s="2" t="s">
        <v>24</v>
      </c>
      <c r="O895" s="2" t="s">
        <v>70</v>
      </c>
      <c r="P895" s="2" t="s">
        <v>49</v>
      </c>
    </row>
    <row r="896" spans="1:16" x14ac:dyDescent="0.25">
      <c r="A896" s="2" t="s">
        <v>2261</v>
      </c>
      <c r="B896" s="2" t="s">
        <v>7779</v>
      </c>
      <c r="C896" s="2">
        <v>5181</v>
      </c>
      <c r="D896" s="2" t="s">
        <v>7780</v>
      </c>
      <c r="E896" s="2" t="s">
        <v>6694</v>
      </c>
      <c r="F896" s="2" t="s">
        <v>30</v>
      </c>
      <c r="G896" s="2">
        <v>38820.39</v>
      </c>
      <c r="H896" s="2">
        <v>22110.93</v>
      </c>
      <c r="I896" s="2" t="s">
        <v>6799</v>
      </c>
      <c r="J896" s="2" t="s">
        <v>6713</v>
      </c>
      <c r="K896" s="2" t="s">
        <v>80</v>
      </c>
      <c r="L896" s="2" t="s">
        <v>43</v>
      </c>
      <c r="M896" s="2">
        <v>5</v>
      </c>
      <c r="N896" s="2" t="s">
        <v>69</v>
      </c>
      <c r="O896" s="2" t="s">
        <v>70</v>
      </c>
      <c r="P896" s="2" t="s">
        <v>49</v>
      </c>
    </row>
    <row r="897" spans="1:16" x14ac:dyDescent="0.25">
      <c r="A897" s="2" t="s">
        <v>2264</v>
      </c>
      <c r="B897" s="2" t="s">
        <v>7781</v>
      </c>
      <c r="C897" s="2">
        <v>5842</v>
      </c>
      <c r="D897" s="2" t="s">
        <v>7782</v>
      </c>
      <c r="E897" s="2" t="s">
        <v>6694</v>
      </c>
      <c r="F897" s="2" t="s">
        <v>19</v>
      </c>
      <c r="G897" s="2">
        <v>14076.67</v>
      </c>
      <c r="H897" s="2">
        <v>7365.42</v>
      </c>
      <c r="I897" s="2" t="s">
        <v>6867</v>
      </c>
      <c r="J897" s="2" t="s">
        <v>6802</v>
      </c>
      <c r="K897" s="2" t="s">
        <v>80</v>
      </c>
      <c r="L897" s="2" t="s">
        <v>48</v>
      </c>
      <c r="M897" s="2">
        <v>5</v>
      </c>
      <c r="N897" s="2" t="s">
        <v>33</v>
      </c>
      <c r="O897" s="2" t="s">
        <v>25</v>
      </c>
      <c r="P897" s="2" t="s">
        <v>26</v>
      </c>
    </row>
    <row r="898" spans="1:16" x14ac:dyDescent="0.25">
      <c r="A898" s="2" t="s">
        <v>2266</v>
      </c>
      <c r="B898" s="2" t="s">
        <v>7783</v>
      </c>
      <c r="C898" s="2">
        <v>3314</v>
      </c>
      <c r="D898" s="2" t="s">
        <v>2681</v>
      </c>
      <c r="E898" s="2" t="s">
        <v>6708</v>
      </c>
      <c r="F898" s="2" t="s">
        <v>58</v>
      </c>
      <c r="G898" s="2">
        <v>21521.11</v>
      </c>
      <c r="H898" s="2">
        <v>12094.21</v>
      </c>
      <c r="I898" s="2" t="s">
        <v>6749</v>
      </c>
      <c r="J898" s="2" t="s">
        <v>41</v>
      </c>
      <c r="K898" s="2" t="s">
        <v>22</v>
      </c>
      <c r="L898" s="2" t="s">
        <v>64</v>
      </c>
      <c r="M898" s="2">
        <v>5</v>
      </c>
      <c r="N898" s="2" t="s">
        <v>24</v>
      </c>
      <c r="O898" s="2" t="s">
        <v>70</v>
      </c>
      <c r="P898" s="2" t="s">
        <v>34</v>
      </c>
    </row>
    <row r="899" spans="1:16" x14ac:dyDescent="0.25">
      <c r="A899" s="2" t="s">
        <v>2269</v>
      </c>
      <c r="B899" s="2" t="s">
        <v>2071</v>
      </c>
      <c r="C899" s="2">
        <v>4610</v>
      </c>
      <c r="D899" s="2" t="s">
        <v>7784</v>
      </c>
      <c r="E899" s="2" t="s">
        <v>38</v>
      </c>
      <c r="F899" s="2" t="s">
        <v>19</v>
      </c>
      <c r="G899" s="2">
        <v>13217.13</v>
      </c>
      <c r="H899" s="2">
        <v>7540.11</v>
      </c>
      <c r="I899" s="2" t="s">
        <v>20</v>
      </c>
      <c r="J899" s="2" t="s">
        <v>21</v>
      </c>
      <c r="K899" s="2" t="s">
        <v>42</v>
      </c>
      <c r="L899" s="2" t="s">
        <v>48</v>
      </c>
      <c r="M899" s="2">
        <v>2</v>
      </c>
      <c r="N899" s="2" t="s">
        <v>69</v>
      </c>
      <c r="O899" s="2" t="s">
        <v>25</v>
      </c>
      <c r="P899" s="2" t="s">
        <v>49</v>
      </c>
    </row>
    <row r="900" spans="1:16" x14ac:dyDescent="0.25">
      <c r="A900" s="2" t="s">
        <v>2272</v>
      </c>
      <c r="B900" s="2" t="s">
        <v>2293</v>
      </c>
      <c r="C900" s="2">
        <v>2930</v>
      </c>
      <c r="D900" s="2" t="s">
        <v>7785</v>
      </c>
      <c r="E900" s="2" t="s">
        <v>6743</v>
      </c>
      <c r="F900" s="2" t="s">
        <v>47</v>
      </c>
      <c r="G900" s="2">
        <v>17222.63</v>
      </c>
      <c r="H900" s="2">
        <v>9700.7099999999991</v>
      </c>
      <c r="I900" s="2" t="s">
        <v>6726</v>
      </c>
      <c r="J900" s="2" t="s">
        <v>6724</v>
      </c>
      <c r="K900" s="2" t="s">
        <v>80</v>
      </c>
      <c r="L900" s="2" t="s">
        <v>88</v>
      </c>
      <c r="M900" s="2">
        <v>1</v>
      </c>
      <c r="N900" s="2" t="s">
        <v>24</v>
      </c>
      <c r="O900" s="2" t="s">
        <v>70</v>
      </c>
      <c r="P900" s="2" t="s">
        <v>26</v>
      </c>
    </row>
    <row r="901" spans="1:16" x14ac:dyDescent="0.25">
      <c r="A901" s="2" t="s">
        <v>2275</v>
      </c>
      <c r="B901" s="2" t="s">
        <v>5193</v>
      </c>
      <c r="C901" s="2">
        <v>7667</v>
      </c>
      <c r="D901" s="2" t="s">
        <v>7786</v>
      </c>
      <c r="E901" s="2" t="s">
        <v>18</v>
      </c>
      <c r="F901" s="2" t="s">
        <v>19</v>
      </c>
      <c r="G901" s="2">
        <v>16890.189999999999</v>
      </c>
      <c r="H901" s="2">
        <v>8332.3799999999992</v>
      </c>
      <c r="I901" s="2" t="s">
        <v>20</v>
      </c>
      <c r="J901" s="2" t="s">
        <v>21</v>
      </c>
      <c r="K901" s="2" t="s">
        <v>80</v>
      </c>
      <c r="L901" s="2" t="s">
        <v>64</v>
      </c>
      <c r="M901" s="2">
        <v>1</v>
      </c>
      <c r="N901" s="2" t="s">
        <v>24</v>
      </c>
      <c r="O901" s="2" t="s">
        <v>70</v>
      </c>
      <c r="P901" s="2" t="s">
        <v>26</v>
      </c>
    </row>
    <row r="902" spans="1:16" x14ac:dyDescent="0.25">
      <c r="A902" s="2" t="s">
        <v>2277</v>
      </c>
      <c r="B902" s="2" t="s">
        <v>5808</v>
      </c>
      <c r="C902" s="2">
        <v>4146</v>
      </c>
      <c r="D902" s="2" t="s">
        <v>7787</v>
      </c>
      <c r="E902" s="2" t="s">
        <v>38</v>
      </c>
      <c r="F902" s="2" t="s">
        <v>30</v>
      </c>
      <c r="G902" s="2">
        <v>38534.01</v>
      </c>
      <c r="H902" s="2">
        <v>18488.25</v>
      </c>
      <c r="I902" s="2" t="s">
        <v>59</v>
      </c>
      <c r="J902" s="2" t="s">
        <v>41</v>
      </c>
      <c r="K902" s="2" t="s">
        <v>42</v>
      </c>
      <c r="L902" s="2" t="s">
        <v>43</v>
      </c>
      <c r="M902" s="2">
        <v>3</v>
      </c>
      <c r="N902" s="2" t="s">
        <v>24</v>
      </c>
      <c r="O902" s="2" t="s">
        <v>25</v>
      </c>
      <c r="P902" s="2" t="s">
        <v>26</v>
      </c>
    </row>
    <row r="903" spans="1:16" x14ac:dyDescent="0.25">
      <c r="A903" s="2" t="s">
        <v>2280</v>
      </c>
      <c r="B903" s="2" t="s">
        <v>3213</v>
      </c>
      <c r="C903" s="2">
        <v>7400</v>
      </c>
      <c r="D903" s="2" t="s">
        <v>7788</v>
      </c>
      <c r="E903" s="2" t="s">
        <v>38</v>
      </c>
      <c r="F903" s="2" t="s">
        <v>58</v>
      </c>
      <c r="G903" s="2">
        <v>14236.61</v>
      </c>
      <c r="H903" s="2">
        <v>6563.51</v>
      </c>
      <c r="I903" s="2" t="s">
        <v>63</v>
      </c>
      <c r="J903" s="2" t="s">
        <v>6753</v>
      </c>
      <c r="K903" s="2" t="s">
        <v>80</v>
      </c>
      <c r="L903" s="2" t="s">
        <v>43</v>
      </c>
      <c r="M903" s="2">
        <v>2</v>
      </c>
      <c r="N903" s="2" t="s">
        <v>33</v>
      </c>
      <c r="O903" s="2" t="s">
        <v>70</v>
      </c>
      <c r="P903" s="2" t="s">
        <v>49</v>
      </c>
    </row>
    <row r="904" spans="1:16" x14ac:dyDescent="0.25">
      <c r="A904" s="2" t="s">
        <v>2282</v>
      </c>
      <c r="B904" s="2" t="s">
        <v>2619</v>
      </c>
      <c r="C904" s="2">
        <v>2198</v>
      </c>
      <c r="D904" s="2" t="s">
        <v>7789</v>
      </c>
      <c r="E904" s="2" t="s">
        <v>38</v>
      </c>
      <c r="F904" s="2" t="s">
        <v>19</v>
      </c>
      <c r="G904" s="2">
        <v>3215.77</v>
      </c>
      <c r="H904" s="2">
        <v>1709.37</v>
      </c>
      <c r="I904" s="2" t="s">
        <v>31</v>
      </c>
      <c r="J904" s="2" t="s">
        <v>21</v>
      </c>
      <c r="K904" s="2" t="s">
        <v>32</v>
      </c>
      <c r="L904" s="2" t="s">
        <v>48</v>
      </c>
      <c r="M904" s="2">
        <v>5</v>
      </c>
      <c r="N904" s="2" t="s">
        <v>33</v>
      </c>
      <c r="O904" s="2" t="s">
        <v>25</v>
      </c>
      <c r="P904" s="2" t="s">
        <v>34</v>
      </c>
    </row>
    <row r="905" spans="1:16" x14ac:dyDescent="0.25">
      <c r="A905" s="2" t="s">
        <v>2284</v>
      </c>
      <c r="B905" s="2" t="s">
        <v>3927</v>
      </c>
      <c r="C905" s="2">
        <v>1275</v>
      </c>
      <c r="D905" s="2" t="s">
        <v>7790</v>
      </c>
      <c r="E905" s="2" t="s">
        <v>38</v>
      </c>
      <c r="F905" s="2" t="s">
        <v>19</v>
      </c>
      <c r="G905" s="2">
        <v>8406.01</v>
      </c>
      <c r="H905" s="2">
        <v>4789.47</v>
      </c>
      <c r="I905" s="2" t="s">
        <v>20</v>
      </c>
      <c r="J905" s="2" t="s">
        <v>21</v>
      </c>
      <c r="K905" s="2" t="s">
        <v>80</v>
      </c>
      <c r="L905" s="2" t="s">
        <v>23</v>
      </c>
      <c r="M905" s="2">
        <v>1</v>
      </c>
      <c r="N905" s="2" t="s">
        <v>24</v>
      </c>
      <c r="O905" s="2" t="s">
        <v>25</v>
      </c>
      <c r="P905" s="2" t="s">
        <v>26</v>
      </c>
    </row>
    <row r="906" spans="1:16" x14ac:dyDescent="0.25">
      <c r="A906" s="2" t="s">
        <v>2287</v>
      </c>
      <c r="B906" s="2" t="s">
        <v>125</v>
      </c>
      <c r="C906" s="2">
        <v>2508</v>
      </c>
      <c r="D906" s="2" t="s">
        <v>7791</v>
      </c>
      <c r="E906" s="2" t="s">
        <v>38</v>
      </c>
      <c r="F906" s="2" t="s">
        <v>19</v>
      </c>
      <c r="G906" s="2">
        <v>16114.18</v>
      </c>
      <c r="H906" s="2">
        <v>9913.4599999999991</v>
      </c>
      <c r="I906" s="2" t="s">
        <v>120</v>
      </c>
      <c r="J906" s="2" t="s">
        <v>21</v>
      </c>
      <c r="K906" s="2" t="s">
        <v>80</v>
      </c>
      <c r="L906" s="2" t="s">
        <v>55</v>
      </c>
      <c r="M906" s="2">
        <v>2</v>
      </c>
      <c r="N906" s="2" t="s">
        <v>24</v>
      </c>
      <c r="O906" s="2" t="s">
        <v>70</v>
      </c>
      <c r="P906" s="2" t="s">
        <v>26</v>
      </c>
    </row>
    <row r="907" spans="1:16" x14ac:dyDescent="0.25">
      <c r="A907" s="2" t="s">
        <v>2288</v>
      </c>
      <c r="B907" s="2" t="s">
        <v>7792</v>
      </c>
      <c r="C907" s="2">
        <v>4199</v>
      </c>
      <c r="D907" s="2" t="s">
        <v>7793</v>
      </c>
      <c r="E907" s="2" t="s">
        <v>18</v>
      </c>
      <c r="F907" s="2" t="s">
        <v>47</v>
      </c>
      <c r="G907" s="2">
        <v>6946</v>
      </c>
      <c r="H907" s="2">
        <v>3448.15</v>
      </c>
      <c r="I907" s="2" t="s">
        <v>53</v>
      </c>
      <c r="J907" s="2" t="s">
        <v>54</v>
      </c>
      <c r="K907" s="2" t="s">
        <v>32</v>
      </c>
      <c r="L907" s="2" t="s">
        <v>88</v>
      </c>
      <c r="M907" s="2">
        <v>3</v>
      </c>
      <c r="N907" s="2" t="s">
        <v>24</v>
      </c>
      <c r="O907" s="2" t="s">
        <v>25</v>
      </c>
      <c r="P907" s="2" t="s">
        <v>34</v>
      </c>
    </row>
    <row r="908" spans="1:16" x14ac:dyDescent="0.25">
      <c r="A908" s="2" t="s">
        <v>2290</v>
      </c>
      <c r="B908" s="2" t="s">
        <v>4909</v>
      </c>
      <c r="C908" s="2">
        <v>3691</v>
      </c>
      <c r="D908" s="2" t="s">
        <v>7794</v>
      </c>
      <c r="E908" s="2" t="s">
        <v>18</v>
      </c>
      <c r="F908" s="2" t="s">
        <v>30</v>
      </c>
      <c r="G908" s="2">
        <v>15963.66</v>
      </c>
      <c r="H908" s="2">
        <v>7705.28</v>
      </c>
      <c r="I908" s="2" t="s">
        <v>53</v>
      </c>
      <c r="J908" s="2" t="s">
        <v>54</v>
      </c>
      <c r="K908" s="2" t="s">
        <v>80</v>
      </c>
      <c r="L908" s="2" t="s">
        <v>55</v>
      </c>
      <c r="M908" s="2">
        <v>2</v>
      </c>
      <c r="N908" s="2" t="s">
        <v>24</v>
      </c>
      <c r="O908" s="2" t="s">
        <v>25</v>
      </c>
      <c r="P908" s="2" t="s">
        <v>49</v>
      </c>
    </row>
    <row r="909" spans="1:16" x14ac:dyDescent="0.25">
      <c r="A909" s="2" t="s">
        <v>2292</v>
      </c>
      <c r="B909" s="2" t="s">
        <v>125</v>
      </c>
      <c r="C909" s="2">
        <v>2986</v>
      </c>
      <c r="D909" s="2" t="s">
        <v>7640</v>
      </c>
      <c r="E909" s="2" t="s">
        <v>18</v>
      </c>
      <c r="F909" s="2" t="s">
        <v>30</v>
      </c>
      <c r="G909" s="2">
        <v>38546.879999999997</v>
      </c>
      <c r="H909" s="2">
        <v>17919.18</v>
      </c>
      <c r="I909" s="2" t="s">
        <v>53</v>
      </c>
      <c r="J909" s="2" t="s">
        <v>54</v>
      </c>
      <c r="K909" s="2" t="s">
        <v>42</v>
      </c>
      <c r="L909" s="2" t="s">
        <v>88</v>
      </c>
      <c r="M909" s="2">
        <v>3</v>
      </c>
      <c r="N909" s="2" t="s">
        <v>24</v>
      </c>
      <c r="O909" s="2" t="s">
        <v>70</v>
      </c>
      <c r="P909" s="2" t="s">
        <v>26</v>
      </c>
    </row>
    <row r="910" spans="1:16" x14ac:dyDescent="0.25">
      <c r="A910" s="2" t="s">
        <v>2295</v>
      </c>
      <c r="B910" s="2" t="s">
        <v>7795</v>
      </c>
      <c r="C910" s="2">
        <v>8064</v>
      </c>
      <c r="D910" s="2" t="s">
        <v>7796</v>
      </c>
      <c r="E910" s="2" t="s">
        <v>6748</v>
      </c>
      <c r="F910" s="2" t="s">
        <v>47</v>
      </c>
      <c r="G910" s="2">
        <v>7271.41</v>
      </c>
      <c r="H910" s="2">
        <v>3349.07</v>
      </c>
      <c r="I910" s="2" t="s">
        <v>6690</v>
      </c>
      <c r="J910" s="2" t="s">
        <v>6686</v>
      </c>
      <c r="K910" s="2" t="s">
        <v>80</v>
      </c>
      <c r="L910" s="2" t="s">
        <v>23</v>
      </c>
      <c r="M910" s="2">
        <v>3</v>
      </c>
      <c r="N910" s="2" t="s">
        <v>69</v>
      </c>
      <c r="O910" s="2" t="s">
        <v>25</v>
      </c>
      <c r="P910" s="2" t="s">
        <v>49</v>
      </c>
    </row>
    <row r="911" spans="1:16" x14ac:dyDescent="0.25">
      <c r="A911" s="2" t="s">
        <v>2297</v>
      </c>
      <c r="B911" s="2" t="s">
        <v>51</v>
      </c>
      <c r="C911" s="2">
        <v>9053</v>
      </c>
      <c r="D911" s="2" t="s">
        <v>7797</v>
      </c>
      <c r="E911" s="2" t="s">
        <v>18</v>
      </c>
      <c r="F911" s="2" t="s">
        <v>58</v>
      </c>
      <c r="G911" s="2">
        <v>14733.13</v>
      </c>
      <c r="H911" s="2">
        <v>7199.74</v>
      </c>
      <c r="I911" s="2" t="s">
        <v>20</v>
      </c>
      <c r="J911" s="2" t="s">
        <v>21</v>
      </c>
      <c r="K911" s="2" t="s">
        <v>80</v>
      </c>
      <c r="L911" s="2" t="s">
        <v>23</v>
      </c>
      <c r="M911" s="2">
        <v>5</v>
      </c>
      <c r="N911" s="2" t="s">
        <v>24</v>
      </c>
      <c r="O911" s="2" t="s">
        <v>70</v>
      </c>
      <c r="P911" s="2" t="s">
        <v>34</v>
      </c>
    </row>
    <row r="912" spans="1:16" x14ac:dyDescent="0.25">
      <c r="A912" s="2" t="s">
        <v>2299</v>
      </c>
      <c r="B912" s="2" t="s">
        <v>7682</v>
      </c>
      <c r="C912" s="2">
        <v>4981</v>
      </c>
      <c r="D912" s="2" t="s">
        <v>7798</v>
      </c>
      <c r="E912" s="2" t="s">
        <v>18</v>
      </c>
      <c r="F912" s="2" t="s">
        <v>39</v>
      </c>
      <c r="G912" s="2">
        <v>34986.51</v>
      </c>
      <c r="H912" s="2">
        <v>16983.97</v>
      </c>
      <c r="I912" s="2" t="s">
        <v>120</v>
      </c>
      <c r="J912" s="2" t="s">
        <v>21</v>
      </c>
      <c r="K912" s="2" t="s">
        <v>42</v>
      </c>
      <c r="L912" s="2" t="s">
        <v>64</v>
      </c>
      <c r="M912" s="2">
        <v>1</v>
      </c>
      <c r="N912" s="2" t="s">
        <v>33</v>
      </c>
      <c r="O912" s="2" t="s">
        <v>25</v>
      </c>
      <c r="P912" s="2" t="s">
        <v>34</v>
      </c>
    </row>
    <row r="913" spans="1:16" x14ac:dyDescent="0.25">
      <c r="A913" s="2" t="s">
        <v>2301</v>
      </c>
      <c r="B913" s="2" t="s">
        <v>2760</v>
      </c>
      <c r="C913" s="2">
        <v>2949</v>
      </c>
      <c r="D913" s="2" t="s">
        <v>7799</v>
      </c>
      <c r="E913" s="2" t="s">
        <v>6708</v>
      </c>
      <c r="F913" s="2" t="s">
        <v>30</v>
      </c>
      <c r="G913" s="2">
        <v>70376.179999999993</v>
      </c>
      <c r="H913" s="2">
        <v>32529.119999999999</v>
      </c>
      <c r="I913" s="2" t="s">
        <v>6699</v>
      </c>
      <c r="J913" s="2" t="s">
        <v>54</v>
      </c>
      <c r="K913" s="2" t="s">
        <v>80</v>
      </c>
      <c r="L913" s="2" t="s">
        <v>23</v>
      </c>
      <c r="M913" s="2">
        <v>4</v>
      </c>
      <c r="N913" s="2" t="s">
        <v>24</v>
      </c>
      <c r="O913" s="2" t="s">
        <v>70</v>
      </c>
      <c r="P913" s="2" t="s">
        <v>26</v>
      </c>
    </row>
    <row r="914" spans="1:16" x14ac:dyDescent="0.25">
      <c r="A914" s="2" t="s">
        <v>2303</v>
      </c>
      <c r="B914" s="2" t="s">
        <v>1248</v>
      </c>
      <c r="C914" s="2">
        <v>3608</v>
      </c>
      <c r="D914" s="2" t="s">
        <v>7800</v>
      </c>
      <c r="E914" s="2" t="s">
        <v>18</v>
      </c>
      <c r="F914" s="2" t="s">
        <v>58</v>
      </c>
      <c r="G914" s="2">
        <v>51416.02</v>
      </c>
      <c r="H914" s="2">
        <v>30116.9</v>
      </c>
      <c r="I914" s="2" t="s">
        <v>20</v>
      </c>
      <c r="J914" s="2" t="s">
        <v>21</v>
      </c>
      <c r="K914" s="2" t="s">
        <v>42</v>
      </c>
      <c r="L914" s="2" t="s">
        <v>55</v>
      </c>
      <c r="M914" s="2">
        <v>3</v>
      </c>
      <c r="N914" s="2" t="s">
        <v>24</v>
      </c>
      <c r="O914" s="2" t="s">
        <v>25</v>
      </c>
      <c r="P914" s="2" t="s">
        <v>26</v>
      </c>
    </row>
    <row r="915" spans="1:16" x14ac:dyDescent="0.25">
      <c r="A915" s="2" t="s">
        <v>2305</v>
      </c>
      <c r="B915" s="2" t="s">
        <v>784</v>
      </c>
      <c r="C915" s="2">
        <v>3273</v>
      </c>
      <c r="D915" s="2" t="s">
        <v>7801</v>
      </c>
      <c r="E915" s="2" t="s">
        <v>6680</v>
      </c>
      <c r="F915" s="2" t="s">
        <v>19</v>
      </c>
      <c r="G915" s="2">
        <v>16193.02</v>
      </c>
      <c r="H915" s="2">
        <v>10424.799999999999</v>
      </c>
      <c r="I915" s="2" t="s">
        <v>6736</v>
      </c>
      <c r="J915" s="2" t="s">
        <v>6700</v>
      </c>
      <c r="K915" s="2" t="s">
        <v>22</v>
      </c>
      <c r="L915" s="2" t="s">
        <v>43</v>
      </c>
      <c r="M915" s="2">
        <v>5</v>
      </c>
      <c r="N915" s="2" t="s">
        <v>24</v>
      </c>
      <c r="O915" s="2" t="s">
        <v>70</v>
      </c>
      <c r="P915" s="2" t="s">
        <v>26</v>
      </c>
    </row>
    <row r="916" spans="1:16" x14ac:dyDescent="0.25">
      <c r="A916" s="2" t="s">
        <v>2308</v>
      </c>
      <c r="B916" s="2" t="s">
        <v>7802</v>
      </c>
      <c r="C916" s="2">
        <v>1555</v>
      </c>
      <c r="D916" s="2" t="s">
        <v>6452</v>
      </c>
      <c r="E916" s="2" t="s">
        <v>6694</v>
      </c>
      <c r="F916" s="2" t="s">
        <v>47</v>
      </c>
      <c r="G916" s="2">
        <v>9162.08</v>
      </c>
      <c r="H916" s="2">
        <v>5116.62</v>
      </c>
      <c r="I916" s="2" t="s">
        <v>6910</v>
      </c>
      <c r="J916" s="2" t="s">
        <v>6789</v>
      </c>
      <c r="K916" s="2" t="s">
        <v>42</v>
      </c>
      <c r="L916" s="2" t="s">
        <v>43</v>
      </c>
      <c r="M916" s="2">
        <v>3</v>
      </c>
      <c r="N916" s="2" t="s">
        <v>24</v>
      </c>
      <c r="O916" s="2" t="s">
        <v>25</v>
      </c>
      <c r="P916" s="2" t="s">
        <v>49</v>
      </c>
    </row>
    <row r="917" spans="1:16" x14ac:dyDescent="0.25">
      <c r="A917" s="2" t="s">
        <v>2310</v>
      </c>
      <c r="B917" s="2" t="s">
        <v>1392</v>
      </c>
      <c r="C917" s="2">
        <v>9315</v>
      </c>
      <c r="D917" s="2" t="s">
        <v>1791</v>
      </c>
      <c r="E917" s="2" t="s">
        <v>38</v>
      </c>
      <c r="F917" s="2" t="s">
        <v>58</v>
      </c>
      <c r="G917" s="2">
        <v>43609.91</v>
      </c>
      <c r="H917" s="2">
        <v>26176.19</v>
      </c>
      <c r="I917" s="2" t="s">
        <v>31</v>
      </c>
      <c r="J917" s="2" t="s">
        <v>21</v>
      </c>
      <c r="K917" s="2" t="s">
        <v>22</v>
      </c>
      <c r="L917" s="2" t="s">
        <v>48</v>
      </c>
      <c r="M917" s="2">
        <v>4</v>
      </c>
      <c r="N917" s="2" t="s">
        <v>33</v>
      </c>
      <c r="O917" s="2" t="s">
        <v>70</v>
      </c>
      <c r="P917" s="2" t="s">
        <v>26</v>
      </c>
    </row>
    <row r="918" spans="1:16" x14ac:dyDescent="0.25">
      <c r="A918" s="2" t="s">
        <v>2312</v>
      </c>
      <c r="B918" s="2" t="s">
        <v>1309</v>
      </c>
      <c r="C918" s="2">
        <v>1429</v>
      </c>
      <c r="D918" s="2" t="s">
        <v>6275</v>
      </c>
      <c r="E918" s="2" t="s">
        <v>38</v>
      </c>
      <c r="F918" s="2" t="s">
        <v>30</v>
      </c>
      <c r="G918" s="2">
        <v>44253.43</v>
      </c>
      <c r="H918" s="2">
        <v>26819.77</v>
      </c>
      <c r="I918" s="2" t="s">
        <v>53</v>
      </c>
      <c r="J918" s="2" t="s">
        <v>54</v>
      </c>
      <c r="K918" s="2" t="s">
        <v>22</v>
      </c>
      <c r="L918" s="2" t="s">
        <v>48</v>
      </c>
      <c r="M918" s="2">
        <v>4</v>
      </c>
      <c r="N918" s="2" t="s">
        <v>24</v>
      </c>
      <c r="O918" s="2" t="s">
        <v>25</v>
      </c>
      <c r="P918" s="2" t="s">
        <v>34</v>
      </c>
    </row>
    <row r="919" spans="1:16" x14ac:dyDescent="0.25">
      <c r="A919" s="2" t="s">
        <v>2314</v>
      </c>
      <c r="B919" s="2" t="s">
        <v>915</v>
      </c>
      <c r="C919" s="2">
        <v>6244</v>
      </c>
      <c r="D919" s="2" t="s">
        <v>7803</v>
      </c>
      <c r="E919" s="2" t="s">
        <v>18</v>
      </c>
      <c r="F919" s="2" t="s">
        <v>47</v>
      </c>
      <c r="G919" s="2">
        <v>7481.19</v>
      </c>
      <c r="H919" s="2">
        <v>4488.3599999999997</v>
      </c>
      <c r="I919" s="2" t="s">
        <v>40</v>
      </c>
      <c r="J919" s="2" t="s">
        <v>41</v>
      </c>
      <c r="K919" s="2" t="s">
        <v>42</v>
      </c>
      <c r="L919" s="2" t="s">
        <v>48</v>
      </c>
      <c r="M919" s="2">
        <v>5</v>
      </c>
      <c r="N919" s="2" t="s">
        <v>33</v>
      </c>
      <c r="O919" s="2" t="s">
        <v>70</v>
      </c>
      <c r="P919" s="2" t="s">
        <v>49</v>
      </c>
    </row>
    <row r="920" spans="1:16" x14ac:dyDescent="0.25">
      <c r="A920" s="2" t="s">
        <v>2316</v>
      </c>
      <c r="B920" s="2" t="s">
        <v>1425</v>
      </c>
      <c r="C920" s="2">
        <v>7392</v>
      </c>
      <c r="D920" s="2" t="s">
        <v>7804</v>
      </c>
      <c r="E920" s="2" t="s">
        <v>38</v>
      </c>
      <c r="F920" s="2" t="s">
        <v>19</v>
      </c>
      <c r="G920" s="2">
        <v>21077.23</v>
      </c>
      <c r="H920" s="2">
        <v>10883.76</v>
      </c>
      <c r="I920" s="2" t="s">
        <v>63</v>
      </c>
      <c r="J920" s="2" t="s">
        <v>54</v>
      </c>
      <c r="K920" s="2" t="s">
        <v>80</v>
      </c>
      <c r="L920" s="2" t="s">
        <v>43</v>
      </c>
      <c r="M920" s="2">
        <v>1</v>
      </c>
      <c r="N920" s="2" t="s">
        <v>33</v>
      </c>
      <c r="O920" s="2" t="s">
        <v>25</v>
      </c>
      <c r="P920" s="2" t="s">
        <v>34</v>
      </c>
    </row>
    <row r="921" spans="1:16" x14ac:dyDescent="0.25">
      <c r="A921" s="2" t="s">
        <v>2318</v>
      </c>
      <c r="B921" s="2" t="s">
        <v>175</v>
      </c>
      <c r="C921" s="2">
        <v>9578</v>
      </c>
      <c r="D921" s="2" t="s">
        <v>7805</v>
      </c>
      <c r="E921" s="2" t="s">
        <v>38</v>
      </c>
      <c r="F921" s="2" t="s">
        <v>39</v>
      </c>
      <c r="G921" s="2">
        <v>26643.16</v>
      </c>
      <c r="H921" s="2">
        <v>14089.26</v>
      </c>
      <c r="I921" s="2" t="s">
        <v>84</v>
      </c>
      <c r="J921" s="2" t="s">
        <v>54</v>
      </c>
      <c r="K921" s="2" t="s">
        <v>32</v>
      </c>
      <c r="L921" s="2" t="s">
        <v>88</v>
      </c>
      <c r="M921" s="2">
        <v>5</v>
      </c>
      <c r="N921" s="2" t="s">
        <v>33</v>
      </c>
      <c r="O921" s="2" t="s">
        <v>70</v>
      </c>
      <c r="P921" s="2" t="s">
        <v>49</v>
      </c>
    </row>
    <row r="922" spans="1:16" x14ac:dyDescent="0.25">
      <c r="A922" s="2" t="s">
        <v>2321</v>
      </c>
      <c r="B922" s="2" t="s">
        <v>1927</v>
      </c>
      <c r="C922" s="2">
        <v>4187</v>
      </c>
      <c r="D922" s="2" t="s">
        <v>3489</v>
      </c>
      <c r="E922" s="2" t="s">
        <v>18</v>
      </c>
      <c r="F922" s="2" t="s">
        <v>30</v>
      </c>
      <c r="G922" s="2">
        <v>36833.58</v>
      </c>
      <c r="H922" s="2">
        <v>17786.36</v>
      </c>
      <c r="I922" s="2" t="s">
        <v>31</v>
      </c>
      <c r="J922" s="2" t="s">
        <v>21</v>
      </c>
      <c r="K922" s="2" t="s">
        <v>22</v>
      </c>
      <c r="L922" s="2" t="s">
        <v>48</v>
      </c>
      <c r="M922" s="2">
        <v>3</v>
      </c>
      <c r="N922" s="2" t="s">
        <v>33</v>
      </c>
      <c r="O922" s="2" t="s">
        <v>70</v>
      </c>
      <c r="P922" s="2" t="s">
        <v>49</v>
      </c>
    </row>
    <row r="923" spans="1:16" x14ac:dyDescent="0.25">
      <c r="A923" s="2" t="s">
        <v>2323</v>
      </c>
      <c r="B923" s="2" t="s">
        <v>3285</v>
      </c>
      <c r="C923" s="2">
        <v>4631</v>
      </c>
      <c r="D923" s="2" t="s">
        <v>7806</v>
      </c>
      <c r="E923" s="2" t="s">
        <v>18</v>
      </c>
      <c r="F923" s="2" t="s">
        <v>39</v>
      </c>
      <c r="G923" s="2">
        <v>22912.16</v>
      </c>
      <c r="H923" s="2">
        <v>13096.3</v>
      </c>
      <c r="I923" s="2" t="s">
        <v>120</v>
      </c>
      <c r="J923" s="2" t="s">
        <v>21</v>
      </c>
      <c r="K923" s="2" t="s">
        <v>42</v>
      </c>
      <c r="L923" s="2" t="s">
        <v>55</v>
      </c>
      <c r="M923" s="2">
        <v>2</v>
      </c>
      <c r="N923" s="2" t="s">
        <v>69</v>
      </c>
      <c r="O923" s="2" t="s">
        <v>70</v>
      </c>
      <c r="P923" s="2" t="s">
        <v>26</v>
      </c>
    </row>
    <row r="924" spans="1:16" x14ac:dyDescent="0.25">
      <c r="A924" s="2" t="s">
        <v>2325</v>
      </c>
      <c r="B924" s="2" t="s">
        <v>7807</v>
      </c>
      <c r="C924" s="2">
        <v>7328</v>
      </c>
      <c r="D924" s="2" t="s">
        <v>839</v>
      </c>
      <c r="E924" s="2" t="s">
        <v>38</v>
      </c>
      <c r="F924" s="2" t="s">
        <v>58</v>
      </c>
      <c r="G924" s="2">
        <v>11838.19</v>
      </c>
      <c r="H924" s="2">
        <v>6085.87</v>
      </c>
      <c r="I924" s="2" t="s">
        <v>53</v>
      </c>
      <c r="J924" s="2" t="s">
        <v>54</v>
      </c>
      <c r="K924" s="2" t="s">
        <v>80</v>
      </c>
      <c r="L924" s="2" t="s">
        <v>48</v>
      </c>
      <c r="M924" s="2">
        <v>3</v>
      </c>
      <c r="N924" s="2" t="s">
        <v>69</v>
      </c>
      <c r="O924" s="2" t="s">
        <v>25</v>
      </c>
      <c r="P924" s="2" t="s">
        <v>26</v>
      </c>
    </row>
    <row r="925" spans="1:16" x14ac:dyDescent="0.25">
      <c r="A925" s="2" t="s">
        <v>2327</v>
      </c>
      <c r="B925" s="2" t="s">
        <v>7808</v>
      </c>
      <c r="C925" s="2">
        <v>4866</v>
      </c>
      <c r="D925" s="2" t="s">
        <v>7809</v>
      </c>
      <c r="E925" s="2" t="s">
        <v>38</v>
      </c>
      <c r="F925" s="2" t="s">
        <v>30</v>
      </c>
      <c r="G925" s="2">
        <v>39331.1</v>
      </c>
      <c r="H925" s="2">
        <v>18375.57</v>
      </c>
      <c r="I925" s="2" t="s">
        <v>6761</v>
      </c>
      <c r="J925" s="2" t="s">
        <v>6713</v>
      </c>
      <c r="K925" s="2" t="s">
        <v>42</v>
      </c>
      <c r="L925" s="2" t="s">
        <v>23</v>
      </c>
      <c r="M925" s="2">
        <v>4</v>
      </c>
      <c r="N925" s="2" t="s">
        <v>33</v>
      </c>
      <c r="O925" s="2" t="s">
        <v>25</v>
      </c>
      <c r="P925" s="2" t="s">
        <v>34</v>
      </c>
    </row>
    <row r="926" spans="1:16" x14ac:dyDescent="0.25">
      <c r="A926" s="2" t="s">
        <v>2329</v>
      </c>
      <c r="B926" s="2" t="s">
        <v>829</v>
      </c>
      <c r="C926" s="2">
        <v>2595</v>
      </c>
      <c r="D926" s="2" t="s">
        <v>2669</v>
      </c>
      <c r="E926" s="2" t="s">
        <v>18</v>
      </c>
      <c r="F926" s="2" t="s">
        <v>47</v>
      </c>
      <c r="G926" s="2">
        <v>18727.57</v>
      </c>
      <c r="H926" s="2">
        <v>10102.879999999999</v>
      </c>
      <c r="I926" s="2" t="s">
        <v>84</v>
      </c>
      <c r="J926" s="2" t="s">
        <v>54</v>
      </c>
      <c r="K926" s="2" t="s">
        <v>42</v>
      </c>
      <c r="L926" s="2" t="s">
        <v>55</v>
      </c>
      <c r="M926" s="2">
        <v>1</v>
      </c>
      <c r="N926" s="2" t="s">
        <v>69</v>
      </c>
      <c r="O926" s="2" t="s">
        <v>25</v>
      </c>
      <c r="P926" s="2" t="s">
        <v>26</v>
      </c>
    </row>
    <row r="927" spans="1:16" x14ac:dyDescent="0.25">
      <c r="A927" s="2" t="s">
        <v>2332</v>
      </c>
      <c r="B927" s="2" t="s">
        <v>547</v>
      </c>
      <c r="C927" s="2">
        <v>6797</v>
      </c>
      <c r="D927" s="2" t="s">
        <v>7810</v>
      </c>
      <c r="E927" s="2" t="s">
        <v>18</v>
      </c>
      <c r="F927" s="2" t="s">
        <v>39</v>
      </c>
      <c r="G927" s="2">
        <v>27586.11</v>
      </c>
      <c r="H927" s="2">
        <v>15810.81</v>
      </c>
      <c r="I927" s="2" t="s">
        <v>20</v>
      </c>
      <c r="J927" s="2" t="s">
        <v>21</v>
      </c>
      <c r="K927" s="2" t="s">
        <v>22</v>
      </c>
      <c r="L927" s="2" t="s">
        <v>48</v>
      </c>
      <c r="M927" s="2">
        <v>5</v>
      </c>
      <c r="N927" s="2" t="s">
        <v>24</v>
      </c>
      <c r="O927" s="2" t="s">
        <v>25</v>
      </c>
      <c r="P927" s="2" t="s">
        <v>49</v>
      </c>
    </row>
    <row r="928" spans="1:16" x14ac:dyDescent="0.25">
      <c r="A928" s="2" t="s">
        <v>2334</v>
      </c>
      <c r="B928" s="2" t="s">
        <v>713</v>
      </c>
      <c r="C928" s="2">
        <v>9630</v>
      </c>
      <c r="D928" s="2" t="s">
        <v>7811</v>
      </c>
      <c r="E928" s="2" t="s">
        <v>38</v>
      </c>
      <c r="F928" s="2" t="s">
        <v>58</v>
      </c>
      <c r="G928" s="2">
        <v>27457.4</v>
      </c>
      <c r="H928" s="2">
        <v>17244.259999999998</v>
      </c>
      <c r="I928" s="2" t="s">
        <v>53</v>
      </c>
      <c r="J928" s="2" t="s">
        <v>54</v>
      </c>
      <c r="K928" s="2" t="s">
        <v>42</v>
      </c>
      <c r="L928" s="2" t="s">
        <v>43</v>
      </c>
      <c r="M928" s="2">
        <v>4</v>
      </c>
      <c r="N928" s="2" t="s">
        <v>33</v>
      </c>
      <c r="O928" s="2" t="s">
        <v>70</v>
      </c>
      <c r="P928" s="2" t="s">
        <v>49</v>
      </c>
    </row>
    <row r="929" spans="1:16" x14ac:dyDescent="0.25">
      <c r="A929" s="2" t="s">
        <v>2337</v>
      </c>
      <c r="B929" s="2" t="s">
        <v>4085</v>
      </c>
      <c r="C929" s="2">
        <v>9072</v>
      </c>
      <c r="D929" s="2" t="s">
        <v>7812</v>
      </c>
      <c r="E929" s="2" t="s">
        <v>38</v>
      </c>
      <c r="F929" s="2" t="s">
        <v>30</v>
      </c>
      <c r="G929" s="2">
        <v>49245.21</v>
      </c>
      <c r="H929" s="2">
        <v>31843.47</v>
      </c>
      <c r="I929" s="2" t="s">
        <v>120</v>
      </c>
      <c r="J929" s="2" t="s">
        <v>21</v>
      </c>
      <c r="K929" s="2" t="s">
        <v>42</v>
      </c>
      <c r="L929" s="2" t="s">
        <v>43</v>
      </c>
      <c r="M929" s="2">
        <v>3</v>
      </c>
      <c r="N929" s="2" t="s">
        <v>24</v>
      </c>
      <c r="O929" s="2" t="s">
        <v>25</v>
      </c>
      <c r="P929" s="2" t="s">
        <v>34</v>
      </c>
    </row>
    <row r="930" spans="1:16" x14ac:dyDescent="0.25">
      <c r="A930" s="2" t="s">
        <v>2340</v>
      </c>
      <c r="B930" s="2" t="s">
        <v>7813</v>
      </c>
      <c r="C930" s="2">
        <v>5989</v>
      </c>
      <c r="D930" s="2" t="s">
        <v>7814</v>
      </c>
      <c r="E930" s="2" t="s">
        <v>6756</v>
      </c>
      <c r="F930" s="2" t="s">
        <v>47</v>
      </c>
      <c r="G930" s="2">
        <v>17514.52</v>
      </c>
      <c r="H930" s="2">
        <v>10727.36</v>
      </c>
      <c r="I930" s="2" t="s">
        <v>6699</v>
      </c>
      <c r="J930" s="2" t="s">
        <v>54</v>
      </c>
      <c r="K930" s="2" t="s">
        <v>80</v>
      </c>
      <c r="L930" s="2" t="s">
        <v>88</v>
      </c>
      <c r="M930" s="2">
        <v>1</v>
      </c>
      <c r="N930" s="2" t="s">
        <v>33</v>
      </c>
      <c r="O930" s="2" t="s">
        <v>70</v>
      </c>
      <c r="P930" s="2" t="s">
        <v>26</v>
      </c>
    </row>
    <row r="931" spans="1:16" x14ac:dyDescent="0.25">
      <c r="A931" s="2" t="s">
        <v>2342</v>
      </c>
      <c r="B931" s="2" t="s">
        <v>3874</v>
      </c>
      <c r="C931" s="2">
        <v>6199</v>
      </c>
      <c r="D931" s="2" t="s">
        <v>7815</v>
      </c>
      <c r="E931" s="2" t="s">
        <v>18</v>
      </c>
      <c r="F931" s="2" t="s">
        <v>19</v>
      </c>
      <c r="G931" s="2">
        <v>6113.43</v>
      </c>
      <c r="H931" s="2">
        <v>3147.17</v>
      </c>
      <c r="I931" s="2" t="s">
        <v>68</v>
      </c>
      <c r="J931" s="2" t="s">
        <v>41</v>
      </c>
      <c r="K931" s="2" t="s">
        <v>80</v>
      </c>
      <c r="L931" s="2" t="s">
        <v>55</v>
      </c>
      <c r="M931" s="2">
        <v>5</v>
      </c>
      <c r="N931" s="2" t="s">
        <v>33</v>
      </c>
      <c r="O931" s="2" t="s">
        <v>70</v>
      </c>
      <c r="P931" s="2" t="s">
        <v>49</v>
      </c>
    </row>
    <row r="932" spans="1:16" x14ac:dyDescent="0.25">
      <c r="A932" s="2" t="s">
        <v>2344</v>
      </c>
      <c r="B932" s="2" t="s">
        <v>995</v>
      </c>
      <c r="C932" s="2">
        <v>7276</v>
      </c>
      <c r="D932" s="2" t="s">
        <v>7048</v>
      </c>
      <c r="E932" s="2" t="s">
        <v>6748</v>
      </c>
      <c r="F932" s="2" t="s">
        <v>39</v>
      </c>
      <c r="G932" s="2">
        <v>32940.379999999997</v>
      </c>
      <c r="H932" s="2">
        <v>21378.97</v>
      </c>
      <c r="I932" s="2" t="s">
        <v>6794</v>
      </c>
      <c r="J932" s="2" t="s">
        <v>6795</v>
      </c>
      <c r="K932" s="2" t="s">
        <v>80</v>
      </c>
      <c r="L932" s="2" t="s">
        <v>23</v>
      </c>
      <c r="M932" s="2">
        <v>4</v>
      </c>
      <c r="N932" s="2" t="s">
        <v>69</v>
      </c>
      <c r="O932" s="2" t="s">
        <v>70</v>
      </c>
      <c r="P932" s="2" t="s">
        <v>26</v>
      </c>
    </row>
    <row r="933" spans="1:16" x14ac:dyDescent="0.25">
      <c r="A933" s="2" t="s">
        <v>2346</v>
      </c>
      <c r="B933" s="2" t="s">
        <v>1614</v>
      </c>
      <c r="C933" s="2">
        <v>9442</v>
      </c>
      <c r="D933" s="2" t="s">
        <v>7816</v>
      </c>
      <c r="E933" s="2" t="s">
        <v>18</v>
      </c>
      <c r="F933" s="2" t="s">
        <v>39</v>
      </c>
      <c r="G933" s="2">
        <v>35001.519999999997</v>
      </c>
      <c r="H933" s="2">
        <v>17766.16</v>
      </c>
      <c r="I933" s="2" t="s">
        <v>40</v>
      </c>
      <c r="J933" s="2" t="s">
        <v>41</v>
      </c>
      <c r="K933" s="2" t="s">
        <v>22</v>
      </c>
      <c r="L933" s="2" t="s">
        <v>43</v>
      </c>
      <c r="M933" s="2">
        <v>2</v>
      </c>
      <c r="N933" s="2" t="s">
        <v>69</v>
      </c>
      <c r="O933" s="2" t="s">
        <v>25</v>
      </c>
      <c r="P933" s="2" t="s">
        <v>49</v>
      </c>
    </row>
    <row r="934" spans="1:16" x14ac:dyDescent="0.25">
      <c r="A934" s="2" t="s">
        <v>2348</v>
      </c>
      <c r="B934" s="2" t="s">
        <v>7817</v>
      </c>
      <c r="C934" s="2">
        <v>3346</v>
      </c>
      <c r="D934" s="2" t="s">
        <v>7818</v>
      </c>
      <c r="E934" s="2" t="s">
        <v>6756</v>
      </c>
      <c r="F934" s="2" t="s">
        <v>58</v>
      </c>
      <c r="G934" s="2">
        <v>28076.17</v>
      </c>
      <c r="H934" s="2">
        <v>16138.56</v>
      </c>
      <c r="I934" s="2" t="s">
        <v>6736</v>
      </c>
      <c r="J934" s="2" t="s">
        <v>6753</v>
      </c>
      <c r="K934" s="2" t="s">
        <v>22</v>
      </c>
      <c r="L934" s="2" t="s">
        <v>64</v>
      </c>
      <c r="M934" s="2">
        <v>1</v>
      </c>
      <c r="N934" s="2" t="s">
        <v>69</v>
      </c>
      <c r="O934" s="2" t="s">
        <v>25</v>
      </c>
      <c r="P934" s="2" t="s">
        <v>34</v>
      </c>
    </row>
    <row r="935" spans="1:16" x14ac:dyDescent="0.25">
      <c r="A935" s="2" t="s">
        <v>2350</v>
      </c>
      <c r="B935" s="2" t="s">
        <v>5092</v>
      </c>
      <c r="C935" s="2">
        <v>8471</v>
      </c>
      <c r="D935" s="2" t="s">
        <v>999</v>
      </c>
      <c r="E935" s="2" t="s">
        <v>18</v>
      </c>
      <c r="F935" s="2" t="s">
        <v>58</v>
      </c>
      <c r="G935" s="2">
        <v>51220.29</v>
      </c>
      <c r="H935" s="2">
        <v>32267.26</v>
      </c>
      <c r="I935" s="2" t="s">
        <v>84</v>
      </c>
      <c r="J935" s="2" t="s">
        <v>54</v>
      </c>
      <c r="K935" s="2" t="s">
        <v>80</v>
      </c>
      <c r="L935" s="2" t="s">
        <v>64</v>
      </c>
      <c r="M935" s="2">
        <v>3</v>
      </c>
      <c r="N935" s="2" t="s">
        <v>33</v>
      </c>
      <c r="O935" s="2" t="s">
        <v>70</v>
      </c>
      <c r="P935" s="2" t="s">
        <v>49</v>
      </c>
    </row>
    <row r="936" spans="1:16" x14ac:dyDescent="0.25">
      <c r="A936" s="2" t="s">
        <v>2352</v>
      </c>
      <c r="B936" s="2" t="s">
        <v>391</v>
      </c>
      <c r="C936" s="2">
        <v>3333</v>
      </c>
      <c r="D936" s="2" t="s">
        <v>7819</v>
      </c>
      <c r="E936" s="2" t="s">
        <v>18</v>
      </c>
      <c r="F936" s="2" t="s">
        <v>58</v>
      </c>
      <c r="G936" s="2">
        <v>30939.99</v>
      </c>
      <c r="H936" s="2">
        <v>18721.900000000001</v>
      </c>
      <c r="I936" s="2" t="s">
        <v>120</v>
      </c>
      <c r="J936" s="2" t="s">
        <v>21</v>
      </c>
      <c r="K936" s="2" t="s">
        <v>80</v>
      </c>
      <c r="L936" s="2" t="s">
        <v>64</v>
      </c>
      <c r="M936" s="2">
        <v>5</v>
      </c>
      <c r="N936" s="2" t="s">
        <v>33</v>
      </c>
      <c r="O936" s="2" t="s">
        <v>25</v>
      </c>
      <c r="P936" s="2" t="s">
        <v>26</v>
      </c>
    </row>
    <row r="937" spans="1:16" x14ac:dyDescent="0.25">
      <c r="A937" s="2" t="s">
        <v>2355</v>
      </c>
      <c r="B937" s="2" t="s">
        <v>7820</v>
      </c>
      <c r="C937" s="2">
        <v>8490</v>
      </c>
      <c r="D937" s="2" t="s">
        <v>7821</v>
      </c>
      <c r="E937" s="2" t="s">
        <v>6703</v>
      </c>
      <c r="F937" s="2" t="s">
        <v>47</v>
      </c>
      <c r="G937" s="2">
        <v>6871.04</v>
      </c>
      <c r="H937" s="2">
        <v>4173.76</v>
      </c>
      <c r="I937" s="2" t="s">
        <v>6728</v>
      </c>
      <c r="J937" s="2" t="s">
        <v>6686</v>
      </c>
      <c r="K937" s="2" t="s">
        <v>32</v>
      </c>
      <c r="L937" s="2" t="s">
        <v>43</v>
      </c>
      <c r="M937" s="2">
        <v>5</v>
      </c>
      <c r="N937" s="2" t="s">
        <v>69</v>
      </c>
      <c r="O937" s="2" t="s">
        <v>70</v>
      </c>
      <c r="P937" s="2" t="s">
        <v>26</v>
      </c>
    </row>
    <row r="938" spans="1:16" x14ac:dyDescent="0.25">
      <c r="A938" s="2" t="s">
        <v>2357</v>
      </c>
      <c r="B938" s="2" t="s">
        <v>7822</v>
      </c>
      <c r="C938" s="2">
        <v>2234</v>
      </c>
      <c r="D938" s="2" t="s">
        <v>2686</v>
      </c>
      <c r="E938" s="2" t="s">
        <v>38</v>
      </c>
      <c r="F938" s="2" t="s">
        <v>47</v>
      </c>
      <c r="G938" s="2">
        <v>8180.1</v>
      </c>
      <c r="H938" s="2">
        <v>4581.93</v>
      </c>
      <c r="I938" s="2" t="s">
        <v>63</v>
      </c>
      <c r="J938" s="2" t="s">
        <v>54</v>
      </c>
      <c r="K938" s="2" t="s">
        <v>32</v>
      </c>
      <c r="L938" s="2" t="s">
        <v>23</v>
      </c>
      <c r="M938" s="2">
        <v>3</v>
      </c>
      <c r="N938" s="2" t="s">
        <v>24</v>
      </c>
      <c r="O938" s="2" t="s">
        <v>70</v>
      </c>
      <c r="P938" s="2" t="s">
        <v>26</v>
      </c>
    </row>
    <row r="939" spans="1:16" x14ac:dyDescent="0.25">
      <c r="A939" s="2" t="s">
        <v>2360</v>
      </c>
      <c r="B939" s="2" t="s">
        <v>1075</v>
      </c>
      <c r="C939" s="2">
        <v>7846</v>
      </c>
      <c r="D939" s="2" t="s">
        <v>2150</v>
      </c>
      <c r="E939" s="2" t="s">
        <v>18</v>
      </c>
      <c r="F939" s="2" t="s">
        <v>58</v>
      </c>
      <c r="G939" s="2">
        <v>22508.51</v>
      </c>
      <c r="H939" s="2">
        <v>13030.66</v>
      </c>
      <c r="I939" s="2" t="s">
        <v>40</v>
      </c>
      <c r="J939" s="2" t="s">
        <v>41</v>
      </c>
      <c r="K939" s="2" t="s">
        <v>80</v>
      </c>
      <c r="L939" s="2" t="s">
        <v>23</v>
      </c>
      <c r="M939" s="2">
        <v>2</v>
      </c>
      <c r="N939" s="2" t="s">
        <v>69</v>
      </c>
      <c r="O939" s="2" t="s">
        <v>25</v>
      </c>
      <c r="P939" s="2" t="s">
        <v>26</v>
      </c>
    </row>
    <row r="940" spans="1:16" x14ac:dyDescent="0.25">
      <c r="A940" s="2" t="s">
        <v>2363</v>
      </c>
      <c r="B940" s="2" t="s">
        <v>1292</v>
      </c>
      <c r="C940" s="2">
        <v>2908</v>
      </c>
      <c r="D940" s="2" t="s">
        <v>7823</v>
      </c>
      <c r="E940" s="2" t="s">
        <v>6694</v>
      </c>
      <c r="F940" s="2" t="s">
        <v>30</v>
      </c>
      <c r="G940" s="2">
        <v>115813.27</v>
      </c>
      <c r="H940" s="2">
        <v>66097.119999999995</v>
      </c>
      <c r="I940" s="2" t="s">
        <v>6759</v>
      </c>
      <c r="J940" s="2" t="s">
        <v>6686</v>
      </c>
      <c r="K940" s="2" t="s">
        <v>80</v>
      </c>
      <c r="L940" s="2" t="s">
        <v>55</v>
      </c>
      <c r="M940" s="2">
        <v>2</v>
      </c>
      <c r="N940" s="2" t="s">
        <v>24</v>
      </c>
      <c r="O940" s="2" t="s">
        <v>25</v>
      </c>
      <c r="P940" s="2" t="s">
        <v>26</v>
      </c>
    </row>
    <row r="941" spans="1:16" x14ac:dyDescent="0.25">
      <c r="A941" s="2" t="s">
        <v>2364</v>
      </c>
      <c r="B941" s="2" t="s">
        <v>2685</v>
      </c>
      <c r="C941" s="2">
        <v>9502</v>
      </c>
      <c r="D941" s="2" t="s">
        <v>5953</v>
      </c>
      <c r="E941" s="2" t="s">
        <v>18</v>
      </c>
      <c r="F941" s="2" t="s">
        <v>19</v>
      </c>
      <c r="G941" s="2">
        <v>8092.04</v>
      </c>
      <c r="H941" s="2">
        <v>3686.86</v>
      </c>
      <c r="I941" s="2" t="s">
        <v>53</v>
      </c>
      <c r="J941" s="2" t="s">
        <v>54</v>
      </c>
      <c r="K941" s="2" t="s">
        <v>22</v>
      </c>
      <c r="L941" s="2" t="s">
        <v>23</v>
      </c>
      <c r="M941" s="2">
        <v>3</v>
      </c>
      <c r="N941" s="2" t="s">
        <v>33</v>
      </c>
      <c r="O941" s="2" t="s">
        <v>70</v>
      </c>
      <c r="P941" s="2" t="s">
        <v>26</v>
      </c>
    </row>
    <row r="942" spans="1:16" x14ac:dyDescent="0.25">
      <c r="A942" s="2" t="s">
        <v>2367</v>
      </c>
      <c r="B942" s="2" t="s">
        <v>6847</v>
      </c>
      <c r="C942" s="2">
        <v>8628</v>
      </c>
      <c r="D942" s="2" t="s">
        <v>3007</v>
      </c>
      <c r="E942" s="2" t="s">
        <v>38</v>
      </c>
      <c r="F942" s="2" t="s">
        <v>39</v>
      </c>
      <c r="G942" s="2">
        <v>25567.71</v>
      </c>
      <c r="H942" s="2">
        <v>12582.31</v>
      </c>
      <c r="I942" s="2" t="s">
        <v>6808</v>
      </c>
      <c r="J942" s="2" t="s">
        <v>54</v>
      </c>
      <c r="K942" s="2" t="s">
        <v>42</v>
      </c>
      <c r="L942" s="2" t="s">
        <v>48</v>
      </c>
      <c r="M942" s="2">
        <v>5</v>
      </c>
      <c r="N942" s="2" t="s">
        <v>33</v>
      </c>
      <c r="O942" s="2" t="s">
        <v>25</v>
      </c>
      <c r="P942" s="2" t="s">
        <v>49</v>
      </c>
    </row>
    <row r="943" spans="1:16" x14ac:dyDescent="0.25">
      <c r="A943" s="2" t="s">
        <v>2369</v>
      </c>
      <c r="B943" s="2" t="s">
        <v>7824</v>
      </c>
      <c r="C943" s="2">
        <v>6254</v>
      </c>
      <c r="D943" s="2" t="s">
        <v>7825</v>
      </c>
      <c r="E943" s="2" t="s">
        <v>18</v>
      </c>
      <c r="F943" s="2" t="s">
        <v>39</v>
      </c>
      <c r="G943" s="2">
        <v>26624.5</v>
      </c>
      <c r="H943" s="2">
        <v>13828.17</v>
      </c>
      <c r="I943" s="2" t="s">
        <v>53</v>
      </c>
      <c r="J943" s="2" t="s">
        <v>54</v>
      </c>
      <c r="K943" s="2" t="s">
        <v>32</v>
      </c>
      <c r="L943" s="2" t="s">
        <v>23</v>
      </c>
      <c r="M943" s="2">
        <v>5</v>
      </c>
      <c r="N943" s="2" t="s">
        <v>69</v>
      </c>
      <c r="O943" s="2" t="s">
        <v>70</v>
      </c>
      <c r="P943" s="2" t="s">
        <v>26</v>
      </c>
    </row>
    <row r="944" spans="1:16" x14ac:dyDescent="0.25">
      <c r="A944" s="2" t="s">
        <v>2372</v>
      </c>
      <c r="B944" s="2" t="s">
        <v>228</v>
      </c>
      <c r="C944" s="2">
        <v>1393</v>
      </c>
      <c r="D944" s="2" t="s">
        <v>2801</v>
      </c>
      <c r="E944" s="2" t="s">
        <v>32</v>
      </c>
      <c r="F944" s="2" t="s">
        <v>19</v>
      </c>
      <c r="G944" s="2">
        <v>9863.08</v>
      </c>
      <c r="H944" s="2">
        <v>5381.23</v>
      </c>
      <c r="I944" s="2" t="s">
        <v>20</v>
      </c>
      <c r="J944" s="2" t="s">
        <v>6802</v>
      </c>
      <c r="K944" s="2" t="s">
        <v>32</v>
      </c>
      <c r="L944" s="2" t="s">
        <v>55</v>
      </c>
      <c r="M944" s="2">
        <v>5</v>
      </c>
      <c r="N944" s="2" t="s">
        <v>69</v>
      </c>
      <c r="O944" s="2" t="s">
        <v>70</v>
      </c>
      <c r="P944" s="2" t="s">
        <v>49</v>
      </c>
    </row>
    <row r="946" spans="1:16" x14ac:dyDescent="0.25">
      <c r="A946" s="2" t="s">
        <v>2374</v>
      </c>
      <c r="B946" s="2" t="s">
        <v>7826</v>
      </c>
      <c r="C946" s="2">
        <v>1793</v>
      </c>
      <c r="D946" s="2" t="s">
        <v>7827</v>
      </c>
      <c r="E946" s="2" t="s">
        <v>6756</v>
      </c>
      <c r="F946" s="2" t="s">
        <v>58</v>
      </c>
      <c r="G946" s="2">
        <v>43843.69</v>
      </c>
      <c r="H946" s="2">
        <v>20742.97</v>
      </c>
      <c r="I946" s="2" t="s">
        <v>120</v>
      </c>
      <c r="J946" s="2" t="s">
        <v>6724</v>
      </c>
      <c r="K946" s="2" t="s">
        <v>32</v>
      </c>
      <c r="L946" s="2" t="s">
        <v>55</v>
      </c>
      <c r="M946" s="2">
        <v>4</v>
      </c>
      <c r="N946" s="2" t="s">
        <v>33</v>
      </c>
      <c r="O946" s="2" t="s">
        <v>70</v>
      </c>
      <c r="P946" s="2" t="s">
        <v>26</v>
      </c>
    </row>
    <row r="947" spans="1:16" x14ac:dyDescent="0.25">
      <c r="A947" s="2" t="s">
        <v>2377</v>
      </c>
      <c r="B947" s="2" t="s">
        <v>7828</v>
      </c>
      <c r="C947" s="2">
        <v>8315</v>
      </c>
      <c r="D947" s="2" t="s">
        <v>7829</v>
      </c>
      <c r="E947" s="2" t="s">
        <v>32</v>
      </c>
      <c r="F947" s="2" t="s">
        <v>47</v>
      </c>
      <c r="G947" s="2">
        <v>10383.74</v>
      </c>
      <c r="H947" s="2">
        <v>6046.9</v>
      </c>
      <c r="I947" s="2" t="s">
        <v>6808</v>
      </c>
      <c r="J947" s="2" t="s">
        <v>6691</v>
      </c>
      <c r="K947" s="2" t="s">
        <v>80</v>
      </c>
      <c r="L947" s="2" t="s">
        <v>23</v>
      </c>
      <c r="M947" s="2">
        <v>2</v>
      </c>
      <c r="N947" s="2" t="s">
        <v>69</v>
      </c>
      <c r="O947" s="2" t="s">
        <v>70</v>
      </c>
      <c r="P947" s="2" t="s">
        <v>26</v>
      </c>
    </row>
    <row r="948" spans="1:16" x14ac:dyDescent="0.25">
      <c r="A948" s="2" t="s">
        <v>2380</v>
      </c>
      <c r="B948" s="2" t="s">
        <v>992</v>
      </c>
      <c r="C948" s="2">
        <v>2697</v>
      </c>
      <c r="D948" s="2" t="s">
        <v>7830</v>
      </c>
      <c r="E948" s="2" t="s">
        <v>18</v>
      </c>
      <c r="F948" s="2" t="s">
        <v>30</v>
      </c>
      <c r="G948" s="2">
        <v>101697.43</v>
      </c>
      <c r="H948" s="2">
        <v>51500.49</v>
      </c>
      <c r="I948" s="2" t="s">
        <v>63</v>
      </c>
      <c r="J948" s="2" t="s">
        <v>54</v>
      </c>
      <c r="K948" s="2" t="s">
        <v>22</v>
      </c>
      <c r="L948" s="2" t="s">
        <v>55</v>
      </c>
      <c r="M948" s="2">
        <v>3</v>
      </c>
      <c r="N948" s="2" t="s">
        <v>33</v>
      </c>
      <c r="O948" s="2" t="s">
        <v>25</v>
      </c>
      <c r="P948" s="2" t="s">
        <v>34</v>
      </c>
    </row>
    <row r="949" spans="1:16" x14ac:dyDescent="0.25">
      <c r="A949" s="2" t="s">
        <v>2382</v>
      </c>
      <c r="B949" s="2" t="s">
        <v>1248</v>
      </c>
      <c r="C949" s="2">
        <v>3459</v>
      </c>
      <c r="D949" s="2" t="s">
        <v>7831</v>
      </c>
      <c r="E949" s="2" t="s">
        <v>38</v>
      </c>
      <c r="F949" s="2" t="s">
        <v>47</v>
      </c>
      <c r="G949" s="2">
        <v>9928.7000000000007</v>
      </c>
      <c r="H949" s="2">
        <v>4501.8999999999996</v>
      </c>
      <c r="I949" s="2" t="s">
        <v>53</v>
      </c>
      <c r="J949" s="2" t="s">
        <v>54</v>
      </c>
      <c r="K949" s="2" t="s">
        <v>32</v>
      </c>
      <c r="L949" s="2" t="s">
        <v>48</v>
      </c>
      <c r="M949" s="2">
        <v>3</v>
      </c>
      <c r="N949" s="2" t="s">
        <v>69</v>
      </c>
      <c r="O949" s="2" t="s">
        <v>25</v>
      </c>
      <c r="P949" s="2" t="s">
        <v>34</v>
      </c>
    </row>
    <row r="950" spans="1:16" x14ac:dyDescent="0.25">
      <c r="A950" s="2" t="s">
        <v>2385</v>
      </c>
      <c r="B950" s="2" t="s">
        <v>7832</v>
      </c>
      <c r="C950" s="2">
        <v>6656</v>
      </c>
      <c r="D950" s="2" t="s">
        <v>7833</v>
      </c>
      <c r="E950" s="2" t="s">
        <v>6743</v>
      </c>
      <c r="F950" s="2" t="s">
        <v>19</v>
      </c>
      <c r="G950" s="2">
        <v>13318.81</v>
      </c>
      <c r="H950" s="2">
        <v>7547.66</v>
      </c>
      <c r="I950" s="2" t="s">
        <v>6739</v>
      </c>
      <c r="J950" s="2" t="s">
        <v>6753</v>
      </c>
      <c r="K950" s="2" t="s">
        <v>22</v>
      </c>
      <c r="L950" s="2" t="s">
        <v>55</v>
      </c>
      <c r="M950" s="2">
        <v>2</v>
      </c>
      <c r="N950" s="2" t="s">
        <v>69</v>
      </c>
      <c r="O950" s="2" t="s">
        <v>25</v>
      </c>
      <c r="P950" s="2" t="s">
        <v>34</v>
      </c>
    </row>
    <row r="951" spans="1:16" x14ac:dyDescent="0.25">
      <c r="A951" s="2" t="s">
        <v>2388</v>
      </c>
      <c r="B951" s="2" t="s">
        <v>5985</v>
      </c>
      <c r="C951" s="2">
        <v>1420</v>
      </c>
      <c r="D951" s="2" t="s">
        <v>6018</v>
      </c>
      <c r="E951" s="2" t="s">
        <v>18</v>
      </c>
      <c r="F951" s="2" t="s">
        <v>58</v>
      </c>
      <c r="G951" s="2">
        <v>40170.33</v>
      </c>
      <c r="H951" s="2">
        <v>25549.82</v>
      </c>
      <c r="I951" s="2" t="s">
        <v>6808</v>
      </c>
      <c r="J951" s="2" t="s">
        <v>6691</v>
      </c>
      <c r="K951" s="2" t="s">
        <v>80</v>
      </c>
      <c r="L951" s="2" t="s">
        <v>55</v>
      </c>
      <c r="M951" s="2">
        <v>3</v>
      </c>
      <c r="N951" s="2" t="s">
        <v>24</v>
      </c>
      <c r="O951" s="2" t="s">
        <v>25</v>
      </c>
      <c r="P951" s="2" t="s">
        <v>49</v>
      </c>
    </row>
    <row r="952" spans="1:16" x14ac:dyDescent="0.25">
      <c r="A952" s="2" t="s">
        <v>2391</v>
      </c>
      <c r="B952" s="2" t="s">
        <v>1892</v>
      </c>
      <c r="C952" s="2">
        <v>1366</v>
      </c>
      <c r="D952" s="2" t="s">
        <v>7834</v>
      </c>
      <c r="E952" s="2" t="s">
        <v>38</v>
      </c>
      <c r="F952" s="2" t="s">
        <v>19</v>
      </c>
      <c r="G952" s="2">
        <v>8511.15</v>
      </c>
      <c r="H952" s="2">
        <v>4045.32</v>
      </c>
      <c r="I952" s="2" t="s">
        <v>120</v>
      </c>
      <c r="J952" s="2" t="s">
        <v>21</v>
      </c>
      <c r="K952" s="2" t="s">
        <v>42</v>
      </c>
      <c r="L952" s="2" t="s">
        <v>43</v>
      </c>
      <c r="M952" s="2">
        <v>1</v>
      </c>
      <c r="N952" s="2" t="s">
        <v>33</v>
      </c>
      <c r="O952" s="2" t="s">
        <v>25</v>
      </c>
      <c r="P952" s="2" t="s">
        <v>26</v>
      </c>
    </row>
    <row r="953" spans="1:16" x14ac:dyDescent="0.25">
      <c r="A953" s="2" t="s">
        <v>2393</v>
      </c>
      <c r="B953" s="2" t="s">
        <v>7652</v>
      </c>
      <c r="C953" s="2">
        <v>5091</v>
      </c>
      <c r="D953" s="2" t="s">
        <v>7835</v>
      </c>
      <c r="E953" s="2" t="s">
        <v>6743</v>
      </c>
      <c r="F953" s="2" t="s">
        <v>58</v>
      </c>
      <c r="G953" s="2">
        <v>15767.13</v>
      </c>
      <c r="H953" s="2">
        <v>9038.15</v>
      </c>
      <c r="I953" s="2" t="s">
        <v>31</v>
      </c>
      <c r="J953" s="2" t="s">
        <v>6696</v>
      </c>
      <c r="K953" s="2" t="s">
        <v>80</v>
      </c>
      <c r="L953" s="2" t="s">
        <v>64</v>
      </c>
      <c r="M953" s="2">
        <v>5</v>
      </c>
      <c r="N953" s="2" t="s">
        <v>69</v>
      </c>
      <c r="O953" s="2" t="s">
        <v>70</v>
      </c>
      <c r="P953" s="2" t="s">
        <v>34</v>
      </c>
    </row>
    <row r="954" spans="1:16" x14ac:dyDescent="0.25">
      <c r="A954" s="2" t="s">
        <v>2394</v>
      </c>
      <c r="B954" s="2" t="s">
        <v>2766</v>
      </c>
      <c r="C954" s="2">
        <v>3825</v>
      </c>
      <c r="D954" s="2" t="s">
        <v>7836</v>
      </c>
      <c r="E954" s="2" t="s">
        <v>18</v>
      </c>
      <c r="F954" s="2" t="s">
        <v>19</v>
      </c>
      <c r="G954" s="2" t="s">
        <v>7837</v>
      </c>
      <c r="H954" s="2">
        <v>5300.38</v>
      </c>
      <c r="I954" s="2" t="s">
        <v>84</v>
      </c>
      <c r="J954" s="2" t="s">
        <v>6686</v>
      </c>
      <c r="K954" s="2" t="s">
        <v>32</v>
      </c>
      <c r="L954" s="2" t="s">
        <v>88</v>
      </c>
      <c r="M954" s="2">
        <v>4</v>
      </c>
      <c r="N954" s="2" t="s">
        <v>33</v>
      </c>
      <c r="O954" s="2" t="s">
        <v>25</v>
      </c>
      <c r="P954" s="2" t="s">
        <v>49</v>
      </c>
    </row>
    <row r="955" spans="1:16" x14ac:dyDescent="0.25">
      <c r="A955" s="2" t="s">
        <v>2396</v>
      </c>
      <c r="B955" s="2" t="s">
        <v>7838</v>
      </c>
      <c r="C955" s="2">
        <v>9011</v>
      </c>
      <c r="D955" s="2" t="s">
        <v>7839</v>
      </c>
      <c r="E955" s="2" t="s">
        <v>6756</v>
      </c>
      <c r="F955" s="2" t="s">
        <v>39</v>
      </c>
      <c r="G955" s="2">
        <v>20985.57</v>
      </c>
      <c r="H955" s="2">
        <v>9622.4</v>
      </c>
      <c r="I955" s="2" t="s">
        <v>31</v>
      </c>
      <c r="J955" s="2" t="s">
        <v>6696</v>
      </c>
      <c r="K955" s="2" t="s">
        <v>22</v>
      </c>
      <c r="L955" s="2" t="s">
        <v>43</v>
      </c>
      <c r="M955" s="2">
        <v>1</v>
      </c>
      <c r="N955" s="2" t="s">
        <v>69</v>
      </c>
      <c r="O955" s="2" t="s">
        <v>70</v>
      </c>
      <c r="P955" s="2" t="s">
        <v>34</v>
      </c>
    </row>
    <row r="956" spans="1:16" x14ac:dyDescent="0.25">
      <c r="A956" s="2" t="s">
        <v>2398</v>
      </c>
      <c r="B956" s="2" t="s">
        <v>4389</v>
      </c>
      <c r="C956" s="2">
        <v>2665</v>
      </c>
      <c r="D956" s="2" t="s">
        <v>7840</v>
      </c>
      <c r="E956" s="2" t="s">
        <v>18</v>
      </c>
      <c r="F956" s="2" t="s">
        <v>58</v>
      </c>
      <c r="G956" s="2">
        <v>11492.73</v>
      </c>
      <c r="H956" s="2">
        <v>6809.72</v>
      </c>
      <c r="I956" s="2" t="s">
        <v>120</v>
      </c>
      <c r="J956" s="2" t="s">
        <v>21</v>
      </c>
      <c r="K956" s="2" t="s">
        <v>42</v>
      </c>
      <c r="L956" s="2" t="s">
        <v>55</v>
      </c>
      <c r="M956" s="2">
        <v>1</v>
      </c>
      <c r="N956" s="2" t="s">
        <v>69</v>
      </c>
      <c r="O956" s="2" t="s">
        <v>25</v>
      </c>
      <c r="P956" s="2" t="s">
        <v>49</v>
      </c>
    </row>
    <row r="957" spans="1:16" x14ac:dyDescent="0.25">
      <c r="A957" s="2" t="s">
        <v>2400</v>
      </c>
      <c r="B957" s="2" t="s">
        <v>2112</v>
      </c>
      <c r="C957" s="2">
        <v>1406</v>
      </c>
      <c r="D957" s="2" t="s">
        <v>7841</v>
      </c>
      <c r="E957" s="2" t="s">
        <v>18</v>
      </c>
      <c r="F957" s="2" t="s">
        <v>47</v>
      </c>
      <c r="G957" s="2">
        <v>8129.52</v>
      </c>
      <c r="H957" s="2">
        <v>3953.75</v>
      </c>
      <c r="I957" s="2" t="s">
        <v>6918</v>
      </c>
      <c r="J957" s="2" t="s">
        <v>6789</v>
      </c>
      <c r="K957" s="2" t="s">
        <v>42</v>
      </c>
      <c r="L957" s="2" t="s">
        <v>64</v>
      </c>
      <c r="M957" s="2">
        <v>4</v>
      </c>
      <c r="N957" s="2" t="s">
        <v>24</v>
      </c>
      <c r="O957" s="2" t="s">
        <v>25</v>
      </c>
      <c r="P957" s="2" t="s">
        <v>34</v>
      </c>
    </row>
    <row r="958" spans="1:16" x14ac:dyDescent="0.25">
      <c r="A958" s="2" t="s">
        <v>2402</v>
      </c>
      <c r="B958" s="2" t="s">
        <v>2434</v>
      </c>
      <c r="C958" s="2">
        <v>3439</v>
      </c>
      <c r="D958" s="2" t="s">
        <v>1705</v>
      </c>
      <c r="E958" s="2" t="s">
        <v>32</v>
      </c>
      <c r="F958" s="2" t="s">
        <v>47</v>
      </c>
      <c r="G958" s="2">
        <v>10373.129999999999</v>
      </c>
      <c r="H958" s="2">
        <v>4800.84</v>
      </c>
      <c r="I958" s="2" t="s">
        <v>53</v>
      </c>
      <c r="J958" s="2" t="s">
        <v>6700</v>
      </c>
      <c r="K958" s="2" t="s">
        <v>32</v>
      </c>
      <c r="L958" s="2" t="s">
        <v>23</v>
      </c>
      <c r="M958" s="2">
        <v>4</v>
      </c>
      <c r="N958" s="2" t="s">
        <v>33</v>
      </c>
      <c r="O958" s="2" t="s">
        <v>25</v>
      </c>
      <c r="P958" s="2" t="s">
        <v>34</v>
      </c>
    </row>
    <row r="959" spans="1:16" x14ac:dyDescent="0.25">
      <c r="A959" s="2" t="s">
        <v>2405</v>
      </c>
      <c r="B959" s="2" t="s">
        <v>3874</v>
      </c>
      <c r="C959" s="2">
        <v>8322</v>
      </c>
      <c r="D959" s="2" t="s">
        <v>7842</v>
      </c>
      <c r="E959" s="2" t="s">
        <v>38</v>
      </c>
      <c r="F959" s="2" t="s">
        <v>30</v>
      </c>
      <c r="G959" s="2">
        <v>56866.09</v>
      </c>
      <c r="H959" s="2">
        <v>27003.7</v>
      </c>
      <c r="I959" s="2" t="s">
        <v>40</v>
      </c>
      <c r="J959" s="2" t="s">
        <v>41</v>
      </c>
      <c r="K959" s="2" t="s">
        <v>42</v>
      </c>
      <c r="L959" s="2" t="s">
        <v>55</v>
      </c>
      <c r="M959" s="2">
        <v>1</v>
      </c>
      <c r="N959" s="2" t="s">
        <v>24</v>
      </c>
      <c r="O959" s="2" t="s">
        <v>25</v>
      </c>
      <c r="P959" s="2" t="s">
        <v>26</v>
      </c>
    </row>
    <row r="961" spans="1:16" x14ac:dyDescent="0.25">
      <c r="A961" s="2" t="s">
        <v>2408</v>
      </c>
      <c r="B961" s="2" t="s">
        <v>7843</v>
      </c>
      <c r="C961" s="2">
        <v>5416</v>
      </c>
      <c r="D961" s="2" t="s">
        <v>7844</v>
      </c>
      <c r="E961" s="2" t="s">
        <v>6756</v>
      </c>
      <c r="F961" s="2" t="s">
        <v>47</v>
      </c>
      <c r="G961" s="2">
        <v>5552.85</v>
      </c>
      <c r="H961" s="2">
        <v>3240.32</v>
      </c>
      <c r="I961" s="2" t="s">
        <v>6749</v>
      </c>
      <c r="J961" s="2" t="s">
        <v>6732</v>
      </c>
      <c r="K961" s="2" t="s">
        <v>22</v>
      </c>
      <c r="L961" s="2" t="s">
        <v>88</v>
      </c>
      <c r="M961" s="2">
        <v>2</v>
      </c>
      <c r="N961" s="2" t="s">
        <v>33</v>
      </c>
      <c r="O961" s="2" t="s">
        <v>70</v>
      </c>
      <c r="P961" s="2" t="s">
        <v>49</v>
      </c>
    </row>
    <row r="962" spans="1:16" x14ac:dyDescent="0.25">
      <c r="A962" s="2" t="s">
        <v>2411</v>
      </c>
      <c r="B962" s="2" t="s">
        <v>3120</v>
      </c>
      <c r="C962" s="2">
        <v>4254</v>
      </c>
      <c r="D962" s="2" t="s">
        <v>7845</v>
      </c>
      <c r="E962" s="2" t="s">
        <v>38</v>
      </c>
      <c r="F962" s="2" t="s">
        <v>47</v>
      </c>
      <c r="G962" s="2">
        <v>11360.81</v>
      </c>
      <c r="H962" s="2">
        <v>6669.15</v>
      </c>
      <c r="I962" s="2" t="s">
        <v>31</v>
      </c>
      <c r="J962" s="2" t="s">
        <v>21</v>
      </c>
      <c r="K962" s="2" t="s">
        <v>80</v>
      </c>
      <c r="L962" s="2" t="s">
        <v>64</v>
      </c>
      <c r="M962" s="2">
        <v>5</v>
      </c>
      <c r="N962" s="2" t="s">
        <v>24</v>
      </c>
      <c r="O962" s="2" t="s">
        <v>25</v>
      </c>
      <c r="P962" s="2" t="s">
        <v>34</v>
      </c>
    </row>
    <row r="963" spans="1:16" x14ac:dyDescent="0.25">
      <c r="A963" s="2" t="s">
        <v>2413</v>
      </c>
      <c r="B963" s="2" t="s">
        <v>379</v>
      </c>
      <c r="C963" s="2">
        <v>8862</v>
      </c>
      <c r="D963" s="2" t="s">
        <v>7846</v>
      </c>
      <c r="E963" s="2" t="s">
        <v>38</v>
      </c>
      <c r="F963" s="2" t="s">
        <v>58</v>
      </c>
      <c r="G963" s="2">
        <v>12888.71</v>
      </c>
      <c r="H963" s="2">
        <v>7941.81</v>
      </c>
      <c r="I963" s="2" t="s">
        <v>68</v>
      </c>
      <c r="J963" s="2" t="s">
        <v>41</v>
      </c>
      <c r="K963" s="2" t="s">
        <v>42</v>
      </c>
      <c r="L963" s="2" t="s">
        <v>64</v>
      </c>
      <c r="M963" s="2">
        <v>2</v>
      </c>
      <c r="N963" s="2" t="s">
        <v>33</v>
      </c>
      <c r="O963" s="2" t="s">
        <v>70</v>
      </c>
      <c r="P963" s="2" t="s">
        <v>49</v>
      </c>
    </row>
    <row r="964" spans="1:16" x14ac:dyDescent="0.25">
      <c r="A964" s="2" t="s">
        <v>2416</v>
      </c>
      <c r="B964" s="2" t="s">
        <v>7847</v>
      </c>
      <c r="C964" s="2">
        <v>1240</v>
      </c>
      <c r="D964" s="2" t="s">
        <v>2407</v>
      </c>
      <c r="E964" s="2" t="s">
        <v>6694</v>
      </c>
      <c r="F964" s="2" t="s">
        <v>30</v>
      </c>
      <c r="G964" s="2">
        <v>54347.76</v>
      </c>
      <c r="H964" s="2">
        <v>34359.42</v>
      </c>
      <c r="I964" s="2" t="s">
        <v>6867</v>
      </c>
      <c r="J964" s="2" t="s">
        <v>21</v>
      </c>
      <c r="K964" s="2" t="s">
        <v>32</v>
      </c>
      <c r="L964" s="2" t="s">
        <v>64</v>
      </c>
      <c r="M964" s="2">
        <v>2</v>
      </c>
      <c r="N964" s="2" t="s">
        <v>33</v>
      </c>
      <c r="O964" s="2" t="s">
        <v>25</v>
      </c>
      <c r="P964" s="2" t="s">
        <v>49</v>
      </c>
    </row>
    <row r="965" spans="1:16" x14ac:dyDescent="0.25">
      <c r="A965" s="2" t="s">
        <v>2419</v>
      </c>
      <c r="B965" s="2" t="s">
        <v>5044</v>
      </c>
      <c r="C965" s="2">
        <v>5251</v>
      </c>
      <c r="D965" s="2" t="s">
        <v>7848</v>
      </c>
      <c r="E965" s="2" t="s">
        <v>18</v>
      </c>
      <c r="F965" s="2" t="s">
        <v>47</v>
      </c>
      <c r="G965" s="2">
        <v>18105.93</v>
      </c>
      <c r="H965" s="2">
        <v>11413.75</v>
      </c>
      <c r="I965" s="2" t="s">
        <v>63</v>
      </c>
      <c r="J965" s="2" t="s">
        <v>54</v>
      </c>
      <c r="K965" s="2" t="s">
        <v>22</v>
      </c>
      <c r="L965" s="2" t="s">
        <v>23</v>
      </c>
      <c r="M965" s="2">
        <v>3</v>
      </c>
      <c r="N965" s="2" t="s">
        <v>24</v>
      </c>
      <c r="O965" s="2" t="s">
        <v>70</v>
      </c>
      <c r="P965" s="2" t="s">
        <v>49</v>
      </c>
    </row>
    <row r="966" spans="1:16" x14ac:dyDescent="0.25">
      <c r="A966" s="2" t="s">
        <v>2422</v>
      </c>
      <c r="B966" s="2" t="s">
        <v>1587</v>
      </c>
      <c r="C966" s="2">
        <v>8281</v>
      </c>
      <c r="D966" s="2" t="s">
        <v>7849</v>
      </c>
      <c r="E966" s="2" t="s">
        <v>18</v>
      </c>
      <c r="F966" s="2" t="s">
        <v>30</v>
      </c>
      <c r="G966" s="2">
        <v>55555.87</v>
      </c>
      <c r="H966" s="2">
        <v>30972.42</v>
      </c>
      <c r="I966" s="2" t="s">
        <v>31</v>
      </c>
      <c r="J966" s="2" t="s">
        <v>21</v>
      </c>
      <c r="K966" s="2" t="s">
        <v>42</v>
      </c>
      <c r="L966" s="2" t="s">
        <v>48</v>
      </c>
      <c r="M966" s="2">
        <v>5</v>
      </c>
      <c r="N966" s="2" t="s">
        <v>33</v>
      </c>
      <c r="O966" s="2" t="s">
        <v>70</v>
      </c>
      <c r="P966" s="2" t="s">
        <v>26</v>
      </c>
    </row>
    <row r="967" spans="1:16" x14ac:dyDescent="0.25">
      <c r="A967" s="2" t="s">
        <v>2425</v>
      </c>
      <c r="B967" s="2" t="s">
        <v>7850</v>
      </c>
      <c r="C967" s="2">
        <v>6833</v>
      </c>
      <c r="D967" s="2" t="s">
        <v>7851</v>
      </c>
      <c r="E967" s="2" t="s">
        <v>32</v>
      </c>
      <c r="F967" s="2" t="s">
        <v>39</v>
      </c>
      <c r="G967" s="2">
        <v>16476.759999999998</v>
      </c>
      <c r="H967" s="2">
        <v>8865.66</v>
      </c>
      <c r="I967" s="2" t="s">
        <v>6681</v>
      </c>
      <c r="J967" s="2" t="s">
        <v>6732</v>
      </c>
      <c r="K967" s="2" t="s">
        <v>42</v>
      </c>
      <c r="L967" s="2" t="s">
        <v>64</v>
      </c>
      <c r="M967" s="2">
        <v>1</v>
      </c>
      <c r="N967" s="2" t="s">
        <v>24</v>
      </c>
      <c r="O967" s="2" t="s">
        <v>25</v>
      </c>
      <c r="P967" s="2" t="s">
        <v>26</v>
      </c>
    </row>
    <row r="969" spans="1:16" x14ac:dyDescent="0.25">
      <c r="A969" s="2" t="s">
        <v>2428</v>
      </c>
      <c r="B969" s="2" t="s">
        <v>5885</v>
      </c>
      <c r="C969" s="2">
        <v>7606</v>
      </c>
      <c r="D969" s="2" t="s">
        <v>7852</v>
      </c>
      <c r="E969" s="2" t="s">
        <v>18</v>
      </c>
      <c r="F969" s="2" t="s">
        <v>47</v>
      </c>
      <c r="G969" s="2">
        <v>12057.62</v>
      </c>
      <c r="H969" s="2">
        <v>7036.79</v>
      </c>
      <c r="I969" s="2" t="s">
        <v>20</v>
      </c>
      <c r="J969" s="2" t="s">
        <v>21</v>
      </c>
      <c r="K969" s="2" t="s">
        <v>32</v>
      </c>
      <c r="L969" s="2" t="s">
        <v>43</v>
      </c>
      <c r="M969" s="2">
        <v>4</v>
      </c>
      <c r="N969" s="2" t="s">
        <v>24</v>
      </c>
      <c r="O969" s="2" t="s">
        <v>25</v>
      </c>
      <c r="P969" s="2" t="s">
        <v>26</v>
      </c>
    </row>
    <row r="970" spans="1:16" x14ac:dyDescent="0.25">
      <c r="A970" s="2" t="s">
        <v>2430</v>
      </c>
      <c r="B970" s="2" t="s">
        <v>5692</v>
      </c>
      <c r="C970" s="2">
        <v>8817</v>
      </c>
      <c r="D970" s="2" t="s">
        <v>728</v>
      </c>
      <c r="E970" s="2" t="s">
        <v>6743</v>
      </c>
      <c r="F970" s="2" t="s">
        <v>58</v>
      </c>
      <c r="G970" s="2">
        <v>26825.96</v>
      </c>
      <c r="H970" s="2">
        <v>15230.93</v>
      </c>
      <c r="I970" s="2" t="s">
        <v>6752</v>
      </c>
      <c r="J970" s="2" t="s">
        <v>54</v>
      </c>
      <c r="K970" s="2" t="s">
        <v>32</v>
      </c>
      <c r="L970" s="2" t="s">
        <v>48</v>
      </c>
      <c r="M970" s="2">
        <v>1</v>
      </c>
      <c r="N970" s="2" t="s">
        <v>33</v>
      </c>
      <c r="O970" s="2" t="s">
        <v>70</v>
      </c>
      <c r="P970" s="2" t="s">
        <v>49</v>
      </c>
    </row>
    <row r="971" spans="1:16" x14ac:dyDescent="0.25">
      <c r="A971" s="2" t="s">
        <v>2433</v>
      </c>
      <c r="B971" s="2" t="s">
        <v>971</v>
      </c>
      <c r="C971" s="2">
        <v>4672</v>
      </c>
      <c r="D971" s="2" t="s">
        <v>7853</v>
      </c>
      <c r="E971" s="2" t="s">
        <v>38</v>
      </c>
      <c r="F971" s="2" t="s">
        <v>19</v>
      </c>
      <c r="G971" s="2">
        <v>11884.31</v>
      </c>
      <c r="H971" s="2">
        <v>6189.45</v>
      </c>
      <c r="I971" s="2" t="s">
        <v>31</v>
      </c>
      <c r="J971" s="2" t="s">
        <v>21</v>
      </c>
      <c r="K971" s="2" t="s">
        <v>80</v>
      </c>
      <c r="L971" s="2" t="s">
        <v>43</v>
      </c>
      <c r="M971" s="2">
        <v>4</v>
      </c>
      <c r="N971" s="2" t="s">
        <v>33</v>
      </c>
      <c r="O971" s="2" t="s">
        <v>70</v>
      </c>
      <c r="P971" s="2" t="s">
        <v>49</v>
      </c>
    </row>
    <row r="972" spans="1:16" x14ac:dyDescent="0.25">
      <c r="A972" s="2" t="s">
        <v>2436</v>
      </c>
      <c r="B972" s="2" t="s">
        <v>2409</v>
      </c>
      <c r="C972" s="2">
        <v>5338</v>
      </c>
      <c r="D972" s="2" t="s">
        <v>7854</v>
      </c>
      <c r="E972" s="2" t="s">
        <v>6698</v>
      </c>
      <c r="F972" s="2" t="s">
        <v>47</v>
      </c>
      <c r="G972" s="2">
        <v>2820.26</v>
      </c>
      <c r="H972" s="2">
        <v>1524.67</v>
      </c>
      <c r="I972" s="2" t="s">
        <v>6726</v>
      </c>
      <c r="J972" s="2" t="s">
        <v>6795</v>
      </c>
      <c r="K972" s="2" t="s">
        <v>42</v>
      </c>
      <c r="L972" s="2" t="s">
        <v>23</v>
      </c>
      <c r="M972" s="2">
        <v>1</v>
      </c>
      <c r="N972" s="2" t="s">
        <v>33</v>
      </c>
      <c r="O972" s="2" t="s">
        <v>25</v>
      </c>
      <c r="P972" s="2" t="s">
        <v>34</v>
      </c>
    </row>
    <row r="973" spans="1:16" x14ac:dyDescent="0.25">
      <c r="A973" s="2" t="s">
        <v>2438</v>
      </c>
      <c r="B973" s="2" t="s">
        <v>2030</v>
      </c>
      <c r="C973" s="2">
        <v>5356</v>
      </c>
      <c r="D973" s="2" t="s">
        <v>3909</v>
      </c>
      <c r="E973" s="2" t="s">
        <v>38</v>
      </c>
      <c r="F973" s="2" t="s">
        <v>30</v>
      </c>
      <c r="G973" s="2">
        <v>45798.62</v>
      </c>
      <c r="H973" s="2">
        <v>25205.81</v>
      </c>
      <c r="I973" s="2" t="s">
        <v>84</v>
      </c>
      <c r="J973" s="2" t="s">
        <v>54</v>
      </c>
      <c r="K973" s="2" t="s">
        <v>22</v>
      </c>
      <c r="L973" s="2" t="s">
        <v>64</v>
      </c>
      <c r="M973" s="2">
        <v>2</v>
      </c>
      <c r="N973" s="2" t="s">
        <v>69</v>
      </c>
      <c r="O973" s="2" t="s">
        <v>25</v>
      </c>
      <c r="P973" s="2" t="s">
        <v>26</v>
      </c>
    </row>
    <row r="974" spans="1:16" x14ac:dyDescent="0.25">
      <c r="A974" s="2" t="s">
        <v>2439</v>
      </c>
      <c r="B974" s="2" t="s">
        <v>7855</v>
      </c>
      <c r="C974" s="2">
        <v>2038</v>
      </c>
      <c r="D974" s="2" t="s">
        <v>7856</v>
      </c>
      <c r="E974" s="2" t="s">
        <v>18</v>
      </c>
      <c r="F974" s="2" t="s">
        <v>30</v>
      </c>
      <c r="G974" s="2">
        <v>25419.51</v>
      </c>
      <c r="H974" s="2">
        <v>12529.03</v>
      </c>
      <c r="I974" s="2" t="s">
        <v>120</v>
      </c>
      <c r="J974" s="2" t="s">
        <v>21</v>
      </c>
      <c r="K974" s="2" t="s">
        <v>22</v>
      </c>
      <c r="L974" s="2" t="s">
        <v>43</v>
      </c>
      <c r="M974" s="2">
        <v>2</v>
      </c>
      <c r="N974" s="2" t="s">
        <v>33</v>
      </c>
      <c r="O974" s="2" t="s">
        <v>70</v>
      </c>
      <c r="P974" s="2" t="s">
        <v>49</v>
      </c>
    </row>
    <row r="975" spans="1:16" x14ac:dyDescent="0.25">
      <c r="A975" s="2" t="s">
        <v>2441</v>
      </c>
      <c r="B975" s="2" t="s">
        <v>1232</v>
      </c>
      <c r="C975" s="2">
        <v>7678</v>
      </c>
      <c r="D975" s="2" t="s">
        <v>7857</v>
      </c>
      <c r="E975" s="2" t="s">
        <v>18</v>
      </c>
      <c r="F975" s="2" t="s">
        <v>19</v>
      </c>
      <c r="G975" s="2">
        <v>8624.17</v>
      </c>
      <c r="H975" s="2">
        <v>5572.96</v>
      </c>
      <c r="I975" s="2" t="s">
        <v>63</v>
      </c>
      <c r="J975" s="2" t="s">
        <v>54</v>
      </c>
      <c r="K975" s="2" t="s">
        <v>22</v>
      </c>
      <c r="L975" s="2" t="s">
        <v>88</v>
      </c>
      <c r="M975" s="2">
        <v>3</v>
      </c>
      <c r="N975" s="2" t="s">
        <v>24</v>
      </c>
      <c r="O975" s="2" t="s">
        <v>25</v>
      </c>
      <c r="P975" s="2" t="s">
        <v>34</v>
      </c>
    </row>
    <row r="976" spans="1:16" x14ac:dyDescent="0.25">
      <c r="A976" s="2" t="s">
        <v>2444</v>
      </c>
      <c r="B976" s="2" t="s">
        <v>7858</v>
      </c>
      <c r="C976" s="2">
        <v>3369</v>
      </c>
      <c r="D976" s="2" t="s">
        <v>7859</v>
      </c>
      <c r="E976" s="2" t="s">
        <v>6708</v>
      </c>
      <c r="F976" s="2" t="s">
        <v>39</v>
      </c>
      <c r="G976" s="2">
        <v>13888.48</v>
      </c>
      <c r="H976" s="2">
        <v>6520.26</v>
      </c>
      <c r="I976" s="2" t="s">
        <v>6723</v>
      </c>
      <c r="J976" s="2" t="s">
        <v>6795</v>
      </c>
      <c r="K976" s="2" t="s">
        <v>42</v>
      </c>
      <c r="L976" s="2" t="s">
        <v>48</v>
      </c>
      <c r="M976" s="2">
        <v>1</v>
      </c>
      <c r="N976" s="2" t="s">
        <v>69</v>
      </c>
      <c r="O976" s="2" t="s">
        <v>70</v>
      </c>
      <c r="P976" s="2" t="s">
        <v>34</v>
      </c>
    </row>
    <row r="977" spans="1:16" x14ac:dyDescent="0.25">
      <c r="A977" s="2" t="s">
        <v>2446</v>
      </c>
      <c r="B977" s="2" t="s">
        <v>7860</v>
      </c>
      <c r="C977" s="2">
        <v>9818</v>
      </c>
      <c r="D977" s="2" t="s">
        <v>7861</v>
      </c>
      <c r="E977" s="2" t="s">
        <v>6694</v>
      </c>
      <c r="F977" s="2" t="s">
        <v>58</v>
      </c>
      <c r="G977" s="2">
        <v>32462.27</v>
      </c>
      <c r="H977" s="2">
        <v>20817.57</v>
      </c>
      <c r="I977" s="2" t="s">
        <v>31</v>
      </c>
      <c r="J977" s="2" t="s">
        <v>6802</v>
      </c>
      <c r="K977" s="2" t="s">
        <v>22</v>
      </c>
      <c r="L977" s="2" t="s">
        <v>64</v>
      </c>
      <c r="M977" s="2">
        <v>4</v>
      </c>
      <c r="N977" s="2" t="s">
        <v>69</v>
      </c>
      <c r="O977" s="2" t="s">
        <v>25</v>
      </c>
      <c r="P977" s="2" t="s">
        <v>34</v>
      </c>
    </row>
    <row r="978" spans="1:16" x14ac:dyDescent="0.25">
      <c r="A978" s="2" t="s">
        <v>2448</v>
      </c>
      <c r="B978" s="2" t="s">
        <v>7862</v>
      </c>
      <c r="C978" s="2">
        <v>9944</v>
      </c>
      <c r="D978" s="2" t="s">
        <v>5144</v>
      </c>
      <c r="E978" s="2" t="s">
        <v>6708</v>
      </c>
      <c r="F978" s="2" t="s">
        <v>58</v>
      </c>
      <c r="G978" s="2">
        <v>23106.99</v>
      </c>
      <c r="H978" s="2">
        <v>12886.32</v>
      </c>
      <c r="I978" s="2" t="s">
        <v>6777</v>
      </c>
      <c r="J978" s="2" t="s">
        <v>6713</v>
      </c>
      <c r="K978" s="2" t="s">
        <v>32</v>
      </c>
      <c r="L978" s="2" t="s">
        <v>48</v>
      </c>
      <c r="M978" s="2">
        <v>5</v>
      </c>
      <c r="N978" s="2" t="s">
        <v>33</v>
      </c>
      <c r="O978" s="2" t="s">
        <v>70</v>
      </c>
      <c r="P978" s="2" t="s">
        <v>34</v>
      </c>
    </row>
    <row r="979" spans="1:16" x14ac:dyDescent="0.25">
      <c r="A979" s="2" t="s">
        <v>2450</v>
      </c>
      <c r="B979" s="2" t="s">
        <v>5412</v>
      </c>
      <c r="C979" s="2">
        <v>1807</v>
      </c>
      <c r="D979" s="2" t="s">
        <v>5965</v>
      </c>
      <c r="E979" s="2" t="s">
        <v>18</v>
      </c>
      <c r="F979" s="2" t="s">
        <v>39</v>
      </c>
      <c r="G979" s="2">
        <v>9570.17</v>
      </c>
      <c r="H979" s="2">
        <v>4564.53</v>
      </c>
      <c r="I979" s="2" t="s">
        <v>68</v>
      </c>
      <c r="J979" s="2" t="s">
        <v>41</v>
      </c>
      <c r="K979" s="2" t="s">
        <v>32</v>
      </c>
      <c r="L979" s="2" t="s">
        <v>55</v>
      </c>
      <c r="M979" s="2">
        <v>4</v>
      </c>
      <c r="N979" s="2" t="s">
        <v>69</v>
      </c>
      <c r="O979" s="2" t="s">
        <v>25</v>
      </c>
      <c r="P979" s="2" t="s">
        <v>34</v>
      </c>
    </row>
    <row r="980" spans="1:16" x14ac:dyDescent="0.25">
      <c r="A980" s="2" t="s">
        <v>2452</v>
      </c>
      <c r="B980" s="2" t="s">
        <v>3044</v>
      </c>
      <c r="C980" s="2">
        <v>4720</v>
      </c>
      <c r="D980" s="2" t="s">
        <v>4855</v>
      </c>
      <c r="E980" s="2" t="s">
        <v>6708</v>
      </c>
      <c r="F980" s="2" t="s">
        <v>58</v>
      </c>
      <c r="G980" s="2">
        <v>14097.81</v>
      </c>
      <c r="H980" s="2">
        <v>7230.45</v>
      </c>
      <c r="I980" s="2" t="s">
        <v>6690</v>
      </c>
      <c r="J980" s="2" t="s">
        <v>54</v>
      </c>
      <c r="K980" s="2" t="s">
        <v>80</v>
      </c>
      <c r="L980" s="2" t="s">
        <v>48</v>
      </c>
      <c r="M980" s="2">
        <v>2</v>
      </c>
      <c r="N980" s="2" t="s">
        <v>33</v>
      </c>
      <c r="O980" s="2" t="s">
        <v>25</v>
      </c>
      <c r="P980" s="2" t="s">
        <v>34</v>
      </c>
    </row>
    <row r="982" spans="1:16" x14ac:dyDescent="0.25">
      <c r="A982" s="2" t="s">
        <v>2455</v>
      </c>
      <c r="B982" s="2" t="s">
        <v>7634</v>
      </c>
      <c r="C982" s="2">
        <v>9689</v>
      </c>
      <c r="D982" s="2" t="s">
        <v>7863</v>
      </c>
      <c r="E982" s="2" t="s">
        <v>38</v>
      </c>
      <c r="F982" s="2" t="s">
        <v>19</v>
      </c>
      <c r="G982" s="2">
        <v>8410.34</v>
      </c>
      <c r="H982" s="2">
        <v>4278.03</v>
      </c>
      <c r="I982" s="2" t="s">
        <v>84</v>
      </c>
      <c r="J982" s="2" t="s">
        <v>54</v>
      </c>
      <c r="K982" s="2" t="s">
        <v>80</v>
      </c>
      <c r="L982" s="2" t="s">
        <v>64</v>
      </c>
      <c r="M982" s="2">
        <v>3</v>
      </c>
      <c r="N982" s="2" t="s">
        <v>24</v>
      </c>
      <c r="O982" s="2" t="s">
        <v>70</v>
      </c>
      <c r="P982" s="2" t="s">
        <v>49</v>
      </c>
    </row>
    <row r="983" spans="1:16" x14ac:dyDescent="0.25">
      <c r="A983" s="2" t="s">
        <v>2458</v>
      </c>
      <c r="B983" s="2" t="s">
        <v>1844</v>
      </c>
      <c r="C983" s="2">
        <v>1235</v>
      </c>
      <c r="D983" s="2" t="s">
        <v>4355</v>
      </c>
      <c r="E983" s="2" t="s">
        <v>38</v>
      </c>
      <c r="F983" s="2" t="s">
        <v>58</v>
      </c>
      <c r="G983" s="2">
        <v>29468.49</v>
      </c>
      <c r="H983" s="2">
        <v>18359.919999999998</v>
      </c>
      <c r="I983" s="2" t="s">
        <v>53</v>
      </c>
      <c r="J983" s="2" t="s">
        <v>54</v>
      </c>
      <c r="K983" s="2" t="s">
        <v>80</v>
      </c>
      <c r="L983" s="2" t="s">
        <v>64</v>
      </c>
      <c r="M983" s="2">
        <v>3</v>
      </c>
      <c r="N983" s="2" t="s">
        <v>24</v>
      </c>
      <c r="O983" s="2" t="s">
        <v>25</v>
      </c>
      <c r="P983" s="2" t="s">
        <v>34</v>
      </c>
    </row>
    <row r="984" spans="1:16" x14ac:dyDescent="0.25">
      <c r="A984" s="2" t="s">
        <v>2461</v>
      </c>
      <c r="B984" s="2" t="s">
        <v>7864</v>
      </c>
      <c r="C984" s="2">
        <v>1473</v>
      </c>
      <c r="D984" s="2" t="s">
        <v>7865</v>
      </c>
      <c r="E984" s="2" t="s">
        <v>6748</v>
      </c>
      <c r="F984" s="2" t="s">
        <v>47</v>
      </c>
      <c r="G984" s="2">
        <v>4218.41</v>
      </c>
      <c r="H984" s="2">
        <v>2621.35</v>
      </c>
      <c r="I984" s="2" t="s">
        <v>6812</v>
      </c>
      <c r="J984" s="2" t="s">
        <v>54</v>
      </c>
      <c r="K984" s="2" t="s">
        <v>42</v>
      </c>
      <c r="L984" s="2" t="s">
        <v>88</v>
      </c>
      <c r="M984" s="2">
        <v>4</v>
      </c>
      <c r="N984" s="2" t="s">
        <v>69</v>
      </c>
      <c r="O984" s="2" t="s">
        <v>70</v>
      </c>
      <c r="P984" s="2" t="s">
        <v>49</v>
      </c>
    </row>
    <row r="985" spans="1:16" x14ac:dyDescent="0.25">
      <c r="A985" s="2" t="s">
        <v>2464</v>
      </c>
      <c r="B985" s="2" t="s">
        <v>2726</v>
      </c>
      <c r="C985" s="2">
        <v>1150</v>
      </c>
      <c r="D985" s="2" t="s">
        <v>6161</v>
      </c>
      <c r="E985" s="2" t="s">
        <v>6708</v>
      </c>
      <c r="F985" s="2" t="s">
        <v>39</v>
      </c>
      <c r="G985" s="2">
        <v>16958.43</v>
      </c>
      <c r="H985" s="2">
        <v>8264.65</v>
      </c>
      <c r="I985" s="2" t="s">
        <v>6752</v>
      </c>
      <c r="J985" s="2" t="s">
        <v>6700</v>
      </c>
      <c r="K985" s="2" t="s">
        <v>32</v>
      </c>
      <c r="L985" s="2" t="s">
        <v>23</v>
      </c>
      <c r="M985" s="2">
        <v>3</v>
      </c>
      <c r="N985" s="2" t="s">
        <v>33</v>
      </c>
      <c r="O985" s="2" t="s">
        <v>70</v>
      </c>
      <c r="P985" s="2" t="s">
        <v>34</v>
      </c>
    </row>
    <row r="986" spans="1:16" x14ac:dyDescent="0.25">
      <c r="A986" s="2" t="s">
        <v>2466</v>
      </c>
      <c r="B986" s="2" t="s">
        <v>3477</v>
      </c>
      <c r="C986" s="2">
        <v>3897</v>
      </c>
      <c r="D986" s="2" t="s">
        <v>7866</v>
      </c>
      <c r="E986" s="2" t="s">
        <v>38</v>
      </c>
      <c r="F986" s="2" t="s">
        <v>30</v>
      </c>
      <c r="G986" s="2">
        <v>76520.75</v>
      </c>
      <c r="H986" s="2">
        <v>35963.449999999997</v>
      </c>
      <c r="I986" s="2" t="s">
        <v>53</v>
      </c>
      <c r="J986" s="2" t="s">
        <v>54</v>
      </c>
      <c r="K986" s="2" t="s">
        <v>42</v>
      </c>
      <c r="L986" s="2" t="s">
        <v>43</v>
      </c>
      <c r="M986" s="2">
        <v>3</v>
      </c>
      <c r="N986" s="2" t="s">
        <v>24</v>
      </c>
      <c r="O986" s="2" t="s">
        <v>25</v>
      </c>
      <c r="P986" s="2" t="s">
        <v>34</v>
      </c>
    </row>
    <row r="987" spans="1:16" x14ac:dyDescent="0.25">
      <c r="A987" s="2" t="s">
        <v>2468</v>
      </c>
      <c r="B987" s="2" t="s">
        <v>3625</v>
      </c>
      <c r="C987" s="2">
        <v>8883</v>
      </c>
      <c r="D987" s="2" t="s">
        <v>7867</v>
      </c>
      <c r="E987" s="2" t="s">
        <v>38</v>
      </c>
      <c r="F987" s="2" t="s">
        <v>58</v>
      </c>
      <c r="G987" s="2">
        <v>61672.98</v>
      </c>
      <c r="H987" s="2">
        <v>29329.85</v>
      </c>
      <c r="I987" s="2" t="s">
        <v>84</v>
      </c>
      <c r="J987" s="2" t="s">
        <v>54</v>
      </c>
      <c r="K987" s="2" t="s">
        <v>22</v>
      </c>
      <c r="L987" s="2" t="s">
        <v>23</v>
      </c>
      <c r="M987" s="2">
        <v>5</v>
      </c>
      <c r="N987" s="2" t="s">
        <v>24</v>
      </c>
      <c r="O987" s="2" t="s">
        <v>70</v>
      </c>
      <c r="P987" s="2" t="s">
        <v>34</v>
      </c>
    </row>
    <row r="988" spans="1:16" x14ac:dyDescent="0.25">
      <c r="A988" s="2" t="s">
        <v>2471</v>
      </c>
      <c r="B988" s="2" t="s">
        <v>7868</v>
      </c>
      <c r="C988" s="2">
        <v>3688</v>
      </c>
      <c r="D988" s="2" t="s">
        <v>814</v>
      </c>
      <c r="E988" s="2" t="s">
        <v>6698</v>
      </c>
      <c r="F988" s="2" t="s">
        <v>30</v>
      </c>
      <c r="G988" s="2">
        <v>16460.810000000001</v>
      </c>
      <c r="H988" s="2">
        <v>9812.11</v>
      </c>
      <c r="I988" s="2" t="s">
        <v>6799</v>
      </c>
      <c r="J988" s="2" t="s">
        <v>6793</v>
      </c>
      <c r="K988" s="2" t="s">
        <v>32</v>
      </c>
      <c r="L988" s="2" t="s">
        <v>55</v>
      </c>
      <c r="M988" s="2">
        <v>2</v>
      </c>
      <c r="N988" s="2" t="s">
        <v>24</v>
      </c>
      <c r="O988" s="2" t="s">
        <v>25</v>
      </c>
      <c r="P988" s="2" t="s">
        <v>34</v>
      </c>
    </row>
    <row r="989" spans="1:16" x14ac:dyDescent="0.25">
      <c r="A989" s="2" t="s">
        <v>2473</v>
      </c>
      <c r="B989" s="2" t="s">
        <v>198</v>
      </c>
      <c r="C989" s="2">
        <v>7037</v>
      </c>
      <c r="D989" s="2" t="s">
        <v>2912</v>
      </c>
      <c r="E989" s="2" t="s">
        <v>38</v>
      </c>
      <c r="F989" s="2" t="s">
        <v>58</v>
      </c>
      <c r="G989" s="2">
        <v>49536.89</v>
      </c>
      <c r="H989" s="2">
        <v>24023.69</v>
      </c>
      <c r="I989" s="2" t="s">
        <v>31</v>
      </c>
      <c r="J989" s="2" t="s">
        <v>21</v>
      </c>
      <c r="K989" s="2" t="s">
        <v>32</v>
      </c>
      <c r="L989" s="2" t="s">
        <v>55</v>
      </c>
      <c r="M989" s="2">
        <v>5</v>
      </c>
      <c r="N989" s="2" t="s">
        <v>24</v>
      </c>
      <c r="O989" s="2" t="s">
        <v>25</v>
      </c>
      <c r="P989" s="2" t="s">
        <v>34</v>
      </c>
    </row>
    <row r="990" spans="1:16" x14ac:dyDescent="0.25">
      <c r="A990" s="2" t="s">
        <v>2476</v>
      </c>
      <c r="B990" s="2" t="s">
        <v>3394</v>
      </c>
      <c r="C990" s="2">
        <v>6005</v>
      </c>
      <c r="D990" s="2" t="s">
        <v>4326</v>
      </c>
      <c r="E990" s="2" t="s">
        <v>38</v>
      </c>
      <c r="F990" s="2" t="s">
        <v>58</v>
      </c>
      <c r="G990" s="2">
        <v>25602.67</v>
      </c>
      <c r="H990" s="2">
        <v>13913.64</v>
      </c>
      <c r="I990" s="2" t="s">
        <v>53</v>
      </c>
      <c r="J990" s="2" t="s">
        <v>54</v>
      </c>
      <c r="K990" s="2" t="s">
        <v>32</v>
      </c>
      <c r="L990" s="2" t="s">
        <v>23</v>
      </c>
      <c r="M990" s="2">
        <v>1</v>
      </c>
      <c r="N990" s="2" t="s">
        <v>33</v>
      </c>
      <c r="O990" s="2" t="s">
        <v>70</v>
      </c>
      <c r="P990" s="2" t="s">
        <v>26</v>
      </c>
    </row>
    <row r="991" spans="1:16" x14ac:dyDescent="0.25">
      <c r="A991" s="2" t="s">
        <v>2479</v>
      </c>
      <c r="B991" s="2" t="s">
        <v>4051</v>
      </c>
      <c r="C991" s="2">
        <v>2390</v>
      </c>
      <c r="D991" s="2" t="s">
        <v>7869</v>
      </c>
      <c r="E991" s="2" t="s">
        <v>38</v>
      </c>
      <c r="F991" s="2" t="s">
        <v>19</v>
      </c>
      <c r="G991" s="2">
        <v>8501.34</v>
      </c>
      <c r="H991" s="2">
        <v>5140.8500000000004</v>
      </c>
      <c r="I991" s="2" t="s">
        <v>59</v>
      </c>
      <c r="J991" s="2" t="s">
        <v>6793</v>
      </c>
      <c r="K991" s="2" t="s">
        <v>32</v>
      </c>
      <c r="L991" s="2" t="s">
        <v>23</v>
      </c>
      <c r="M991" s="2">
        <v>3</v>
      </c>
      <c r="N991" s="2" t="s">
        <v>24</v>
      </c>
      <c r="O991" s="2" t="s">
        <v>70</v>
      </c>
      <c r="P991" s="2" t="s">
        <v>26</v>
      </c>
    </row>
    <row r="992" spans="1:16" x14ac:dyDescent="0.25">
      <c r="A992" s="2" t="s">
        <v>2481</v>
      </c>
      <c r="B992" s="2" t="s">
        <v>7870</v>
      </c>
      <c r="C992" s="2">
        <v>1206</v>
      </c>
      <c r="D992" s="2" t="s">
        <v>7871</v>
      </c>
      <c r="E992" s="2" t="s">
        <v>6743</v>
      </c>
      <c r="F992" s="2" t="s">
        <v>58</v>
      </c>
      <c r="G992" s="2">
        <v>28233.19</v>
      </c>
      <c r="H992" s="2">
        <v>13084.79</v>
      </c>
      <c r="I992" s="2" t="s">
        <v>6867</v>
      </c>
      <c r="J992" s="2" t="s">
        <v>6696</v>
      </c>
      <c r="K992" s="2" t="s">
        <v>80</v>
      </c>
      <c r="L992" s="2" t="s">
        <v>23</v>
      </c>
      <c r="M992" s="2">
        <v>1</v>
      </c>
      <c r="N992" s="2" t="s">
        <v>33</v>
      </c>
      <c r="O992" s="2" t="s">
        <v>70</v>
      </c>
      <c r="P992" s="2" t="s">
        <v>26</v>
      </c>
    </row>
    <row r="993" spans="1:16" x14ac:dyDescent="0.25">
      <c r="A993" s="2" t="s">
        <v>2483</v>
      </c>
      <c r="B993" s="2" t="s">
        <v>1347</v>
      </c>
      <c r="C993" s="2">
        <v>1585</v>
      </c>
      <c r="D993" s="2" t="s">
        <v>7872</v>
      </c>
      <c r="E993" s="2" t="s">
        <v>18</v>
      </c>
      <c r="F993" s="2" t="s">
        <v>39</v>
      </c>
      <c r="G993" s="2">
        <v>20387.400000000001</v>
      </c>
      <c r="H993" s="2">
        <v>12090.36</v>
      </c>
      <c r="I993" s="2" t="s">
        <v>20</v>
      </c>
      <c r="J993" s="2" t="s">
        <v>21</v>
      </c>
      <c r="K993" s="2" t="s">
        <v>80</v>
      </c>
      <c r="L993" s="2" t="s">
        <v>64</v>
      </c>
      <c r="M993" s="2">
        <v>4</v>
      </c>
      <c r="N993" s="2" t="s">
        <v>24</v>
      </c>
      <c r="O993" s="2" t="s">
        <v>25</v>
      </c>
      <c r="P993" s="2" t="s">
        <v>26</v>
      </c>
    </row>
    <row r="994" spans="1:16" x14ac:dyDescent="0.25">
      <c r="A994" s="2" t="s">
        <v>2485</v>
      </c>
      <c r="B994" s="2" t="s">
        <v>7873</v>
      </c>
      <c r="C994" s="2">
        <v>5286</v>
      </c>
      <c r="D994" s="2" t="s">
        <v>7874</v>
      </c>
      <c r="E994" s="2" t="s">
        <v>38</v>
      </c>
      <c r="F994" s="2" t="s">
        <v>39</v>
      </c>
      <c r="G994" s="2">
        <v>25328.9</v>
      </c>
      <c r="H994" s="2">
        <v>15581.59</v>
      </c>
      <c r="I994" s="2" t="s">
        <v>63</v>
      </c>
      <c r="J994" s="2" t="s">
        <v>6686</v>
      </c>
      <c r="K994" s="2" t="s">
        <v>32</v>
      </c>
      <c r="L994" s="2" t="s">
        <v>43</v>
      </c>
      <c r="M994" s="2">
        <v>3</v>
      </c>
      <c r="N994" s="2" t="s">
        <v>24</v>
      </c>
      <c r="O994" s="2" t="s">
        <v>25</v>
      </c>
      <c r="P994" s="2" t="s">
        <v>49</v>
      </c>
    </row>
    <row r="995" spans="1:16" x14ac:dyDescent="0.25">
      <c r="A995" s="2" t="s">
        <v>2487</v>
      </c>
      <c r="B995" s="2" t="s">
        <v>251</v>
      </c>
      <c r="C995" s="2">
        <v>3409</v>
      </c>
      <c r="D995" s="2" t="s">
        <v>7875</v>
      </c>
      <c r="E995" s="2" t="s">
        <v>38</v>
      </c>
      <c r="F995" s="2" t="s">
        <v>19</v>
      </c>
      <c r="G995" s="2">
        <v>14811.25</v>
      </c>
      <c r="H995" s="2">
        <v>8183.19</v>
      </c>
      <c r="I995" s="2" t="s">
        <v>31</v>
      </c>
      <c r="J995" s="2" t="s">
        <v>21</v>
      </c>
      <c r="K995" s="2" t="s">
        <v>42</v>
      </c>
      <c r="L995" s="2" t="s">
        <v>43</v>
      </c>
      <c r="M995" s="2">
        <v>4</v>
      </c>
      <c r="N995" s="2" t="s">
        <v>69</v>
      </c>
      <c r="O995" s="2" t="s">
        <v>25</v>
      </c>
      <c r="P995" s="2" t="s">
        <v>34</v>
      </c>
    </row>
    <row r="996" spans="1:16" x14ac:dyDescent="0.25">
      <c r="A996" s="2" t="s">
        <v>2489</v>
      </c>
      <c r="B996" s="2" t="s">
        <v>1155</v>
      </c>
      <c r="C996" s="2">
        <v>6014</v>
      </c>
      <c r="D996" s="2" t="s">
        <v>7876</v>
      </c>
      <c r="E996" s="2" t="s">
        <v>38</v>
      </c>
      <c r="F996" s="2" t="s">
        <v>47</v>
      </c>
      <c r="G996" s="2">
        <v>10644.39</v>
      </c>
      <c r="H996" s="2">
        <v>6286.74</v>
      </c>
      <c r="I996" s="2" t="s">
        <v>6910</v>
      </c>
      <c r="J996" s="2" t="s">
        <v>6789</v>
      </c>
      <c r="K996" s="2" t="s">
        <v>80</v>
      </c>
      <c r="L996" s="2" t="s">
        <v>55</v>
      </c>
      <c r="M996" s="2">
        <v>3</v>
      </c>
      <c r="N996" s="2" t="s">
        <v>69</v>
      </c>
      <c r="O996" s="2" t="s">
        <v>70</v>
      </c>
      <c r="P996" s="2" t="s">
        <v>34</v>
      </c>
    </row>
    <row r="997" spans="1:16" x14ac:dyDescent="0.25">
      <c r="A997" s="2" t="s">
        <v>2492</v>
      </c>
      <c r="B997" s="2" t="s">
        <v>449</v>
      </c>
      <c r="C997" s="2">
        <v>4709</v>
      </c>
      <c r="D997" s="2" t="s">
        <v>7877</v>
      </c>
      <c r="E997" s="2" t="s">
        <v>6719</v>
      </c>
      <c r="F997" s="2" t="s">
        <v>19</v>
      </c>
      <c r="G997" s="2">
        <v>4980.7</v>
      </c>
      <c r="H997" s="2">
        <v>2475.87</v>
      </c>
      <c r="I997" s="2" t="s">
        <v>120</v>
      </c>
      <c r="J997" s="2" t="s">
        <v>6795</v>
      </c>
      <c r="K997" s="2" t="s">
        <v>22</v>
      </c>
      <c r="L997" s="2" t="s">
        <v>23</v>
      </c>
      <c r="M997" s="2">
        <v>1</v>
      </c>
      <c r="N997" s="2" t="s">
        <v>69</v>
      </c>
      <c r="O997" s="2" t="s">
        <v>70</v>
      </c>
      <c r="P997" s="2" t="s">
        <v>34</v>
      </c>
    </row>
    <row r="998" spans="1:16" x14ac:dyDescent="0.25">
      <c r="A998" s="2" t="s">
        <v>2494</v>
      </c>
      <c r="B998" s="2" t="s">
        <v>2937</v>
      </c>
      <c r="C998" s="2">
        <v>4032</v>
      </c>
      <c r="D998" s="2" t="s">
        <v>7878</v>
      </c>
      <c r="E998" s="2" t="s">
        <v>6756</v>
      </c>
      <c r="F998" s="2" t="s">
        <v>58</v>
      </c>
      <c r="G998" s="2">
        <v>12326.68</v>
      </c>
      <c r="H998" s="2">
        <v>5552.21</v>
      </c>
      <c r="I998" s="2" t="s">
        <v>6910</v>
      </c>
      <c r="J998" s="2" t="s">
        <v>6795</v>
      </c>
      <c r="K998" s="2" t="s">
        <v>22</v>
      </c>
      <c r="L998" s="2" t="s">
        <v>48</v>
      </c>
      <c r="M998" s="2">
        <v>5</v>
      </c>
      <c r="N998" s="2" t="s">
        <v>33</v>
      </c>
      <c r="O998" s="2" t="s">
        <v>25</v>
      </c>
      <c r="P998" s="2" t="s">
        <v>26</v>
      </c>
    </row>
    <row r="999" spans="1:16" x14ac:dyDescent="0.25">
      <c r="A999" s="2" t="s">
        <v>2496</v>
      </c>
      <c r="B999" s="2" t="s">
        <v>1921</v>
      </c>
      <c r="C999" s="2">
        <v>7105</v>
      </c>
      <c r="D999" s="2" t="s">
        <v>7879</v>
      </c>
      <c r="E999" s="2" t="s">
        <v>38</v>
      </c>
      <c r="F999" s="2" t="s">
        <v>58</v>
      </c>
      <c r="G999" s="2">
        <v>43106.38</v>
      </c>
      <c r="H999" s="2">
        <v>21887.38</v>
      </c>
      <c r="I999" s="2" t="s">
        <v>120</v>
      </c>
      <c r="J999" s="2" t="s">
        <v>21</v>
      </c>
      <c r="K999" s="2" t="s">
        <v>32</v>
      </c>
      <c r="L999" s="2" t="s">
        <v>43</v>
      </c>
      <c r="M999" s="2">
        <v>3</v>
      </c>
      <c r="N999" s="2" t="s">
        <v>69</v>
      </c>
      <c r="O999" s="2" t="s">
        <v>70</v>
      </c>
      <c r="P999" s="2" t="s">
        <v>49</v>
      </c>
    </row>
    <row r="1000" spans="1:16" x14ac:dyDescent="0.25">
      <c r="A1000" s="2" t="s">
        <v>2498</v>
      </c>
      <c r="B1000" s="2" t="s">
        <v>1776</v>
      </c>
      <c r="C1000" s="2">
        <v>3265</v>
      </c>
      <c r="D1000" s="2" t="s">
        <v>5197</v>
      </c>
      <c r="E1000" s="2" t="s">
        <v>32</v>
      </c>
      <c r="F1000" s="2" t="s">
        <v>19</v>
      </c>
      <c r="G1000" s="2">
        <v>8065.5</v>
      </c>
      <c r="H1000" s="2">
        <v>4288.7</v>
      </c>
      <c r="I1000" s="2" t="s">
        <v>6918</v>
      </c>
      <c r="J1000" s="2" t="s">
        <v>21</v>
      </c>
      <c r="K1000" s="2" t="s">
        <v>42</v>
      </c>
      <c r="L1000" s="2" t="s">
        <v>48</v>
      </c>
      <c r="M1000" s="2">
        <v>1</v>
      </c>
      <c r="N1000" s="2" t="s">
        <v>33</v>
      </c>
      <c r="O1000" s="2" t="s">
        <v>25</v>
      </c>
      <c r="P1000" s="2" t="s">
        <v>26</v>
      </c>
    </row>
    <row r="1001" spans="1:16" x14ac:dyDescent="0.25">
      <c r="A1001" s="2" t="s">
        <v>2501</v>
      </c>
      <c r="B1001" s="2" t="s">
        <v>2423</v>
      </c>
      <c r="C1001" s="2">
        <v>8168</v>
      </c>
      <c r="D1001" s="2" t="s">
        <v>7880</v>
      </c>
      <c r="E1001" s="2" t="s">
        <v>6756</v>
      </c>
      <c r="F1001" s="2" t="s">
        <v>47</v>
      </c>
      <c r="G1001" s="2">
        <v>9963.89</v>
      </c>
      <c r="H1001" s="2">
        <v>6283.11</v>
      </c>
      <c r="I1001" s="2" t="s">
        <v>6759</v>
      </c>
      <c r="J1001" s="2" t="s">
        <v>6700</v>
      </c>
      <c r="K1001" s="2" t="s">
        <v>22</v>
      </c>
      <c r="L1001" s="2" t="s">
        <v>64</v>
      </c>
      <c r="M1001" s="2">
        <v>4</v>
      </c>
      <c r="N1001" s="2" t="s">
        <v>69</v>
      </c>
      <c r="O1001" s="2" t="s">
        <v>70</v>
      </c>
      <c r="P1001" s="2" t="s">
        <v>34</v>
      </c>
    </row>
    <row r="1002" spans="1:16" x14ac:dyDescent="0.25">
      <c r="A1002" s="2" t="s">
        <v>2504</v>
      </c>
      <c r="B1002" s="2" t="s">
        <v>1122</v>
      </c>
      <c r="C1002" s="2">
        <v>1025</v>
      </c>
      <c r="D1002" s="2" t="s">
        <v>7881</v>
      </c>
      <c r="E1002" s="2" t="s">
        <v>38</v>
      </c>
      <c r="F1002" s="2" t="s">
        <v>19</v>
      </c>
      <c r="G1002" s="2">
        <v>17030.97</v>
      </c>
      <c r="H1002" s="2">
        <v>8006.5</v>
      </c>
      <c r="I1002" s="2" t="s">
        <v>63</v>
      </c>
      <c r="J1002" s="2" t="s">
        <v>54</v>
      </c>
      <c r="K1002" s="2" t="s">
        <v>42</v>
      </c>
      <c r="L1002" s="2" t="s">
        <v>43</v>
      </c>
      <c r="M1002" s="2">
        <v>4</v>
      </c>
      <c r="N1002" s="2" t="s">
        <v>33</v>
      </c>
      <c r="O1002" s="2" t="s">
        <v>70</v>
      </c>
      <c r="P1002" s="2" t="s">
        <v>34</v>
      </c>
    </row>
    <row r="1003" spans="1:16" x14ac:dyDescent="0.25">
      <c r="A1003" s="2" t="s">
        <v>2506</v>
      </c>
      <c r="B1003" s="2" t="s">
        <v>4642</v>
      </c>
      <c r="C1003" s="2">
        <v>7191</v>
      </c>
      <c r="D1003" s="2" t="s">
        <v>2981</v>
      </c>
      <c r="E1003" s="2" t="s">
        <v>38</v>
      </c>
      <c r="F1003" s="2" t="s">
        <v>39</v>
      </c>
      <c r="G1003" s="2">
        <v>10418.52</v>
      </c>
      <c r="H1003" s="2">
        <v>5953</v>
      </c>
      <c r="I1003" s="2" t="s">
        <v>120</v>
      </c>
      <c r="J1003" s="2" t="s">
        <v>21</v>
      </c>
      <c r="K1003" s="2" t="s">
        <v>22</v>
      </c>
      <c r="L1003" s="2" t="s">
        <v>43</v>
      </c>
      <c r="M1003" s="2">
        <v>2</v>
      </c>
      <c r="N1003" s="2" t="s">
        <v>24</v>
      </c>
      <c r="O1003" s="2" t="s">
        <v>25</v>
      </c>
      <c r="P1003" s="2" t="s">
        <v>49</v>
      </c>
    </row>
    <row r="1004" spans="1:16" x14ac:dyDescent="0.25">
      <c r="A1004" s="2" t="s">
        <v>2509</v>
      </c>
      <c r="B1004" s="2" t="s">
        <v>7480</v>
      </c>
      <c r="C1004" s="2">
        <v>2190</v>
      </c>
      <c r="D1004" s="2" t="s">
        <v>7882</v>
      </c>
      <c r="E1004" s="2" t="s">
        <v>38</v>
      </c>
      <c r="F1004" s="2" t="s">
        <v>30</v>
      </c>
      <c r="G1004" s="2">
        <v>16371.8</v>
      </c>
      <c r="H1004" s="2">
        <v>9996.1299999999992</v>
      </c>
      <c r="I1004" s="2" t="s">
        <v>120</v>
      </c>
      <c r="J1004" s="2" t="s">
        <v>21</v>
      </c>
      <c r="K1004" s="2" t="s">
        <v>80</v>
      </c>
      <c r="L1004" s="2" t="s">
        <v>23</v>
      </c>
      <c r="M1004" s="2">
        <v>3</v>
      </c>
      <c r="N1004" s="2" t="s">
        <v>24</v>
      </c>
      <c r="O1004" s="2" t="s">
        <v>25</v>
      </c>
      <c r="P1004" s="2" t="s">
        <v>34</v>
      </c>
    </row>
    <row r="1005" spans="1:16" x14ac:dyDescent="0.25">
      <c r="A1005" s="2" t="s">
        <v>2511</v>
      </c>
      <c r="B1005" s="2" t="s">
        <v>7883</v>
      </c>
      <c r="C1005" s="2">
        <v>8071</v>
      </c>
      <c r="D1005" s="2" t="s">
        <v>6904</v>
      </c>
      <c r="E1005" s="2" t="s">
        <v>38</v>
      </c>
      <c r="F1005" s="2" t="s">
        <v>39</v>
      </c>
      <c r="G1005" s="2">
        <v>19800.2</v>
      </c>
      <c r="H1005" s="2">
        <v>12725.16</v>
      </c>
      <c r="I1005" s="2" t="s">
        <v>84</v>
      </c>
      <c r="J1005" s="2" t="s">
        <v>54</v>
      </c>
      <c r="K1005" s="2" t="s">
        <v>32</v>
      </c>
      <c r="L1005" s="2" t="s">
        <v>64</v>
      </c>
      <c r="M1005" s="2">
        <v>1</v>
      </c>
      <c r="N1005" s="2" t="s">
        <v>33</v>
      </c>
      <c r="O1005" s="2" t="s">
        <v>25</v>
      </c>
      <c r="P1005" s="2" t="s">
        <v>26</v>
      </c>
    </row>
    <row r="1006" spans="1:16" x14ac:dyDescent="0.25">
      <c r="A1006" s="2" t="s">
        <v>2512</v>
      </c>
      <c r="B1006" s="2" t="s">
        <v>353</v>
      </c>
      <c r="C1006" s="2">
        <v>6918</v>
      </c>
      <c r="D1006" s="2" t="s">
        <v>3513</v>
      </c>
      <c r="E1006" s="2" t="s">
        <v>38</v>
      </c>
      <c r="F1006" s="2" t="s">
        <v>39</v>
      </c>
      <c r="G1006" s="2">
        <v>15202.08</v>
      </c>
      <c r="H1006" s="2">
        <v>9794.75</v>
      </c>
      <c r="I1006" s="2" t="s">
        <v>40</v>
      </c>
      <c r="J1006" s="2" t="s">
        <v>41</v>
      </c>
      <c r="K1006" s="2" t="s">
        <v>22</v>
      </c>
      <c r="L1006" s="2" t="s">
        <v>64</v>
      </c>
      <c r="M1006" s="2">
        <v>4</v>
      </c>
      <c r="N1006" s="2" t="s">
        <v>24</v>
      </c>
      <c r="O1006" s="2" t="s">
        <v>70</v>
      </c>
      <c r="P1006" s="2" t="s">
        <v>49</v>
      </c>
    </row>
    <row r="1007" spans="1:16" x14ac:dyDescent="0.25">
      <c r="A1007" s="2" t="s">
        <v>2514</v>
      </c>
      <c r="B1007" s="2" t="s">
        <v>7417</v>
      </c>
      <c r="C1007" s="2">
        <v>3370</v>
      </c>
      <c r="D1007" s="2" t="s">
        <v>7884</v>
      </c>
      <c r="E1007" s="2" t="s">
        <v>38</v>
      </c>
      <c r="F1007" s="2" t="s">
        <v>30</v>
      </c>
      <c r="G1007" s="2">
        <v>23386.06</v>
      </c>
      <c r="H1007" s="2">
        <v>13857.5</v>
      </c>
      <c r="I1007" s="2" t="s">
        <v>120</v>
      </c>
      <c r="J1007" s="2" t="s">
        <v>21</v>
      </c>
      <c r="K1007" s="2" t="s">
        <v>80</v>
      </c>
      <c r="L1007" s="2" t="s">
        <v>23</v>
      </c>
      <c r="M1007" s="2">
        <v>4</v>
      </c>
      <c r="N1007" s="2" t="s">
        <v>33</v>
      </c>
      <c r="O1007" s="2" t="s">
        <v>25</v>
      </c>
      <c r="P1007" s="2" t="s">
        <v>49</v>
      </c>
    </row>
    <row r="1008" spans="1:16" x14ac:dyDescent="0.25">
      <c r="A1008" s="2" t="s">
        <v>2516</v>
      </c>
      <c r="B1008" s="2" t="s">
        <v>7885</v>
      </c>
      <c r="C1008" s="2">
        <v>7003</v>
      </c>
      <c r="D1008" s="2" t="s">
        <v>7886</v>
      </c>
      <c r="E1008" s="2" t="s">
        <v>6719</v>
      </c>
      <c r="F1008" s="2" t="s">
        <v>58</v>
      </c>
      <c r="G1008" s="2">
        <v>37711.050000000003</v>
      </c>
      <c r="H1008" s="2">
        <v>17763.68</v>
      </c>
      <c r="I1008" s="2" t="s">
        <v>84</v>
      </c>
      <c r="J1008" s="2" t="s">
        <v>6691</v>
      </c>
      <c r="K1008" s="2" t="s">
        <v>42</v>
      </c>
      <c r="L1008" s="2" t="s">
        <v>48</v>
      </c>
      <c r="M1008" s="2">
        <v>3</v>
      </c>
      <c r="N1008" s="2" t="s">
        <v>33</v>
      </c>
      <c r="O1008" s="2" t="s">
        <v>70</v>
      </c>
      <c r="P1008" s="2" t="s">
        <v>26</v>
      </c>
    </row>
    <row r="1009" spans="1:16" x14ac:dyDescent="0.25">
      <c r="A1009" s="2" t="s">
        <v>2519</v>
      </c>
      <c r="B1009" s="2" t="s">
        <v>7887</v>
      </c>
      <c r="C1009" s="2">
        <v>1815</v>
      </c>
      <c r="D1009" s="2" t="s">
        <v>7888</v>
      </c>
      <c r="E1009" s="2" t="s">
        <v>18</v>
      </c>
      <c r="F1009" s="2" t="s">
        <v>30</v>
      </c>
      <c r="G1009" s="2">
        <v>52330.17</v>
      </c>
      <c r="H1009" s="2">
        <v>25846.47</v>
      </c>
      <c r="I1009" s="2" t="s">
        <v>53</v>
      </c>
      <c r="J1009" s="2" t="s">
        <v>54</v>
      </c>
      <c r="K1009" s="2" t="s">
        <v>42</v>
      </c>
      <c r="L1009" s="2" t="s">
        <v>64</v>
      </c>
      <c r="M1009" s="2">
        <v>3</v>
      </c>
      <c r="N1009" s="2" t="s">
        <v>69</v>
      </c>
      <c r="O1009" s="2" t="s">
        <v>25</v>
      </c>
      <c r="P1009" s="2" t="s">
        <v>26</v>
      </c>
    </row>
    <row r="1010" spans="1:16" x14ac:dyDescent="0.25">
      <c r="A1010" s="2" t="s">
        <v>2521</v>
      </c>
      <c r="B1010" s="2" t="s">
        <v>6546</v>
      </c>
      <c r="C1010" s="2">
        <v>6375</v>
      </c>
      <c r="D1010" s="2" t="s">
        <v>6833</v>
      </c>
      <c r="E1010" s="2" t="s">
        <v>38</v>
      </c>
      <c r="F1010" s="2" t="s">
        <v>47</v>
      </c>
      <c r="G1010" s="2">
        <v>3537.23</v>
      </c>
      <c r="H1010" s="2">
        <v>1654.69</v>
      </c>
      <c r="I1010" s="2" t="s">
        <v>53</v>
      </c>
      <c r="J1010" s="2" t="s">
        <v>54</v>
      </c>
      <c r="K1010" s="2" t="s">
        <v>32</v>
      </c>
      <c r="L1010" s="2" t="s">
        <v>23</v>
      </c>
      <c r="M1010" s="2">
        <v>3</v>
      </c>
      <c r="N1010" s="2" t="s">
        <v>24</v>
      </c>
      <c r="O1010" s="2" t="s">
        <v>25</v>
      </c>
      <c r="P1010" s="2" t="s">
        <v>26</v>
      </c>
    </row>
    <row r="1011" spans="1:16" x14ac:dyDescent="0.25">
      <c r="A1011" s="2" t="s">
        <v>2523</v>
      </c>
      <c r="B1011" s="2" t="s">
        <v>7889</v>
      </c>
      <c r="C1011" s="2">
        <v>8888</v>
      </c>
      <c r="D1011" s="2" t="s">
        <v>2975</v>
      </c>
      <c r="E1011" s="2" t="s">
        <v>6756</v>
      </c>
      <c r="F1011" s="2" t="s">
        <v>47</v>
      </c>
      <c r="G1011" s="2">
        <v>4854.7</v>
      </c>
      <c r="H1011" s="2">
        <v>2525.83</v>
      </c>
      <c r="I1011" s="2" t="s">
        <v>84</v>
      </c>
      <c r="J1011" s="2" t="s">
        <v>6700</v>
      </c>
      <c r="K1011" s="2" t="s">
        <v>22</v>
      </c>
      <c r="L1011" s="2" t="s">
        <v>55</v>
      </c>
      <c r="M1011" s="2">
        <v>1</v>
      </c>
      <c r="N1011" s="2" t="s">
        <v>24</v>
      </c>
      <c r="O1011" s="2" t="s">
        <v>70</v>
      </c>
      <c r="P1011" s="2" t="s">
        <v>49</v>
      </c>
    </row>
    <row r="1012" spans="1:16" x14ac:dyDescent="0.25">
      <c r="A1012" s="2" t="s">
        <v>2526</v>
      </c>
      <c r="B1012" s="2" t="s">
        <v>5046</v>
      </c>
      <c r="C1012" s="2">
        <v>8218</v>
      </c>
      <c r="D1012" s="2" t="s">
        <v>7644</v>
      </c>
      <c r="E1012" s="2" t="s">
        <v>18</v>
      </c>
      <c r="F1012" s="2" t="s">
        <v>19</v>
      </c>
      <c r="G1012" s="2">
        <v>13861.64</v>
      </c>
      <c r="H1012" s="2">
        <v>6615.23</v>
      </c>
      <c r="I1012" s="2" t="s">
        <v>63</v>
      </c>
      <c r="J1012" s="2" t="s">
        <v>54</v>
      </c>
      <c r="K1012" s="2" t="s">
        <v>22</v>
      </c>
      <c r="L1012" s="2" t="s">
        <v>55</v>
      </c>
      <c r="M1012" s="2">
        <v>4</v>
      </c>
      <c r="N1012" s="2" t="s">
        <v>33</v>
      </c>
      <c r="O1012" s="2" t="s">
        <v>25</v>
      </c>
      <c r="P1012" s="2" t="s">
        <v>34</v>
      </c>
    </row>
    <row r="1013" spans="1:16" x14ac:dyDescent="0.25">
      <c r="A1013" s="2" t="s">
        <v>2528</v>
      </c>
      <c r="B1013" s="2" t="s">
        <v>4627</v>
      </c>
      <c r="C1013" s="2">
        <v>9260</v>
      </c>
      <c r="D1013" s="2" t="s">
        <v>7890</v>
      </c>
      <c r="E1013" s="2" t="s">
        <v>38</v>
      </c>
      <c r="F1013" s="2" t="s">
        <v>39</v>
      </c>
      <c r="G1013" s="2">
        <v>38307.83</v>
      </c>
      <c r="H1013" s="2">
        <v>19745.61</v>
      </c>
      <c r="I1013" s="2" t="s">
        <v>53</v>
      </c>
      <c r="J1013" s="2" t="s">
        <v>54</v>
      </c>
      <c r="K1013" s="2" t="s">
        <v>42</v>
      </c>
      <c r="L1013" s="2" t="s">
        <v>23</v>
      </c>
      <c r="M1013" s="2">
        <v>2</v>
      </c>
      <c r="N1013" s="2" t="s">
        <v>24</v>
      </c>
      <c r="O1013" s="2" t="s">
        <v>25</v>
      </c>
      <c r="P1013" s="2" t="s">
        <v>34</v>
      </c>
    </row>
    <row r="1014" spans="1:16" x14ac:dyDescent="0.25">
      <c r="A1014" s="2" t="s">
        <v>2530</v>
      </c>
      <c r="B1014" s="2" t="s">
        <v>7891</v>
      </c>
      <c r="C1014" s="2">
        <v>2893</v>
      </c>
      <c r="D1014" s="2" t="s">
        <v>7892</v>
      </c>
      <c r="E1014" s="2" t="s">
        <v>38</v>
      </c>
      <c r="F1014" s="2" t="s">
        <v>39</v>
      </c>
      <c r="G1014" s="2">
        <v>39788.81</v>
      </c>
      <c r="H1014" s="2">
        <v>18605.97</v>
      </c>
      <c r="I1014" s="2" t="s">
        <v>6845</v>
      </c>
      <c r="J1014" s="2" t="s">
        <v>6696</v>
      </c>
      <c r="K1014" s="2" t="s">
        <v>32</v>
      </c>
      <c r="L1014" s="2" t="s">
        <v>64</v>
      </c>
      <c r="M1014" s="2">
        <v>2</v>
      </c>
      <c r="N1014" s="2" t="s">
        <v>69</v>
      </c>
      <c r="O1014" s="2" t="s">
        <v>70</v>
      </c>
      <c r="P1014" s="2" t="s">
        <v>26</v>
      </c>
    </row>
    <row r="1015" spans="1:16" x14ac:dyDescent="0.25">
      <c r="A1015" s="2" t="s">
        <v>2532</v>
      </c>
      <c r="B1015" s="2" t="s">
        <v>7893</v>
      </c>
      <c r="C1015" s="2">
        <v>4001</v>
      </c>
      <c r="D1015" s="2" t="s">
        <v>7894</v>
      </c>
      <c r="E1015" s="2" t="s">
        <v>32</v>
      </c>
      <c r="F1015" s="2" t="s">
        <v>19</v>
      </c>
      <c r="G1015" s="2">
        <v>14200.12</v>
      </c>
      <c r="H1015" s="2">
        <v>7232.89</v>
      </c>
      <c r="I1015" s="2" t="s">
        <v>53</v>
      </c>
      <c r="J1015" s="2" t="s">
        <v>6753</v>
      </c>
      <c r="K1015" s="2" t="s">
        <v>42</v>
      </c>
      <c r="L1015" s="2" t="s">
        <v>64</v>
      </c>
      <c r="M1015" s="2">
        <v>3</v>
      </c>
      <c r="N1015" s="2" t="s">
        <v>24</v>
      </c>
      <c r="O1015" s="2" t="s">
        <v>70</v>
      </c>
      <c r="P1015" s="2" t="s">
        <v>26</v>
      </c>
    </row>
    <row r="1016" spans="1:16" x14ac:dyDescent="0.25">
      <c r="A1016" s="2" t="s">
        <v>2534</v>
      </c>
      <c r="B1016" s="2" t="s">
        <v>7895</v>
      </c>
      <c r="C1016" s="2">
        <v>9977</v>
      </c>
      <c r="D1016" s="2" t="s">
        <v>5128</v>
      </c>
      <c r="E1016" s="2" t="s">
        <v>32</v>
      </c>
      <c r="F1016" s="2" t="s">
        <v>30</v>
      </c>
      <c r="G1016" s="2">
        <v>78984.399999999994</v>
      </c>
      <c r="H1016" s="2">
        <v>51283.87</v>
      </c>
      <c r="I1016" s="2" t="s">
        <v>6777</v>
      </c>
      <c r="J1016" s="2" t="s">
        <v>6732</v>
      </c>
      <c r="K1016" s="2" t="s">
        <v>42</v>
      </c>
      <c r="L1016" s="2" t="s">
        <v>43</v>
      </c>
      <c r="M1016" s="2">
        <v>5</v>
      </c>
      <c r="N1016" s="2" t="s">
        <v>33</v>
      </c>
      <c r="O1016" s="2" t="s">
        <v>25</v>
      </c>
      <c r="P1016" s="2" t="s">
        <v>26</v>
      </c>
    </row>
    <row r="1017" spans="1:16" x14ac:dyDescent="0.25">
      <c r="A1017" s="2" t="s">
        <v>2537</v>
      </c>
      <c r="B1017" s="2" t="s">
        <v>1065</v>
      </c>
      <c r="C1017" s="2">
        <v>5533</v>
      </c>
      <c r="D1017" s="2" t="s">
        <v>7896</v>
      </c>
      <c r="E1017" s="2" t="s">
        <v>18</v>
      </c>
      <c r="F1017" s="2" t="s">
        <v>58</v>
      </c>
      <c r="G1017" s="2">
        <v>16918.89</v>
      </c>
      <c r="H1017" s="2">
        <v>9132.77</v>
      </c>
      <c r="I1017" s="2" t="s">
        <v>40</v>
      </c>
      <c r="J1017" s="2" t="s">
        <v>41</v>
      </c>
      <c r="K1017" s="2" t="s">
        <v>42</v>
      </c>
      <c r="L1017" s="2" t="s">
        <v>88</v>
      </c>
      <c r="M1017" s="2">
        <v>1</v>
      </c>
      <c r="N1017" s="2" t="s">
        <v>33</v>
      </c>
      <c r="O1017" s="2" t="s">
        <v>25</v>
      </c>
      <c r="P1017" s="2" t="s">
        <v>26</v>
      </c>
    </row>
    <row r="1018" spans="1:16" x14ac:dyDescent="0.25">
      <c r="A1018" s="2" t="s">
        <v>2539</v>
      </c>
      <c r="B1018" s="2" t="s">
        <v>6813</v>
      </c>
      <c r="C1018" s="2">
        <v>2755</v>
      </c>
      <c r="D1018" s="2" t="s">
        <v>2109</v>
      </c>
      <c r="E1018" s="2" t="s">
        <v>18</v>
      </c>
      <c r="F1018" s="2" t="s">
        <v>30</v>
      </c>
      <c r="G1018" s="2">
        <v>55219.63</v>
      </c>
      <c r="H1018" s="2">
        <v>32577.78</v>
      </c>
      <c r="I1018" s="2" t="s">
        <v>20</v>
      </c>
      <c r="J1018" s="2" t="s">
        <v>21</v>
      </c>
      <c r="K1018" s="2" t="s">
        <v>22</v>
      </c>
      <c r="L1018" s="2" t="s">
        <v>48</v>
      </c>
      <c r="M1018" s="2">
        <v>5</v>
      </c>
      <c r="N1018" s="2" t="s">
        <v>33</v>
      </c>
      <c r="O1018" s="2" t="s">
        <v>25</v>
      </c>
      <c r="P1018" s="2" t="s">
        <v>26</v>
      </c>
    </row>
    <row r="1019" spans="1:16" x14ac:dyDescent="0.25">
      <c r="A1019" s="2" t="s">
        <v>2542</v>
      </c>
      <c r="B1019" s="2" t="s">
        <v>2690</v>
      </c>
      <c r="C1019" s="2">
        <v>3331</v>
      </c>
      <c r="D1019" s="2" t="s">
        <v>7897</v>
      </c>
      <c r="E1019" s="2" t="s">
        <v>38</v>
      </c>
      <c r="F1019" s="2" t="s">
        <v>47</v>
      </c>
      <c r="G1019" s="2">
        <v>9426.01</v>
      </c>
      <c r="H1019" s="2">
        <v>5569.19</v>
      </c>
      <c r="I1019" s="2" t="s">
        <v>31</v>
      </c>
      <c r="J1019" s="2" t="s">
        <v>21</v>
      </c>
      <c r="K1019" s="2" t="s">
        <v>80</v>
      </c>
      <c r="L1019" s="2" t="s">
        <v>48</v>
      </c>
      <c r="M1019" s="2">
        <v>4</v>
      </c>
      <c r="N1019" s="2" t="s">
        <v>33</v>
      </c>
      <c r="O1019" s="2" t="s">
        <v>70</v>
      </c>
      <c r="P1019" s="2" t="s">
        <v>26</v>
      </c>
    </row>
    <row r="1021" spans="1:16" x14ac:dyDescent="0.25">
      <c r="A1021" s="2" t="s">
        <v>2545</v>
      </c>
      <c r="B1021" s="2" t="s">
        <v>4806</v>
      </c>
      <c r="C1021" s="2">
        <v>3902</v>
      </c>
      <c r="D1021" s="2" t="s">
        <v>7898</v>
      </c>
      <c r="E1021" s="2" t="s">
        <v>18</v>
      </c>
      <c r="F1021" s="2" t="s">
        <v>39</v>
      </c>
      <c r="G1021" s="2">
        <v>37197.33</v>
      </c>
      <c r="H1021" s="2">
        <v>21699.89</v>
      </c>
      <c r="I1021" s="2" t="s">
        <v>84</v>
      </c>
      <c r="J1021" s="2" t="s">
        <v>54</v>
      </c>
      <c r="K1021" s="2" t="s">
        <v>32</v>
      </c>
      <c r="L1021" s="2" t="s">
        <v>64</v>
      </c>
      <c r="M1021" s="2">
        <v>3</v>
      </c>
      <c r="N1021" s="2" t="s">
        <v>24</v>
      </c>
      <c r="O1021" s="2" t="s">
        <v>70</v>
      </c>
      <c r="P1021" s="2" t="s">
        <v>34</v>
      </c>
    </row>
    <row r="1022" spans="1:16" x14ac:dyDescent="0.25">
      <c r="A1022" s="2" t="s">
        <v>2547</v>
      </c>
      <c r="B1022" s="2" t="s">
        <v>7899</v>
      </c>
      <c r="C1022" s="2">
        <v>2293</v>
      </c>
      <c r="D1022" s="2" t="s">
        <v>7900</v>
      </c>
      <c r="E1022" s="2" t="s">
        <v>6698</v>
      </c>
      <c r="F1022" s="2" t="s">
        <v>47</v>
      </c>
      <c r="G1022" s="2">
        <v>5831.13</v>
      </c>
      <c r="H1022" s="2">
        <v>2874.28</v>
      </c>
      <c r="I1022" s="2" t="s">
        <v>63</v>
      </c>
      <c r="J1022" s="2" t="s">
        <v>6753</v>
      </c>
      <c r="K1022" s="2" t="s">
        <v>32</v>
      </c>
      <c r="L1022" s="2" t="s">
        <v>88</v>
      </c>
      <c r="M1022" s="2">
        <v>5</v>
      </c>
      <c r="N1022" s="2" t="s">
        <v>33</v>
      </c>
      <c r="O1022" s="2" t="s">
        <v>70</v>
      </c>
      <c r="P1022" s="2" t="s">
        <v>49</v>
      </c>
    </row>
    <row r="1023" spans="1:16" x14ac:dyDescent="0.25">
      <c r="A1023" s="2" t="s">
        <v>2549</v>
      </c>
      <c r="B1023" s="2" t="s">
        <v>7901</v>
      </c>
      <c r="C1023" s="2">
        <v>1811</v>
      </c>
      <c r="D1023" s="2" t="s">
        <v>7902</v>
      </c>
      <c r="E1023" s="2" t="s">
        <v>6748</v>
      </c>
      <c r="F1023" s="2" t="s">
        <v>19</v>
      </c>
      <c r="G1023" s="2">
        <v>20655.46</v>
      </c>
      <c r="H1023" s="2">
        <v>11731.84</v>
      </c>
      <c r="I1023" s="2" t="s">
        <v>6812</v>
      </c>
      <c r="J1023" s="2" t="s">
        <v>6686</v>
      </c>
      <c r="K1023" s="2" t="s">
        <v>42</v>
      </c>
      <c r="L1023" s="2" t="s">
        <v>48</v>
      </c>
      <c r="M1023" s="2">
        <v>1</v>
      </c>
      <c r="N1023" s="2" t="s">
        <v>69</v>
      </c>
      <c r="O1023" s="2" t="s">
        <v>70</v>
      </c>
      <c r="P1023" s="2" t="s">
        <v>26</v>
      </c>
    </row>
    <row r="1024" spans="1:16" x14ac:dyDescent="0.25">
      <c r="A1024" s="2" t="s">
        <v>2551</v>
      </c>
      <c r="B1024" s="2" t="s">
        <v>507</v>
      </c>
      <c r="C1024" s="2">
        <v>3065</v>
      </c>
      <c r="D1024" s="2" t="s">
        <v>2801</v>
      </c>
      <c r="E1024" s="2" t="s">
        <v>18</v>
      </c>
      <c r="F1024" s="2" t="s">
        <v>47</v>
      </c>
      <c r="G1024" s="2">
        <v>13748.16</v>
      </c>
      <c r="H1024" s="2">
        <v>7364.64</v>
      </c>
      <c r="I1024" s="2" t="s">
        <v>84</v>
      </c>
      <c r="J1024" s="2" t="s">
        <v>54</v>
      </c>
      <c r="K1024" s="2" t="s">
        <v>42</v>
      </c>
      <c r="L1024" s="2" t="s">
        <v>55</v>
      </c>
      <c r="M1024" s="2">
        <v>1</v>
      </c>
      <c r="N1024" s="2" t="s">
        <v>24</v>
      </c>
      <c r="O1024" s="2" t="s">
        <v>70</v>
      </c>
      <c r="P1024" s="2" t="s">
        <v>26</v>
      </c>
    </row>
    <row r="1025" spans="1:16" x14ac:dyDescent="0.25">
      <c r="A1025" s="2" t="s">
        <v>2553</v>
      </c>
      <c r="B1025" s="2" t="s">
        <v>784</v>
      </c>
      <c r="C1025" s="2">
        <v>6884</v>
      </c>
      <c r="D1025" s="2" t="s">
        <v>7903</v>
      </c>
      <c r="E1025" s="2" t="s">
        <v>6708</v>
      </c>
      <c r="F1025" s="2" t="s">
        <v>47</v>
      </c>
      <c r="G1025" s="2">
        <v>10349.620000000001</v>
      </c>
      <c r="H1025" s="2">
        <v>5161.63</v>
      </c>
      <c r="I1025" s="2" t="s">
        <v>6799</v>
      </c>
      <c r="J1025" s="2" t="s">
        <v>6793</v>
      </c>
      <c r="K1025" s="2" t="s">
        <v>42</v>
      </c>
      <c r="L1025" s="2" t="s">
        <v>48</v>
      </c>
      <c r="M1025" s="2">
        <v>5</v>
      </c>
      <c r="N1025" s="2" t="s">
        <v>33</v>
      </c>
      <c r="O1025" s="2" t="s">
        <v>25</v>
      </c>
      <c r="P1025" s="2" t="s">
        <v>34</v>
      </c>
    </row>
    <row r="1026" spans="1:16" x14ac:dyDescent="0.25">
      <c r="A1026" s="2" t="s">
        <v>2556</v>
      </c>
      <c r="B1026" s="2" t="s">
        <v>143</v>
      </c>
      <c r="C1026" s="2">
        <v>2207</v>
      </c>
      <c r="D1026" s="2" t="s">
        <v>3009</v>
      </c>
      <c r="E1026" s="2" t="s">
        <v>38</v>
      </c>
      <c r="F1026" s="2" t="s">
        <v>39</v>
      </c>
      <c r="G1026" s="2">
        <v>36798.300000000003</v>
      </c>
      <c r="H1026" s="2">
        <v>20073.48</v>
      </c>
      <c r="I1026" s="2" t="s">
        <v>63</v>
      </c>
      <c r="J1026" s="2" t="s">
        <v>54</v>
      </c>
      <c r="K1026" s="2" t="s">
        <v>22</v>
      </c>
      <c r="L1026" s="2" t="s">
        <v>48</v>
      </c>
      <c r="M1026" s="2">
        <v>2</v>
      </c>
      <c r="N1026" s="2" t="s">
        <v>69</v>
      </c>
      <c r="O1026" s="2" t="s">
        <v>25</v>
      </c>
      <c r="P1026" s="2" t="s">
        <v>49</v>
      </c>
    </row>
    <row r="1027" spans="1:16" x14ac:dyDescent="0.25">
      <c r="A1027" s="2" t="s">
        <v>2558</v>
      </c>
      <c r="B1027" s="2" t="s">
        <v>2255</v>
      </c>
      <c r="C1027" s="2">
        <v>7143</v>
      </c>
      <c r="D1027" s="2" t="s">
        <v>7904</v>
      </c>
      <c r="E1027" s="2" t="s">
        <v>18</v>
      </c>
      <c r="F1027" s="2" t="s">
        <v>19</v>
      </c>
      <c r="G1027" s="2">
        <v>4367.0200000000004</v>
      </c>
      <c r="H1027" s="2">
        <v>2308.08</v>
      </c>
      <c r="I1027" s="2" t="s">
        <v>20</v>
      </c>
      <c r="J1027" s="2" t="s">
        <v>21</v>
      </c>
      <c r="K1027" s="2" t="s">
        <v>80</v>
      </c>
      <c r="L1027" s="2" t="s">
        <v>64</v>
      </c>
      <c r="M1027" s="2">
        <v>2</v>
      </c>
      <c r="N1027" s="2" t="s">
        <v>33</v>
      </c>
      <c r="O1027" s="2" t="s">
        <v>25</v>
      </c>
      <c r="P1027" s="2" t="s">
        <v>26</v>
      </c>
    </row>
    <row r="1028" spans="1:16" x14ac:dyDescent="0.25">
      <c r="A1028" s="2" t="s">
        <v>2561</v>
      </c>
      <c r="B1028" s="2" t="s">
        <v>1903</v>
      </c>
      <c r="C1028" s="2">
        <v>3130</v>
      </c>
      <c r="D1028" s="2" t="s">
        <v>564</v>
      </c>
      <c r="E1028" s="2" t="s">
        <v>38</v>
      </c>
      <c r="F1028" s="2" t="s">
        <v>30</v>
      </c>
      <c r="G1028" s="2">
        <v>23818.2</v>
      </c>
      <c r="H1028" s="2">
        <v>11222.03</v>
      </c>
      <c r="I1028" s="2" t="s">
        <v>68</v>
      </c>
      <c r="J1028" s="2" t="s">
        <v>41</v>
      </c>
      <c r="K1028" s="2" t="s">
        <v>42</v>
      </c>
      <c r="L1028" s="2" t="s">
        <v>23</v>
      </c>
      <c r="M1028" s="2">
        <v>5</v>
      </c>
      <c r="N1028" s="2" t="s">
        <v>33</v>
      </c>
      <c r="O1028" s="2" t="s">
        <v>25</v>
      </c>
      <c r="P1028" s="2" t="s">
        <v>49</v>
      </c>
    </row>
    <row r="1029" spans="1:16" x14ac:dyDescent="0.25">
      <c r="A1029" s="2" t="s">
        <v>2563</v>
      </c>
      <c r="B1029" s="2" t="s">
        <v>1487</v>
      </c>
      <c r="C1029" s="2">
        <v>1523</v>
      </c>
      <c r="D1029" s="2" t="s">
        <v>6086</v>
      </c>
      <c r="E1029" s="2" t="s">
        <v>18</v>
      </c>
      <c r="F1029" s="2" t="s">
        <v>39</v>
      </c>
      <c r="G1029" s="2">
        <v>42335.98</v>
      </c>
      <c r="H1029" s="2">
        <v>26606.87</v>
      </c>
      <c r="I1029" s="2" t="s">
        <v>63</v>
      </c>
      <c r="J1029" s="2" t="s">
        <v>54</v>
      </c>
      <c r="K1029" s="2" t="s">
        <v>22</v>
      </c>
      <c r="L1029" s="2" t="s">
        <v>88</v>
      </c>
      <c r="M1029" s="2">
        <v>2</v>
      </c>
      <c r="N1029" s="2" t="s">
        <v>33</v>
      </c>
      <c r="O1029" s="2" t="s">
        <v>70</v>
      </c>
      <c r="P1029" s="2" t="s">
        <v>49</v>
      </c>
    </row>
    <row r="1030" spans="1:16" x14ac:dyDescent="0.25">
      <c r="A1030" s="2" t="s">
        <v>2566</v>
      </c>
      <c r="B1030" s="2" t="s">
        <v>7905</v>
      </c>
      <c r="C1030" s="2">
        <v>7291</v>
      </c>
      <c r="D1030" s="2" t="s">
        <v>7906</v>
      </c>
      <c r="E1030" s="2" t="s">
        <v>6680</v>
      </c>
      <c r="F1030" s="2" t="s">
        <v>39</v>
      </c>
      <c r="G1030" s="2">
        <v>22087.46</v>
      </c>
      <c r="H1030" s="2">
        <v>13449.4</v>
      </c>
      <c r="I1030" s="2" t="s">
        <v>6759</v>
      </c>
      <c r="J1030" s="2" t="s">
        <v>6700</v>
      </c>
      <c r="K1030" s="2" t="s">
        <v>22</v>
      </c>
      <c r="L1030" s="2" t="s">
        <v>88</v>
      </c>
      <c r="M1030" s="2">
        <v>3</v>
      </c>
      <c r="N1030" s="2" t="s">
        <v>69</v>
      </c>
      <c r="O1030" s="2" t="s">
        <v>70</v>
      </c>
      <c r="P1030" s="2" t="s">
        <v>34</v>
      </c>
    </row>
    <row r="1031" spans="1:16" x14ac:dyDescent="0.25">
      <c r="A1031" s="2" t="s">
        <v>2568</v>
      </c>
      <c r="B1031" s="2" t="s">
        <v>167</v>
      </c>
      <c r="C1031" s="2">
        <v>6106</v>
      </c>
      <c r="D1031" s="2" t="s">
        <v>2867</v>
      </c>
      <c r="E1031" s="2" t="s">
        <v>6743</v>
      </c>
      <c r="F1031" s="2" t="s">
        <v>58</v>
      </c>
      <c r="G1031" s="2">
        <v>19513.14</v>
      </c>
      <c r="H1031" s="2">
        <v>9682.2099999999991</v>
      </c>
      <c r="I1031" s="2" t="s">
        <v>6822</v>
      </c>
      <c r="J1031" s="2" t="s">
        <v>41</v>
      </c>
      <c r="K1031" s="2" t="s">
        <v>32</v>
      </c>
      <c r="L1031" s="2" t="s">
        <v>64</v>
      </c>
      <c r="M1031" s="2">
        <v>2</v>
      </c>
      <c r="N1031" s="2" t="s">
        <v>24</v>
      </c>
      <c r="O1031" s="2" t="s">
        <v>70</v>
      </c>
      <c r="P1031" s="2" t="s">
        <v>26</v>
      </c>
    </row>
    <row r="1032" spans="1:16" x14ac:dyDescent="0.25">
      <c r="A1032" s="2" t="s">
        <v>2570</v>
      </c>
      <c r="B1032" s="2" t="s">
        <v>3615</v>
      </c>
      <c r="C1032" s="2">
        <v>8289</v>
      </c>
      <c r="D1032" s="2" t="s">
        <v>7907</v>
      </c>
      <c r="E1032" s="2" t="s">
        <v>18</v>
      </c>
      <c r="F1032" s="2" t="s">
        <v>47</v>
      </c>
      <c r="G1032" s="2">
        <v>5016.8900000000003</v>
      </c>
      <c r="H1032" s="2">
        <v>2603.02</v>
      </c>
      <c r="I1032" s="2" t="s">
        <v>53</v>
      </c>
      <c r="J1032" s="2" t="s">
        <v>54</v>
      </c>
      <c r="K1032" s="2" t="s">
        <v>32</v>
      </c>
      <c r="L1032" s="2" t="s">
        <v>23</v>
      </c>
      <c r="M1032" s="2">
        <v>5</v>
      </c>
      <c r="N1032" s="2" t="s">
        <v>33</v>
      </c>
      <c r="O1032" s="2" t="s">
        <v>25</v>
      </c>
      <c r="P1032" s="2" t="s">
        <v>49</v>
      </c>
    </row>
    <row r="1033" spans="1:16" x14ac:dyDescent="0.25">
      <c r="A1033" s="2" t="s">
        <v>2572</v>
      </c>
      <c r="B1033" s="2" t="s">
        <v>1744</v>
      </c>
      <c r="C1033" s="2">
        <v>3039</v>
      </c>
      <c r="D1033" s="2" t="s">
        <v>3027</v>
      </c>
      <c r="E1033" s="2" t="s">
        <v>38</v>
      </c>
      <c r="F1033" s="2" t="s">
        <v>19</v>
      </c>
      <c r="G1033" s="2">
        <v>14260.06</v>
      </c>
      <c r="H1033" s="2">
        <v>8374.64</v>
      </c>
      <c r="I1033" s="2" t="s">
        <v>84</v>
      </c>
      <c r="J1033" s="2" t="s">
        <v>54</v>
      </c>
      <c r="K1033" s="2" t="s">
        <v>22</v>
      </c>
      <c r="L1033" s="2" t="s">
        <v>64</v>
      </c>
      <c r="M1033" s="2">
        <v>1</v>
      </c>
      <c r="N1033" s="2" t="s">
        <v>24</v>
      </c>
      <c r="O1033" s="2" t="s">
        <v>25</v>
      </c>
      <c r="P1033" s="2" t="s">
        <v>26</v>
      </c>
    </row>
    <row r="1034" spans="1:16" x14ac:dyDescent="0.25">
      <c r="A1034" s="2" t="s">
        <v>2573</v>
      </c>
      <c r="B1034" s="2" t="s">
        <v>5412</v>
      </c>
      <c r="C1034" s="2">
        <v>8598</v>
      </c>
      <c r="D1034" s="2" t="s">
        <v>2560</v>
      </c>
      <c r="E1034" s="2" t="s">
        <v>38</v>
      </c>
      <c r="F1034" s="2" t="s">
        <v>58</v>
      </c>
      <c r="G1034" s="2">
        <v>19591.5</v>
      </c>
      <c r="H1034" s="2">
        <v>11522.67</v>
      </c>
      <c r="I1034" s="2" t="s">
        <v>84</v>
      </c>
      <c r="J1034" s="2" t="s">
        <v>54</v>
      </c>
      <c r="K1034" s="2" t="s">
        <v>80</v>
      </c>
      <c r="L1034" s="2" t="s">
        <v>43</v>
      </c>
      <c r="M1034" s="2">
        <v>5</v>
      </c>
      <c r="N1034" s="2" t="s">
        <v>33</v>
      </c>
      <c r="O1034" s="2" t="s">
        <v>25</v>
      </c>
      <c r="P1034" s="2" t="s">
        <v>34</v>
      </c>
    </row>
    <row r="1035" spans="1:16" x14ac:dyDescent="0.25">
      <c r="A1035" s="2" t="s">
        <v>2576</v>
      </c>
      <c r="B1035" s="2" t="s">
        <v>7908</v>
      </c>
      <c r="C1035" s="2">
        <v>3532</v>
      </c>
      <c r="D1035" s="2" t="s">
        <v>7909</v>
      </c>
      <c r="E1035" s="2" t="s">
        <v>6719</v>
      </c>
      <c r="F1035" s="2" t="s">
        <v>30</v>
      </c>
      <c r="G1035" s="2">
        <v>65996.27</v>
      </c>
      <c r="H1035" s="2">
        <v>40306.639999999999</v>
      </c>
      <c r="I1035" s="2" t="s">
        <v>31</v>
      </c>
      <c r="J1035" s="2" t="s">
        <v>21</v>
      </c>
      <c r="K1035" s="2" t="s">
        <v>42</v>
      </c>
      <c r="L1035" s="2" t="s">
        <v>88</v>
      </c>
      <c r="M1035" s="2">
        <v>3</v>
      </c>
      <c r="N1035" s="2" t="s">
        <v>69</v>
      </c>
      <c r="O1035" s="2" t="s">
        <v>70</v>
      </c>
      <c r="P1035" s="2" t="s">
        <v>49</v>
      </c>
    </row>
    <row r="1036" spans="1:16" x14ac:dyDescent="0.25">
      <c r="A1036" s="2" t="s">
        <v>2578</v>
      </c>
      <c r="B1036" s="2" t="s">
        <v>1025</v>
      </c>
      <c r="C1036" s="2">
        <v>3216</v>
      </c>
      <c r="D1036" s="2" t="s">
        <v>7910</v>
      </c>
      <c r="E1036" s="2" t="s">
        <v>18</v>
      </c>
      <c r="F1036" s="2" t="s">
        <v>30</v>
      </c>
      <c r="G1036" s="2">
        <v>22519.74</v>
      </c>
      <c r="H1036" s="2">
        <v>10533.3</v>
      </c>
      <c r="I1036" s="2" t="s">
        <v>63</v>
      </c>
      <c r="J1036" s="2" t="s">
        <v>54</v>
      </c>
      <c r="K1036" s="2" t="s">
        <v>42</v>
      </c>
      <c r="L1036" s="2" t="s">
        <v>64</v>
      </c>
      <c r="M1036" s="2">
        <v>3</v>
      </c>
      <c r="N1036" s="2" t="s">
        <v>24</v>
      </c>
      <c r="O1036" s="2" t="s">
        <v>70</v>
      </c>
      <c r="P1036" s="2" t="s">
        <v>49</v>
      </c>
    </row>
    <row r="1037" spans="1:16" x14ac:dyDescent="0.25">
      <c r="A1037" s="2" t="s">
        <v>2581</v>
      </c>
      <c r="B1037" s="2" t="s">
        <v>1414</v>
      </c>
      <c r="C1037" s="2">
        <v>4215</v>
      </c>
      <c r="D1037" s="2" t="s">
        <v>3084</v>
      </c>
      <c r="E1037" s="2" t="s">
        <v>18</v>
      </c>
      <c r="F1037" s="2" t="s">
        <v>30</v>
      </c>
      <c r="G1037" s="2">
        <v>76422.77</v>
      </c>
      <c r="H1037" s="2">
        <v>45635.39</v>
      </c>
      <c r="I1037" s="2" t="s">
        <v>20</v>
      </c>
      <c r="J1037" s="2" t="s">
        <v>21</v>
      </c>
      <c r="K1037" s="2" t="s">
        <v>22</v>
      </c>
      <c r="L1037" s="2" t="s">
        <v>23</v>
      </c>
      <c r="M1037" s="2">
        <v>1</v>
      </c>
      <c r="N1037" s="2" t="s">
        <v>24</v>
      </c>
      <c r="O1037" s="2" t="s">
        <v>70</v>
      </c>
      <c r="P1037" s="2" t="s">
        <v>34</v>
      </c>
    </row>
    <row r="1038" spans="1:16" x14ac:dyDescent="0.25">
      <c r="A1038" s="2" t="s">
        <v>2583</v>
      </c>
      <c r="B1038" s="2" t="s">
        <v>3123</v>
      </c>
      <c r="C1038" s="2">
        <v>6884</v>
      </c>
      <c r="D1038" s="2" t="s">
        <v>7911</v>
      </c>
      <c r="E1038" s="2" t="s">
        <v>18</v>
      </c>
      <c r="F1038" s="2" t="s">
        <v>47</v>
      </c>
      <c r="G1038" s="2">
        <v>9514.18</v>
      </c>
      <c r="H1038" s="2">
        <v>4477.82</v>
      </c>
      <c r="I1038" s="2" t="s">
        <v>20</v>
      </c>
      <c r="J1038" s="2" t="s">
        <v>21</v>
      </c>
      <c r="K1038" s="2" t="s">
        <v>42</v>
      </c>
      <c r="L1038" s="2" t="s">
        <v>48</v>
      </c>
      <c r="M1038" s="2">
        <v>2</v>
      </c>
      <c r="N1038" s="2" t="s">
        <v>33</v>
      </c>
      <c r="O1038" s="2" t="s">
        <v>70</v>
      </c>
      <c r="P1038" s="2" t="s">
        <v>26</v>
      </c>
    </row>
    <row r="1039" spans="1:16" x14ac:dyDescent="0.25">
      <c r="A1039" s="2" t="s">
        <v>2585</v>
      </c>
      <c r="B1039" s="2" t="s">
        <v>7912</v>
      </c>
      <c r="C1039" s="2">
        <v>1941</v>
      </c>
      <c r="D1039" s="2" t="s">
        <v>7869</v>
      </c>
      <c r="E1039" s="2" t="s">
        <v>38</v>
      </c>
      <c r="F1039" s="2" t="s">
        <v>39</v>
      </c>
      <c r="G1039" s="2">
        <v>36723.79</v>
      </c>
      <c r="H1039" s="2">
        <v>20894.89</v>
      </c>
      <c r="I1039" s="2" t="s">
        <v>63</v>
      </c>
      <c r="J1039" s="2" t="s">
        <v>54</v>
      </c>
      <c r="K1039" s="2" t="s">
        <v>80</v>
      </c>
      <c r="L1039" s="2" t="s">
        <v>64</v>
      </c>
      <c r="M1039" s="2">
        <v>4</v>
      </c>
      <c r="N1039" s="2" t="s">
        <v>33</v>
      </c>
      <c r="O1039" s="2" t="s">
        <v>70</v>
      </c>
      <c r="P1039" s="2" t="s">
        <v>26</v>
      </c>
    </row>
    <row r="1040" spans="1:16" x14ac:dyDescent="0.25">
      <c r="A1040" s="2" t="s">
        <v>2588</v>
      </c>
      <c r="B1040" s="2" t="s">
        <v>3450</v>
      </c>
      <c r="C1040" s="2">
        <v>7811</v>
      </c>
      <c r="D1040" s="2" t="s">
        <v>6334</v>
      </c>
      <c r="E1040" s="2" t="s">
        <v>18</v>
      </c>
      <c r="F1040" s="2" t="s">
        <v>19</v>
      </c>
      <c r="G1040" s="2">
        <v>14228.23</v>
      </c>
      <c r="H1040" s="2">
        <v>7478.7</v>
      </c>
      <c r="I1040" s="2" t="s">
        <v>63</v>
      </c>
      <c r="J1040" s="2" t="s">
        <v>54</v>
      </c>
      <c r="K1040" s="2" t="s">
        <v>22</v>
      </c>
      <c r="L1040" s="2" t="s">
        <v>23</v>
      </c>
      <c r="M1040" s="2">
        <v>5</v>
      </c>
      <c r="N1040" s="2" t="s">
        <v>24</v>
      </c>
      <c r="O1040" s="2" t="s">
        <v>25</v>
      </c>
      <c r="P1040" s="2" t="s">
        <v>26</v>
      </c>
    </row>
    <row r="1041" spans="1:16" x14ac:dyDescent="0.25">
      <c r="A1041" s="2" t="s">
        <v>2590</v>
      </c>
      <c r="B1041" s="2" t="s">
        <v>3072</v>
      </c>
      <c r="C1041" s="2">
        <v>7342</v>
      </c>
      <c r="D1041" s="2" t="s">
        <v>7913</v>
      </c>
      <c r="E1041" s="2" t="s">
        <v>6698</v>
      </c>
      <c r="F1041" s="2" t="s">
        <v>47</v>
      </c>
      <c r="G1041" s="2">
        <v>6791.29</v>
      </c>
      <c r="H1041" s="2">
        <v>3826.88</v>
      </c>
      <c r="I1041" s="2" t="s">
        <v>6690</v>
      </c>
      <c r="J1041" s="2" t="s">
        <v>6753</v>
      </c>
      <c r="K1041" s="2" t="s">
        <v>32</v>
      </c>
      <c r="L1041" s="2" t="s">
        <v>55</v>
      </c>
      <c r="M1041" s="2">
        <v>4</v>
      </c>
      <c r="N1041" s="2" t="s">
        <v>24</v>
      </c>
      <c r="O1041" s="2" t="s">
        <v>25</v>
      </c>
      <c r="P1041" s="2" t="s">
        <v>34</v>
      </c>
    </row>
    <row r="1042" spans="1:16" x14ac:dyDescent="0.25">
      <c r="A1042" s="2" t="s">
        <v>2592</v>
      </c>
      <c r="B1042" s="2" t="s">
        <v>7914</v>
      </c>
      <c r="C1042" s="2">
        <v>9390</v>
      </c>
      <c r="D1042" s="2" t="s">
        <v>7915</v>
      </c>
      <c r="E1042" s="2" t="s">
        <v>6748</v>
      </c>
      <c r="F1042" s="2" t="s">
        <v>39</v>
      </c>
      <c r="G1042" s="2">
        <v>23684.6</v>
      </c>
      <c r="H1042" s="2">
        <v>10944.39</v>
      </c>
      <c r="I1042" s="2" t="s">
        <v>6915</v>
      </c>
      <c r="J1042" s="2" t="s">
        <v>6789</v>
      </c>
      <c r="K1042" s="2" t="s">
        <v>42</v>
      </c>
      <c r="L1042" s="2" t="s">
        <v>88</v>
      </c>
      <c r="M1042" s="2">
        <v>3</v>
      </c>
      <c r="N1042" s="2" t="s">
        <v>24</v>
      </c>
      <c r="O1042" s="2" t="s">
        <v>25</v>
      </c>
      <c r="P1042" s="2" t="s">
        <v>34</v>
      </c>
    </row>
    <row r="1043" spans="1:16" x14ac:dyDescent="0.25">
      <c r="A1043" s="2" t="s">
        <v>2594</v>
      </c>
      <c r="B1043" s="2" t="s">
        <v>713</v>
      </c>
      <c r="C1043" s="2">
        <v>7175</v>
      </c>
      <c r="D1043" s="2" t="s">
        <v>7916</v>
      </c>
      <c r="E1043" s="2" t="s">
        <v>6703</v>
      </c>
      <c r="F1043" s="2" t="s">
        <v>39</v>
      </c>
      <c r="G1043" s="2">
        <v>21969.31</v>
      </c>
      <c r="H1043" s="2">
        <v>10455.09</v>
      </c>
      <c r="I1043" s="2" t="s">
        <v>6771</v>
      </c>
      <c r="J1043" s="2" t="s">
        <v>6795</v>
      </c>
      <c r="K1043" s="2" t="s">
        <v>32</v>
      </c>
      <c r="L1043" s="2" t="s">
        <v>64</v>
      </c>
      <c r="M1043" s="2">
        <v>2</v>
      </c>
      <c r="N1043" s="2" t="s">
        <v>33</v>
      </c>
      <c r="O1043" s="2" t="s">
        <v>70</v>
      </c>
      <c r="P1043" s="2" t="s">
        <v>26</v>
      </c>
    </row>
    <row r="1044" spans="1:16" x14ac:dyDescent="0.25">
      <c r="A1044" s="2" t="s">
        <v>2597</v>
      </c>
      <c r="B1044" s="2" t="s">
        <v>7917</v>
      </c>
      <c r="C1044" s="2">
        <v>5367</v>
      </c>
      <c r="D1044" s="2" t="s">
        <v>7918</v>
      </c>
      <c r="E1044" s="2" t="s">
        <v>18</v>
      </c>
      <c r="F1044" s="2" t="s">
        <v>39</v>
      </c>
      <c r="G1044" s="2">
        <v>14278.3</v>
      </c>
      <c r="H1044" s="2">
        <v>7895.01</v>
      </c>
      <c r="I1044" s="2" t="s">
        <v>84</v>
      </c>
      <c r="J1044" s="2" t="s">
        <v>54</v>
      </c>
      <c r="K1044" s="2" t="s">
        <v>22</v>
      </c>
      <c r="L1044" s="2" t="s">
        <v>43</v>
      </c>
      <c r="M1044" s="2">
        <v>4</v>
      </c>
      <c r="N1044" s="2" t="s">
        <v>69</v>
      </c>
      <c r="O1044" s="2" t="s">
        <v>25</v>
      </c>
      <c r="P1044" s="2" t="s">
        <v>49</v>
      </c>
    </row>
    <row r="1045" spans="1:16" x14ac:dyDescent="0.25">
      <c r="A1045" s="2" t="s">
        <v>2600</v>
      </c>
      <c r="B1045" s="2" t="s">
        <v>7919</v>
      </c>
      <c r="C1045" s="2">
        <v>7230</v>
      </c>
      <c r="D1045" s="2" t="s">
        <v>7305</v>
      </c>
      <c r="E1045" s="2" t="s">
        <v>38</v>
      </c>
      <c r="F1045" s="2" t="s">
        <v>58</v>
      </c>
      <c r="G1045" s="2">
        <v>13737.97</v>
      </c>
      <c r="H1045" s="2">
        <v>7719.93</v>
      </c>
      <c r="I1045" s="2" t="s">
        <v>120</v>
      </c>
      <c r="J1045" s="2" t="s">
        <v>21</v>
      </c>
      <c r="K1045" s="2" t="s">
        <v>32</v>
      </c>
      <c r="L1045" s="2" t="s">
        <v>23</v>
      </c>
      <c r="M1045" s="2">
        <v>3</v>
      </c>
      <c r="N1045" s="2" t="s">
        <v>69</v>
      </c>
      <c r="O1045" s="2" t="s">
        <v>70</v>
      </c>
      <c r="P1045" s="2" t="s">
        <v>26</v>
      </c>
    </row>
    <row r="1046" spans="1:16" x14ac:dyDescent="0.25">
      <c r="A1046" s="2" t="s">
        <v>2603</v>
      </c>
      <c r="B1046" s="2" t="s">
        <v>7920</v>
      </c>
      <c r="C1046" s="2">
        <v>1569</v>
      </c>
      <c r="D1046" s="2" t="s">
        <v>7921</v>
      </c>
      <c r="E1046" s="2" t="s">
        <v>32</v>
      </c>
      <c r="F1046" s="2" t="s">
        <v>30</v>
      </c>
      <c r="G1046" s="2">
        <v>15011.87</v>
      </c>
      <c r="H1046" s="2">
        <v>8876.24</v>
      </c>
      <c r="I1046" s="2" t="s">
        <v>6845</v>
      </c>
      <c r="J1046" s="2" t="s">
        <v>6724</v>
      </c>
      <c r="K1046" s="2" t="s">
        <v>42</v>
      </c>
      <c r="L1046" s="2" t="s">
        <v>48</v>
      </c>
      <c r="M1046" s="2">
        <v>5</v>
      </c>
      <c r="N1046" s="2" t="s">
        <v>24</v>
      </c>
      <c r="O1046" s="2" t="s">
        <v>25</v>
      </c>
      <c r="P1046" s="2" t="s">
        <v>49</v>
      </c>
    </row>
    <row r="1047" spans="1:16" x14ac:dyDescent="0.25">
      <c r="A1047" s="2" t="s">
        <v>2606</v>
      </c>
      <c r="B1047" s="2" t="s">
        <v>561</v>
      </c>
      <c r="C1047" s="2">
        <v>6496</v>
      </c>
      <c r="D1047" s="2" t="s">
        <v>7922</v>
      </c>
      <c r="E1047" s="2" t="s">
        <v>18</v>
      </c>
      <c r="F1047" s="2" t="s">
        <v>39</v>
      </c>
      <c r="G1047" s="2">
        <v>28344.38</v>
      </c>
      <c r="H1047" s="2">
        <v>14115.1</v>
      </c>
      <c r="I1047" s="2" t="s">
        <v>53</v>
      </c>
      <c r="J1047" s="2" t="s">
        <v>54</v>
      </c>
      <c r="K1047" s="2" t="s">
        <v>42</v>
      </c>
      <c r="L1047" s="2" t="s">
        <v>43</v>
      </c>
      <c r="M1047" s="2">
        <v>4</v>
      </c>
      <c r="N1047" s="2" t="s">
        <v>69</v>
      </c>
      <c r="O1047" s="2" t="s">
        <v>25</v>
      </c>
      <c r="P1047" s="2" t="s">
        <v>34</v>
      </c>
    </row>
    <row r="1048" spans="1:16" x14ac:dyDescent="0.25">
      <c r="A1048" s="2" t="s">
        <v>2609</v>
      </c>
      <c r="B1048" s="2" t="s">
        <v>1892</v>
      </c>
      <c r="C1048" s="2">
        <v>5593</v>
      </c>
      <c r="D1048" s="2" t="s">
        <v>7923</v>
      </c>
      <c r="E1048" s="2" t="s">
        <v>18</v>
      </c>
      <c r="F1048" s="2" t="s">
        <v>39</v>
      </c>
      <c r="G1048" s="2">
        <v>12011.99</v>
      </c>
      <c r="H1048" s="2">
        <v>6230.04</v>
      </c>
      <c r="I1048" s="2" t="s">
        <v>31</v>
      </c>
      <c r="J1048" s="2" t="s">
        <v>21</v>
      </c>
      <c r="K1048" s="2" t="s">
        <v>42</v>
      </c>
      <c r="L1048" s="2" t="s">
        <v>55</v>
      </c>
      <c r="M1048" s="2">
        <v>5</v>
      </c>
      <c r="N1048" s="2" t="s">
        <v>24</v>
      </c>
      <c r="O1048" s="2" t="s">
        <v>25</v>
      </c>
      <c r="P1048" s="2" t="s">
        <v>34</v>
      </c>
    </row>
    <row r="1049" spans="1:16" x14ac:dyDescent="0.25">
      <c r="A1049" s="2" t="s">
        <v>2612</v>
      </c>
      <c r="B1049" s="2" t="s">
        <v>7924</v>
      </c>
      <c r="C1049" s="2">
        <v>3336</v>
      </c>
      <c r="D1049" s="2" t="s">
        <v>7925</v>
      </c>
      <c r="E1049" s="2" t="s">
        <v>6719</v>
      </c>
      <c r="F1049" s="2" t="s">
        <v>30</v>
      </c>
      <c r="G1049" s="2">
        <v>65077.97</v>
      </c>
      <c r="H1049" s="2">
        <v>34116.68</v>
      </c>
      <c r="I1049" s="2" t="s">
        <v>6799</v>
      </c>
      <c r="J1049" s="2" t="s">
        <v>6793</v>
      </c>
      <c r="K1049" s="2" t="s">
        <v>80</v>
      </c>
      <c r="L1049" s="2" t="s">
        <v>64</v>
      </c>
      <c r="M1049" s="2">
        <v>3</v>
      </c>
      <c r="N1049" s="2" t="s">
        <v>69</v>
      </c>
      <c r="O1049" s="2" t="s">
        <v>25</v>
      </c>
      <c r="P1049" s="2" t="s">
        <v>26</v>
      </c>
    </row>
    <row r="1050" spans="1:16" x14ac:dyDescent="0.25">
      <c r="A1050" s="2" t="s">
        <v>2614</v>
      </c>
      <c r="B1050" s="2" t="s">
        <v>2812</v>
      </c>
      <c r="C1050" s="2">
        <v>5338</v>
      </c>
      <c r="D1050" s="2" t="s">
        <v>7926</v>
      </c>
      <c r="E1050" s="2" t="s">
        <v>18</v>
      </c>
      <c r="F1050" s="2" t="s">
        <v>58</v>
      </c>
      <c r="G1050" s="2">
        <v>10945.27</v>
      </c>
      <c r="H1050" s="2">
        <v>6889.52</v>
      </c>
      <c r="I1050" s="2" t="s">
        <v>59</v>
      </c>
      <c r="J1050" s="2" t="s">
        <v>41</v>
      </c>
      <c r="K1050" s="2" t="s">
        <v>80</v>
      </c>
      <c r="L1050" s="2" t="s">
        <v>55</v>
      </c>
      <c r="M1050" s="2">
        <v>3</v>
      </c>
      <c r="N1050" s="2" t="s">
        <v>24</v>
      </c>
      <c r="O1050" s="2" t="s">
        <v>70</v>
      </c>
      <c r="P1050" s="2" t="s">
        <v>26</v>
      </c>
    </row>
    <row r="1051" spans="1:16" x14ac:dyDescent="0.25">
      <c r="A1051" s="2" t="s">
        <v>2616</v>
      </c>
      <c r="B1051" s="2" t="s">
        <v>3174</v>
      </c>
      <c r="C1051" s="2">
        <v>2708</v>
      </c>
      <c r="D1051" s="2" t="s">
        <v>7927</v>
      </c>
      <c r="E1051" s="2" t="s">
        <v>18</v>
      </c>
      <c r="F1051" s="2" t="s">
        <v>39</v>
      </c>
      <c r="G1051" s="2">
        <v>11025.64</v>
      </c>
      <c r="H1051" s="2">
        <v>6385.21</v>
      </c>
      <c r="I1051" s="2" t="s">
        <v>84</v>
      </c>
      <c r="J1051" s="2" t="s">
        <v>54</v>
      </c>
      <c r="K1051" s="2" t="s">
        <v>22</v>
      </c>
      <c r="L1051" s="2" t="s">
        <v>64</v>
      </c>
      <c r="M1051" s="2">
        <v>5</v>
      </c>
      <c r="N1051" s="2" t="s">
        <v>69</v>
      </c>
      <c r="O1051" s="2" t="s">
        <v>70</v>
      </c>
      <c r="P1051" s="2" t="s">
        <v>26</v>
      </c>
    </row>
    <row r="1052" spans="1:16" x14ac:dyDescent="0.25">
      <c r="A1052" s="2" t="s">
        <v>2618</v>
      </c>
      <c r="B1052" s="2" t="s">
        <v>7928</v>
      </c>
      <c r="C1052" s="2">
        <v>6215</v>
      </c>
      <c r="D1052" s="2" t="s">
        <v>7929</v>
      </c>
      <c r="E1052" s="2" t="s">
        <v>6756</v>
      </c>
      <c r="F1052" s="2" t="s">
        <v>30</v>
      </c>
      <c r="G1052" s="2">
        <v>24538.87</v>
      </c>
      <c r="H1052" s="2">
        <v>15045.5</v>
      </c>
      <c r="I1052" s="2" t="s">
        <v>6752</v>
      </c>
      <c r="J1052" s="2" t="s">
        <v>54</v>
      </c>
      <c r="K1052" s="2" t="s">
        <v>42</v>
      </c>
      <c r="L1052" s="2" t="s">
        <v>48</v>
      </c>
      <c r="M1052" s="2">
        <v>2</v>
      </c>
      <c r="N1052" s="2" t="s">
        <v>33</v>
      </c>
      <c r="O1052" s="2" t="s">
        <v>70</v>
      </c>
      <c r="P1052" s="2" t="s">
        <v>34</v>
      </c>
    </row>
    <row r="1053" spans="1:16" x14ac:dyDescent="0.25">
      <c r="A1053" s="2" t="s">
        <v>2621</v>
      </c>
      <c r="B1053" s="2" t="s">
        <v>6966</v>
      </c>
      <c r="C1053" s="2">
        <v>1414</v>
      </c>
      <c r="D1053" s="2" t="s">
        <v>7930</v>
      </c>
      <c r="E1053" s="2" t="s">
        <v>6698</v>
      </c>
      <c r="F1053" s="2" t="s">
        <v>19</v>
      </c>
      <c r="G1053" s="2">
        <v>15352.2</v>
      </c>
      <c r="H1053" s="2">
        <v>9596.08</v>
      </c>
      <c r="I1053" s="2" t="s">
        <v>6690</v>
      </c>
      <c r="J1053" s="2" t="s">
        <v>6729</v>
      </c>
      <c r="K1053" s="2" t="s">
        <v>32</v>
      </c>
      <c r="L1053" s="2" t="s">
        <v>23</v>
      </c>
      <c r="M1053" s="2">
        <v>4</v>
      </c>
      <c r="N1053" s="2" t="s">
        <v>24</v>
      </c>
      <c r="O1053" s="2" t="s">
        <v>25</v>
      </c>
      <c r="P1053" s="2" t="s">
        <v>34</v>
      </c>
    </row>
    <row r="1054" spans="1:16" x14ac:dyDescent="0.25">
      <c r="A1054" s="2" t="s">
        <v>2623</v>
      </c>
      <c r="B1054" s="2" t="s">
        <v>7931</v>
      </c>
      <c r="C1054" s="2">
        <v>6850</v>
      </c>
      <c r="D1054" s="2" t="s">
        <v>7932</v>
      </c>
      <c r="E1054" s="2" t="s">
        <v>6756</v>
      </c>
      <c r="F1054" s="2" t="s">
        <v>58</v>
      </c>
      <c r="G1054" s="2">
        <v>57158.76</v>
      </c>
      <c r="H1054" s="2">
        <v>36380.74</v>
      </c>
      <c r="I1054" s="2" t="s">
        <v>6808</v>
      </c>
      <c r="J1054" s="2" t="s">
        <v>54</v>
      </c>
      <c r="K1054" s="2" t="s">
        <v>22</v>
      </c>
      <c r="L1054" s="2" t="s">
        <v>55</v>
      </c>
      <c r="M1054" s="2">
        <v>3</v>
      </c>
      <c r="N1054" s="2" t="s">
        <v>33</v>
      </c>
      <c r="O1054" s="2" t="s">
        <v>25</v>
      </c>
      <c r="P1054" s="2" t="s">
        <v>26</v>
      </c>
    </row>
    <row r="1055" spans="1:16" x14ac:dyDescent="0.25">
      <c r="A1055" s="2" t="s">
        <v>2625</v>
      </c>
      <c r="B1055" s="2" t="s">
        <v>178</v>
      </c>
      <c r="C1055" s="2">
        <v>7970</v>
      </c>
      <c r="D1055" s="2" t="s">
        <v>7388</v>
      </c>
      <c r="E1055" s="2" t="s">
        <v>6703</v>
      </c>
      <c r="F1055" s="2" t="s">
        <v>30</v>
      </c>
      <c r="G1055" s="2">
        <v>84161.58</v>
      </c>
      <c r="H1055" s="2">
        <v>41688.75</v>
      </c>
      <c r="I1055" s="2" t="s">
        <v>53</v>
      </c>
      <c r="J1055" s="2" t="s">
        <v>6729</v>
      </c>
      <c r="K1055" s="2" t="s">
        <v>22</v>
      </c>
      <c r="L1055" s="2" t="s">
        <v>23</v>
      </c>
      <c r="M1055" s="2">
        <v>4</v>
      </c>
      <c r="N1055" s="2" t="s">
        <v>24</v>
      </c>
      <c r="O1055" s="2" t="s">
        <v>70</v>
      </c>
      <c r="P1055" s="2" t="s">
        <v>26</v>
      </c>
    </row>
    <row r="1056" spans="1:16" x14ac:dyDescent="0.25">
      <c r="A1056" s="2" t="s">
        <v>2627</v>
      </c>
      <c r="B1056" s="2" t="s">
        <v>7933</v>
      </c>
      <c r="C1056" s="2">
        <v>7402</v>
      </c>
      <c r="D1056" s="2" t="s">
        <v>4705</v>
      </c>
      <c r="E1056" s="2" t="s">
        <v>6743</v>
      </c>
      <c r="F1056" s="2" t="s">
        <v>19</v>
      </c>
      <c r="G1056" s="2">
        <v>19972.82</v>
      </c>
      <c r="H1056" s="2">
        <v>9094.7800000000007</v>
      </c>
      <c r="I1056" s="2" t="s">
        <v>6728</v>
      </c>
      <c r="J1056" s="2" t="s">
        <v>6729</v>
      </c>
      <c r="K1056" s="2" t="s">
        <v>32</v>
      </c>
      <c r="L1056" s="2" t="s">
        <v>43</v>
      </c>
      <c r="M1056" s="2">
        <v>4</v>
      </c>
      <c r="N1056" s="2" t="s">
        <v>24</v>
      </c>
      <c r="O1056" s="2" t="s">
        <v>25</v>
      </c>
      <c r="P1056" s="2" t="s">
        <v>49</v>
      </c>
    </row>
    <row r="1057" spans="1:16" x14ac:dyDescent="0.25">
      <c r="A1057" s="2" t="s">
        <v>2630</v>
      </c>
      <c r="B1057" s="2" t="s">
        <v>5494</v>
      </c>
      <c r="C1057" s="2">
        <v>4114</v>
      </c>
      <c r="D1057" s="2" t="s">
        <v>7934</v>
      </c>
      <c r="E1057" s="2" t="s">
        <v>18</v>
      </c>
      <c r="F1057" s="2" t="s">
        <v>19</v>
      </c>
      <c r="G1057" s="2">
        <v>5280.98</v>
      </c>
      <c r="H1057" s="2">
        <v>2760.46</v>
      </c>
      <c r="I1057" s="2" t="s">
        <v>6736</v>
      </c>
      <c r="J1057" s="2" t="s">
        <v>6700</v>
      </c>
      <c r="K1057" s="2" t="s">
        <v>80</v>
      </c>
      <c r="L1057" s="2" t="s">
        <v>48</v>
      </c>
      <c r="M1057" s="2">
        <v>2</v>
      </c>
      <c r="N1057" s="2" t="s">
        <v>24</v>
      </c>
      <c r="O1057" s="2" t="s">
        <v>25</v>
      </c>
      <c r="P1057" s="2" t="s">
        <v>26</v>
      </c>
    </row>
    <row r="1058" spans="1:16" x14ac:dyDescent="0.25">
      <c r="A1058" s="2" t="s">
        <v>2633</v>
      </c>
      <c r="B1058" s="2" t="s">
        <v>7935</v>
      </c>
      <c r="C1058" s="2">
        <v>1746</v>
      </c>
      <c r="D1058" s="2" t="s">
        <v>7936</v>
      </c>
      <c r="E1058" s="2" t="s">
        <v>6703</v>
      </c>
      <c r="F1058" s="2" t="s">
        <v>39</v>
      </c>
      <c r="G1058" s="2">
        <v>18599.97</v>
      </c>
      <c r="H1058" s="2">
        <v>10221.93</v>
      </c>
      <c r="I1058" s="2" t="s">
        <v>6681</v>
      </c>
      <c r="J1058" s="2" t="s">
        <v>41</v>
      </c>
      <c r="K1058" s="2" t="s">
        <v>22</v>
      </c>
      <c r="L1058" s="2" t="s">
        <v>43</v>
      </c>
      <c r="M1058" s="2">
        <v>2</v>
      </c>
      <c r="N1058" s="2" t="s">
        <v>69</v>
      </c>
      <c r="O1058" s="2" t="s">
        <v>25</v>
      </c>
      <c r="P1058" s="2" t="s">
        <v>26</v>
      </c>
    </row>
    <row r="1059" spans="1:16" x14ac:dyDescent="0.25">
      <c r="A1059" s="2" t="s">
        <v>2636</v>
      </c>
      <c r="B1059" s="2" t="s">
        <v>707</v>
      </c>
      <c r="C1059" s="2">
        <v>3996</v>
      </c>
      <c r="D1059" s="2" t="s">
        <v>2424</v>
      </c>
      <c r="E1059" s="2" t="s">
        <v>6743</v>
      </c>
      <c r="F1059" s="2" t="s">
        <v>39</v>
      </c>
      <c r="G1059" s="2">
        <v>58201.05</v>
      </c>
      <c r="H1059" s="2">
        <v>31929.040000000001</v>
      </c>
      <c r="I1059" s="2" t="s">
        <v>6752</v>
      </c>
      <c r="J1059" s="2" t="s">
        <v>6700</v>
      </c>
      <c r="K1059" s="2" t="s">
        <v>80</v>
      </c>
      <c r="L1059" s="2" t="s">
        <v>48</v>
      </c>
      <c r="M1059" s="2">
        <v>3</v>
      </c>
      <c r="N1059" s="2" t="s">
        <v>24</v>
      </c>
      <c r="O1059" s="2" t="s">
        <v>25</v>
      </c>
      <c r="P1059" s="2" t="s">
        <v>34</v>
      </c>
    </row>
    <row r="1060" spans="1:16" x14ac:dyDescent="0.25">
      <c r="A1060" s="2" t="s">
        <v>2638</v>
      </c>
      <c r="B1060" s="2" t="s">
        <v>78</v>
      </c>
      <c r="C1060" s="2">
        <v>3320</v>
      </c>
      <c r="D1060" s="2" t="s">
        <v>7937</v>
      </c>
      <c r="E1060" s="2" t="s">
        <v>18</v>
      </c>
      <c r="F1060" s="2" t="s">
        <v>47</v>
      </c>
      <c r="G1060" s="2">
        <v>20993.3</v>
      </c>
      <c r="H1060" s="2">
        <v>11581.41</v>
      </c>
      <c r="I1060" s="2" t="s">
        <v>63</v>
      </c>
      <c r="J1060" s="2" t="s">
        <v>54</v>
      </c>
      <c r="K1060" s="2" t="s">
        <v>22</v>
      </c>
      <c r="L1060" s="2" t="s">
        <v>43</v>
      </c>
      <c r="M1060" s="2">
        <v>3</v>
      </c>
      <c r="N1060" s="2" t="s">
        <v>33</v>
      </c>
      <c r="O1060" s="2" t="s">
        <v>25</v>
      </c>
      <c r="P1060" s="2" t="s">
        <v>49</v>
      </c>
    </row>
    <row r="1061" spans="1:16" x14ac:dyDescent="0.25">
      <c r="A1061" s="2" t="s">
        <v>2641</v>
      </c>
      <c r="B1061" s="2" t="s">
        <v>7938</v>
      </c>
      <c r="C1061" s="2">
        <v>4016</v>
      </c>
      <c r="D1061" s="2" t="s">
        <v>4223</v>
      </c>
      <c r="E1061" s="2" t="s">
        <v>32</v>
      </c>
      <c r="F1061" s="2" t="s">
        <v>58</v>
      </c>
      <c r="G1061" s="2">
        <v>32969.379999999997</v>
      </c>
      <c r="H1061" s="2">
        <v>17168.73</v>
      </c>
      <c r="I1061" s="2" t="s">
        <v>6761</v>
      </c>
      <c r="J1061" s="2" t="s">
        <v>6713</v>
      </c>
      <c r="K1061" s="2" t="s">
        <v>22</v>
      </c>
      <c r="L1061" s="2" t="s">
        <v>64</v>
      </c>
      <c r="M1061" s="2">
        <v>2</v>
      </c>
      <c r="N1061" s="2" t="s">
        <v>69</v>
      </c>
      <c r="O1061" s="2" t="s">
        <v>70</v>
      </c>
      <c r="P1061" s="2" t="s">
        <v>34</v>
      </c>
    </row>
    <row r="1062" spans="1:16" x14ac:dyDescent="0.25">
      <c r="A1062" s="2" t="s">
        <v>2643</v>
      </c>
      <c r="B1062" s="2" t="s">
        <v>7939</v>
      </c>
      <c r="C1062" s="2">
        <v>9709</v>
      </c>
      <c r="D1062" s="2" t="s">
        <v>751</v>
      </c>
      <c r="E1062" s="2" t="s">
        <v>6743</v>
      </c>
      <c r="F1062" s="2" t="s">
        <v>47</v>
      </c>
      <c r="G1062" s="2">
        <v>5010.28</v>
      </c>
      <c r="H1062" s="2">
        <v>2939.71</v>
      </c>
      <c r="I1062" s="2" t="s">
        <v>120</v>
      </c>
      <c r="J1062" s="2" t="s">
        <v>6795</v>
      </c>
      <c r="K1062" s="2" t="s">
        <v>80</v>
      </c>
      <c r="L1062" s="2" t="s">
        <v>88</v>
      </c>
      <c r="M1062" s="2">
        <v>1</v>
      </c>
      <c r="N1062" s="2" t="s">
        <v>69</v>
      </c>
      <c r="O1062" s="2" t="s">
        <v>25</v>
      </c>
      <c r="P1062" s="2" t="s">
        <v>49</v>
      </c>
    </row>
    <row r="1063" spans="1:16" x14ac:dyDescent="0.25">
      <c r="A1063" s="2" t="s">
        <v>2645</v>
      </c>
      <c r="B1063" s="2" t="s">
        <v>2970</v>
      </c>
      <c r="C1063" s="2">
        <v>3859</v>
      </c>
      <c r="D1063" s="2" t="s">
        <v>7940</v>
      </c>
      <c r="E1063" s="2" t="s">
        <v>38</v>
      </c>
      <c r="F1063" s="2" t="s">
        <v>58</v>
      </c>
      <c r="G1063" s="2">
        <v>37329.74</v>
      </c>
      <c r="H1063" s="2">
        <v>20596.45</v>
      </c>
      <c r="I1063" s="2" t="s">
        <v>20</v>
      </c>
      <c r="J1063" s="2" t="s">
        <v>21</v>
      </c>
      <c r="K1063" s="2" t="s">
        <v>42</v>
      </c>
      <c r="L1063" s="2" t="s">
        <v>48</v>
      </c>
      <c r="M1063" s="2">
        <v>4</v>
      </c>
      <c r="N1063" s="2" t="s">
        <v>33</v>
      </c>
      <c r="O1063" s="2" t="s">
        <v>70</v>
      </c>
      <c r="P1063" s="2" t="s">
        <v>34</v>
      </c>
    </row>
    <row r="1064" spans="1:16" x14ac:dyDescent="0.25">
      <c r="A1064" s="2" t="s">
        <v>2647</v>
      </c>
      <c r="B1064" s="2" t="s">
        <v>7941</v>
      </c>
      <c r="C1064" s="2">
        <v>6217</v>
      </c>
      <c r="D1064" s="2" t="s">
        <v>7942</v>
      </c>
      <c r="E1064" s="2" t="s">
        <v>6698</v>
      </c>
      <c r="F1064" s="2" t="s">
        <v>19</v>
      </c>
      <c r="G1064" s="2">
        <v>17618.72</v>
      </c>
      <c r="H1064" s="2">
        <v>10744.89</v>
      </c>
      <c r="I1064" s="2" t="s">
        <v>6759</v>
      </c>
      <c r="J1064" s="2" t="s">
        <v>6700</v>
      </c>
      <c r="K1064" s="2" t="s">
        <v>22</v>
      </c>
      <c r="L1064" s="2" t="s">
        <v>88</v>
      </c>
      <c r="M1064" s="2">
        <v>1</v>
      </c>
      <c r="N1064" s="2" t="s">
        <v>33</v>
      </c>
      <c r="O1064" s="2" t="s">
        <v>70</v>
      </c>
      <c r="P1064" s="2" t="s">
        <v>26</v>
      </c>
    </row>
    <row r="1065" spans="1:16" x14ac:dyDescent="0.25">
      <c r="A1065" s="2" t="s">
        <v>2649</v>
      </c>
      <c r="B1065" s="2" t="s">
        <v>7943</v>
      </c>
      <c r="C1065" s="2">
        <v>6259</v>
      </c>
      <c r="D1065" s="2" t="s">
        <v>7944</v>
      </c>
      <c r="E1065" s="2" t="s">
        <v>6748</v>
      </c>
      <c r="F1065" s="2" t="s">
        <v>58</v>
      </c>
      <c r="G1065" s="2">
        <v>42365.26</v>
      </c>
      <c r="H1065" s="2">
        <v>22095.62</v>
      </c>
      <c r="I1065" s="2" t="s">
        <v>84</v>
      </c>
      <c r="J1065" s="2" t="s">
        <v>54</v>
      </c>
      <c r="K1065" s="2" t="s">
        <v>32</v>
      </c>
      <c r="L1065" s="2" t="s">
        <v>55</v>
      </c>
      <c r="M1065" s="2">
        <v>4</v>
      </c>
      <c r="N1065" s="2" t="s">
        <v>69</v>
      </c>
      <c r="O1065" s="2" t="s">
        <v>70</v>
      </c>
      <c r="P1065" s="2" t="s">
        <v>26</v>
      </c>
    </row>
    <row r="1066" spans="1:16" x14ac:dyDescent="0.25">
      <c r="A1066" s="2" t="s">
        <v>2650</v>
      </c>
      <c r="B1066" s="2" t="s">
        <v>7945</v>
      </c>
      <c r="C1066" s="2">
        <v>3452</v>
      </c>
      <c r="D1066" s="2" t="s">
        <v>7946</v>
      </c>
      <c r="E1066" s="2" t="s">
        <v>38</v>
      </c>
      <c r="F1066" s="2" t="s">
        <v>30</v>
      </c>
      <c r="G1066" s="2">
        <v>14747.74</v>
      </c>
      <c r="H1066" s="2">
        <v>7231.66</v>
      </c>
      <c r="I1066" s="2" t="s">
        <v>31</v>
      </c>
      <c r="J1066" s="2" t="s">
        <v>21</v>
      </c>
      <c r="K1066" s="2" t="s">
        <v>32</v>
      </c>
      <c r="L1066" s="2" t="s">
        <v>48</v>
      </c>
      <c r="M1066" s="2">
        <v>4</v>
      </c>
      <c r="N1066" s="2" t="s">
        <v>69</v>
      </c>
      <c r="O1066" s="2" t="s">
        <v>70</v>
      </c>
      <c r="P1066" s="2" t="s">
        <v>34</v>
      </c>
    </row>
    <row r="1067" spans="1:16" x14ac:dyDescent="0.25">
      <c r="A1067" s="2" t="s">
        <v>2653</v>
      </c>
      <c r="B1067" s="2" t="s">
        <v>6435</v>
      </c>
      <c r="C1067" s="2">
        <v>2215</v>
      </c>
      <c r="D1067" s="2" t="s">
        <v>7947</v>
      </c>
      <c r="E1067" s="2" t="s">
        <v>18</v>
      </c>
      <c r="F1067" s="2" t="s">
        <v>58</v>
      </c>
      <c r="G1067" s="2">
        <v>29719.26</v>
      </c>
      <c r="H1067" s="2">
        <v>18682.689999999999</v>
      </c>
      <c r="I1067" s="2" t="s">
        <v>120</v>
      </c>
      <c r="J1067" s="2" t="s">
        <v>21</v>
      </c>
      <c r="K1067" s="2" t="s">
        <v>32</v>
      </c>
      <c r="L1067" s="2" t="s">
        <v>55</v>
      </c>
      <c r="M1067" s="2">
        <v>5</v>
      </c>
      <c r="N1067" s="2" t="s">
        <v>69</v>
      </c>
      <c r="O1067" s="2" t="s">
        <v>25</v>
      </c>
      <c r="P1067" s="2" t="s">
        <v>34</v>
      </c>
    </row>
    <row r="1068" spans="1:16" x14ac:dyDescent="0.25">
      <c r="A1068" s="2" t="s">
        <v>2655</v>
      </c>
      <c r="B1068" s="2" t="s">
        <v>4707</v>
      </c>
      <c r="C1068" s="2">
        <v>9761</v>
      </c>
      <c r="D1068" s="2" t="s">
        <v>7948</v>
      </c>
      <c r="E1068" s="2" t="s">
        <v>38</v>
      </c>
      <c r="F1068" s="2" t="s">
        <v>30</v>
      </c>
      <c r="G1068" s="2">
        <v>59358.63</v>
      </c>
      <c r="H1068" s="2">
        <v>31701.74</v>
      </c>
      <c r="I1068" s="2" t="s">
        <v>20</v>
      </c>
      <c r="J1068" s="2" t="s">
        <v>21</v>
      </c>
      <c r="K1068" s="2" t="s">
        <v>32</v>
      </c>
      <c r="L1068" s="2" t="s">
        <v>48</v>
      </c>
      <c r="M1068" s="2">
        <v>2</v>
      </c>
      <c r="N1068" s="2" t="s">
        <v>69</v>
      </c>
      <c r="O1068" s="2" t="s">
        <v>70</v>
      </c>
      <c r="P1068" s="2" t="s">
        <v>49</v>
      </c>
    </row>
    <row r="1069" spans="1:16" x14ac:dyDescent="0.25">
      <c r="A1069" s="2" t="s">
        <v>2658</v>
      </c>
      <c r="B1069" s="2" t="s">
        <v>2604</v>
      </c>
      <c r="C1069" s="2">
        <v>4086</v>
      </c>
      <c r="D1069" s="2" t="s">
        <v>3126</v>
      </c>
      <c r="E1069" s="2" t="s">
        <v>18</v>
      </c>
      <c r="F1069" s="2" t="s">
        <v>58</v>
      </c>
      <c r="G1069" s="2">
        <v>64936.62</v>
      </c>
      <c r="H1069" s="2">
        <v>37950.43</v>
      </c>
      <c r="I1069" s="2" t="s">
        <v>84</v>
      </c>
      <c r="J1069" s="2" t="s">
        <v>54</v>
      </c>
      <c r="K1069" s="2" t="s">
        <v>42</v>
      </c>
      <c r="L1069" s="2" t="s">
        <v>23</v>
      </c>
      <c r="M1069" s="2">
        <v>2</v>
      </c>
      <c r="N1069" s="2" t="s">
        <v>33</v>
      </c>
      <c r="O1069" s="2" t="s">
        <v>25</v>
      </c>
      <c r="P1069" s="2" t="s">
        <v>26</v>
      </c>
    </row>
    <row r="1070" spans="1:16" x14ac:dyDescent="0.25">
      <c r="A1070" s="2" t="s">
        <v>2659</v>
      </c>
      <c r="B1070" s="2" t="s">
        <v>5372</v>
      </c>
      <c r="C1070" s="2">
        <v>5633</v>
      </c>
      <c r="D1070" s="2" t="s">
        <v>7949</v>
      </c>
      <c r="E1070" s="2" t="s">
        <v>6698</v>
      </c>
      <c r="F1070" s="2" t="s">
        <v>19</v>
      </c>
      <c r="G1070" s="2">
        <v>20828.810000000001</v>
      </c>
      <c r="H1070" s="2">
        <v>10556.43</v>
      </c>
      <c r="I1070" s="2" t="s">
        <v>6720</v>
      </c>
      <c r="J1070" s="2" t="s">
        <v>6691</v>
      </c>
      <c r="K1070" s="2" t="s">
        <v>22</v>
      </c>
      <c r="L1070" s="2" t="s">
        <v>48</v>
      </c>
      <c r="M1070" s="2">
        <v>1</v>
      </c>
      <c r="N1070" s="2" t="s">
        <v>33</v>
      </c>
      <c r="O1070" s="2" t="s">
        <v>25</v>
      </c>
      <c r="P1070" s="2" t="s">
        <v>49</v>
      </c>
    </row>
    <row r="1071" spans="1:16" x14ac:dyDescent="0.25">
      <c r="A1071" s="2" t="s">
        <v>2661</v>
      </c>
      <c r="B1071" s="2" t="s">
        <v>5055</v>
      </c>
      <c r="C1071" s="2">
        <v>8375</v>
      </c>
      <c r="D1071" s="2" t="s">
        <v>7950</v>
      </c>
      <c r="E1071" s="2" t="s">
        <v>38</v>
      </c>
      <c r="F1071" s="2" t="s">
        <v>30</v>
      </c>
      <c r="G1071" s="2">
        <v>76591.39</v>
      </c>
      <c r="H1071" s="2">
        <v>35829.86</v>
      </c>
      <c r="I1071" s="2" t="s">
        <v>120</v>
      </c>
      <c r="J1071" s="2" t="s">
        <v>21</v>
      </c>
      <c r="K1071" s="2" t="s">
        <v>32</v>
      </c>
      <c r="L1071" s="2" t="s">
        <v>64</v>
      </c>
      <c r="M1071" s="2">
        <v>3</v>
      </c>
      <c r="N1071" s="2" t="s">
        <v>33</v>
      </c>
      <c r="O1071" s="2" t="s">
        <v>70</v>
      </c>
      <c r="P1071" s="2" t="s">
        <v>34</v>
      </c>
    </row>
    <row r="1073" spans="1:16" x14ac:dyDescent="0.25">
      <c r="A1073" s="2" t="s">
        <v>2663</v>
      </c>
      <c r="B1073" s="2" t="s">
        <v>7951</v>
      </c>
      <c r="C1073" s="2">
        <v>4263</v>
      </c>
      <c r="D1073" s="2" t="s">
        <v>7952</v>
      </c>
      <c r="E1073" s="2" t="s">
        <v>6756</v>
      </c>
      <c r="F1073" s="2" t="s">
        <v>39</v>
      </c>
      <c r="G1073" s="2">
        <v>31718.99</v>
      </c>
      <c r="H1073" s="2">
        <v>16723.02</v>
      </c>
      <c r="I1073" s="2" t="s">
        <v>6812</v>
      </c>
      <c r="J1073" s="2" t="s">
        <v>6729</v>
      </c>
      <c r="K1073" s="2" t="s">
        <v>42</v>
      </c>
      <c r="L1073" s="2" t="s">
        <v>43</v>
      </c>
      <c r="M1073" s="2">
        <v>4</v>
      </c>
      <c r="N1073" s="2" t="s">
        <v>24</v>
      </c>
      <c r="O1073" s="2" t="s">
        <v>70</v>
      </c>
      <c r="P1073" s="2" t="s">
        <v>34</v>
      </c>
    </row>
    <row r="1074" spans="1:16" x14ac:dyDescent="0.25">
      <c r="A1074" s="2" t="s">
        <v>2665</v>
      </c>
      <c r="B1074" s="2" t="s">
        <v>7576</v>
      </c>
      <c r="C1074" s="2">
        <v>8634</v>
      </c>
      <c r="D1074" s="2" t="s">
        <v>7953</v>
      </c>
      <c r="E1074" s="2" t="s">
        <v>6694</v>
      </c>
      <c r="F1074" s="2" t="s">
        <v>39</v>
      </c>
      <c r="G1074" s="2">
        <v>10977.86</v>
      </c>
      <c r="H1074" s="2">
        <v>5707.97</v>
      </c>
      <c r="I1074" s="2" t="s">
        <v>6845</v>
      </c>
      <c r="J1074" s="2" t="s">
        <v>6789</v>
      </c>
      <c r="K1074" s="2" t="s">
        <v>32</v>
      </c>
      <c r="L1074" s="2" t="s">
        <v>43</v>
      </c>
      <c r="M1074" s="2">
        <v>2</v>
      </c>
      <c r="N1074" s="2" t="s">
        <v>24</v>
      </c>
      <c r="O1074" s="2" t="s">
        <v>70</v>
      </c>
      <c r="P1074" s="2" t="s">
        <v>34</v>
      </c>
    </row>
    <row r="1075" spans="1:16" x14ac:dyDescent="0.25">
      <c r="A1075" s="2" t="s">
        <v>2668</v>
      </c>
      <c r="B1075" s="2" t="s">
        <v>3503</v>
      </c>
      <c r="C1075" s="2">
        <v>6712</v>
      </c>
      <c r="D1075" s="2" t="s">
        <v>3153</v>
      </c>
      <c r="E1075" s="2" t="s">
        <v>38</v>
      </c>
      <c r="F1075" s="2" t="s">
        <v>47</v>
      </c>
      <c r="G1075" s="2">
        <v>9592.93</v>
      </c>
      <c r="H1075" s="2">
        <v>5150.68</v>
      </c>
      <c r="I1075" s="2" t="s">
        <v>31</v>
      </c>
      <c r="J1075" s="2" t="s">
        <v>21</v>
      </c>
      <c r="K1075" s="2" t="s">
        <v>42</v>
      </c>
      <c r="L1075" s="2" t="s">
        <v>88</v>
      </c>
      <c r="M1075" s="2">
        <v>3</v>
      </c>
      <c r="N1075" s="2" t="s">
        <v>69</v>
      </c>
      <c r="O1075" s="2" t="s">
        <v>70</v>
      </c>
      <c r="P1075" s="2" t="s">
        <v>34</v>
      </c>
    </row>
    <row r="1076" spans="1:16" x14ac:dyDescent="0.25">
      <c r="A1076" s="2" t="s">
        <v>2670</v>
      </c>
      <c r="B1076" s="2" t="s">
        <v>7954</v>
      </c>
      <c r="C1076" s="2">
        <v>2987</v>
      </c>
      <c r="D1076" s="2" t="s">
        <v>7955</v>
      </c>
      <c r="E1076" s="2" t="s">
        <v>6719</v>
      </c>
      <c r="F1076" s="2" t="s">
        <v>19</v>
      </c>
      <c r="G1076" s="2">
        <v>17634.13</v>
      </c>
      <c r="H1076" s="2">
        <v>10063.73</v>
      </c>
      <c r="I1076" s="2" t="s">
        <v>6812</v>
      </c>
      <c r="J1076" s="2" t="s">
        <v>6753</v>
      </c>
      <c r="K1076" s="2" t="s">
        <v>32</v>
      </c>
      <c r="L1076" s="2" t="s">
        <v>43</v>
      </c>
      <c r="M1076" s="2">
        <v>2</v>
      </c>
      <c r="N1076" s="2" t="s">
        <v>69</v>
      </c>
      <c r="O1076" s="2" t="s">
        <v>70</v>
      </c>
      <c r="P1076" s="2" t="s">
        <v>34</v>
      </c>
    </row>
    <row r="1077" spans="1:16" x14ac:dyDescent="0.25">
      <c r="A1077" s="2" t="s">
        <v>2673</v>
      </c>
      <c r="B1077" s="2" t="s">
        <v>1329</v>
      </c>
      <c r="C1077" s="2">
        <v>3807</v>
      </c>
      <c r="D1077" s="2" t="s">
        <v>7956</v>
      </c>
      <c r="E1077" s="2" t="s">
        <v>18</v>
      </c>
      <c r="F1077" s="2" t="s">
        <v>19</v>
      </c>
      <c r="G1077" s="2">
        <v>10133.5</v>
      </c>
      <c r="H1077" s="2">
        <v>5762.56</v>
      </c>
      <c r="I1077" s="2" t="s">
        <v>84</v>
      </c>
      <c r="J1077" s="2" t="s">
        <v>54</v>
      </c>
      <c r="K1077" s="2" t="s">
        <v>80</v>
      </c>
      <c r="L1077" s="2" t="s">
        <v>23</v>
      </c>
      <c r="M1077" s="2">
        <v>5</v>
      </c>
      <c r="N1077" s="2" t="s">
        <v>24</v>
      </c>
      <c r="O1077" s="2" t="s">
        <v>70</v>
      </c>
      <c r="P1077" s="2" t="s">
        <v>26</v>
      </c>
    </row>
    <row r="1078" spans="1:16" x14ac:dyDescent="0.25">
      <c r="A1078" s="2" t="s">
        <v>2675</v>
      </c>
      <c r="B1078" s="2" t="s">
        <v>5107</v>
      </c>
      <c r="C1078" s="2">
        <v>2634</v>
      </c>
      <c r="D1078" s="2" t="s">
        <v>7957</v>
      </c>
      <c r="E1078" s="2" t="s">
        <v>18</v>
      </c>
      <c r="F1078" s="2" t="s">
        <v>19</v>
      </c>
      <c r="G1078" s="2">
        <v>7233.19</v>
      </c>
      <c r="H1078" s="2">
        <v>4654.32</v>
      </c>
      <c r="I1078" s="2" t="s">
        <v>31</v>
      </c>
      <c r="J1078" s="2" t="s">
        <v>21</v>
      </c>
      <c r="K1078" s="2" t="s">
        <v>80</v>
      </c>
      <c r="L1078" s="2" t="s">
        <v>23</v>
      </c>
      <c r="M1078" s="2">
        <v>1</v>
      </c>
      <c r="N1078" s="2" t="s">
        <v>24</v>
      </c>
      <c r="O1078" s="2" t="s">
        <v>25</v>
      </c>
      <c r="P1078" s="2" t="s">
        <v>34</v>
      </c>
    </row>
    <row r="1079" spans="1:16" x14ac:dyDescent="0.25">
      <c r="A1079" s="2" t="s">
        <v>2677</v>
      </c>
      <c r="B1079" s="2" t="s">
        <v>7126</v>
      </c>
      <c r="C1079" s="2">
        <v>7763</v>
      </c>
      <c r="D1079" s="2" t="s">
        <v>294</v>
      </c>
      <c r="E1079" s="2" t="s">
        <v>38</v>
      </c>
      <c r="F1079" s="2" t="s">
        <v>47</v>
      </c>
      <c r="G1079" s="2">
        <v>7714.75</v>
      </c>
      <c r="H1079" s="2">
        <v>4706.54</v>
      </c>
      <c r="I1079" s="2" t="s">
        <v>120</v>
      </c>
      <c r="J1079" s="2" t="s">
        <v>21</v>
      </c>
      <c r="K1079" s="2" t="s">
        <v>32</v>
      </c>
      <c r="L1079" s="2" t="s">
        <v>23</v>
      </c>
      <c r="M1079" s="2">
        <v>1</v>
      </c>
      <c r="N1079" s="2" t="s">
        <v>33</v>
      </c>
      <c r="O1079" s="2" t="s">
        <v>25</v>
      </c>
      <c r="P1079" s="2" t="s">
        <v>34</v>
      </c>
    </row>
    <row r="1080" spans="1:16" x14ac:dyDescent="0.25">
      <c r="A1080" s="2" t="s">
        <v>2680</v>
      </c>
      <c r="B1080" s="2" t="s">
        <v>7958</v>
      </c>
      <c r="C1080" s="2">
        <v>1894</v>
      </c>
      <c r="D1080" s="2" t="s">
        <v>7959</v>
      </c>
      <c r="E1080" s="2" t="s">
        <v>6743</v>
      </c>
      <c r="F1080" s="2" t="s">
        <v>47</v>
      </c>
      <c r="G1080" s="2">
        <v>2720.81</v>
      </c>
      <c r="H1080" s="2">
        <v>1625.57</v>
      </c>
      <c r="I1080" s="2" t="s">
        <v>6799</v>
      </c>
      <c r="J1080" s="2" t="s">
        <v>6713</v>
      </c>
      <c r="K1080" s="2" t="s">
        <v>42</v>
      </c>
      <c r="L1080" s="2" t="s">
        <v>55</v>
      </c>
      <c r="M1080" s="2">
        <v>2</v>
      </c>
      <c r="N1080" s="2" t="s">
        <v>24</v>
      </c>
      <c r="O1080" s="2" t="s">
        <v>25</v>
      </c>
      <c r="P1080" s="2" t="s">
        <v>34</v>
      </c>
    </row>
    <row r="1081" spans="1:16" x14ac:dyDescent="0.25">
      <c r="A1081" s="2" t="s">
        <v>2682</v>
      </c>
      <c r="B1081" s="2" t="s">
        <v>7960</v>
      </c>
      <c r="C1081" s="2">
        <v>1037</v>
      </c>
      <c r="D1081" s="2" t="s">
        <v>7961</v>
      </c>
      <c r="E1081" s="2" t="s">
        <v>6708</v>
      </c>
      <c r="F1081" s="2" t="s">
        <v>39</v>
      </c>
      <c r="G1081" s="2">
        <v>39038.129999999997</v>
      </c>
      <c r="H1081" s="2">
        <v>18183.03</v>
      </c>
      <c r="I1081" s="2" t="s">
        <v>6918</v>
      </c>
      <c r="J1081" s="2" t="s">
        <v>21</v>
      </c>
      <c r="K1081" s="2" t="s">
        <v>32</v>
      </c>
      <c r="L1081" s="2" t="s">
        <v>55</v>
      </c>
      <c r="M1081" s="2">
        <v>3</v>
      </c>
      <c r="N1081" s="2" t="s">
        <v>24</v>
      </c>
      <c r="O1081" s="2" t="s">
        <v>25</v>
      </c>
      <c r="P1081" s="2" t="s">
        <v>26</v>
      </c>
    </row>
    <row r="1082" spans="1:16" x14ac:dyDescent="0.25">
      <c r="A1082" s="2" t="s">
        <v>2684</v>
      </c>
      <c r="B1082" s="2" t="s">
        <v>7962</v>
      </c>
      <c r="C1082" s="2">
        <v>4007</v>
      </c>
      <c r="D1082" s="2" t="s">
        <v>7963</v>
      </c>
      <c r="E1082" s="2" t="s">
        <v>18</v>
      </c>
      <c r="F1082" s="2" t="s">
        <v>30</v>
      </c>
      <c r="G1082" s="2">
        <v>65253.05</v>
      </c>
      <c r="H1082" s="2">
        <v>31420.27</v>
      </c>
      <c r="I1082" s="2" t="s">
        <v>84</v>
      </c>
      <c r="J1082" s="2" t="s">
        <v>6700</v>
      </c>
      <c r="K1082" s="2" t="s">
        <v>32</v>
      </c>
      <c r="L1082" s="2" t="s">
        <v>55</v>
      </c>
      <c r="M1082" s="2">
        <v>2</v>
      </c>
      <c r="N1082" s="2" t="s">
        <v>33</v>
      </c>
      <c r="O1082" s="2" t="s">
        <v>25</v>
      </c>
      <c r="P1082" s="2" t="s">
        <v>26</v>
      </c>
    </row>
    <row r="1083" spans="1:16" x14ac:dyDescent="0.25">
      <c r="A1083" s="2" t="s">
        <v>2687</v>
      </c>
      <c r="B1083" s="2" t="s">
        <v>5025</v>
      </c>
      <c r="C1083" s="2">
        <v>7492</v>
      </c>
      <c r="D1083" s="2" t="s">
        <v>7964</v>
      </c>
      <c r="E1083" s="2" t="s">
        <v>18</v>
      </c>
      <c r="F1083" s="2" t="s">
        <v>19</v>
      </c>
      <c r="G1083" s="2">
        <v>4768.45</v>
      </c>
      <c r="H1083" s="2">
        <v>2900.62</v>
      </c>
      <c r="I1083" s="2" t="s">
        <v>53</v>
      </c>
      <c r="J1083" s="2" t="s">
        <v>54</v>
      </c>
      <c r="K1083" s="2" t="s">
        <v>42</v>
      </c>
      <c r="L1083" s="2" t="s">
        <v>48</v>
      </c>
      <c r="M1083" s="2">
        <v>2</v>
      </c>
      <c r="N1083" s="2" t="s">
        <v>24</v>
      </c>
      <c r="O1083" s="2" t="s">
        <v>25</v>
      </c>
      <c r="P1083" s="2" t="s">
        <v>49</v>
      </c>
    </row>
    <row r="1084" spans="1:16" x14ac:dyDescent="0.25">
      <c r="A1084" s="2" t="s">
        <v>2689</v>
      </c>
      <c r="B1084" s="2" t="s">
        <v>849</v>
      </c>
      <c r="C1084" s="2">
        <v>5686</v>
      </c>
      <c r="D1084" s="2" t="s">
        <v>7965</v>
      </c>
      <c r="E1084" s="2" t="s">
        <v>18</v>
      </c>
      <c r="F1084" s="2" t="s">
        <v>58</v>
      </c>
      <c r="G1084" s="2">
        <v>34824.58</v>
      </c>
      <c r="H1084" s="2">
        <v>16982.72</v>
      </c>
      <c r="I1084" s="2" t="s">
        <v>84</v>
      </c>
      <c r="J1084" s="2" t="s">
        <v>54</v>
      </c>
      <c r="K1084" s="2" t="s">
        <v>22</v>
      </c>
      <c r="L1084" s="2" t="s">
        <v>88</v>
      </c>
      <c r="M1084" s="2">
        <v>2</v>
      </c>
      <c r="N1084" s="2" t="s">
        <v>69</v>
      </c>
      <c r="O1084" s="2" t="s">
        <v>25</v>
      </c>
      <c r="P1084" s="2" t="s">
        <v>26</v>
      </c>
    </row>
    <row r="1085" spans="1:16" x14ac:dyDescent="0.25">
      <c r="A1085" s="2" t="s">
        <v>2692</v>
      </c>
      <c r="B1085" s="2" t="s">
        <v>6408</v>
      </c>
      <c r="C1085" s="2">
        <v>5592</v>
      </c>
      <c r="D1085" s="2" t="s">
        <v>7966</v>
      </c>
      <c r="E1085" s="2" t="s">
        <v>38</v>
      </c>
      <c r="F1085" s="2" t="s">
        <v>47</v>
      </c>
      <c r="G1085" s="2">
        <v>6277.71</v>
      </c>
      <c r="H1085" s="2">
        <v>3052.44</v>
      </c>
      <c r="I1085" s="2" t="s">
        <v>120</v>
      </c>
      <c r="J1085" s="2" t="s">
        <v>21</v>
      </c>
      <c r="K1085" s="2" t="s">
        <v>42</v>
      </c>
      <c r="L1085" s="2" t="s">
        <v>48</v>
      </c>
      <c r="M1085" s="2">
        <v>2</v>
      </c>
      <c r="N1085" s="2" t="s">
        <v>33</v>
      </c>
      <c r="O1085" s="2" t="s">
        <v>25</v>
      </c>
      <c r="P1085" s="2" t="s">
        <v>26</v>
      </c>
    </row>
    <row r="1086" spans="1:16" x14ac:dyDescent="0.25">
      <c r="A1086" s="2" t="s">
        <v>2695</v>
      </c>
      <c r="B1086" s="2" t="s">
        <v>525</v>
      </c>
      <c r="C1086" s="2">
        <v>4531</v>
      </c>
      <c r="D1086" s="2" t="s">
        <v>7967</v>
      </c>
      <c r="E1086" s="2" t="s">
        <v>18</v>
      </c>
      <c r="F1086" s="2" t="s">
        <v>58</v>
      </c>
      <c r="G1086" s="2">
        <v>48574.97</v>
      </c>
      <c r="H1086" s="2">
        <v>24090.48</v>
      </c>
      <c r="I1086" s="2" t="s">
        <v>63</v>
      </c>
      <c r="J1086" s="2" t="s">
        <v>54</v>
      </c>
      <c r="K1086" s="2" t="s">
        <v>32</v>
      </c>
      <c r="L1086" s="2" t="s">
        <v>23</v>
      </c>
      <c r="M1086" s="2">
        <v>3</v>
      </c>
      <c r="N1086" s="2" t="s">
        <v>33</v>
      </c>
      <c r="O1086" s="2" t="s">
        <v>25</v>
      </c>
      <c r="P1086" s="2" t="s">
        <v>49</v>
      </c>
    </row>
    <row r="1087" spans="1:16" x14ac:dyDescent="0.25">
      <c r="A1087" s="2" t="s">
        <v>2697</v>
      </c>
      <c r="B1087" s="2" t="s">
        <v>496</v>
      </c>
      <c r="C1087" s="2">
        <v>7993</v>
      </c>
      <c r="D1087" s="2" t="s">
        <v>6500</v>
      </c>
      <c r="E1087" s="2" t="s">
        <v>18</v>
      </c>
      <c r="F1087" s="2" t="s">
        <v>19</v>
      </c>
      <c r="G1087" s="2">
        <v>14750.63</v>
      </c>
      <c r="H1087" s="2">
        <v>8436.39</v>
      </c>
      <c r="I1087" s="2" t="s">
        <v>120</v>
      </c>
      <c r="J1087" s="2" t="s">
        <v>21</v>
      </c>
      <c r="K1087" s="2" t="s">
        <v>42</v>
      </c>
      <c r="L1087" s="2" t="s">
        <v>88</v>
      </c>
      <c r="M1087" s="2">
        <v>2</v>
      </c>
      <c r="N1087" s="2" t="s">
        <v>69</v>
      </c>
      <c r="O1087" s="2" t="s">
        <v>25</v>
      </c>
      <c r="P1087" s="2" t="s">
        <v>34</v>
      </c>
    </row>
    <row r="1088" spans="1:16" x14ac:dyDescent="0.25">
      <c r="A1088" s="2" t="s">
        <v>2698</v>
      </c>
      <c r="B1088" s="2" t="s">
        <v>7968</v>
      </c>
      <c r="C1088" s="2">
        <v>5232</v>
      </c>
      <c r="D1088" s="2" t="s">
        <v>7969</v>
      </c>
      <c r="E1088" s="2" t="s">
        <v>38</v>
      </c>
      <c r="F1088" s="2" t="s">
        <v>47</v>
      </c>
      <c r="G1088" s="2">
        <v>4725.5</v>
      </c>
      <c r="H1088" s="2">
        <v>2153.92</v>
      </c>
      <c r="I1088" s="2" t="s">
        <v>63</v>
      </c>
      <c r="J1088" s="2" t="s">
        <v>6753</v>
      </c>
      <c r="K1088" s="2" t="s">
        <v>42</v>
      </c>
      <c r="L1088" s="2" t="s">
        <v>48</v>
      </c>
      <c r="M1088" s="2">
        <v>2</v>
      </c>
      <c r="N1088" s="2" t="s">
        <v>33</v>
      </c>
      <c r="O1088" s="2" t="s">
        <v>25</v>
      </c>
      <c r="P1088" s="2" t="s">
        <v>34</v>
      </c>
    </row>
    <row r="1089" spans="1:16" x14ac:dyDescent="0.25">
      <c r="A1089" s="2" t="s">
        <v>2700</v>
      </c>
      <c r="B1089" s="2" t="s">
        <v>7970</v>
      </c>
      <c r="C1089" s="2">
        <v>1958</v>
      </c>
      <c r="D1089" s="2" t="s">
        <v>7971</v>
      </c>
      <c r="E1089" s="2" t="s">
        <v>38</v>
      </c>
      <c r="F1089" s="2" t="s">
        <v>19</v>
      </c>
      <c r="G1089" s="2">
        <v>13011.55</v>
      </c>
      <c r="H1089" s="2">
        <v>7734.62</v>
      </c>
      <c r="I1089" s="2" t="s">
        <v>20</v>
      </c>
      <c r="J1089" s="2" t="s">
        <v>21</v>
      </c>
      <c r="K1089" s="2" t="s">
        <v>42</v>
      </c>
      <c r="L1089" s="2" t="s">
        <v>48</v>
      </c>
      <c r="M1089" s="2">
        <v>5</v>
      </c>
      <c r="N1089" s="2" t="s">
        <v>24</v>
      </c>
      <c r="O1089" s="2" t="s">
        <v>70</v>
      </c>
      <c r="P1089" s="2" t="s">
        <v>26</v>
      </c>
    </row>
    <row r="1090" spans="1:16" x14ac:dyDescent="0.25">
      <c r="A1090" s="2" t="s">
        <v>2702</v>
      </c>
      <c r="B1090" s="2" t="s">
        <v>7972</v>
      </c>
      <c r="C1090" s="2">
        <v>2734</v>
      </c>
      <c r="D1090" s="2" t="s">
        <v>7973</v>
      </c>
      <c r="E1090" s="2" t="s">
        <v>6756</v>
      </c>
      <c r="F1090" s="2" t="s">
        <v>19</v>
      </c>
      <c r="G1090" s="2">
        <v>16922.060000000001</v>
      </c>
      <c r="H1090" s="2">
        <v>7784.3</v>
      </c>
      <c r="I1090" s="2" t="s">
        <v>6867</v>
      </c>
      <c r="J1090" s="2" t="s">
        <v>6696</v>
      </c>
      <c r="K1090" s="2" t="s">
        <v>42</v>
      </c>
      <c r="L1090" s="2" t="s">
        <v>48</v>
      </c>
      <c r="M1090" s="2">
        <v>5</v>
      </c>
      <c r="N1090" s="2" t="s">
        <v>33</v>
      </c>
      <c r="O1090" s="2" t="s">
        <v>70</v>
      </c>
      <c r="P1090" s="2" t="s">
        <v>34</v>
      </c>
    </row>
    <row r="1091" spans="1:16" x14ac:dyDescent="0.25">
      <c r="A1091" s="2" t="s">
        <v>2705</v>
      </c>
      <c r="B1091" s="2" t="s">
        <v>7974</v>
      </c>
      <c r="C1091" s="2">
        <v>6623</v>
      </c>
      <c r="D1091" s="2" t="s">
        <v>7975</v>
      </c>
      <c r="E1091" s="2" t="s">
        <v>6719</v>
      </c>
      <c r="F1091" s="2" t="s">
        <v>58</v>
      </c>
      <c r="G1091" s="2">
        <v>22585.51</v>
      </c>
      <c r="H1091" s="2">
        <v>12574.6</v>
      </c>
      <c r="I1091" s="2" t="s">
        <v>20</v>
      </c>
      <c r="J1091" s="2" t="s">
        <v>6802</v>
      </c>
      <c r="K1091" s="2" t="s">
        <v>42</v>
      </c>
      <c r="L1091" s="2" t="s">
        <v>43</v>
      </c>
      <c r="M1091" s="2">
        <v>2</v>
      </c>
      <c r="N1091" s="2" t="s">
        <v>69</v>
      </c>
      <c r="O1091" s="2" t="s">
        <v>25</v>
      </c>
      <c r="P1091" s="2" t="s">
        <v>49</v>
      </c>
    </row>
    <row r="1092" spans="1:16" x14ac:dyDescent="0.25">
      <c r="A1092" s="2" t="s">
        <v>2707</v>
      </c>
      <c r="B1092" s="2" t="s">
        <v>6006</v>
      </c>
      <c r="C1092" s="2">
        <v>4861</v>
      </c>
      <c r="D1092" s="2" t="s">
        <v>7976</v>
      </c>
      <c r="E1092" s="2" t="s">
        <v>6719</v>
      </c>
      <c r="F1092" s="2" t="s">
        <v>58</v>
      </c>
      <c r="G1092" s="2">
        <v>61207.48</v>
      </c>
      <c r="H1092" s="2">
        <v>34310.449999999997</v>
      </c>
      <c r="I1092" s="2" t="s">
        <v>6736</v>
      </c>
      <c r="J1092" s="2" t="s">
        <v>6729</v>
      </c>
      <c r="K1092" s="2" t="s">
        <v>22</v>
      </c>
      <c r="L1092" s="2" t="s">
        <v>48</v>
      </c>
      <c r="M1092" s="2">
        <v>1</v>
      </c>
      <c r="N1092" s="2" t="s">
        <v>24</v>
      </c>
      <c r="O1092" s="2" t="s">
        <v>25</v>
      </c>
      <c r="P1092" s="2" t="s">
        <v>34</v>
      </c>
    </row>
    <row r="1093" spans="1:16" x14ac:dyDescent="0.25">
      <c r="A1093" s="2" t="s">
        <v>2709</v>
      </c>
      <c r="B1093" s="2" t="s">
        <v>823</v>
      </c>
      <c r="C1093" s="2">
        <v>3919</v>
      </c>
      <c r="D1093" s="2" t="s">
        <v>7977</v>
      </c>
      <c r="E1093" s="2" t="s">
        <v>38</v>
      </c>
      <c r="F1093" s="2" t="s">
        <v>47</v>
      </c>
      <c r="G1093" s="2">
        <v>16132.52</v>
      </c>
      <c r="H1093" s="2">
        <v>10155.1</v>
      </c>
      <c r="I1093" s="2" t="s">
        <v>84</v>
      </c>
      <c r="J1093" s="2" t="s">
        <v>54</v>
      </c>
      <c r="K1093" s="2" t="s">
        <v>22</v>
      </c>
      <c r="L1093" s="2" t="s">
        <v>64</v>
      </c>
      <c r="M1093" s="2">
        <v>1</v>
      </c>
      <c r="N1093" s="2" t="s">
        <v>33</v>
      </c>
      <c r="O1093" s="2" t="s">
        <v>25</v>
      </c>
      <c r="P1093" s="2" t="s">
        <v>34</v>
      </c>
    </row>
    <row r="1094" spans="1:16" x14ac:dyDescent="0.25">
      <c r="A1094" s="2" t="s">
        <v>2711</v>
      </c>
      <c r="B1094" s="2" t="s">
        <v>7978</v>
      </c>
      <c r="C1094" s="2">
        <v>6909</v>
      </c>
      <c r="D1094" s="2" t="s">
        <v>7979</v>
      </c>
      <c r="E1094" s="2" t="s">
        <v>6719</v>
      </c>
      <c r="F1094" s="2" t="s">
        <v>39</v>
      </c>
      <c r="G1094" s="2">
        <v>13729.35</v>
      </c>
      <c r="H1094" s="2">
        <v>6488.45</v>
      </c>
      <c r="I1094" s="2" t="s">
        <v>20</v>
      </c>
      <c r="J1094" s="2" t="s">
        <v>6795</v>
      </c>
      <c r="K1094" s="2" t="s">
        <v>32</v>
      </c>
      <c r="L1094" s="2" t="s">
        <v>64</v>
      </c>
      <c r="M1094" s="2">
        <v>3</v>
      </c>
      <c r="N1094" s="2" t="s">
        <v>24</v>
      </c>
      <c r="O1094" s="2" t="s">
        <v>25</v>
      </c>
      <c r="P1094" s="2" t="s">
        <v>49</v>
      </c>
    </row>
    <row r="1095" spans="1:16" x14ac:dyDescent="0.25">
      <c r="A1095" s="2" t="s">
        <v>2713</v>
      </c>
      <c r="B1095" s="2" t="s">
        <v>325</v>
      </c>
      <c r="C1095" s="2">
        <v>1303</v>
      </c>
      <c r="D1095" s="2" t="s">
        <v>7980</v>
      </c>
      <c r="E1095" s="2" t="s">
        <v>38</v>
      </c>
      <c r="F1095" s="2" t="s">
        <v>58</v>
      </c>
      <c r="G1095" s="2">
        <v>26581.52</v>
      </c>
      <c r="H1095" s="2">
        <v>14718.53</v>
      </c>
      <c r="I1095" s="2" t="s">
        <v>20</v>
      </c>
      <c r="J1095" s="2" t="s">
        <v>21</v>
      </c>
      <c r="K1095" s="2" t="s">
        <v>42</v>
      </c>
      <c r="L1095" s="2" t="s">
        <v>55</v>
      </c>
      <c r="M1095" s="2">
        <v>3</v>
      </c>
      <c r="N1095" s="2" t="s">
        <v>24</v>
      </c>
      <c r="O1095" s="2" t="s">
        <v>70</v>
      </c>
      <c r="P1095" s="2" t="s">
        <v>26</v>
      </c>
    </row>
    <row r="1096" spans="1:16" x14ac:dyDescent="0.25">
      <c r="A1096" s="2" t="s">
        <v>2715</v>
      </c>
      <c r="B1096" s="2" t="s">
        <v>7981</v>
      </c>
      <c r="C1096" s="2">
        <v>6131</v>
      </c>
      <c r="D1096" s="2" t="s">
        <v>7982</v>
      </c>
      <c r="E1096" s="2" t="s">
        <v>6743</v>
      </c>
      <c r="F1096" s="2" t="s">
        <v>19</v>
      </c>
      <c r="G1096" s="2">
        <v>17165.28</v>
      </c>
      <c r="H1096" s="2">
        <v>9263.0499999999993</v>
      </c>
      <c r="I1096" s="2" t="s">
        <v>6794</v>
      </c>
      <c r="J1096" s="2" t="s">
        <v>6802</v>
      </c>
      <c r="K1096" s="2" t="s">
        <v>42</v>
      </c>
      <c r="L1096" s="2" t="s">
        <v>43</v>
      </c>
      <c r="M1096" s="2">
        <v>2</v>
      </c>
      <c r="N1096" s="2" t="s">
        <v>33</v>
      </c>
      <c r="O1096" s="2" t="s">
        <v>70</v>
      </c>
      <c r="P1096" s="2" t="s">
        <v>26</v>
      </c>
    </row>
    <row r="1097" spans="1:16" x14ac:dyDescent="0.25">
      <c r="A1097" s="2" t="s">
        <v>2717</v>
      </c>
      <c r="B1097" s="2" t="s">
        <v>7983</v>
      </c>
      <c r="C1097" s="2">
        <v>6876</v>
      </c>
      <c r="D1097" s="2" t="s">
        <v>7984</v>
      </c>
      <c r="E1097" s="2" t="s">
        <v>6756</v>
      </c>
      <c r="F1097" s="2" t="s">
        <v>47</v>
      </c>
      <c r="G1097" s="2">
        <v>3752.51</v>
      </c>
      <c r="H1097" s="2">
        <v>1749.08</v>
      </c>
      <c r="I1097" s="2" t="s">
        <v>6728</v>
      </c>
      <c r="J1097" s="2" t="s">
        <v>6691</v>
      </c>
      <c r="K1097" s="2" t="s">
        <v>80</v>
      </c>
      <c r="L1097" s="2" t="s">
        <v>88</v>
      </c>
      <c r="M1097" s="2">
        <v>5</v>
      </c>
      <c r="N1097" s="2" t="s">
        <v>33</v>
      </c>
      <c r="O1097" s="2" t="s">
        <v>70</v>
      </c>
      <c r="P1097" s="2" t="s">
        <v>26</v>
      </c>
    </row>
    <row r="1098" spans="1:16" x14ac:dyDescent="0.25">
      <c r="A1098" s="2" t="s">
        <v>2719</v>
      </c>
      <c r="B1098" s="2" t="s">
        <v>1162</v>
      </c>
      <c r="C1098" s="2">
        <v>1688</v>
      </c>
      <c r="D1098" s="2" t="s">
        <v>7985</v>
      </c>
      <c r="E1098" s="2" t="s">
        <v>18</v>
      </c>
      <c r="F1098" s="2" t="s">
        <v>39</v>
      </c>
      <c r="G1098" s="2">
        <v>39774.910000000003</v>
      </c>
      <c r="H1098" s="2">
        <v>20410.93</v>
      </c>
      <c r="I1098" s="2" t="s">
        <v>63</v>
      </c>
      <c r="J1098" s="2" t="s">
        <v>54</v>
      </c>
      <c r="K1098" s="2" t="s">
        <v>80</v>
      </c>
      <c r="L1098" s="2" t="s">
        <v>23</v>
      </c>
      <c r="M1098" s="2">
        <v>4</v>
      </c>
      <c r="N1098" s="2" t="s">
        <v>33</v>
      </c>
      <c r="O1098" s="2" t="s">
        <v>70</v>
      </c>
      <c r="P1098" s="2" t="s">
        <v>26</v>
      </c>
    </row>
    <row r="1099" spans="1:16" x14ac:dyDescent="0.25">
      <c r="A1099" s="2" t="s">
        <v>2722</v>
      </c>
      <c r="B1099" s="2" t="s">
        <v>7986</v>
      </c>
      <c r="C1099" s="2">
        <v>8069</v>
      </c>
      <c r="D1099" s="2" t="s">
        <v>7987</v>
      </c>
      <c r="E1099" s="2" t="s">
        <v>38</v>
      </c>
      <c r="F1099" s="2" t="s">
        <v>19</v>
      </c>
      <c r="G1099" s="2">
        <v>6350.72</v>
      </c>
      <c r="H1099" s="2">
        <v>3700.24</v>
      </c>
      <c r="I1099" s="2" t="s">
        <v>84</v>
      </c>
      <c r="J1099" s="2" t="s">
        <v>6700</v>
      </c>
      <c r="K1099" s="2" t="s">
        <v>22</v>
      </c>
      <c r="L1099" s="2" t="s">
        <v>48</v>
      </c>
      <c r="M1099" s="2">
        <v>5</v>
      </c>
      <c r="N1099" s="2" t="s">
        <v>33</v>
      </c>
      <c r="O1099" s="2" t="s">
        <v>25</v>
      </c>
      <c r="P1099" s="2" t="s">
        <v>49</v>
      </c>
    </row>
    <row r="1100" spans="1:16" x14ac:dyDescent="0.25">
      <c r="A1100" s="2" t="s">
        <v>2725</v>
      </c>
      <c r="B1100" s="2" t="s">
        <v>772</v>
      </c>
      <c r="C1100" s="2">
        <v>3896</v>
      </c>
      <c r="D1100" s="2" t="s">
        <v>7988</v>
      </c>
      <c r="E1100" s="2" t="s">
        <v>18</v>
      </c>
      <c r="F1100" s="2" t="s">
        <v>19</v>
      </c>
      <c r="G1100" s="2">
        <v>4138</v>
      </c>
      <c r="H1100" s="2">
        <v>2548.04</v>
      </c>
      <c r="I1100" s="2" t="s">
        <v>20</v>
      </c>
      <c r="J1100" s="2" t="s">
        <v>21</v>
      </c>
      <c r="K1100" s="2" t="s">
        <v>22</v>
      </c>
      <c r="L1100" s="2" t="s">
        <v>88</v>
      </c>
      <c r="M1100" s="2">
        <v>3</v>
      </c>
      <c r="N1100" s="2" t="s">
        <v>24</v>
      </c>
      <c r="O1100" s="2" t="s">
        <v>70</v>
      </c>
      <c r="P1100" s="2" t="s">
        <v>26</v>
      </c>
    </row>
    <row r="1101" spans="1:16" x14ac:dyDescent="0.25">
      <c r="A1101" s="2" t="s">
        <v>2728</v>
      </c>
      <c r="B1101" s="2" t="s">
        <v>2879</v>
      </c>
      <c r="C1101" s="2">
        <v>1138</v>
      </c>
      <c r="D1101" s="2" t="s">
        <v>7989</v>
      </c>
      <c r="E1101" s="2" t="s">
        <v>18</v>
      </c>
      <c r="F1101" s="2" t="s">
        <v>30</v>
      </c>
      <c r="G1101" s="2">
        <v>77902.2</v>
      </c>
      <c r="H1101" s="2">
        <v>36765.71</v>
      </c>
      <c r="I1101" s="2" t="s">
        <v>120</v>
      </c>
      <c r="J1101" s="2" t="s">
        <v>21</v>
      </c>
      <c r="K1101" s="2" t="s">
        <v>42</v>
      </c>
      <c r="L1101" s="2" t="s">
        <v>88</v>
      </c>
      <c r="M1101" s="2">
        <v>5</v>
      </c>
      <c r="N1101" s="2" t="s">
        <v>24</v>
      </c>
      <c r="O1101" s="2" t="s">
        <v>25</v>
      </c>
      <c r="P1101" s="2" t="s">
        <v>34</v>
      </c>
    </row>
    <row r="1102" spans="1:16" x14ac:dyDescent="0.25">
      <c r="A1102" s="2" t="s">
        <v>2730</v>
      </c>
      <c r="B1102" s="2" t="s">
        <v>727</v>
      </c>
      <c r="C1102" s="2">
        <v>9232</v>
      </c>
      <c r="D1102" s="2" t="s">
        <v>7990</v>
      </c>
      <c r="E1102" s="2" t="s">
        <v>38</v>
      </c>
      <c r="F1102" s="2" t="s">
        <v>58</v>
      </c>
      <c r="G1102" s="2">
        <v>22840.34</v>
      </c>
      <c r="H1102" s="2">
        <v>12673.73</v>
      </c>
      <c r="I1102" s="2" t="s">
        <v>40</v>
      </c>
      <c r="J1102" s="2" t="s">
        <v>41</v>
      </c>
      <c r="K1102" s="2" t="s">
        <v>32</v>
      </c>
      <c r="L1102" s="2" t="s">
        <v>88</v>
      </c>
      <c r="M1102" s="2">
        <v>5</v>
      </c>
      <c r="N1102" s="2" t="s">
        <v>33</v>
      </c>
      <c r="O1102" s="2" t="s">
        <v>70</v>
      </c>
      <c r="P1102" s="2" t="s">
        <v>34</v>
      </c>
    </row>
    <row r="1103" spans="1:16" x14ac:dyDescent="0.25">
      <c r="A1103" s="2" t="s">
        <v>2732</v>
      </c>
      <c r="B1103" s="2" t="s">
        <v>6282</v>
      </c>
      <c r="C1103" s="2">
        <v>8132</v>
      </c>
      <c r="D1103" s="2" t="s">
        <v>7991</v>
      </c>
      <c r="E1103" s="2" t="s">
        <v>18</v>
      </c>
      <c r="F1103" s="2" t="s">
        <v>19</v>
      </c>
      <c r="G1103" s="2">
        <v>9985.23</v>
      </c>
      <c r="H1103" s="2">
        <v>5808.42</v>
      </c>
      <c r="I1103" s="2" t="s">
        <v>6812</v>
      </c>
      <c r="J1103" s="2" t="s">
        <v>6686</v>
      </c>
      <c r="K1103" s="2" t="s">
        <v>22</v>
      </c>
      <c r="L1103" s="2" t="s">
        <v>43</v>
      </c>
      <c r="M1103" s="2">
        <v>2</v>
      </c>
      <c r="N1103" s="2" t="s">
        <v>24</v>
      </c>
      <c r="O1103" s="2" t="s">
        <v>25</v>
      </c>
      <c r="P1103" s="2" t="s">
        <v>26</v>
      </c>
    </row>
    <row r="1104" spans="1:16" x14ac:dyDescent="0.25">
      <c r="A1104" s="2" t="s">
        <v>2734</v>
      </c>
      <c r="B1104" s="2" t="s">
        <v>7992</v>
      </c>
      <c r="C1104" s="2">
        <v>5610</v>
      </c>
      <c r="D1104" s="2" t="s">
        <v>7993</v>
      </c>
      <c r="E1104" s="2" t="s">
        <v>38</v>
      </c>
      <c r="F1104" s="2" t="s">
        <v>58</v>
      </c>
      <c r="G1104" s="2">
        <v>51232.14</v>
      </c>
      <c r="H1104" s="2">
        <v>32450.81</v>
      </c>
      <c r="I1104" s="2" t="s">
        <v>53</v>
      </c>
      <c r="J1104" s="2" t="s">
        <v>54</v>
      </c>
      <c r="K1104" s="2" t="s">
        <v>22</v>
      </c>
      <c r="L1104" s="2" t="s">
        <v>55</v>
      </c>
      <c r="M1104" s="2">
        <v>4</v>
      </c>
      <c r="N1104" s="2" t="s">
        <v>69</v>
      </c>
      <c r="O1104" s="2" t="s">
        <v>25</v>
      </c>
      <c r="P1104" s="2" t="s">
        <v>34</v>
      </c>
    </row>
    <row r="1105" spans="1:16" x14ac:dyDescent="0.25">
      <c r="A1105" s="2" t="s">
        <v>2736</v>
      </c>
      <c r="B1105" s="2" t="s">
        <v>7658</v>
      </c>
      <c r="C1105" s="2">
        <v>3635</v>
      </c>
      <c r="D1105" s="2" t="s">
        <v>7994</v>
      </c>
      <c r="E1105" s="2" t="s">
        <v>18</v>
      </c>
      <c r="F1105" s="2" t="s">
        <v>39</v>
      </c>
      <c r="G1105" s="2">
        <v>12258.41</v>
      </c>
      <c r="H1105" s="2">
        <v>6863.61</v>
      </c>
      <c r="I1105" s="2" t="s">
        <v>31</v>
      </c>
      <c r="J1105" s="2" t="s">
        <v>21</v>
      </c>
      <c r="K1105" s="2" t="s">
        <v>22</v>
      </c>
      <c r="L1105" s="2" t="s">
        <v>23</v>
      </c>
      <c r="M1105" s="2">
        <v>4</v>
      </c>
      <c r="N1105" s="2" t="s">
        <v>33</v>
      </c>
      <c r="O1105" s="2" t="s">
        <v>25</v>
      </c>
      <c r="P1105" s="2" t="s">
        <v>49</v>
      </c>
    </row>
    <row r="1106" spans="1:16" x14ac:dyDescent="0.25">
      <c r="A1106" s="2" t="s">
        <v>2738</v>
      </c>
      <c r="B1106" s="2" t="s">
        <v>7995</v>
      </c>
      <c r="C1106" s="2">
        <v>6515</v>
      </c>
      <c r="D1106" s="2" t="s">
        <v>7996</v>
      </c>
      <c r="E1106" s="2" t="s">
        <v>6694</v>
      </c>
      <c r="F1106" s="2" t="s">
        <v>58</v>
      </c>
      <c r="G1106" s="2">
        <v>35158.699999999997</v>
      </c>
      <c r="H1106" s="2">
        <v>17147.259999999998</v>
      </c>
      <c r="I1106" s="2" t="s">
        <v>20</v>
      </c>
      <c r="J1106" s="2" t="s">
        <v>6696</v>
      </c>
      <c r="K1106" s="2" t="s">
        <v>22</v>
      </c>
      <c r="L1106" s="2" t="s">
        <v>55</v>
      </c>
      <c r="M1106" s="2">
        <v>3</v>
      </c>
      <c r="N1106" s="2" t="s">
        <v>24</v>
      </c>
      <c r="O1106" s="2" t="s">
        <v>25</v>
      </c>
      <c r="P1106" s="2" t="s">
        <v>26</v>
      </c>
    </row>
    <row r="1107" spans="1:16" x14ac:dyDescent="0.25">
      <c r="A1107" s="2" t="s">
        <v>2740</v>
      </c>
      <c r="B1107" s="2" t="s">
        <v>6984</v>
      </c>
      <c r="C1107" s="2">
        <v>2023</v>
      </c>
      <c r="D1107" s="2" t="s">
        <v>7997</v>
      </c>
      <c r="E1107" s="2" t="s">
        <v>6694</v>
      </c>
      <c r="F1107" s="2" t="s">
        <v>47</v>
      </c>
      <c r="G1107" s="2">
        <v>10173.469999999999</v>
      </c>
      <c r="H1107" s="2">
        <v>5664.55</v>
      </c>
      <c r="I1107" s="2" t="s">
        <v>6910</v>
      </c>
      <c r="J1107" s="2" t="s">
        <v>6724</v>
      </c>
      <c r="K1107" s="2" t="s">
        <v>80</v>
      </c>
      <c r="L1107" s="2" t="s">
        <v>23</v>
      </c>
      <c r="M1107" s="2">
        <v>4</v>
      </c>
      <c r="N1107" s="2" t="s">
        <v>24</v>
      </c>
      <c r="O1107" s="2" t="s">
        <v>70</v>
      </c>
      <c r="P1107" s="2" t="s">
        <v>26</v>
      </c>
    </row>
    <row r="1108" spans="1:16" x14ac:dyDescent="0.25">
      <c r="A1108" s="2" t="s">
        <v>2742</v>
      </c>
      <c r="B1108" s="2" t="s">
        <v>3351</v>
      </c>
      <c r="C1108" s="2">
        <v>6508</v>
      </c>
      <c r="D1108" s="2" t="s">
        <v>7998</v>
      </c>
      <c r="E1108" s="2" t="s">
        <v>18</v>
      </c>
      <c r="F1108" s="2" t="s">
        <v>58</v>
      </c>
      <c r="G1108" s="2">
        <v>46783.26</v>
      </c>
      <c r="H1108" s="2">
        <v>30067.37</v>
      </c>
      <c r="I1108" s="2" t="s">
        <v>20</v>
      </c>
      <c r="J1108" s="2" t="s">
        <v>6802</v>
      </c>
      <c r="K1108" s="2" t="s">
        <v>80</v>
      </c>
      <c r="L1108" s="2" t="s">
        <v>23</v>
      </c>
      <c r="M1108" s="2">
        <v>4</v>
      </c>
      <c r="N1108" s="2" t="s">
        <v>24</v>
      </c>
      <c r="O1108" s="2" t="s">
        <v>25</v>
      </c>
      <c r="P1108" s="2" t="s">
        <v>49</v>
      </c>
    </row>
    <row r="1109" spans="1:16" x14ac:dyDescent="0.25">
      <c r="A1109" s="2" t="s">
        <v>2745</v>
      </c>
      <c r="B1109" s="2" t="s">
        <v>949</v>
      </c>
      <c r="C1109" s="2">
        <v>3496</v>
      </c>
      <c r="D1109" s="2" t="s">
        <v>5544</v>
      </c>
      <c r="E1109" s="2" t="s">
        <v>18</v>
      </c>
      <c r="F1109" s="2" t="s">
        <v>19</v>
      </c>
      <c r="G1109" s="2">
        <v>13524.07</v>
      </c>
      <c r="H1109" s="2">
        <v>8382.6200000000008</v>
      </c>
      <c r="I1109" s="2" t="s">
        <v>84</v>
      </c>
      <c r="J1109" s="2" t="s">
        <v>54</v>
      </c>
      <c r="K1109" s="2" t="s">
        <v>32</v>
      </c>
      <c r="L1109" s="2" t="s">
        <v>88</v>
      </c>
      <c r="M1109" s="2">
        <v>2</v>
      </c>
      <c r="N1109" s="2" t="s">
        <v>24</v>
      </c>
      <c r="O1109" s="2" t="s">
        <v>70</v>
      </c>
      <c r="P1109" s="2" t="s">
        <v>26</v>
      </c>
    </row>
    <row r="1110" spans="1:16" x14ac:dyDescent="0.25">
      <c r="A1110" s="2" t="s">
        <v>2746</v>
      </c>
      <c r="B1110" s="2" t="s">
        <v>316</v>
      </c>
      <c r="C1110" s="2">
        <v>7318</v>
      </c>
      <c r="D1110" s="2" t="s">
        <v>7999</v>
      </c>
      <c r="E1110" s="2" t="s">
        <v>18</v>
      </c>
      <c r="F1110" s="2" t="s">
        <v>47</v>
      </c>
      <c r="G1110" s="2">
        <v>9569.73</v>
      </c>
      <c r="H1110" s="2">
        <v>5115.01</v>
      </c>
      <c r="I1110" s="2" t="s">
        <v>84</v>
      </c>
      <c r="J1110" s="2" t="s">
        <v>54</v>
      </c>
      <c r="K1110" s="2" t="s">
        <v>42</v>
      </c>
      <c r="L1110" s="2" t="s">
        <v>43</v>
      </c>
      <c r="M1110" s="2">
        <v>2</v>
      </c>
      <c r="N1110" s="2" t="s">
        <v>33</v>
      </c>
      <c r="O1110" s="2" t="s">
        <v>70</v>
      </c>
      <c r="P1110" s="2" t="s">
        <v>49</v>
      </c>
    </row>
    <row r="1111" spans="1:16" x14ac:dyDescent="0.25">
      <c r="A1111" s="2" t="s">
        <v>2748</v>
      </c>
      <c r="B1111" s="2" t="s">
        <v>8000</v>
      </c>
      <c r="C1111" s="2">
        <v>8284</v>
      </c>
      <c r="D1111" s="2" t="s">
        <v>8001</v>
      </c>
      <c r="E1111" s="2" t="s">
        <v>6698</v>
      </c>
      <c r="F1111" s="2" t="s">
        <v>39</v>
      </c>
      <c r="G1111" s="2">
        <v>6105.21</v>
      </c>
      <c r="H1111" s="2">
        <v>3868.53</v>
      </c>
      <c r="I1111" s="2" t="s">
        <v>6799</v>
      </c>
      <c r="J1111" s="2" t="s">
        <v>6732</v>
      </c>
      <c r="K1111" s="2" t="s">
        <v>22</v>
      </c>
      <c r="L1111" s="2" t="s">
        <v>88</v>
      </c>
      <c r="M1111" s="2">
        <v>5</v>
      </c>
      <c r="N1111" s="2" t="s">
        <v>33</v>
      </c>
      <c r="O1111" s="2" t="s">
        <v>70</v>
      </c>
      <c r="P1111" s="2" t="s">
        <v>49</v>
      </c>
    </row>
    <row r="1112" spans="1:16" x14ac:dyDescent="0.25">
      <c r="A1112" s="2" t="s">
        <v>2751</v>
      </c>
      <c r="B1112" s="2" t="s">
        <v>8002</v>
      </c>
      <c r="C1112" s="2">
        <v>7174</v>
      </c>
      <c r="D1112" s="2" t="s">
        <v>8003</v>
      </c>
      <c r="E1112" s="2" t="s">
        <v>6698</v>
      </c>
      <c r="F1112" s="2" t="s">
        <v>58</v>
      </c>
      <c r="G1112" s="2">
        <v>50624.18</v>
      </c>
      <c r="H1112" s="2">
        <v>31103.25</v>
      </c>
      <c r="I1112" s="2" t="s">
        <v>6699</v>
      </c>
      <c r="J1112" s="2" t="s">
        <v>6700</v>
      </c>
      <c r="K1112" s="2" t="s">
        <v>80</v>
      </c>
      <c r="L1112" s="2" t="s">
        <v>23</v>
      </c>
      <c r="M1112" s="2">
        <v>5</v>
      </c>
      <c r="N1112" s="2" t="s">
        <v>69</v>
      </c>
      <c r="O1112" s="2" t="s">
        <v>25</v>
      </c>
      <c r="P1112" s="2" t="s">
        <v>26</v>
      </c>
    </row>
    <row r="1113" spans="1:16" x14ac:dyDescent="0.25">
      <c r="A1113" s="2" t="s">
        <v>2753</v>
      </c>
      <c r="B1113" s="2" t="s">
        <v>1334</v>
      </c>
      <c r="C1113" s="2">
        <v>8280</v>
      </c>
      <c r="D1113" s="2" t="s">
        <v>8004</v>
      </c>
      <c r="E1113" s="2" t="s">
        <v>6680</v>
      </c>
      <c r="F1113" s="2" t="s">
        <v>39</v>
      </c>
      <c r="G1113" s="2">
        <v>43509.14</v>
      </c>
      <c r="H1113" s="2">
        <v>24620.36</v>
      </c>
      <c r="I1113" s="2" t="s">
        <v>6739</v>
      </c>
      <c r="J1113" s="2" t="s">
        <v>54</v>
      </c>
      <c r="K1113" s="2" t="s">
        <v>22</v>
      </c>
      <c r="L1113" s="2" t="s">
        <v>64</v>
      </c>
      <c r="M1113" s="2">
        <v>3</v>
      </c>
      <c r="N1113" s="2" t="s">
        <v>24</v>
      </c>
      <c r="O1113" s="2" t="s">
        <v>25</v>
      </c>
      <c r="P1113" s="2" t="s">
        <v>49</v>
      </c>
    </row>
    <row r="1114" spans="1:16" x14ac:dyDescent="0.25">
      <c r="A1114" s="2" t="s">
        <v>2755</v>
      </c>
      <c r="B1114" s="2" t="s">
        <v>8005</v>
      </c>
      <c r="C1114" s="2">
        <v>8492</v>
      </c>
      <c r="D1114" s="2" t="s">
        <v>8006</v>
      </c>
      <c r="E1114" s="2" t="s">
        <v>6680</v>
      </c>
      <c r="F1114" s="2" t="s">
        <v>30</v>
      </c>
      <c r="G1114" s="2">
        <v>71389.84</v>
      </c>
      <c r="H1114" s="2">
        <v>39236.29</v>
      </c>
      <c r="I1114" s="2" t="s">
        <v>6695</v>
      </c>
      <c r="J1114" s="2" t="s">
        <v>21</v>
      </c>
      <c r="K1114" s="2" t="s">
        <v>42</v>
      </c>
      <c r="L1114" s="2" t="s">
        <v>48</v>
      </c>
      <c r="M1114" s="2">
        <v>5</v>
      </c>
      <c r="N1114" s="2" t="s">
        <v>69</v>
      </c>
      <c r="O1114" s="2" t="s">
        <v>25</v>
      </c>
      <c r="P1114" s="2" t="s">
        <v>34</v>
      </c>
    </row>
    <row r="1115" spans="1:16" x14ac:dyDescent="0.25">
      <c r="A1115" s="2" t="s">
        <v>2757</v>
      </c>
      <c r="B1115" s="2" t="s">
        <v>843</v>
      </c>
      <c r="C1115" s="2">
        <v>4379</v>
      </c>
      <c r="D1115" s="2" t="s">
        <v>8007</v>
      </c>
      <c r="E1115" s="2" t="s">
        <v>6719</v>
      </c>
      <c r="F1115" s="2" t="s">
        <v>39</v>
      </c>
      <c r="G1115" s="2">
        <v>43044.29</v>
      </c>
      <c r="H1115" s="2">
        <v>23988.02</v>
      </c>
      <c r="I1115" s="2" t="s">
        <v>6736</v>
      </c>
      <c r="J1115" s="2" t="s">
        <v>6753</v>
      </c>
      <c r="K1115" s="2" t="s">
        <v>22</v>
      </c>
      <c r="L1115" s="2" t="s">
        <v>64</v>
      </c>
      <c r="M1115" s="2">
        <v>3</v>
      </c>
      <c r="N1115" s="2" t="s">
        <v>24</v>
      </c>
      <c r="O1115" s="2" t="s">
        <v>25</v>
      </c>
      <c r="P1115" s="2" t="s">
        <v>34</v>
      </c>
    </row>
    <row r="1116" spans="1:16" x14ac:dyDescent="0.25">
      <c r="A1116" s="2" t="s">
        <v>2759</v>
      </c>
      <c r="B1116" s="2" t="s">
        <v>8008</v>
      </c>
      <c r="C1116" s="2">
        <v>7528</v>
      </c>
      <c r="D1116" s="2" t="s">
        <v>8009</v>
      </c>
      <c r="E1116" s="2" t="s">
        <v>6743</v>
      </c>
      <c r="F1116" s="2" t="s">
        <v>47</v>
      </c>
      <c r="G1116" s="2">
        <v>9253.15</v>
      </c>
      <c r="H1116" s="2">
        <v>4236.25</v>
      </c>
      <c r="I1116" s="2" t="s">
        <v>6799</v>
      </c>
      <c r="J1116" s="2" t="s">
        <v>41</v>
      </c>
      <c r="K1116" s="2" t="s">
        <v>80</v>
      </c>
      <c r="L1116" s="2" t="s">
        <v>88</v>
      </c>
      <c r="M1116" s="2">
        <v>5</v>
      </c>
      <c r="N1116" s="2" t="s">
        <v>24</v>
      </c>
      <c r="O1116" s="2" t="s">
        <v>25</v>
      </c>
      <c r="P1116" s="2" t="s">
        <v>49</v>
      </c>
    </row>
    <row r="1117" spans="1:16" x14ac:dyDescent="0.25">
      <c r="A1117" s="2" t="s">
        <v>2762</v>
      </c>
      <c r="B1117" s="2" t="s">
        <v>95</v>
      </c>
      <c r="C1117" s="2">
        <v>1674</v>
      </c>
      <c r="D1117" s="2" t="s">
        <v>8010</v>
      </c>
      <c r="E1117" s="2" t="s">
        <v>38</v>
      </c>
      <c r="F1117" s="2" t="s">
        <v>30</v>
      </c>
      <c r="G1117" s="2">
        <v>54303.16</v>
      </c>
      <c r="H1117" s="2">
        <v>31677.83</v>
      </c>
      <c r="I1117" s="2" t="s">
        <v>20</v>
      </c>
      <c r="J1117" s="2" t="s">
        <v>21</v>
      </c>
      <c r="K1117" s="2" t="s">
        <v>32</v>
      </c>
      <c r="L1117" s="2" t="s">
        <v>43</v>
      </c>
      <c r="M1117" s="2">
        <v>5</v>
      </c>
      <c r="N1117" s="2" t="s">
        <v>24</v>
      </c>
      <c r="O1117" s="2" t="s">
        <v>25</v>
      </c>
      <c r="P1117" s="2" t="s">
        <v>49</v>
      </c>
    </row>
    <row r="1118" spans="1:16" x14ac:dyDescent="0.25">
      <c r="A1118" s="2" t="s">
        <v>2765</v>
      </c>
      <c r="B1118" s="2" t="s">
        <v>5508</v>
      </c>
      <c r="C1118" s="2">
        <v>7071</v>
      </c>
      <c r="D1118" s="2" t="s">
        <v>2569</v>
      </c>
      <c r="E1118" s="2" t="s">
        <v>18</v>
      </c>
      <c r="F1118" s="2" t="s">
        <v>47</v>
      </c>
      <c r="G1118" s="2">
        <v>2626.96</v>
      </c>
      <c r="H1118" s="2">
        <v>1293.96</v>
      </c>
      <c r="I1118" s="2" t="s">
        <v>120</v>
      </c>
      <c r="J1118" s="2" t="s">
        <v>21</v>
      </c>
      <c r="K1118" s="2" t="s">
        <v>42</v>
      </c>
      <c r="L1118" s="2" t="s">
        <v>48</v>
      </c>
      <c r="M1118" s="2">
        <v>4</v>
      </c>
      <c r="N1118" s="2" t="s">
        <v>24</v>
      </c>
      <c r="O1118" s="2" t="s">
        <v>25</v>
      </c>
      <c r="P1118" s="2" t="s">
        <v>49</v>
      </c>
    </row>
    <row r="1119" spans="1:16" x14ac:dyDescent="0.25">
      <c r="A1119" s="2" t="s">
        <v>2768</v>
      </c>
      <c r="B1119" s="2" t="s">
        <v>8011</v>
      </c>
      <c r="C1119" s="2">
        <v>5796</v>
      </c>
      <c r="D1119" s="2" t="s">
        <v>8012</v>
      </c>
      <c r="E1119" s="2" t="s">
        <v>6694</v>
      </c>
      <c r="F1119" s="2" t="s">
        <v>19</v>
      </c>
      <c r="G1119" s="2">
        <v>8692.7900000000009</v>
      </c>
      <c r="H1119" s="2">
        <v>5245.67</v>
      </c>
      <c r="I1119" s="2" t="s">
        <v>120</v>
      </c>
      <c r="J1119" s="2" t="s">
        <v>6789</v>
      </c>
      <c r="K1119" s="2" t="s">
        <v>32</v>
      </c>
      <c r="L1119" s="2" t="s">
        <v>64</v>
      </c>
      <c r="M1119" s="2">
        <v>5</v>
      </c>
      <c r="N1119" s="2" t="s">
        <v>24</v>
      </c>
      <c r="O1119" s="2" t="s">
        <v>70</v>
      </c>
      <c r="P1119" s="2" t="s">
        <v>34</v>
      </c>
    </row>
    <row r="1120" spans="1:16" x14ac:dyDescent="0.25">
      <c r="A1120" s="2" t="s">
        <v>2770</v>
      </c>
      <c r="B1120" s="2" t="s">
        <v>8013</v>
      </c>
      <c r="C1120" s="2">
        <v>3654</v>
      </c>
      <c r="D1120" s="2" t="s">
        <v>8014</v>
      </c>
      <c r="E1120" s="2" t="s">
        <v>6698</v>
      </c>
      <c r="F1120" s="2" t="s">
        <v>47</v>
      </c>
      <c r="G1120" s="2">
        <v>15498.94</v>
      </c>
      <c r="H1120" s="2">
        <v>9465.65</v>
      </c>
      <c r="I1120" s="2" t="s">
        <v>6695</v>
      </c>
      <c r="J1120" s="2" t="s">
        <v>6802</v>
      </c>
      <c r="K1120" s="2" t="s">
        <v>22</v>
      </c>
      <c r="L1120" s="2" t="s">
        <v>55</v>
      </c>
      <c r="M1120" s="2">
        <v>2</v>
      </c>
      <c r="N1120" s="2" t="s">
        <v>33</v>
      </c>
      <c r="O1120" s="2" t="s">
        <v>70</v>
      </c>
      <c r="P1120" s="2" t="s">
        <v>26</v>
      </c>
    </row>
    <row r="1121" spans="1:16" x14ac:dyDescent="0.25">
      <c r="A1121" s="2" t="s">
        <v>2772</v>
      </c>
      <c r="B1121" s="2" t="s">
        <v>4518</v>
      </c>
      <c r="C1121" s="2">
        <v>7567</v>
      </c>
      <c r="D1121" s="2" t="s">
        <v>4186</v>
      </c>
      <c r="E1121" s="2" t="s">
        <v>38</v>
      </c>
      <c r="F1121" s="2" t="s">
        <v>39</v>
      </c>
      <c r="G1121" s="2">
        <v>12439.54</v>
      </c>
      <c r="H1121" s="2">
        <v>7936.42</v>
      </c>
      <c r="I1121" s="2" t="s">
        <v>20</v>
      </c>
      <c r="J1121" s="2" t="s">
        <v>21</v>
      </c>
      <c r="K1121" s="2" t="s">
        <v>80</v>
      </c>
      <c r="L1121" s="2" t="s">
        <v>23</v>
      </c>
      <c r="M1121" s="2">
        <v>2</v>
      </c>
      <c r="N1121" s="2" t="s">
        <v>33</v>
      </c>
      <c r="O1121" s="2" t="s">
        <v>70</v>
      </c>
      <c r="P1121" s="2" t="s">
        <v>49</v>
      </c>
    </row>
    <row r="1122" spans="1:16" x14ac:dyDescent="0.25">
      <c r="A1122" s="2" t="s">
        <v>2774</v>
      </c>
      <c r="B1122" s="2" t="s">
        <v>8015</v>
      </c>
      <c r="C1122" s="2">
        <v>3962</v>
      </c>
      <c r="D1122" s="2" t="s">
        <v>3260</v>
      </c>
      <c r="E1122" s="2" t="s">
        <v>6743</v>
      </c>
      <c r="F1122" s="2" t="s">
        <v>39</v>
      </c>
      <c r="G1122" s="2">
        <v>20322.46</v>
      </c>
      <c r="H1122" s="2">
        <v>10493.65</v>
      </c>
      <c r="I1122" s="2" t="s">
        <v>6704</v>
      </c>
      <c r="J1122" s="2" t="s">
        <v>6713</v>
      </c>
      <c r="K1122" s="2" t="s">
        <v>32</v>
      </c>
      <c r="L1122" s="2" t="s">
        <v>48</v>
      </c>
      <c r="M1122" s="2">
        <v>3</v>
      </c>
      <c r="N1122" s="2" t="s">
        <v>33</v>
      </c>
      <c r="O1122" s="2" t="s">
        <v>25</v>
      </c>
      <c r="P1122" s="2" t="s">
        <v>34</v>
      </c>
    </row>
    <row r="1123" spans="1:16" x14ac:dyDescent="0.25">
      <c r="A1123" s="2" t="s">
        <v>2776</v>
      </c>
      <c r="B1123" s="2" t="s">
        <v>8016</v>
      </c>
      <c r="C1123" s="2">
        <v>2579</v>
      </c>
      <c r="D1123" s="2" t="s">
        <v>8017</v>
      </c>
      <c r="E1123" s="2" t="s">
        <v>18</v>
      </c>
      <c r="F1123" s="2" t="s">
        <v>30</v>
      </c>
      <c r="G1123" s="2">
        <v>58661</v>
      </c>
      <c r="H1123" s="2">
        <v>30064.23</v>
      </c>
      <c r="I1123" s="2" t="s">
        <v>120</v>
      </c>
      <c r="J1123" s="2" t="s">
        <v>6795</v>
      </c>
      <c r="K1123" s="2" t="s">
        <v>80</v>
      </c>
      <c r="L1123" s="2" t="s">
        <v>55</v>
      </c>
      <c r="M1123" s="2">
        <v>2</v>
      </c>
      <c r="N1123" s="2" t="s">
        <v>33</v>
      </c>
      <c r="O1123" s="2" t="s">
        <v>70</v>
      </c>
      <c r="P1123" s="2" t="s">
        <v>26</v>
      </c>
    </row>
    <row r="1124" spans="1:16" x14ac:dyDescent="0.25">
      <c r="A1124" s="2" t="s">
        <v>2778</v>
      </c>
      <c r="B1124" s="2" t="s">
        <v>931</v>
      </c>
      <c r="C1124" s="2">
        <v>4880</v>
      </c>
      <c r="D1124" s="2" t="s">
        <v>8018</v>
      </c>
      <c r="E1124" s="2" t="s">
        <v>18</v>
      </c>
      <c r="F1124" s="2" t="s">
        <v>19</v>
      </c>
      <c r="G1124" s="2">
        <v>19024.43</v>
      </c>
      <c r="H1124" s="2">
        <v>10323.85</v>
      </c>
      <c r="I1124" s="2" t="s">
        <v>63</v>
      </c>
      <c r="J1124" s="2" t="s">
        <v>54</v>
      </c>
      <c r="K1124" s="2" t="s">
        <v>32</v>
      </c>
      <c r="L1124" s="2" t="s">
        <v>64</v>
      </c>
      <c r="M1124" s="2">
        <v>3</v>
      </c>
      <c r="N1124" s="2" t="s">
        <v>24</v>
      </c>
      <c r="O1124" s="2" t="s">
        <v>25</v>
      </c>
      <c r="P1124" s="2" t="s">
        <v>26</v>
      </c>
    </row>
    <row r="1125" spans="1:16" x14ac:dyDescent="0.25">
      <c r="A1125" s="2" t="s">
        <v>2780</v>
      </c>
      <c r="B1125" s="2" t="s">
        <v>2039</v>
      </c>
      <c r="C1125" s="2">
        <v>6001</v>
      </c>
      <c r="D1125" s="2" t="s">
        <v>8019</v>
      </c>
      <c r="E1125" s="2" t="s">
        <v>32</v>
      </c>
      <c r="F1125" s="2" t="s">
        <v>19</v>
      </c>
      <c r="G1125" s="2">
        <v>15385.14</v>
      </c>
      <c r="H1125" s="2">
        <v>7988.81</v>
      </c>
      <c r="I1125" s="2" t="s">
        <v>31</v>
      </c>
      <c r="J1125" s="2" t="s">
        <v>21</v>
      </c>
      <c r="K1125" s="2" t="s">
        <v>42</v>
      </c>
      <c r="L1125" s="2" t="s">
        <v>55</v>
      </c>
      <c r="M1125" s="2">
        <v>4</v>
      </c>
      <c r="N1125" s="2" t="s">
        <v>33</v>
      </c>
      <c r="O1125" s="2" t="s">
        <v>25</v>
      </c>
      <c r="P1125" s="2" t="s">
        <v>34</v>
      </c>
    </row>
    <row r="1126" spans="1:16" x14ac:dyDescent="0.25">
      <c r="A1126" s="2" t="s">
        <v>2783</v>
      </c>
      <c r="B1126" s="2" t="s">
        <v>8020</v>
      </c>
      <c r="C1126" s="2">
        <v>2519</v>
      </c>
      <c r="D1126" s="2" t="s">
        <v>8021</v>
      </c>
      <c r="E1126" s="2" t="s">
        <v>6748</v>
      </c>
      <c r="F1126" s="2" t="s">
        <v>30</v>
      </c>
      <c r="G1126" s="2">
        <v>61715.38</v>
      </c>
      <c r="H1126" s="2">
        <v>31564.41</v>
      </c>
      <c r="I1126" s="2" t="s">
        <v>6720</v>
      </c>
      <c r="J1126" s="2" t="s">
        <v>54</v>
      </c>
      <c r="K1126" s="2" t="s">
        <v>80</v>
      </c>
      <c r="L1126" s="2" t="s">
        <v>23</v>
      </c>
      <c r="M1126" s="2">
        <v>3</v>
      </c>
      <c r="N1126" s="2" t="s">
        <v>24</v>
      </c>
      <c r="O1126" s="2" t="s">
        <v>25</v>
      </c>
      <c r="P1126" s="2" t="s">
        <v>26</v>
      </c>
    </row>
    <row r="1127" spans="1:16" x14ac:dyDescent="0.25">
      <c r="A1127" s="2" t="s">
        <v>2786</v>
      </c>
      <c r="B1127" s="2" t="s">
        <v>6369</v>
      </c>
      <c r="C1127" s="2">
        <v>8527</v>
      </c>
      <c r="D1127" s="2" t="s">
        <v>8022</v>
      </c>
      <c r="E1127" s="2" t="s">
        <v>6703</v>
      </c>
      <c r="F1127" s="2" t="s">
        <v>58</v>
      </c>
      <c r="G1127" s="2">
        <v>15195.89</v>
      </c>
      <c r="H1127" s="2">
        <v>9413.57</v>
      </c>
      <c r="I1127" s="2" t="s">
        <v>6681</v>
      </c>
      <c r="J1127" s="2" t="s">
        <v>41</v>
      </c>
      <c r="K1127" s="2" t="s">
        <v>32</v>
      </c>
      <c r="L1127" s="2" t="s">
        <v>55</v>
      </c>
      <c r="M1127" s="2">
        <v>3</v>
      </c>
      <c r="N1127" s="2" t="s">
        <v>33</v>
      </c>
      <c r="O1127" s="2" t="s">
        <v>25</v>
      </c>
      <c r="P1127" s="2" t="s">
        <v>26</v>
      </c>
    </row>
    <row r="1128" spans="1:16" x14ac:dyDescent="0.25">
      <c r="A1128" s="2" t="s">
        <v>2789</v>
      </c>
      <c r="B1128" s="2" t="s">
        <v>2763</v>
      </c>
      <c r="C1128" s="2">
        <v>3985</v>
      </c>
      <c r="D1128" s="2" t="s">
        <v>8023</v>
      </c>
      <c r="E1128" s="2" t="s">
        <v>38</v>
      </c>
      <c r="F1128" s="2" t="s">
        <v>19</v>
      </c>
      <c r="G1128" s="2">
        <v>10886.53</v>
      </c>
      <c r="H1128" s="2">
        <v>6015.85</v>
      </c>
      <c r="I1128" s="2" t="s">
        <v>6704</v>
      </c>
      <c r="J1128" s="2" t="s">
        <v>6793</v>
      </c>
      <c r="K1128" s="2" t="s">
        <v>32</v>
      </c>
      <c r="L1128" s="2" t="s">
        <v>43</v>
      </c>
      <c r="M1128" s="2">
        <v>1</v>
      </c>
      <c r="N1128" s="2" t="s">
        <v>33</v>
      </c>
      <c r="O1128" s="2" t="s">
        <v>25</v>
      </c>
      <c r="P1128" s="2" t="s">
        <v>49</v>
      </c>
    </row>
    <row r="1129" spans="1:16" x14ac:dyDescent="0.25">
      <c r="A1129" s="2" t="s">
        <v>2792</v>
      </c>
      <c r="B1129" s="2" t="s">
        <v>8024</v>
      </c>
      <c r="C1129" s="2">
        <v>6009</v>
      </c>
      <c r="D1129" s="2" t="s">
        <v>8025</v>
      </c>
      <c r="E1129" s="2" t="s">
        <v>38</v>
      </c>
      <c r="F1129" s="2" t="s">
        <v>19</v>
      </c>
      <c r="G1129" s="2">
        <v>9884.84</v>
      </c>
      <c r="H1129" s="2">
        <v>5754.74</v>
      </c>
      <c r="I1129" s="2" t="s">
        <v>6759</v>
      </c>
      <c r="J1129" s="2" t="s">
        <v>6729</v>
      </c>
      <c r="K1129" s="2" t="s">
        <v>42</v>
      </c>
      <c r="L1129" s="2" t="s">
        <v>48</v>
      </c>
      <c r="M1129" s="2">
        <v>2</v>
      </c>
      <c r="N1129" s="2" t="s">
        <v>24</v>
      </c>
      <c r="O1129" s="2" t="s">
        <v>70</v>
      </c>
      <c r="P1129" s="2" t="s">
        <v>49</v>
      </c>
    </row>
    <row r="1130" spans="1:16" x14ac:dyDescent="0.25">
      <c r="A1130" s="2" t="s">
        <v>2795</v>
      </c>
      <c r="B1130" s="2" t="s">
        <v>5494</v>
      </c>
      <c r="C1130" s="2">
        <v>3663</v>
      </c>
      <c r="D1130" s="2" t="s">
        <v>8026</v>
      </c>
      <c r="E1130" s="2" t="s">
        <v>38</v>
      </c>
      <c r="F1130" s="2" t="s">
        <v>30</v>
      </c>
      <c r="G1130" s="2">
        <v>82479.11</v>
      </c>
      <c r="H1130" s="2">
        <v>38192.85</v>
      </c>
      <c r="I1130" s="2" t="s">
        <v>53</v>
      </c>
      <c r="J1130" s="2" t="s">
        <v>54</v>
      </c>
      <c r="K1130" s="2" t="s">
        <v>42</v>
      </c>
      <c r="L1130" s="2" t="s">
        <v>23</v>
      </c>
      <c r="M1130" s="2">
        <v>2</v>
      </c>
      <c r="N1130" s="2" t="s">
        <v>69</v>
      </c>
      <c r="O1130" s="2" t="s">
        <v>25</v>
      </c>
      <c r="P1130" s="2" t="s">
        <v>49</v>
      </c>
    </row>
    <row r="1131" spans="1:16" x14ac:dyDescent="0.25">
      <c r="A1131" s="2" t="s">
        <v>2798</v>
      </c>
      <c r="B1131" s="2" t="s">
        <v>4986</v>
      </c>
      <c r="C1131" s="2">
        <v>1475</v>
      </c>
      <c r="D1131" s="2" t="s">
        <v>7926</v>
      </c>
      <c r="E1131" s="2" t="s">
        <v>18</v>
      </c>
      <c r="F1131" s="2" t="s">
        <v>19</v>
      </c>
      <c r="G1131" s="2">
        <v>3844.8</v>
      </c>
      <c r="H1131" s="2">
        <v>2139.4499999999998</v>
      </c>
      <c r="I1131" s="2" t="s">
        <v>40</v>
      </c>
      <c r="J1131" s="2" t="s">
        <v>41</v>
      </c>
      <c r="K1131" s="2" t="s">
        <v>42</v>
      </c>
      <c r="L1131" s="2" t="s">
        <v>64</v>
      </c>
      <c r="M1131" s="2">
        <v>2</v>
      </c>
      <c r="N1131" s="2" t="s">
        <v>24</v>
      </c>
      <c r="O1131" s="2" t="s">
        <v>25</v>
      </c>
      <c r="P1131" s="2" t="s">
        <v>26</v>
      </c>
    </row>
    <row r="1132" spans="1:16" x14ac:dyDescent="0.25">
      <c r="A1132" s="2" t="s">
        <v>2800</v>
      </c>
      <c r="B1132" s="2" t="s">
        <v>8027</v>
      </c>
      <c r="C1132" s="2">
        <v>7710</v>
      </c>
      <c r="D1132" s="2" t="s">
        <v>8028</v>
      </c>
      <c r="E1132" s="2" t="s">
        <v>6748</v>
      </c>
      <c r="F1132" s="2" t="s">
        <v>58</v>
      </c>
      <c r="G1132" s="2">
        <v>51837.85</v>
      </c>
      <c r="H1132" s="2">
        <v>25091.61</v>
      </c>
      <c r="I1132" s="2" t="s">
        <v>6794</v>
      </c>
      <c r="J1132" s="2" t="s">
        <v>6789</v>
      </c>
      <c r="K1132" s="2" t="s">
        <v>42</v>
      </c>
      <c r="L1132" s="2" t="s">
        <v>64</v>
      </c>
      <c r="M1132" s="2">
        <v>3</v>
      </c>
      <c r="N1132" s="2" t="s">
        <v>24</v>
      </c>
      <c r="O1132" s="2" t="s">
        <v>25</v>
      </c>
      <c r="P1132" s="2" t="s">
        <v>49</v>
      </c>
    </row>
    <row r="1133" spans="1:16" x14ac:dyDescent="0.25">
      <c r="A1133" s="2" t="s">
        <v>2802</v>
      </c>
      <c r="B1133" s="2" t="s">
        <v>2507</v>
      </c>
      <c r="C1133" s="2">
        <v>6710</v>
      </c>
      <c r="D1133" s="2" t="s">
        <v>5742</v>
      </c>
      <c r="E1133" s="2" t="s">
        <v>18</v>
      </c>
      <c r="F1133" s="2" t="s">
        <v>30</v>
      </c>
      <c r="G1133" s="2">
        <v>121526.54</v>
      </c>
      <c r="H1133" s="2">
        <v>72718.98</v>
      </c>
      <c r="I1133" s="2" t="s">
        <v>63</v>
      </c>
      <c r="J1133" s="2" t="s">
        <v>54</v>
      </c>
      <c r="K1133" s="2" t="s">
        <v>22</v>
      </c>
      <c r="L1133" s="2" t="s">
        <v>23</v>
      </c>
      <c r="M1133" s="2">
        <v>2</v>
      </c>
      <c r="N1133" s="2" t="s">
        <v>33</v>
      </c>
      <c r="O1133" s="2" t="s">
        <v>70</v>
      </c>
      <c r="P1133" s="2" t="s">
        <v>34</v>
      </c>
    </row>
    <row r="1134" spans="1:16" x14ac:dyDescent="0.25">
      <c r="A1134" s="2" t="s">
        <v>2804</v>
      </c>
      <c r="B1134" s="2" t="s">
        <v>2685</v>
      </c>
      <c r="C1134" s="2">
        <v>9664</v>
      </c>
      <c r="D1134" s="2" t="s">
        <v>7210</v>
      </c>
      <c r="E1134" s="2" t="s">
        <v>18</v>
      </c>
      <c r="F1134" s="2" t="s">
        <v>47</v>
      </c>
      <c r="G1134" s="2">
        <v>13114.03</v>
      </c>
      <c r="H1134" s="2">
        <v>8281</v>
      </c>
      <c r="I1134" s="2" t="s">
        <v>31</v>
      </c>
      <c r="J1134" s="2" t="s">
        <v>21</v>
      </c>
      <c r="K1134" s="2" t="s">
        <v>80</v>
      </c>
      <c r="L1134" s="2" t="s">
        <v>55</v>
      </c>
      <c r="M1134" s="2">
        <v>4</v>
      </c>
      <c r="N1134" s="2" t="s">
        <v>33</v>
      </c>
      <c r="O1134" s="2" t="s">
        <v>25</v>
      </c>
      <c r="P1134" s="2" t="s">
        <v>49</v>
      </c>
    </row>
    <row r="1135" spans="1:16" x14ac:dyDescent="0.25">
      <c r="A1135" s="2" t="s">
        <v>2806</v>
      </c>
      <c r="B1135" s="2" t="s">
        <v>8029</v>
      </c>
      <c r="C1135" s="2">
        <v>7970</v>
      </c>
      <c r="D1135" s="2" t="s">
        <v>8030</v>
      </c>
      <c r="E1135" s="2" t="s">
        <v>6698</v>
      </c>
      <c r="F1135" s="2" t="s">
        <v>47</v>
      </c>
      <c r="G1135" s="2">
        <v>11256.44</v>
      </c>
      <c r="H1135" s="2">
        <v>5425.32</v>
      </c>
      <c r="I1135" s="2" t="s">
        <v>6799</v>
      </c>
      <c r="J1135" s="2" t="s">
        <v>41</v>
      </c>
      <c r="K1135" s="2" t="s">
        <v>80</v>
      </c>
      <c r="L1135" s="2" t="s">
        <v>43</v>
      </c>
      <c r="M1135" s="2">
        <v>1</v>
      </c>
      <c r="N1135" s="2" t="s">
        <v>33</v>
      </c>
      <c r="O1135" s="2" t="s">
        <v>70</v>
      </c>
      <c r="P1135" s="2" t="s">
        <v>49</v>
      </c>
    </row>
    <row r="1136" spans="1:16" x14ac:dyDescent="0.25">
      <c r="A1136" s="2" t="s">
        <v>2809</v>
      </c>
      <c r="B1136" s="2" t="s">
        <v>2507</v>
      </c>
      <c r="C1136" s="2">
        <v>2307</v>
      </c>
      <c r="D1136" s="2" t="s">
        <v>8031</v>
      </c>
      <c r="E1136" s="2" t="s">
        <v>38</v>
      </c>
      <c r="F1136" s="2" t="s">
        <v>39</v>
      </c>
      <c r="G1136" s="2">
        <v>47741.98</v>
      </c>
      <c r="H1136" s="2">
        <v>24697.49</v>
      </c>
      <c r="I1136" s="2" t="s">
        <v>31</v>
      </c>
      <c r="J1136" s="2" t="s">
        <v>21</v>
      </c>
      <c r="K1136" s="2" t="s">
        <v>22</v>
      </c>
      <c r="L1136" s="2" t="s">
        <v>55</v>
      </c>
      <c r="M1136" s="2">
        <v>5</v>
      </c>
      <c r="N1136" s="2" t="s">
        <v>24</v>
      </c>
      <c r="O1136" s="2" t="s">
        <v>70</v>
      </c>
      <c r="P1136" s="2" t="s">
        <v>49</v>
      </c>
    </row>
    <row r="1137" spans="1:16" x14ac:dyDescent="0.25">
      <c r="A1137" s="2" t="s">
        <v>2811</v>
      </c>
      <c r="B1137" s="2" t="s">
        <v>6613</v>
      </c>
      <c r="C1137" s="2">
        <v>3421</v>
      </c>
      <c r="D1137" s="2" t="s">
        <v>8032</v>
      </c>
      <c r="E1137" s="2" t="s">
        <v>38</v>
      </c>
      <c r="F1137" s="2" t="s">
        <v>30</v>
      </c>
      <c r="G1137" s="2">
        <v>68565.86</v>
      </c>
      <c r="H1137" s="2">
        <v>38879.599999999999</v>
      </c>
      <c r="I1137" s="2" t="s">
        <v>68</v>
      </c>
      <c r="J1137" s="2" t="s">
        <v>41</v>
      </c>
      <c r="K1137" s="2" t="s">
        <v>32</v>
      </c>
      <c r="L1137" s="2" t="s">
        <v>88</v>
      </c>
      <c r="M1137" s="2">
        <v>1</v>
      </c>
      <c r="N1137" s="2" t="s">
        <v>24</v>
      </c>
      <c r="O1137" s="2" t="s">
        <v>70</v>
      </c>
      <c r="P1137" s="2" t="s">
        <v>49</v>
      </c>
    </row>
    <row r="1138" spans="1:16" x14ac:dyDescent="0.25">
      <c r="A1138" s="2" t="s">
        <v>2814</v>
      </c>
      <c r="B1138" s="2" t="s">
        <v>8033</v>
      </c>
      <c r="C1138" s="2">
        <v>4197</v>
      </c>
      <c r="D1138" s="2" t="s">
        <v>8034</v>
      </c>
      <c r="E1138" s="2" t="s">
        <v>6694</v>
      </c>
      <c r="F1138" s="2" t="s">
        <v>30</v>
      </c>
      <c r="G1138" s="2">
        <v>76441.78</v>
      </c>
      <c r="H1138" s="2">
        <v>34704.19</v>
      </c>
      <c r="I1138" s="2" t="s">
        <v>6771</v>
      </c>
      <c r="J1138" s="2" t="s">
        <v>6696</v>
      </c>
      <c r="K1138" s="2" t="s">
        <v>22</v>
      </c>
      <c r="L1138" s="2" t="s">
        <v>55</v>
      </c>
      <c r="M1138" s="2">
        <v>5</v>
      </c>
      <c r="N1138" s="2" t="s">
        <v>33</v>
      </c>
      <c r="O1138" s="2" t="s">
        <v>25</v>
      </c>
      <c r="P1138" s="2" t="s">
        <v>26</v>
      </c>
    </row>
    <row r="1139" spans="1:16" x14ac:dyDescent="0.25">
      <c r="A1139" s="2" t="s">
        <v>2817</v>
      </c>
      <c r="B1139" s="2" t="s">
        <v>8035</v>
      </c>
      <c r="C1139" s="2">
        <v>1967</v>
      </c>
      <c r="D1139" s="2" t="s">
        <v>8036</v>
      </c>
      <c r="E1139" s="2" t="s">
        <v>6708</v>
      </c>
      <c r="F1139" s="2" t="s">
        <v>39</v>
      </c>
      <c r="G1139" s="2">
        <v>34955</v>
      </c>
      <c r="H1139" s="2">
        <v>21305.78</v>
      </c>
      <c r="I1139" s="2" t="s">
        <v>53</v>
      </c>
      <c r="J1139" s="2" t="s">
        <v>6700</v>
      </c>
      <c r="K1139" s="2" t="s">
        <v>22</v>
      </c>
      <c r="L1139" s="2" t="s">
        <v>55</v>
      </c>
      <c r="M1139" s="2">
        <v>3</v>
      </c>
      <c r="N1139" s="2" t="s">
        <v>33</v>
      </c>
      <c r="O1139" s="2" t="s">
        <v>70</v>
      </c>
      <c r="P1139" s="2" t="s">
        <v>34</v>
      </c>
    </row>
    <row r="1140" spans="1:16" x14ac:dyDescent="0.25">
      <c r="A1140" s="2" t="s">
        <v>2820</v>
      </c>
      <c r="B1140" s="2" t="s">
        <v>3257</v>
      </c>
      <c r="C1140" s="2">
        <v>8206</v>
      </c>
      <c r="D1140" s="2" t="s">
        <v>8037</v>
      </c>
      <c r="E1140" s="2" t="s">
        <v>6743</v>
      </c>
      <c r="F1140" s="2" t="s">
        <v>30</v>
      </c>
      <c r="G1140" s="2">
        <v>20882.55</v>
      </c>
      <c r="H1140" s="2">
        <v>10853.41</v>
      </c>
      <c r="I1140" s="2" t="s">
        <v>6777</v>
      </c>
      <c r="J1140" s="2" t="s">
        <v>6732</v>
      </c>
      <c r="K1140" s="2" t="s">
        <v>80</v>
      </c>
      <c r="L1140" s="2" t="s">
        <v>43</v>
      </c>
      <c r="M1140" s="2">
        <v>2</v>
      </c>
      <c r="N1140" s="2" t="s">
        <v>33</v>
      </c>
      <c r="O1140" s="2" t="s">
        <v>25</v>
      </c>
      <c r="P1140" s="2" t="s">
        <v>49</v>
      </c>
    </row>
    <row r="1141" spans="1:16" x14ac:dyDescent="0.25">
      <c r="A1141" s="2" t="s">
        <v>2823</v>
      </c>
      <c r="B1141" s="2" t="s">
        <v>8038</v>
      </c>
      <c r="C1141" s="2">
        <v>6477</v>
      </c>
      <c r="D1141" s="2" t="s">
        <v>8039</v>
      </c>
      <c r="E1141" s="2" t="s">
        <v>6708</v>
      </c>
      <c r="F1141" s="2" t="s">
        <v>47</v>
      </c>
      <c r="G1141" s="2">
        <v>17602.099999999999</v>
      </c>
      <c r="H1141" s="2">
        <v>8763.76</v>
      </c>
      <c r="I1141" s="2" t="s">
        <v>84</v>
      </c>
      <c r="J1141" s="2" t="s">
        <v>6686</v>
      </c>
      <c r="K1141" s="2" t="s">
        <v>80</v>
      </c>
      <c r="L1141" s="2" t="s">
        <v>43</v>
      </c>
      <c r="M1141" s="2">
        <v>2</v>
      </c>
      <c r="N1141" s="2" t="s">
        <v>33</v>
      </c>
      <c r="O1141" s="2" t="s">
        <v>70</v>
      </c>
      <c r="P1141" s="2" t="s">
        <v>26</v>
      </c>
    </row>
    <row r="1142" spans="1:16" x14ac:dyDescent="0.25">
      <c r="A1142" s="2" t="s">
        <v>2824</v>
      </c>
      <c r="B1142" s="2" t="s">
        <v>2096</v>
      </c>
      <c r="C1142" s="2">
        <v>1461</v>
      </c>
      <c r="D1142" s="2" t="s">
        <v>1518</v>
      </c>
      <c r="E1142" s="2" t="s">
        <v>18</v>
      </c>
      <c r="F1142" s="2" t="s">
        <v>47</v>
      </c>
      <c r="G1142" s="2">
        <v>12846.11</v>
      </c>
      <c r="H1142" s="2">
        <v>6864.51</v>
      </c>
      <c r="I1142" s="2" t="s">
        <v>84</v>
      </c>
      <c r="J1142" s="2" t="s">
        <v>54</v>
      </c>
      <c r="K1142" s="2" t="s">
        <v>80</v>
      </c>
      <c r="L1142" s="2" t="s">
        <v>64</v>
      </c>
      <c r="M1142" s="2">
        <v>1</v>
      </c>
      <c r="N1142" s="2" t="s">
        <v>33</v>
      </c>
      <c r="O1142" s="2" t="s">
        <v>25</v>
      </c>
      <c r="P1142" s="2" t="s">
        <v>26</v>
      </c>
    </row>
    <row r="1143" spans="1:16" x14ac:dyDescent="0.25">
      <c r="A1143" s="2" t="s">
        <v>2826</v>
      </c>
      <c r="B1143" s="2" t="s">
        <v>2306</v>
      </c>
      <c r="C1143" s="2">
        <v>2254</v>
      </c>
      <c r="D1143" s="2" t="s">
        <v>8040</v>
      </c>
      <c r="E1143" s="2" t="s">
        <v>18</v>
      </c>
      <c r="F1143" s="2" t="s">
        <v>39</v>
      </c>
      <c r="G1143" s="2">
        <v>54718.42</v>
      </c>
      <c r="H1143" s="2">
        <v>31446.15</v>
      </c>
      <c r="I1143" s="2" t="s">
        <v>53</v>
      </c>
      <c r="J1143" s="2" t="s">
        <v>54</v>
      </c>
      <c r="K1143" s="2" t="s">
        <v>80</v>
      </c>
      <c r="L1143" s="2" t="s">
        <v>88</v>
      </c>
      <c r="M1143" s="2">
        <v>2</v>
      </c>
      <c r="N1143" s="2" t="s">
        <v>33</v>
      </c>
      <c r="O1143" s="2" t="s">
        <v>70</v>
      </c>
      <c r="P1143" s="2" t="s">
        <v>49</v>
      </c>
    </row>
    <row r="1144" spans="1:16" x14ac:dyDescent="0.25">
      <c r="A1144" s="2" t="s">
        <v>2828</v>
      </c>
      <c r="B1144" s="2" t="s">
        <v>8041</v>
      </c>
      <c r="C1144" s="2">
        <v>4095</v>
      </c>
      <c r="D1144" s="2" t="s">
        <v>8042</v>
      </c>
      <c r="E1144" s="2" t="s">
        <v>18</v>
      </c>
      <c r="F1144" s="2" t="s">
        <v>58</v>
      </c>
      <c r="G1144" s="2">
        <v>15610.38</v>
      </c>
      <c r="H1144" s="2">
        <v>10084.709999999999</v>
      </c>
      <c r="I1144" s="2" t="s">
        <v>53</v>
      </c>
      <c r="J1144" s="2" t="s">
        <v>54</v>
      </c>
      <c r="K1144" s="2" t="s">
        <v>22</v>
      </c>
      <c r="L1144" s="2" t="s">
        <v>88</v>
      </c>
      <c r="M1144" s="2">
        <v>2</v>
      </c>
      <c r="N1144" s="2" t="s">
        <v>24</v>
      </c>
      <c r="O1144" s="2" t="s">
        <v>25</v>
      </c>
      <c r="P1144" s="2" t="s">
        <v>26</v>
      </c>
    </row>
    <row r="1145" spans="1:16" x14ac:dyDescent="0.25">
      <c r="A1145" s="2" t="s">
        <v>2830</v>
      </c>
      <c r="B1145" s="2" t="s">
        <v>5968</v>
      </c>
      <c r="C1145" s="2">
        <v>2901</v>
      </c>
      <c r="D1145" s="2" t="s">
        <v>8043</v>
      </c>
      <c r="E1145" s="2" t="s">
        <v>6756</v>
      </c>
      <c r="F1145" s="2" t="s">
        <v>39</v>
      </c>
      <c r="G1145" s="2">
        <v>26535.26</v>
      </c>
      <c r="H1145" s="2">
        <v>16155.98</v>
      </c>
      <c r="I1145" s="2" t="s">
        <v>6910</v>
      </c>
      <c r="J1145" s="2" t="s">
        <v>6795</v>
      </c>
      <c r="K1145" s="2" t="s">
        <v>22</v>
      </c>
      <c r="L1145" s="2" t="s">
        <v>43</v>
      </c>
      <c r="M1145" s="2">
        <v>4</v>
      </c>
      <c r="N1145" s="2" t="s">
        <v>24</v>
      </c>
      <c r="O1145" s="2" t="s">
        <v>25</v>
      </c>
      <c r="P1145" s="2" t="s">
        <v>34</v>
      </c>
    </row>
    <row r="1146" spans="1:16" x14ac:dyDescent="0.25">
      <c r="A1146" s="2" t="s">
        <v>2832</v>
      </c>
      <c r="B1146" s="2" t="s">
        <v>66</v>
      </c>
      <c r="C1146" s="2">
        <v>9341</v>
      </c>
      <c r="D1146" s="2" t="s">
        <v>8044</v>
      </c>
      <c r="E1146" s="2" t="s">
        <v>38</v>
      </c>
      <c r="F1146" s="2" t="s">
        <v>30</v>
      </c>
      <c r="G1146" s="2">
        <v>43263.32</v>
      </c>
      <c r="H1146" s="2">
        <v>27006.42</v>
      </c>
      <c r="I1146" s="2" t="s">
        <v>68</v>
      </c>
      <c r="J1146" s="2" t="s">
        <v>41</v>
      </c>
      <c r="K1146" s="2" t="s">
        <v>42</v>
      </c>
      <c r="L1146" s="2" t="s">
        <v>55</v>
      </c>
      <c r="M1146" s="2">
        <v>2</v>
      </c>
      <c r="N1146" s="2" t="s">
        <v>69</v>
      </c>
      <c r="O1146" s="2" t="s">
        <v>70</v>
      </c>
      <c r="P1146" s="2" t="s">
        <v>49</v>
      </c>
    </row>
    <row r="1147" spans="1:16" x14ac:dyDescent="0.25">
      <c r="A1147" s="2" t="s">
        <v>2834</v>
      </c>
      <c r="B1147" s="2" t="s">
        <v>4950</v>
      </c>
      <c r="C1147" s="2">
        <v>7960</v>
      </c>
      <c r="D1147" s="2" t="s">
        <v>8045</v>
      </c>
      <c r="E1147" s="2" t="s">
        <v>18</v>
      </c>
      <c r="F1147" s="2" t="s">
        <v>58</v>
      </c>
      <c r="G1147" s="2">
        <v>37186.94</v>
      </c>
      <c r="H1147" s="2">
        <v>22368.38</v>
      </c>
      <c r="I1147" s="2" t="s">
        <v>120</v>
      </c>
      <c r="J1147" s="2" t="s">
        <v>21</v>
      </c>
      <c r="K1147" s="2" t="s">
        <v>42</v>
      </c>
      <c r="L1147" s="2" t="s">
        <v>48</v>
      </c>
      <c r="M1147" s="2">
        <v>1</v>
      </c>
      <c r="N1147" s="2" t="s">
        <v>33</v>
      </c>
      <c r="O1147" s="2" t="s">
        <v>70</v>
      </c>
      <c r="P1147" s="2" t="s">
        <v>49</v>
      </c>
    </row>
    <row r="1148" spans="1:16" x14ac:dyDescent="0.25">
      <c r="A1148" s="2" t="s">
        <v>2835</v>
      </c>
      <c r="B1148" s="2" t="s">
        <v>1265</v>
      </c>
      <c r="C1148" s="2">
        <v>6884</v>
      </c>
      <c r="D1148" s="2" t="s">
        <v>7535</v>
      </c>
      <c r="E1148" s="2" t="s">
        <v>18</v>
      </c>
      <c r="F1148" s="2" t="s">
        <v>30</v>
      </c>
      <c r="G1148" s="2">
        <v>55639.1</v>
      </c>
      <c r="H1148" s="2">
        <v>27423.95</v>
      </c>
      <c r="I1148" s="2" t="s">
        <v>20</v>
      </c>
      <c r="J1148" s="2" t="s">
        <v>21</v>
      </c>
      <c r="K1148" s="2" t="s">
        <v>42</v>
      </c>
      <c r="L1148" s="2" t="s">
        <v>64</v>
      </c>
      <c r="M1148" s="2">
        <v>4</v>
      </c>
      <c r="N1148" s="2" t="s">
        <v>33</v>
      </c>
      <c r="O1148" s="2" t="s">
        <v>25</v>
      </c>
      <c r="P1148" s="2" t="s">
        <v>26</v>
      </c>
    </row>
    <row r="1149" spans="1:16" x14ac:dyDescent="0.25">
      <c r="A1149" s="2" t="s">
        <v>2837</v>
      </c>
      <c r="B1149" s="2" t="s">
        <v>5273</v>
      </c>
      <c r="C1149" s="2">
        <v>9399</v>
      </c>
      <c r="D1149" s="2" t="s">
        <v>6641</v>
      </c>
      <c r="E1149" s="2" t="s">
        <v>38</v>
      </c>
      <c r="F1149" s="2" t="s">
        <v>47</v>
      </c>
      <c r="G1149" s="2">
        <v>18270.7</v>
      </c>
      <c r="H1149" s="2">
        <v>8902.5400000000009</v>
      </c>
      <c r="I1149" s="2" t="s">
        <v>31</v>
      </c>
      <c r="J1149" s="2" t="s">
        <v>21</v>
      </c>
      <c r="K1149" s="2" t="s">
        <v>32</v>
      </c>
      <c r="L1149" s="2" t="s">
        <v>64</v>
      </c>
      <c r="M1149" s="2">
        <v>2</v>
      </c>
      <c r="N1149" s="2" t="s">
        <v>33</v>
      </c>
      <c r="O1149" s="2" t="s">
        <v>70</v>
      </c>
      <c r="P1149" s="2" t="s">
        <v>26</v>
      </c>
    </row>
    <row r="1150" spans="1:16" x14ac:dyDescent="0.25">
      <c r="A1150" s="2" t="s">
        <v>2840</v>
      </c>
      <c r="B1150" s="2" t="s">
        <v>4204</v>
      </c>
      <c r="C1150" s="2">
        <v>1570</v>
      </c>
      <c r="D1150" s="2" t="s">
        <v>4633</v>
      </c>
      <c r="E1150" s="2" t="s">
        <v>38</v>
      </c>
      <c r="F1150" s="2" t="s">
        <v>47</v>
      </c>
      <c r="G1150" s="2">
        <v>8290.18</v>
      </c>
      <c r="H1150" s="2">
        <v>3952.68</v>
      </c>
      <c r="I1150" s="2" t="s">
        <v>63</v>
      </c>
      <c r="J1150" s="2" t="s">
        <v>54</v>
      </c>
      <c r="K1150" s="2" t="s">
        <v>42</v>
      </c>
      <c r="L1150" s="2" t="s">
        <v>88</v>
      </c>
      <c r="M1150" s="2">
        <v>1</v>
      </c>
      <c r="N1150" s="2" t="s">
        <v>33</v>
      </c>
      <c r="O1150" s="2" t="s">
        <v>70</v>
      </c>
      <c r="P1150" s="2" t="s">
        <v>34</v>
      </c>
    </row>
    <row r="1151" spans="1:16" x14ac:dyDescent="0.25">
      <c r="A1151" s="2" t="s">
        <v>2842</v>
      </c>
      <c r="B1151" s="2" t="s">
        <v>8046</v>
      </c>
      <c r="C1151" s="2">
        <v>4935</v>
      </c>
      <c r="D1151" s="2" t="s">
        <v>8047</v>
      </c>
      <c r="E1151" s="2" t="s">
        <v>6694</v>
      </c>
      <c r="F1151" s="2" t="s">
        <v>58</v>
      </c>
      <c r="G1151" s="2">
        <v>6503.39</v>
      </c>
      <c r="H1151" s="2">
        <v>3554.39</v>
      </c>
      <c r="I1151" s="2" t="s">
        <v>6799</v>
      </c>
      <c r="J1151" s="2" t="s">
        <v>6732</v>
      </c>
      <c r="K1151" s="2" t="s">
        <v>42</v>
      </c>
      <c r="L1151" s="2" t="s">
        <v>55</v>
      </c>
      <c r="M1151" s="2">
        <v>2</v>
      </c>
      <c r="N1151" s="2" t="s">
        <v>33</v>
      </c>
      <c r="O1151" s="2" t="s">
        <v>25</v>
      </c>
      <c r="P1151" s="2" t="s">
        <v>34</v>
      </c>
    </row>
    <row r="1152" spans="1:16" x14ac:dyDescent="0.25">
      <c r="A1152" s="2" t="s">
        <v>2845</v>
      </c>
      <c r="B1152" s="2" t="s">
        <v>1758</v>
      </c>
      <c r="C1152" s="2">
        <v>9126</v>
      </c>
      <c r="D1152" s="2" t="s">
        <v>8048</v>
      </c>
      <c r="E1152" s="2" t="s">
        <v>38</v>
      </c>
      <c r="F1152" s="2" t="s">
        <v>39</v>
      </c>
      <c r="G1152" s="2">
        <v>21154.720000000001</v>
      </c>
      <c r="H1152" s="2">
        <v>10304.56</v>
      </c>
      <c r="I1152" s="2" t="s">
        <v>40</v>
      </c>
      <c r="J1152" s="2" t="s">
        <v>41</v>
      </c>
      <c r="K1152" s="2" t="s">
        <v>22</v>
      </c>
      <c r="L1152" s="2" t="s">
        <v>88</v>
      </c>
      <c r="M1152" s="2">
        <v>2</v>
      </c>
      <c r="N1152" s="2" t="s">
        <v>33</v>
      </c>
      <c r="O1152" s="2" t="s">
        <v>25</v>
      </c>
      <c r="P1152" s="2" t="s">
        <v>49</v>
      </c>
    </row>
    <row r="1153" spans="1:16" x14ac:dyDescent="0.25">
      <c r="A1153" s="2" t="s">
        <v>2848</v>
      </c>
      <c r="B1153" s="2" t="s">
        <v>8049</v>
      </c>
      <c r="C1153" s="2">
        <v>7250</v>
      </c>
      <c r="D1153" s="2" t="s">
        <v>8050</v>
      </c>
      <c r="E1153" s="2" t="s">
        <v>32</v>
      </c>
      <c r="F1153" s="2" t="s">
        <v>39</v>
      </c>
      <c r="G1153" s="2">
        <v>11948.86</v>
      </c>
      <c r="H1153" s="2">
        <v>5405.66</v>
      </c>
      <c r="I1153" s="2" t="s">
        <v>6690</v>
      </c>
      <c r="J1153" s="2" t="s">
        <v>6686</v>
      </c>
      <c r="K1153" s="2" t="s">
        <v>80</v>
      </c>
      <c r="L1153" s="2" t="s">
        <v>64</v>
      </c>
      <c r="M1153" s="2">
        <v>2</v>
      </c>
      <c r="N1153" s="2" t="s">
        <v>33</v>
      </c>
      <c r="O1153" s="2" t="s">
        <v>70</v>
      </c>
      <c r="P1153" s="2" t="s">
        <v>26</v>
      </c>
    </row>
    <row r="1154" spans="1:16" x14ac:dyDescent="0.25">
      <c r="A1154" s="2" t="s">
        <v>2850</v>
      </c>
      <c r="B1154" s="2" t="s">
        <v>600</v>
      </c>
      <c r="C1154" s="2">
        <v>1510</v>
      </c>
      <c r="D1154" s="2" t="s">
        <v>8051</v>
      </c>
      <c r="E1154" s="2" t="s">
        <v>18</v>
      </c>
      <c r="F1154" s="2" t="s">
        <v>39</v>
      </c>
      <c r="G1154" s="2">
        <v>21822.98</v>
      </c>
      <c r="H1154" s="2">
        <v>11897</v>
      </c>
      <c r="I1154" s="2" t="s">
        <v>84</v>
      </c>
      <c r="J1154" s="2" t="s">
        <v>54</v>
      </c>
      <c r="K1154" s="2" t="s">
        <v>42</v>
      </c>
      <c r="L1154" s="2" t="s">
        <v>55</v>
      </c>
      <c r="M1154" s="2">
        <v>1</v>
      </c>
      <c r="N1154" s="2" t="s">
        <v>33</v>
      </c>
      <c r="O1154" s="2" t="s">
        <v>25</v>
      </c>
      <c r="P1154" s="2" t="s">
        <v>34</v>
      </c>
    </row>
    <row r="1155" spans="1:16" x14ac:dyDescent="0.25">
      <c r="A1155" s="2" t="s">
        <v>2853</v>
      </c>
      <c r="B1155" s="2" t="s">
        <v>4955</v>
      </c>
      <c r="C1155" s="2">
        <v>2465</v>
      </c>
      <c r="D1155" s="2" t="s">
        <v>8052</v>
      </c>
      <c r="E1155" s="2" t="s">
        <v>18</v>
      </c>
      <c r="F1155" s="2" t="s">
        <v>58</v>
      </c>
      <c r="G1155" s="2">
        <v>41224.629999999997</v>
      </c>
      <c r="H1155" s="2">
        <v>18836.419999999998</v>
      </c>
      <c r="I1155" s="2" t="s">
        <v>20</v>
      </c>
      <c r="J1155" s="2" t="s">
        <v>21</v>
      </c>
      <c r="K1155" s="2" t="s">
        <v>80</v>
      </c>
      <c r="L1155" s="2" t="s">
        <v>23</v>
      </c>
      <c r="M1155" s="2">
        <v>2</v>
      </c>
      <c r="N1155" s="2" t="s">
        <v>33</v>
      </c>
      <c r="O1155" s="2" t="s">
        <v>25</v>
      </c>
      <c r="P1155" s="2" t="s">
        <v>34</v>
      </c>
    </row>
    <row r="1156" spans="1:16" x14ac:dyDescent="0.25">
      <c r="A1156" s="2" t="s">
        <v>2856</v>
      </c>
      <c r="B1156" s="2" t="s">
        <v>6358</v>
      </c>
      <c r="C1156" s="2">
        <v>4041</v>
      </c>
      <c r="D1156" s="2" t="s">
        <v>8053</v>
      </c>
      <c r="E1156" s="2" t="s">
        <v>18</v>
      </c>
      <c r="F1156" s="2" t="s">
        <v>47</v>
      </c>
      <c r="G1156" s="2">
        <v>3233.68</v>
      </c>
      <c r="H1156" s="2">
        <v>1987.83</v>
      </c>
      <c r="I1156" s="2" t="s">
        <v>6794</v>
      </c>
      <c r="J1156" s="2" t="s">
        <v>21</v>
      </c>
      <c r="K1156" s="2" t="s">
        <v>42</v>
      </c>
      <c r="L1156" s="2" t="s">
        <v>48</v>
      </c>
      <c r="M1156" s="2">
        <v>3</v>
      </c>
      <c r="N1156" s="2" t="s">
        <v>24</v>
      </c>
      <c r="O1156" s="2" t="s">
        <v>70</v>
      </c>
      <c r="P1156" s="2" t="s">
        <v>34</v>
      </c>
    </row>
    <row r="1157" spans="1:16" x14ac:dyDescent="0.25">
      <c r="A1157" s="2" t="s">
        <v>2859</v>
      </c>
      <c r="B1157" s="2" t="s">
        <v>8054</v>
      </c>
      <c r="C1157" s="2">
        <v>5940</v>
      </c>
      <c r="D1157" s="2" t="s">
        <v>8055</v>
      </c>
      <c r="E1157" s="2" t="s">
        <v>6680</v>
      </c>
      <c r="F1157" s="2" t="s">
        <v>39</v>
      </c>
      <c r="G1157" s="2">
        <v>26456.51</v>
      </c>
      <c r="H1157" s="2">
        <v>16829.900000000001</v>
      </c>
      <c r="I1157" s="2" t="s">
        <v>6845</v>
      </c>
      <c r="J1157" s="2" t="s">
        <v>21</v>
      </c>
      <c r="K1157" s="2" t="s">
        <v>32</v>
      </c>
      <c r="L1157" s="2" t="s">
        <v>23</v>
      </c>
      <c r="M1157" s="2">
        <v>3</v>
      </c>
      <c r="N1157" s="2" t="s">
        <v>33</v>
      </c>
      <c r="O1157" s="2" t="s">
        <v>70</v>
      </c>
      <c r="P1157" s="2" t="s">
        <v>26</v>
      </c>
    </row>
    <row r="1158" spans="1:16" x14ac:dyDescent="0.25">
      <c r="A1158" s="2" t="s">
        <v>2861</v>
      </c>
      <c r="B1158" s="2" t="s">
        <v>6634</v>
      </c>
      <c r="C1158" s="2">
        <v>5449</v>
      </c>
      <c r="D1158" s="2" t="s">
        <v>8056</v>
      </c>
      <c r="E1158" s="2" t="s">
        <v>6748</v>
      </c>
      <c r="F1158" s="2" t="s">
        <v>47</v>
      </c>
      <c r="G1158" s="2">
        <v>16247.91</v>
      </c>
      <c r="H1158" s="2">
        <v>8761.1299999999992</v>
      </c>
      <c r="I1158" s="2" t="s">
        <v>6739</v>
      </c>
      <c r="J1158" s="2" t="s">
        <v>6700</v>
      </c>
      <c r="K1158" s="2" t="s">
        <v>80</v>
      </c>
      <c r="L1158" s="2" t="s">
        <v>23</v>
      </c>
      <c r="M1158" s="2">
        <v>4</v>
      </c>
      <c r="N1158" s="2" t="s">
        <v>24</v>
      </c>
      <c r="O1158" s="2" t="s">
        <v>25</v>
      </c>
      <c r="P1158" s="2" t="s">
        <v>26</v>
      </c>
    </row>
    <row r="1159" spans="1:16" x14ac:dyDescent="0.25">
      <c r="A1159" s="2" t="s">
        <v>2863</v>
      </c>
      <c r="B1159" s="2" t="s">
        <v>3420</v>
      </c>
      <c r="C1159" s="2">
        <v>5916</v>
      </c>
      <c r="D1159" s="2" t="s">
        <v>8057</v>
      </c>
      <c r="E1159" s="2" t="s">
        <v>6694</v>
      </c>
      <c r="F1159" s="2" t="s">
        <v>30</v>
      </c>
      <c r="G1159" s="2">
        <v>74562.59</v>
      </c>
      <c r="H1159" s="2">
        <v>43650.84</v>
      </c>
      <c r="I1159" s="2" t="s">
        <v>6720</v>
      </c>
      <c r="J1159" s="2" t="s">
        <v>6691</v>
      </c>
      <c r="K1159" s="2" t="s">
        <v>42</v>
      </c>
      <c r="L1159" s="2" t="s">
        <v>88</v>
      </c>
      <c r="M1159" s="2">
        <v>3</v>
      </c>
      <c r="N1159" s="2" t="s">
        <v>24</v>
      </c>
      <c r="O1159" s="2" t="s">
        <v>25</v>
      </c>
      <c r="P1159" s="2" t="s">
        <v>34</v>
      </c>
    </row>
    <row r="1160" spans="1:16" x14ac:dyDescent="0.25">
      <c r="A1160" s="2" t="s">
        <v>2866</v>
      </c>
      <c r="B1160" s="2" t="s">
        <v>2386</v>
      </c>
      <c r="C1160" s="2">
        <v>9779</v>
      </c>
      <c r="D1160" s="2" t="s">
        <v>3360</v>
      </c>
      <c r="E1160" s="2" t="s">
        <v>38</v>
      </c>
      <c r="F1160" s="2" t="s">
        <v>58</v>
      </c>
      <c r="G1160" s="2">
        <v>17446.07</v>
      </c>
      <c r="H1160" s="2">
        <v>9790.74</v>
      </c>
      <c r="I1160" s="2" t="s">
        <v>20</v>
      </c>
      <c r="J1160" s="2" t="s">
        <v>21</v>
      </c>
      <c r="K1160" s="2" t="s">
        <v>80</v>
      </c>
      <c r="L1160" s="2" t="s">
        <v>23</v>
      </c>
      <c r="M1160" s="2">
        <v>2</v>
      </c>
      <c r="N1160" s="2" t="s">
        <v>24</v>
      </c>
      <c r="O1160" s="2" t="s">
        <v>70</v>
      </c>
      <c r="P1160" s="2" t="s">
        <v>26</v>
      </c>
    </row>
    <row r="1161" spans="1:16" x14ac:dyDescent="0.25">
      <c r="A1161" s="2" t="s">
        <v>2868</v>
      </c>
      <c r="B1161" s="2" t="s">
        <v>3668</v>
      </c>
      <c r="C1161" s="2">
        <v>2451</v>
      </c>
      <c r="D1161" s="2" t="s">
        <v>8058</v>
      </c>
      <c r="E1161" s="2" t="s">
        <v>18</v>
      </c>
      <c r="F1161" s="2" t="s">
        <v>39</v>
      </c>
      <c r="G1161" s="2">
        <v>35703.74</v>
      </c>
      <c r="H1161" s="2">
        <v>19570.62</v>
      </c>
      <c r="I1161" s="2" t="s">
        <v>53</v>
      </c>
      <c r="J1161" s="2" t="s">
        <v>54</v>
      </c>
      <c r="K1161" s="2" t="s">
        <v>32</v>
      </c>
      <c r="L1161" s="2" t="s">
        <v>55</v>
      </c>
      <c r="M1161" s="2">
        <v>4</v>
      </c>
      <c r="N1161" s="2" t="s">
        <v>33</v>
      </c>
      <c r="O1161" s="2" t="s">
        <v>25</v>
      </c>
      <c r="P1161" s="2" t="s">
        <v>49</v>
      </c>
    </row>
    <row r="1162" spans="1:16" x14ac:dyDescent="0.25">
      <c r="A1162" s="2" t="s">
        <v>2869</v>
      </c>
      <c r="B1162" s="2" t="s">
        <v>483</v>
      </c>
      <c r="C1162" s="2">
        <v>4233</v>
      </c>
      <c r="D1162" s="2" t="s">
        <v>8059</v>
      </c>
      <c r="E1162" s="2" t="s">
        <v>38</v>
      </c>
      <c r="F1162" s="2" t="s">
        <v>39</v>
      </c>
      <c r="G1162" s="2">
        <v>49160.46</v>
      </c>
      <c r="H1162" s="2">
        <v>24861.45</v>
      </c>
      <c r="I1162" s="2" t="s">
        <v>20</v>
      </c>
      <c r="J1162" s="2" t="s">
        <v>21</v>
      </c>
      <c r="K1162" s="2" t="s">
        <v>42</v>
      </c>
      <c r="L1162" s="2" t="s">
        <v>43</v>
      </c>
      <c r="M1162" s="2">
        <v>4</v>
      </c>
      <c r="N1162" s="2" t="s">
        <v>33</v>
      </c>
      <c r="O1162" s="2" t="s">
        <v>70</v>
      </c>
      <c r="P1162" s="2" t="s">
        <v>26</v>
      </c>
    </row>
    <row r="1163" spans="1:16" x14ac:dyDescent="0.25">
      <c r="A1163" s="2" t="s">
        <v>2871</v>
      </c>
      <c r="B1163" s="2" t="s">
        <v>5098</v>
      </c>
      <c r="C1163" s="2">
        <v>4071</v>
      </c>
      <c r="D1163" s="2" t="s">
        <v>8060</v>
      </c>
      <c r="E1163" s="2" t="s">
        <v>6743</v>
      </c>
      <c r="F1163" s="2" t="s">
        <v>47</v>
      </c>
      <c r="G1163" s="2">
        <v>13716.24</v>
      </c>
      <c r="H1163" s="2">
        <v>6199</v>
      </c>
      <c r="I1163" s="2" t="s">
        <v>84</v>
      </c>
      <c r="J1163" s="2" t="s">
        <v>6729</v>
      </c>
      <c r="K1163" s="2" t="s">
        <v>22</v>
      </c>
      <c r="L1163" s="2" t="s">
        <v>23</v>
      </c>
      <c r="M1163" s="2">
        <v>2</v>
      </c>
      <c r="N1163" s="2" t="s">
        <v>24</v>
      </c>
      <c r="O1163" s="2" t="s">
        <v>25</v>
      </c>
      <c r="P1163" s="2" t="s">
        <v>49</v>
      </c>
    </row>
    <row r="1164" spans="1:16" x14ac:dyDescent="0.25">
      <c r="A1164" s="2" t="s">
        <v>2873</v>
      </c>
      <c r="B1164" s="2" t="s">
        <v>8061</v>
      </c>
      <c r="C1164" s="2">
        <v>5074</v>
      </c>
      <c r="D1164" s="2" t="s">
        <v>8062</v>
      </c>
      <c r="E1164" s="2" t="s">
        <v>38</v>
      </c>
      <c r="F1164" s="2" t="s">
        <v>58</v>
      </c>
      <c r="G1164" s="2">
        <v>26639.8</v>
      </c>
      <c r="H1164" s="2">
        <v>17284.240000000002</v>
      </c>
      <c r="I1164" s="2" t="s">
        <v>20</v>
      </c>
      <c r="J1164" s="2" t="s">
        <v>21</v>
      </c>
      <c r="K1164" s="2" t="s">
        <v>80</v>
      </c>
      <c r="L1164" s="2" t="s">
        <v>23</v>
      </c>
      <c r="M1164" s="2">
        <v>5</v>
      </c>
      <c r="N1164" s="2" t="s">
        <v>33</v>
      </c>
      <c r="O1164" s="2" t="s">
        <v>25</v>
      </c>
      <c r="P1164" s="2" t="s">
        <v>49</v>
      </c>
    </row>
    <row r="1165" spans="1:16" x14ac:dyDescent="0.25">
      <c r="A1165" s="2" t="s">
        <v>2876</v>
      </c>
      <c r="B1165" s="2" t="s">
        <v>8063</v>
      </c>
      <c r="C1165" s="2">
        <v>1043</v>
      </c>
      <c r="D1165" s="2" t="s">
        <v>8064</v>
      </c>
      <c r="E1165" s="2" t="s">
        <v>32</v>
      </c>
      <c r="F1165" s="2" t="s">
        <v>47</v>
      </c>
      <c r="G1165" s="2">
        <v>8283.73</v>
      </c>
      <c r="H1165" s="2">
        <v>5145.6400000000003</v>
      </c>
      <c r="I1165" s="2" t="s">
        <v>6771</v>
      </c>
      <c r="J1165" s="2" t="s">
        <v>6795</v>
      </c>
      <c r="K1165" s="2" t="s">
        <v>22</v>
      </c>
      <c r="L1165" s="2" t="s">
        <v>64</v>
      </c>
      <c r="M1165" s="2">
        <v>5</v>
      </c>
      <c r="N1165" s="2" t="s">
        <v>24</v>
      </c>
      <c r="O1165" s="2" t="s">
        <v>70</v>
      </c>
      <c r="P1165" s="2" t="s">
        <v>26</v>
      </c>
    </row>
    <row r="1166" spans="1:16" x14ac:dyDescent="0.25">
      <c r="A1166" s="2" t="s">
        <v>2878</v>
      </c>
      <c r="B1166" s="2" t="s">
        <v>3107</v>
      </c>
      <c r="C1166" s="2">
        <v>9901</v>
      </c>
      <c r="D1166" s="2" t="s">
        <v>8065</v>
      </c>
      <c r="E1166" s="2" t="s">
        <v>18</v>
      </c>
      <c r="F1166" s="2" t="s">
        <v>39</v>
      </c>
      <c r="G1166" s="2">
        <v>43829.36</v>
      </c>
      <c r="H1166" s="2">
        <v>27319.72</v>
      </c>
      <c r="I1166" s="2" t="s">
        <v>20</v>
      </c>
      <c r="J1166" s="2" t="s">
        <v>21</v>
      </c>
      <c r="K1166" s="2" t="s">
        <v>80</v>
      </c>
      <c r="L1166" s="2" t="s">
        <v>64</v>
      </c>
      <c r="M1166" s="2">
        <v>3</v>
      </c>
      <c r="N1166" s="2" t="s">
        <v>33</v>
      </c>
      <c r="O1166" s="2" t="s">
        <v>25</v>
      </c>
      <c r="P1166" s="2" t="s">
        <v>26</v>
      </c>
    </row>
    <row r="1167" spans="1:16" x14ac:dyDescent="0.25">
      <c r="A1167" s="2" t="s">
        <v>2881</v>
      </c>
      <c r="B1167" s="2" t="s">
        <v>6491</v>
      </c>
      <c r="C1167" s="2">
        <v>2945</v>
      </c>
      <c r="D1167" s="2" t="s">
        <v>8066</v>
      </c>
      <c r="E1167" s="2" t="s">
        <v>18</v>
      </c>
      <c r="F1167" s="2" t="s">
        <v>30</v>
      </c>
      <c r="G1167" s="2">
        <v>55872.68</v>
      </c>
      <c r="H1167" s="2">
        <v>27872.85</v>
      </c>
      <c r="I1167" s="2" t="s">
        <v>40</v>
      </c>
      <c r="J1167" s="2" t="s">
        <v>41</v>
      </c>
      <c r="K1167" s="2" t="s">
        <v>80</v>
      </c>
      <c r="L1167" s="2" t="s">
        <v>55</v>
      </c>
      <c r="M1167" s="2">
        <v>1</v>
      </c>
      <c r="N1167" s="2" t="s">
        <v>24</v>
      </c>
      <c r="O1167" s="2" t="s">
        <v>25</v>
      </c>
      <c r="P1167" s="2" t="s">
        <v>26</v>
      </c>
    </row>
    <row r="1168" spans="1:16" x14ac:dyDescent="0.25">
      <c r="A1168" s="2" t="s">
        <v>2884</v>
      </c>
      <c r="B1168" s="2" t="s">
        <v>7090</v>
      </c>
      <c r="C1168" s="2">
        <v>6063</v>
      </c>
      <c r="D1168" s="2" t="s">
        <v>8067</v>
      </c>
      <c r="E1168" s="2" t="s">
        <v>32</v>
      </c>
      <c r="F1168" s="2" t="s">
        <v>19</v>
      </c>
      <c r="G1168" s="2">
        <v>17605.29</v>
      </c>
      <c r="H1168" s="2">
        <v>8588.26</v>
      </c>
      <c r="I1168" s="2" t="s">
        <v>6845</v>
      </c>
      <c r="J1168" s="2" t="s">
        <v>6724</v>
      </c>
      <c r="K1168" s="2" t="s">
        <v>42</v>
      </c>
      <c r="L1168" s="2" t="s">
        <v>48</v>
      </c>
      <c r="M1168" s="2">
        <v>1</v>
      </c>
      <c r="N1168" s="2" t="s">
        <v>33</v>
      </c>
      <c r="O1168" s="2" t="s">
        <v>25</v>
      </c>
      <c r="P1168" s="2" t="s">
        <v>26</v>
      </c>
    </row>
    <row r="1169" spans="1:16" x14ac:dyDescent="0.25">
      <c r="A1169" s="2" t="s">
        <v>2886</v>
      </c>
      <c r="B1169" s="2" t="s">
        <v>8068</v>
      </c>
      <c r="C1169" s="2">
        <v>7626</v>
      </c>
      <c r="D1169" s="2" t="s">
        <v>8069</v>
      </c>
      <c r="E1169" s="2" t="s">
        <v>6680</v>
      </c>
      <c r="F1169" s="2" t="s">
        <v>30</v>
      </c>
      <c r="G1169" s="2">
        <v>33178.519999999997</v>
      </c>
      <c r="H1169" s="2">
        <v>19682.25</v>
      </c>
      <c r="I1169" s="2" t="s">
        <v>6761</v>
      </c>
      <c r="J1169" s="2" t="s">
        <v>6705</v>
      </c>
      <c r="K1169" s="2" t="s">
        <v>22</v>
      </c>
      <c r="L1169" s="2" t="s">
        <v>55</v>
      </c>
      <c r="M1169" s="2">
        <v>5</v>
      </c>
      <c r="N1169" s="2" t="s">
        <v>33</v>
      </c>
      <c r="O1169" s="2" t="s">
        <v>70</v>
      </c>
      <c r="P1169" s="2" t="s">
        <v>49</v>
      </c>
    </row>
    <row r="1170" spans="1:16" x14ac:dyDescent="0.25">
      <c r="A1170" s="2" t="s">
        <v>2888</v>
      </c>
      <c r="B1170" s="2" t="s">
        <v>8070</v>
      </c>
      <c r="C1170" s="2">
        <v>3445</v>
      </c>
      <c r="D1170" s="2" t="s">
        <v>8071</v>
      </c>
      <c r="E1170" s="2" t="s">
        <v>6719</v>
      </c>
      <c r="F1170" s="2" t="s">
        <v>30</v>
      </c>
      <c r="G1170" s="2">
        <v>27842.38</v>
      </c>
      <c r="H1170" s="2">
        <v>15485.25</v>
      </c>
      <c r="I1170" s="2" t="s">
        <v>6771</v>
      </c>
      <c r="J1170" s="2" t="s">
        <v>6696</v>
      </c>
      <c r="K1170" s="2" t="s">
        <v>22</v>
      </c>
      <c r="L1170" s="2" t="s">
        <v>64</v>
      </c>
      <c r="M1170" s="2">
        <v>3</v>
      </c>
      <c r="N1170" s="2" t="s">
        <v>24</v>
      </c>
      <c r="O1170" s="2" t="s">
        <v>70</v>
      </c>
      <c r="P1170" s="2" t="s">
        <v>34</v>
      </c>
    </row>
    <row r="1171" spans="1:16" x14ac:dyDescent="0.25">
      <c r="A1171" s="2" t="s">
        <v>2890</v>
      </c>
      <c r="B1171" s="2" t="s">
        <v>541</v>
      </c>
      <c r="C1171" s="2">
        <v>2428</v>
      </c>
      <c r="D1171" s="2" t="s">
        <v>8072</v>
      </c>
      <c r="E1171" s="2" t="s">
        <v>18</v>
      </c>
      <c r="F1171" s="2" t="s">
        <v>39</v>
      </c>
      <c r="G1171" s="2">
        <v>37883.64</v>
      </c>
      <c r="H1171" s="2">
        <v>24567.47</v>
      </c>
      <c r="I1171" s="2" t="s">
        <v>63</v>
      </c>
      <c r="J1171" s="2" t="s">
        <v>54</v>
      </c>
      <c r="K1171" s="2" t="s">
        <v>32</v>
      </c>
      <c r="L1171" s="2" t="s">
        <v>43</v>
      </c>
      <c r="M1171" s="2">
        <v>3</v>
      </c>
      <c r="N1171" s="2" t="s">
        <v>33</v>
      </c>
      <c r="O1171" s="2" t="s">
        <v>25</v>
      </c>
      <c r="P1171" s="2" t="s">
        <v>34</v>
      </c>
    </row>
    <row r="1172" spans="1:16" x14ac:dyDescent="0.25">
      <c r="A1172" s="2" t="s">
        <v>2892</v>
      </c>
      <c r="B1172" s="2" t="s">
        <v>8073</v>
      </c>
      <c r="C1172" s="2">
        <v>7513</v>
      </c>
      <c r="D1172" s="2" t="s">
        <v>8074</v>
      </c>
      <c r="E1172" s="2" t="s">
        <v>6694</v>
      </c>
      <c r="F1172" s="2" t="s">
        <v>47</v>
      </c>
      <c r="G1172" s="2">
        <v>13542.12</v>
      </c>
      <c r="H1172" s="2">
        <v>6258.71</v>
      </c>
      <c r="I1172" s="2" t="s">
        <v>6867</v>
      </c>
      <c r="J1172" s="2" t="s">
        <v>6724</v>
      </c>
      <c r="K1172" s="2" t="s">
        <v>32</v>
      </c>
      <c r="L1172" s="2" t="s">
        <v>23</v>
      </c>
      <c r="M1172" s="2">
        <v>1</v>
      </c>
      <c r="N1172" s="2" t="s">
        <v>33</v>
      </c>
      <c r="O1172" s="2" t="s">
        <v>25</v>
      </c>
      <c r="P1172" s="2" t="s">
        <v>26</v>
      </c>
    </row>
    <row r="1173" spans="1:16" x14ac:dyDescent="0.25">
      <c r="A1173" s="2" t="s">
        <v>2894</v>
      </c>
      <c r="B1173" s="2" t="s">
        <v>4810</v>
      </c>
      <c r="C1173" s="2">
        <v>3083</v>
      </c>
      <c r="D1173" s="2" t="s">
        <v>8075</v>
      </c>
      <c r="E1173" s="2" t="s">
        <v>6708</v>
      </c>
      <c r="F1173" s="2" t="s">
        <v>19</v>
      </c>
      <c r="G1173" s="2">
        <v>6743</v>
      </c>
      <c r="H1173" s="2">
        <v>3155.15</v>
      </c>
      <c r="I1173" s="2" t="s">
        <v>6690</v>
      </c>
      <c r="J1173" s="2" t="s">
        <v>6700</v>
      </c>
      <c r="K1173" s="2" t="s">
        <v>22</v>
      </c>
      <c r="L1173" s="2" t="s">
        <v>48</v>
      </c>
      <c r="M1173" s="2">
        <v>3</v>
      </c>
      <c r="N1173" s="2" t="s">
        <v>69</v>
      </c>
      <c r="O1173" s="2" t="s">
        <v>70</v>
      </c>
      <c r="P1173" s="2" t="s">
        <v>26</v>
      </c>
    </row>
    <row r="1174" spans="1:16" x14ac:dyDescent="0.25">
      <c r="A1174" s="2" t="s">
        <v>2897</v>
      </c>
      <c r="B1174" s="2" t="s">
        <v>5782</v>
      </c>
      <c r="C1174" s="2">
        <v>1753</v>
      </c>
      <c r="D1174" s="2" t="s">
        <v>8076</v>
      </c>
      <c r="E1174" s="2" t="s">
        <v>6719</v>
      </c>
      <c r="F1174" s="2" t="s">
        <v>47</v>
      </c>
      <c r="G1174" s="2">
        <v>16032.97</v>
      </c>
      <c r="H1174" s="2">
        <v>10081</v>
      </c>
      <c r="I1174" s="2" t="s">
        <v>84</v>
      </c>
      <c r="J1174" s="2" t="s">
        <v>6700</v>
      </c>
      <c r="K1174" s="2" t="s">
        <v>80</v>
      </c>
      <c r="L1174" s="2" t="s">
        <v>64</v>
      </c>
      <c r="M1174" s="2">
        <v>2</v>
      </c>
      <c r="N1174" s="2" t="s">
        <v>69</v>
      </c>
      <c r="O1174" s="2" t="s">
        <v>25</v>
      </c>
      <c r="P1174" s="2" t="s">
        <v>26</v>
      </c>
    </row>
    <row r="1175" spans="1:16" x14ac:dyDescent="0.25">
      <c r="A1175" s="2" t="s">
        <v>2899</v>
      </c>
      <c r="B1175" s="2" t="s">
        <v>5302</v>
      </c>
      <c r="C1175" s="2">
        <v>3439</v>
      </c>
      <c r="D1175" s="2" t="s">
        <v>3475</v>
      </c>
      <c r="E1175" s="2" t="s">
        <v>38</v>
      </c>
      <c r="F1175" s="2" t="s">
        <v>19</v>
      </c>
      <c r="G1175" s="2">
        <v>8632.17</v>
      </c>
      <c r="H1175" s="2">
        <v>4848.3999999999996</v>
      </c>
      <c r="I1175" s="2" t="s">
        <v>31</v>
      </c>
      <c r="J1175" s="2" t="s">
        <v>21</v>
      </c>
      <c r="K1175" s="2" t="s">
        <v>80</v>
      </c>
      <c r="L1175" s="2" t="s">
        <v>55</v>
      </c>
      <c r="M1175" s="2">
        <v>4</v>
      </c>
      <c r="N1175" s="2" t="s">
        <v>69</v>
      </c>
      <c r="O1175" s="2" t="s">
        <v>25</v>
      </c>
      <c r="P1175" s="2" t="s">
        <v>26</v>
      </c>
    </row>
    <row r="1176" spans="1:16" x14ac:dyDescent="0.25">
      <c r="A1176" s="2" t="s">
        <v>2901</v>
      </c>
      <c r="B1176" s="2" t="s">
        <v>4835</v>
      </c>
      <c r="C1176" s="2">
        <v>7459</v>
      </c>
      <c r="D1176" s="2" t="s">
        <v>8077</v>
      </c>
      <c r="E1176" s="2" t="s">
        <v>38</v>
      </c>
      <c r="F1176" s="2" t="s">
        <v>19</v>
      </c>
      <c r="G1176" s="2">
        <v>22261.94</v>
      </c>
      <c r="H1176" s="2">
        <v>12285.87</v>
      </c>
      <c r="I1176" s="2" t="s">
        <v>31</v>
      </c>
      <c r="J1176" s="2" t="s">
        <v>21</v>
      </c>
      <c r="K1176" s="2" t="s">
        <v>80</v>
      </c>
      <c r="L1176" s="2" t="s">
        <v>48</v>
      </c>
      <c r="M1176" s="2">
        <v>4</v>
      </c>
      <c r="N1176" s="2" t="s">
        <v>69</v>
      </c>
      <c r="O1176" s="2" t="s">
        <v>70</v>
      </c>
      <c r="P1176" s="2" t="s">
        <v>34</v>
      </c>
    </row>
    <row r="1177" spans="1:16" x14ac:dyDescent="0.25">
      <c r="A1177" s="2" t="s">
        <v>2903</v>
      </c>
      <c r="B1177" s="2" t="s">
        <v>8078</v>
      </c>
      <c r="C1177" s="2">
        <v>7697</v>
      </c>
      <c r="D1177" s="2" t="s">
        <v>8079</v>
      </c>
      <c r="E1177" s="2" t="s">
        <v>38</v>
      </c>
      <c r="F1177" s="2" t="s">
        <v>47</v>
      </c>
      <c r="G1177" s="2">
        <v>8327.77</v>
      </c>
      <c r="H1177" s="2">
        <v>5153.74</v>
      </c>
      <c r="I1177" s="2" t="s">
        <v>59</v>
      </c>
      <c r="J1177" s="2" t="s">
        <v>6732</v>
      </c>
      <c r="K1177" s="2" t="s">
        <v>42</v>
      </c>
      <c r="L1177" s="2" t="s">
        <v>64</v>
      </c>
      <c r="M1177" s="2">
        <v>4</v>
      </c>
      <c r="N1177" s="2" t="s">
        <v>69</v>
      </c>
      <c r="O1177" s="2" t="s">
        <v>70</v>
      </c>
      <c r="P1177" s="2" t="s">
        <v>49</v>
      </c>
    </row>
    <row r="1178" spans="1:16" x14ac:dyDescent="0.25">
      <c r="A1178" s="2" t="s">
        <v>2905</v>
      </c>
      <c r="B1178" s="2" t="s">
        <v>291</v>
      </c>
      <c r="C1178" s="2">
        <v>5937</v>
      </c>
      <c r="D1178" s="2" t="s">
        <v>8080</v>
      </c>
      <c r="E1178" s="2" t="s">
        <v>18</v>
      </c>
      <c r="F1178" s="2" t="s">
        <v>47</v>
      </c>
      <c r="G1178" s="2">
        <v>3052.07</v>
      </c>
      <c r="H1178" s="2">
        <v>1564.62</v>
      </c>
      <c r="I1178" s="2" t="s">
        <v>68</v>
      </c>
      <c r="J1178" s="2" t="s">
        <v>41</v>
      </c>
      <c r="K1178" s="2" t="s">
        <v>42</v>
      </c>
      <c r="L1178" s="2" t="s">
        <v>23</v>
      </c>
      <c r="M1178" s="2">
        <v>3</v>
      </c>
      <c r="N1178" s="2" t="s">
        <v>33</v>
      </c>
      <c r="O1178" s="2" t="s">
        <v>70</v>
      </c>
      <c r="P1178" s="2" t="s">
        <v>49</v>
      </c>
    </row>
    <row r="1179" spans="1:16" x14ac:dyDescent="0.25">
      <c r="A1179" s="2" t="s">
        <v>2907</v>
      </c>
      <c r="B1179" s="2" t="s">
        <v>3981</v>
      </c>
      <c r="C1179" s="2">
        <v>5141</v>
      </c>
      <c r="D1179" s="2" t="s">
        <v>8081</v>
      </c>
      <c r="E1179" s="2" t="s">
        <v>38</v>
      </c>
      <c r="F1179" s="2" t="s">
        <v>58</v>
      </c>
      <c r="G1179" s="2">
        <v>14054.2</v>
      </c>
      <c r="H1179" s="2">
        <v>7046.15</v>
      </c>
      <c r="I1179" s="2" t="s">
        <v>20</v>
      </c>
      <c r="J1179" s="2" t="s">
        <v>21</v>
      </c>
      <c r="K1179" s="2" t="s">
        <v>32</v>
      </c>
      <c r="L1179" s="2" t="s">
        <v>55</v>
      </c>
      <c r="M1179" s="2">
        <v>4</v>
      </c>
      <c r="N1179" s="2" t="s">
        <v>24</v>
      </c>
      <c r="O1179" s="2" t="s">
        <v>25</v>
      </c>
      <c r="P1179" s="2" t="s">
        <v>34</v>
      </c>
    </row>
    <row r="1180" spans="1:16" x14ac:dyDescent="0.25">
      <c r="A1180" s="2" t="s">
        <v>2908</v>
      </c>
      <c r="B1180" s="2" t="s">
        <v>1459</v>
      </c>
      <c r="C1180" s="2">
        <v>9957</v>
      </c>
      <c r="D1180" s="2" t="s">
        <v>4577</v>
      </c>
      <c r="E1180" s="2" t="s">
        <v>18</v>
      </c>
      <c r="F1180" s="2" t="s">
        <v>58</v>
      </c>
      <c r="G1180" s="2">
        <v>41481.4</v>
      </c>
      <c r="H1180" s="2">
        <v>22512.78</v>
      </c>
      <c r="I1180" s="2" t="s">
        <v>63</v>
      </c>
      <c r="J1180" s="2" t="s">
        <v>54</v>
      </c>
      <c r="K1180" s="2" t="s">
        <v>22</v>
      </c>
      <c r="L1180" s="2" t="s">
        <v>48</v>
      </c>
      <c r="M1180" s="2">
        <v>4</v>
      </c>
      <c r="N1180" s="2" t="s">
        <v>33</v>
      </c>
      <c r="O1180" s="2" t="s">
        <v>25</v>
      </c>
      <c r="P1180" s="2" t="s">
        <v>49</v>
      </c>
    </row>
    <row r="1181" spans="1:16" x14ac:dyDescent="0.25">
      <c r="A1181" s="2" t="s">
        <v>2911</v>
      </c>
      <c r="B1181" s="2" t="s">
        <v>107</v>
      </c>
      <c r="C1181" s="2">
        <v>5542</v>
      </c>
      <c r="D1181" s="2" t="s">
        <v>8082</v>
      </c>
      <c r="E1181" s="2" t="s">
        <v>38</v>
      </c>
      <c r="F1181" s="2" t="s">
        <v>47</v>
      </c>
      <c r="G1181" s="2">
        <v>13815.76</v>
      </c>
      <c r="H1181" s="2">
        <v>8961.1</v>
      </c>
      <c r="I1181" s="2" t="s">
        <v>84</v>
      </c>
      <c r="J1181" s="2" t="s">
        <v>54</v>
      </c>
      <c r="K1181" s="2" t="s">
        <v>80</v>
      </c>
      <c r="L1181" s="2" t="s">
        <v>88</v>
      </c>
      <c r="M1181" s="2">
        <v>1</v>
      </c>
      <c r="N1181" s="2" t="s">
        <v>33</v>
      </c>
      <c r="O1181" s="2" t="s">
        <v>25</v>
      </c>
      <c r="P1181" s="2" t="s">
        <v>26</v>
      </c>
    </row>
    <row r="1182" spans="1:16" x14ac:dyDescent="0.25">
      <c r="A1182" s="2" t="s">
        <v>2913</v>
      </c>
      <c r="B1182" s="2" t="s">
        <v>4950</v>
      </c>
      <c r="C1182" s="2">
        <v>5570</v>
      </c>
      <c r="D1182" s="2" t="s">
        <v>8083</v>
      </c>
      <c r="E1182" s="2" t="s">
        <v>6703</v>
      </c>
      <c r="F1182" s="2" t="s">
        <v>47</v>
      </c>
      <c r="G1182" s="2">
        <v>15032.21</v>
      </c>
      <c r="H1182" s="2">
        <v>7325.16</v>
      </c>
      <c r="I1182" s="2" t="s">
        <v>6690</v>
      </c>
      <c r="J1182" s="2" t="s">
        <v>6729</v>
      </c>
      <c r="K1182" s="2" t="s">
        <v>22</v>
      </c>
      <c r="L1182" s="2" t="s">
        <v>55</v>
      </c>
      <c r="M1182" s="2">
        <v>4</v>
      </c>
      <c r="N1182" s="2" t="s">
        <v>33</v>
      </c>
      <c r="O1182" s="2" t="s">
        <v>70</v>
      </c>
      <c r="P1182" s="2" t="s">
        <v>49</v>
      </c>
    </row>
    <row r="1183" spans="1:16" x14ac:dyDescent="0.25">
      <c r="A1183" s="2" t="s">
        <v>2915</v>
      </c>
      <c r="B1183" s="2" t="s">
        <v>2207</v>
      </c>
      <c r="C1183" s="2">
        <v>4319</v>
      </c>
      <c r="D1183" s="2" t="s">
        <v>8084</v>
      </c>
      <c r="E1183" s="2" t="s">
        <v>18</v>
      </c>
      <c r="F1183" s="2" t="s">
        <v>19</v>
      </c>
      <c r="G1183" s="2">
        <v>6080.26</v>
      </c>
      <c r="H1183" s="2">
        <v>3585.98</v>
      </c>
      <c r="I1183" s="2" t="s">
        <v>84</v>
      </c>
      <c r="J1183" s="2" t="s">
        <v>54</v>
      </c>
      <c r="K1183" s="2" t="s">
        <v>22</v>
      </c>
      <c r="L1183" s="2" t="s">
        <v>43</v>
      </c>
      <c r="M1183" s="2">
        <v>4</v>
      </c>
      <c r="N1183" s="2" t="s">
        <v>24</v>
      </c>
      <c r="O1183" s="2" t="s">
        <v>25</v>
      </c>
      <c r="P1183" s="2" t="s">
        <v>49</v>
      </c>
    </row>
    <row r="1184" spans="1:16" x14ac:dyDescent="0.25">
      <c r="A1184" s="2" t="s">
        <v>2917</v>
      </c>
      <c r="B1184" s="2" t="s">
        <v>1769</v>
      </c>
      <c r="C1184" s="2">
        <v>5879</v>
      </c>
      <c r="D1184" s="2" t="s">
        <v>8085</v>
      </c>
      <c r="E1184" s="2" t="s">
        <v>38</v>
      </c>
      <c r="F1184" s="2" t="s">
        <v>47</v>
      </c>
      <c r="G1184" s="2">
        <v>11399.53</v>
      </c>
      <c r="H1184" s="2">
        <v>5678.57</v>
      </c>
      <c r="I1184" s="2" t="s">
        <v>63</v>
      </c>
      <c r="J1184" s="2" t="s">
        <v>54</v>
      </c>
      <c r="K1184" s="2" t="s">
        <v>80</v>
      </c>
      <c r="L1184" s="2" t="s">
        <v>48</v>
      </c>
      <c r="M1184" s="2">
        <v>1</v>
      </c>
      <c r="N1184" s="2" t="s">
        <v>24</v>
      </c>
      <c r="O1184" s="2" t="s">
        <v>25</v>
      </c>
      <c r="P1184" s="2" t="s">
        <v>49</v>
      </c>
    </row>
    <row r="1185" spans="1:16" x14ac:dyDescent="0.25">
      <c r="A1185" s="2" t="s">
        <v>2920</v>
      </c>
      <c r="B1185" s="2" t="s">
        <v>2818</v>
      </c>
      <c r="C1185" s="2">
        <v>6812</v>
      </c>
      <c r="D1185" s="2" t="s">
        <v>8086</v>
      </c>
      <c r="E1185" s="2" t="s">
        <v>18</v>
      </c>
      <c r="F1185" s="2" t="s">
        <v>58</v>
      </c>
      <c r="G1185" s="2">
        <v>47892.99</v>
      </c>
      <c r="H1185" s="2">
        <v>24026.67</v>
      </c>
      <c r="I1185" s="2" t="s">
        <v>84</v>
      </c>
      <c r="J1185" s="2" t="s">
        <v>54</v>
      </c>
      <c r="K1185" s="2" t="s">
        <v>42</v>
      </c>
      <c r="L1185" s="2" t="s">
        <v>48</v>
      </c>
      <c r="M1185" s="2">
        <v>4</v>
      </c>
      <c r="N1185" s="2" t="s">
        <v>69</v>
      </c>
      <c r="O1185" s="2" t="s">
        <v>25</v>
      </c>
      <c r="P1185" s="2" t="s">
        <v>34</v>
      </c>
    </row>
    <row r="1186" spans="1:16" x14ac:dyDescent="0.25">
      <c r="A1186" s="2" t="s">
        <v>2922</v>
      </c>
      <c r="B1186" s="2" t="s">
        <v>2077</v>
      </c>
      <c r="C1186" s="2">
        <v>9685</v>
      </c>
      <c r="D1186" s="2" t="s">
        <v>8087</v>
      </c>
      <c r="E1186" s="2" t="s">
        <v>18</v>
      </c>
      <c r="F1186" s="2" t="s">
        <v>58</v>
      </c>
      <c r="G1186" s="2">
        <v>34128.25</v>
      </c>
      <c r="H1186" s="2">
        <v>15512.2</v>
      </c>
      <c r="I1186" s="2" t="s">
        <v>20</v>
      </c>
      <c r="J1186" s="2" t="s">
        <v>21</v>
      </c>
      <c r="K1186" s="2" t="s">
        <v>32</v>
      </c>
      <c r="L1186" s="2" t="s">
        <v>43</v>
      </c>
      <c r="M1186" s="2">
        <v>5</v>
      </c>
      <c r="N1186" s="2" t="s">
        <v>24</v>
      </c>
      <c r="O1186" s="2" t="s">
        <v>70</v>
      </c>
      <c r="P1186" s="2" t="s">
        <v>49</v>
      </c>
    </row>
    <row r="1187" spans="1:16" x14ac:dyDescent="0.25">
      <c r="A1187" s="2" t="s">
        <v>2923</v>
      </c>
      <c r="B1187" s="2" t="s">
        <v>2474</v>
      </c>
      <c r="C1187" s="2">
        <v>2834</v>
      </c>
      <c r="D1187" s="2" t="s">
        <v>8088</v>
      </c>
      <c r="E1187" s="2" t="s">
        <v>38</v>
      </c>
      <c r="F1187" s="2" t="s">
        <v>30</v>
      </c>
      <c r="G1187" s="2">
        <v>14791.65</v>
      </c>
      <c r="H1187" s="2">
        <v>6737.57</v>
      </c>
      <c r="I1187" s="2" t="s">
        <v>120</v>
      </c>
      <c r="J1187" s="2" t="s">
        <v>21</v>
      </c>
      <c r="K1187" s="2" t="s">
        <v>22</v>
      </c>
      <c r="L1187" s="2" t="s">
        <v>43</v>
      </c>
      <c r="M1187" s="2">
        <v>4</v>
      </c>
      <c r="N1187" s="2" t="s">
        <v>69</v>
      </c>
      <c r="O1187" s="2" t="s">
        <v>25</v>
      </c>
      <c r="P1187" s="2" t="s">
        <v>26</v>
      </c>
    </row>
    <row r="1188" spans="1:16" x14ac:dyDescent="0.25">
      <c r="A1188" s="2" t="s">
        <v>2926</v>
      </c>
      <c r="B1188" s="2" t="s">
        <v>8089</v>
      </c>
      <c r="C1188" s="2">
        <v>2976</v>
      </c>
      <c r="D1188" s="2" t="s">
        <v>8090</v>
      </c>
      <c r="E1188" s="2" t="s">
        <v>18</v>
      </c>
      <c r="F1188" s="2" t="s">
        <v>19</v>
      </c>
      <c r="G1188" s="2">
        <v>7901.17</v>
      </c>
      <c r="H1188" s="2">
        <v>4878.97</v>
      </c>
      <c r="I1188" s="2" t="s">
        <v>6777</v>
      </c>
      <c r="J1188" s="2" t="s">
        <v>6682</v>
      </c>
      <c r="K1188" s="2" t="s">
        <v>22</v>
      </c>
      <c r="L1188" s="2" t="s">
        <v>64</v>
      </c>
      <c r="M1188" s="2">
        <v>4</v>
      </c>
      <c r="N1188" s="2" t="s">
        <v>24</v>
      </c>
      <c r="O1188" s="2" t="s">
        <v>25</v>
      </c>
      <c r="P1188" s="2" t="s">
        <v>26</v>
      </c>
    </row>
    <row r="1189" spans="1:16" x14ac:dyDescent="0.25">
      <c r="A1189" s="2" t="s">
        <v>2929</v>
      </c>
      <c r="B1189" s="2" t="s">
        <v>8091</v>
      </c>
      <c r="C1189" s="2">
        <v>5803</v>
      </c>
      <c r="D1189" s="2" t="s">
        <v>8092</v>
      </c>
      <c r="E1189" s="2" t="s">
        <v>6756</v>
      </c>
      <c r="F1189" s="2" t="s">
        <v>58</v>
      </c>
      <c r="G1189" s="2">
        <v>31909.759999999998</v>
      </c>
      <c r="H1189" s="2">
        <v>15220.66</v>
      </c>
      <c r="I1189" s="2" t="s">
        <v>6695</v>
      </c>
      <c r="J1189" s="2" t="s">
        <v>6724</v>
      </c>
      <c r="K1189" s="2" t="s">
        <v>80</v>
      </c>
      <c r="L1189" s="2" t="s">
        <v>23</v>
      </c>
      <c r="M1189" s="2">
        <v>2</v>
      </c>
      <c r="N1189" s="2" t="s">
        <v>69</v>
      </c>
      <c r="O1189" s="2" t="s">
        <v>25</v>
      </c>
      <c r="P1189" s="2" t="s">
        <v>49</v>
      </c>
    </row>
    <row r="1190" spans="1:16" x14ac:dyDescent="0.25">
      <c r="A1190" s="2" t="s">
        <v>2931</v>
      </c>
      <c r="B1190" s="2" t="s">
        <v>3855</v>
      </c>
      <c r="C1190" s="2">
        <v>6841</v>
      </c>
      <c r="D1190" s="2" t="s">
        <v>8093</v>
      </c>
      <c r="E1190" s="2" t="s">
        <v>18</v>
      </c>
      <c r="F1190" s="2" t="s">
        <v>30</v>
      </c>
      <c r="G1190" s="2">
        <v>52675.13</v>
      </c>
      <c r="H1190" s="2">
        <v>30973.96</v>
      </c>
      <c r="I1190" s="2" t="s">
        <v>6752</v>
      </c>
      <c r="J1190" s="2" t="s">
        <v>6700</v>
      </c>
      <c r="K1190" s="2" t="s">
        <v>32</v>
      </c>
      <c r="L1190" s="2" t="s">
        <v>43</v>
      </c>
      <c r="M1190" s="2">
        <v>3</v>
      </c>
      <c r="N1190" s="2" t="s">
        <v>24</v>
      </c>
      <c r="O1190" s="2" t="s">
        <v>70</v>
      </c>
      <c r="P1190" s="2" t="s">
        <v>26</v>
      </c>
    </row>
    <row r="1191" spans="1:16" x14ac:dyDescent="0.25">
      <c r="A1191" s="2" t="s">
        <v>2934</v>
      </c>
      <c r="B1191" s="2" t="s">
        <v>8094</v>
      </c>
      <c r="C1191" s="2">
        <v>4237</v>
      </c>
      <c r="D1191" s="2" t="s">
        <v>8095</v>
      </c>
      <c r="E1191" s="2" t="s">
        <v>6680</v>
      </c>
      <c r="F1191" s="2" t="s">
        <v>58</v>
      </c>
      <c r="G1191" s="2">
        <v>8381.4</v>
      </c>
      <c r="H1191" s="2">
        <v>5349.04</v>
      </c>
      <c r="I1191" s="2" t="s">
        <v>59</v>
      </c>
      <c r="J1191" s="2" t="s">
        <v>6682</v>
      </c>
      <c r="K1191" s="2" t="s">
        <v>42</v>
      </c>
      <c r="L1191" s="2" t="s">
        <v>23</v>
      </c>
      <c r="M1191" s="2">
        <v>3</v>
      </c>
      <c r="N1191" s="2" t="s">
        <v>69</v>
      </c>
      <c r="O1191" s="2" t="s">
        <v>70</v>
      </c>
      <c r="P1191" s="2" t="s">
        <v>49</v>
      </c>
    </row>
    <row r="1192" spans="1:16" x14ac:dyDescent="0.25">
      <c r="A1192" s="2" t="s">
        <v>2936</v>
      </c>
      <c r="B1192" s="2" t="s">
        <v>8096</v>
      </c>
      <c r="C1192" s="2">
        <v>2755</v>
      </c>
      <c r="D1192" s="2" t="s">
        <v>3441</v>
      </c>
      <c r="E1192" s="2" t="s">
        <v>6698</v>
      </c>
      <c r="F1192" s="2" t="s">
        <v>30</v>
      </c>
      <c r="G1192" s="2">
        <v>47472.63</v>
      </c>
      <c r="H1192" s="2">
        <v>29048.400000000001</v>
      </c>
      <c r="I1192" s="2" t="s">
        <v>6794</v>
      </c>
      <c r="J1192" s="2" t="s">
        <v>6795</v>
      </c>
      <c r="K1192" s="2" t="s">
        <v>22</v>
      </c>
      <c r="L1192" s="2" t="s">
        <v>88</v>
      </c>
      <c r="M1192" s="2">
        <v>2</v>
      </c>
      <c r="N1192" s="2" t="s">
        <v>33</v>
      </c>
      <c r="O1192" s="2" t="s">
        <v>25</v>
      </c>
      <c r="P1192" s="2" t="s">
        <v>26</v>
      </c>
    </row>
    <row r="1193" spans="1:16" x14ac:dyDescent="0.25">
      <c r="A1193" s="2" t="s">
        <v>2939</v>
      </c>
      <c r="B1193" s="2" t="s">
        <v>5999</v>
      </c>
      <c r="C1193" s="2">
        <v>4812</v>
      </c>
      <c r="D1193" s="2" t="s">
        <v>8097</v>
      </c>
      <c r="E1193" s="2" t="s">
        <v>6719</v>
      </c>
      <c r="F1193" s="2" t="s">
        <v>19</v>
      </c>
      <c r="G1193" s="2">
        <v>11703.77</v>
      </c>
      <c r="H1193" s="2">
        <v>5485.49</v>
      </c>
      <c r="I1193" s="2" t="s">
        <v>6752</v>
      </c>
      <c r="J1193" s="2" t="s">
        <v>6691</v>
      </c>
      <c r="K1193" s="2" t="s">
        <v>42</v>
      </c>
      <c r="L1193" s="2" t="s">
        <v>55</v>
      </c>
      <c r="M1193" s="2">
        <v>1</v>
      </c>
      <c r="N1193" s="2" t="s">
        <v>69</v>
      </c>
      <c r="O1193" s="2" t="s">
        <v>25</v>
      </c>
      <c r="P1193" s="2" t="s">
        <v>34</v>
      </c>
    </row>
    <row r="1194" spans="1:16" x14ac:dyDescent="0.25">
      <c r="A1194" s="2" t="s">
        <v>2941</v>
      </c>
      <c r="B1194" s="2" t="s">
        <v>1736</v>
      </c>
      <c r="C1194" s="2">
        <v>8740</v>
      </c>
      <c r="D1194" s="2" t="s">
        <v>8098</v>
      </c>
      <c r="E1194" s="2" t="s">
        <v>6703</v>
      </c>
      <c r="F1194" s="2" t="s">
        <v>19</v>
      </c>
      <c r="G1194" s="2">
        <v>10782.41</v>
      </c>
      <c r="H1194" s="2">
        <v>5544.21</v>
      </c>
      <c r="I1194" s="2" t="s">
        <v>6761</v>
      </c>
      <c r="J1194" s="2" t="s">
        <v>6793</v>
      </c>
      <c r="K1194" s="2" t="s">
        <v>22</v>
      </c>
      <c r="L1194" s="2" t="s">
        <v>23</v>
      </c>
      <c r="M1194" s="2">
        <v>5</v>
      </c>
      <c r="N1194" s="2" t="s">
        <v>24</v>
      </c>
      <c r="O1194" s="2" t="s">
        <v>70</v>
      </c>
      <c r="P1194" s="2" t="s">
        <v>34</v>
      </c>
    </row>
    <row r="1195" spans="1:16" x14ac:dyDescent="0.25">
      <c r="A1195" s="2" t="s">
        <v>2944</v>
      </c>
      <c r="B1195" s="2" t="s">
        <v>5046</v>
      </c>
      <c r="C1195" s="2">
        <v>3535</v>
      </c>
      <c r="D1195" s="2" t="s">
        <v>8099</v>
      </c>
      <c r="E1195" s="2" t="s">
        <v>38</v>
      </c>
      <c r="F1195" s="2" t="s">
        <v>30</v>
      </c>
      <c r="G1195" s="2">
        <v>66913.179999999993</v>
      </c>
      <c r="H1195" s="2">
        <v>38669.019999999997</v>
      </c>
      <c r="I1195" s="2" t="s">
        <v>84</v>
      </c>
      <c r="J1195" s="2" t="s">
        <v>54</v>
      </c>
      <c r="K1195" s="2" t="s">
        <v>80</v>
      </c>
      <c r="L1195" s="2" t="s">
        <v>23</v>
      </c>
      <c r="M1195" s="2">
        <v>2</v>
      </c>
      <c r="N1195" s="2" t="s">
        <v>24</v>
      </c>
      <c r="O1195" s="2" t="s">
        <v>25</v>
      </c>
      <c r="P1195" s="2" t="s">
        <v>34</v>
      </c>
    </row>
    <row r="1197" spans="1:16" x14ac:dyDescent="0.25">
      <c r="A1197" s="2" t="s">
        <v>2947</v>
      </c>
      <c r="B1197" s="2" t="s">
        <v>8100</v>
      </c>
      <c r="C1197" s="2">
        <v>8578</v>
      </c>
      <c r="D1197" s="2" t="s">
        <v>8101</v>
      </c>
      <c r="E1197" s="2" t="s">
        <v>6698</v>
      </c>
      <c r="F1197" s="2" t="s">
        <v>47</v>
      </c>
      <c r="G1197" s="2">
        <v>5120.2</v>
      </c>
      <c r="H1197" s="2">
        <v>2670.8</v>
      </c>
      <c r="I1197" s="2" t="s">
        <v>6752</v>
      </c>
      <c r="J1197" s="2" t="s">
        <v>6700</v>
      </c>
      <c r="K1197" s="2" t="s">
        <v>80</v>
      </c>
      <c r="L1197" s="2" t="s">
        <v>55</v>
      </c>
      <c r="M1197" s="2">
        <v>1</v>
      </c>
      <c r="N1197" s="2" t="s">
        <v>24</v>
      </c>
      <c r="O1197" s="2" t="s">
        <v>25</v>
      </c>
      <c r="P1197" s="2" t="s">
        <v>49</v>
      </c>
    </row>
    <row r="1198" spans="1:16" x14ac:dyDescent="0.25">
      <c r="A1198" s="2" t="s">
        <v>2950</v>
      </c>
      <c r="B1198" s="2" t="s">
        <v>2726</v>
      </c>
      <c r="C1198" s="2">
        <v>2002</v>
      </c>
      <c r="D1198" s="2" t="s">
        <v>3456</v>
      </c>
      <c r="E1198" s="2" t="s">
        <v>18</v>
      </c>
      <c r="F1198" s="2" t="s">
        <v>30</v>
      </c>
      <c r="G1198" s="2">
        <v>22002.14</v>
      </c>
      <c r="H1198" s="2">
        <v>11300.52</v>
      </c>
      <c r="I1198" s="2" t="s">
        <v>120</v>
      </c>
      <c r="J1198" s="2" t="s">
        <v>21</v>
      </c>
      <c r="K1198" s="2" t="s">
        <v>32</v>
      </c>
      <c r="L1198" s="2" t="s">
        <v>43</v>
      </c>
      <c r="M1198" s="2">
        <v>1</v>
      </c>
      <c r="N1198" s="2" t="s">
        <v>24</v>
      </c>
      <c r="O1198" s="2" t="s">
        <v>70</v>
      </c>
      <c r="P1198" s="2" t="s">
        <v>34</v>
      </c>
    </row>
    <row r="1199" spans="1:16" x14ac:dyDescent="0.25">
      <c r="A1199" s="2" t="s">
        <v>2952</v>
      </c>
      <c r="B1199" s="2" t="s">
        <v>8102</v>
      </c>
      <c r="C1199" s="2">
        <v>7280</v>
      </c>
      <c r="D1199" s="2" t="s">
        <v>8103</v>
      </c>
      <c r="E1199" s="2" t="s">
        <v>18</v>
      </c>
      <c r="F1199" s="2" t="s">
        <v>47</v>
      </c>
      <c r="G1199" s="2">
        <v>4242.16</v>
      </c>
      <c r="H1199" s="2">
        <v>2055.5500000000002</v>
      </c>
      <c r="I1199" s="2" t="s">
        <v>6712</v>
      </c>
      <c r="J1199" s="2" t="s">
        <v>6732</v>
      </c>
      <c r="K1199" s="2" t="s">
        <v>42</v>
      </c>
      <c r="L1199" s="2" t="s">
        <v>64</v>
      </c>
      <c r="M1199" s="2">
        <v>5</v>
      </c>
      <c r="N1199" s="2" t="s">
        <v>33</v>
      </c>
      <c r="O1199" s="2" t="s">
        <v>25</v>
      </c>
      <c r="P1199" s="2" t="s">
        <v>34</v>
      </c>
    </row>
    <row r="1200" spans="1:16" x14ac:dyDescent="0.25">
      <c r="A1200" s="2" t="s">
        <v>2955</v>
      </c>
      <c r="B1200" s="2" t="s">
        <v>5372</v>
      </c>
      <c r="C1200" s="2">
        <v>4389</v>
      </c>
      <c r="D1200" s="2" t="s">
        <v>8104</v>
      </c>
      <c r="E1200" s="2" t="s">
        <v>6756</v>
      </c>
      <c r="F1200" s="2" t="s">
        <v>58</v>
      </c>
      <c r="G1200" s="2">
        <v>35458.67</v>
      </c>
      <c r="H1200" s="2">
        <v>16435.79</v>
      </c>
      <c r="I1200" s="2" t="s">
        <v>6808</v>
      </c>
      <c r="J1200" s="2" t="s">
        <v>6700</v>
      </c>
      <c r="K1200" s="2" t="s">
        <v>32</v>
      </c>
      <c r="L1200" s="2" t="s">
        <v>88</v>
      </c>
      <c r="M1200" s="2">
        <v>2</v>
      </c>
      <c r="N1200" s="2" t="s">
        <v>24</v>
      </c>
      <c r="O1200" s="2" t="s">
        <v>70</v>
      </c>
      <c r="P1200" s="2" t="s">
        <v>34</v>
      </c>
    </row>
    <row r="1201" spans="1:16" x14ac:dyDescent="0.25">
      <c r="A1201" s="2" t="s">
        <v>2957</v>
      </c>
      <c r="B1201" s="2" t="s">
        <v>8105</v>
      </c>
      <c r="C1201" s="2">
        <v>1853</v>
      </c>
      <c r="D1201" s="2" t="s">
        <v>8106</v>
      </c>
      <c r="E1201" s="2" t="s">
        <v>6698</v>
      </c>
      <c r="F1201" s="2" t="s">
        <v>47</v>
      </c>
      <c r="G1201" s="2">
        <v>13699.01</v>
      </c>
      <c r="H1201" s="2">
        <v>8066.2</v>
      </c>
      <c r="I1201" s="2" t="s">
        <v>6918</v>
      </c>
      <c r="J1201" s="2" t="s">
        <v>6696</v>
      </c>
      <c r="K1201" s="2" t="s">
        <v>42</v>
      </c>
      <c r="L1201" s="2" t="s">
        <v>43</v>
      </c>
      <c r="M1201" s="2">
        <v>5</v>
      </c>
      <c r="N1201" s="2" t="s">
        <v>69</v>
      </c>
      <c r="O1201" s="2" t="s">
        <v>25</v>
      </c>
      <c r="P1201" s="2" t="s">
        <v>26</v>
      </c>
    </row>
    <row r="1202" spans="1:16" x14ac:dyDescent="0.25">
      <c r="A1202" s="2" t="s">
        <v>2959</v>
      </c>
      <c r="B1202" s="2" t="s">
        <v>8107</v>
      </c>
      <c r="C1202" s="2">
        <v>8770</v>
      </c>
      <c r="D1202" s="2" t="s">
        <v>8108</v>
      </c>
      <c r="E1202" s="2" t="s">
        <v>6756</v>
      </c>
      <c r="F1202" s="2" t="s">
        <v>19</v>
      </c>
      <c r="G1202" s="2">
        <v>17815.2</v>
      </c>
      <c r="H1202" s="2">
        <v>10661.34</v>
      </c>
      <c r="I1202" s="2" t="s">
        <v>6720</v>
      </c>
      <c r="J1202" s="2" t="s">
        <v>6753</v>
      </c>
      <c r="K1202" s="2" t="s">
        <v>42</v>
      </c>
      <c r="L1202" s="2" t="s">
        <v>43</v>
      </c>
      <c r="M1202" s="2">
        <v>4</v>
      </c>
      <c r="N1202" s="2" t="s">
        <v>33</v>
      </c>
      <c r="O1202" s="2" t="s">
        <v>25</v>
      </c>
      <c r="P1202" s="2" t="s">
        <v>26</v>
      </c>
    </row>
    <row r="1203" spans="1:16" x14ac:dyDescent="0.25">
      <c r="A1203" s="2" t="s">
        <v>2962</v>
      </c>
      <c r="B1203" s="2" t="s">
        <v>8109</v>
      </c>
      <c r="C1203" s="2">
        <v>6554</v>
      </c>
      <c r="D1203" s="2" t="s">
        <v>8110</v>
      </c>
      <c r="E1203" s="2" t="s">
        <v>6719</v>
      </c>
      <c r="F1203" s="2" t="s">
        <v>30</v>
      </c>
      <c r="G1203" s="2">
        <v>35181.31</v>
      </c>
      <c r="H1203" s="2">
        <v>18901.75</v>
      </c>
      <c r="I1203" s="2" t="s">
        <v>6771</v>
      </c>
      <c r="J1203" s="2" t="s">
        <v>6795</v>
      </c>
      <c r="K1203" s="2" t="s">
        <v>22</v>
      </c>
      <c r="L1203" s="2" t="s">
        <v>43</v>
      </c>
      <c r="M1203" s="2">
        <v>1</v>
      </c>
      <c r="N1203" s="2" t="s">
        <v>33</v>
      </c>
      <c r="O1203" s="2" t="s">
        <v>70</v>
      </c>
      <c r="P1203" s="2" t="s">
        <v>34</v>
      </c>
    </row>
    <row r="1204" spans="1:16" x14ac:dyDescent="0.25">
      <c r="A1204" s="2" t="s">
        <v>2964</v>
      </c>
      <c r="B1204" s="2" t="s">
        <v>8111</v>
      </c>
      <c r="C1204" s="2">
        <v>3874</v>
      </c>
      <c r="D1204" s="2" t="s">
        <v>8112</v>
      </c>
      <c r="E1204" s="2" t="s">
        <v>32</v>
      </c>
      <c r="F1204" s="2" t="s">
        <v>19</v>
      </c>
      <c r="G1204" s="2">
        <v>6688.08</v>
      </c>
      <c r="H1204" s="2">
        <v>3151.98</v>
      </c>
      <c r="I1204" s="2" t="s">
        <v>59</v>
      </c>
      <c r="J1204" s="2" t="s">
        <v>41</v>
      </c>
      <c r="K1204" s="2" t="s">
        <v>22</v>
      </c>
      <c r="L1204" s="2" t="s">
        <v>64</v>
      </c>
      <c r="M1204" s="2">
        <v>3</v>
      </c>
      <c r="N1204" s="2" t="s">
        <v>24</v>
      </c>
      <c r="O1204" s="2" t="s">
        <v>25</v>
      </c>
      <c r="P1204" s="2" t="s">
        <v>49</v>
      </c>
    </row>
    <row r="1205" spans="1:16" x14ac:dyDescent="0.25">
      <c r="A1205" s="2" t="s">
        <v>2966</v>
      </c>
      <c r="B1205" s="2" t="s">
        <v>8113</v>
      </c>
      <c r="C1205" s="2">
        <v>5394</v>
      </c>
      <c r="D1205" s="2" t="s">
        <v>8114</v>
      </c>
      <c r="E1205" s="2" t="s">
        <v>38</v>
      </c>
      <c r="F1205" s="2" t="s">
        <v>30</v>
      </c>
      <c r="G1205" s="2">
        <v>62249.599999999999</v>
      </c>
      <c r="H1205" s="2">
        <v>30909.279999999999</v>
      </c>
      <c r="I1205" s="2" t="s">
        <v>6918</v>
      </c>
      <c r="J1205" s="2" t="s">
        <v>6795</v>
      </c>
      <c r="K1205" s="2" t="s">
        <v>42</v>
      </c>
      <c r="L1205" s="2" t="s">
        <v>23</v>
      </c>
      <c r="M1205" s="2">
        <v>1</v>
      </c>
      <c r="N1205" s="2" t="s">
        <v>69</v>
      </c>
      <c r="O1205" s="2" t="s">
        <v>70</v>
      </c>
      <c r="P1205" s="2" t="s">
        <v>26</v>
      </c>
    </row>
    <row r="1206" spans="1:16" x14ac:dyDescent="0.25">
      <c r="A1206" s="2" t="s">
        <v>2969</v>
      </c>
      <c r="B1206" s="2" t="s">
        <v>7287</v>
      </c>
      <c r="C1206" s="2">
        <v>7512</v>
      </c>
      <c r="D1206" s="2" t="s">
        <v>3480</v>
      </c>
      <c r="E1206" s="2" t="s">
        <v>38</v>
      </c>
      <c r="F1206" s="2" t="s">
        <v>19</v>
      </c>
      <c r="G1206" s="2">
        <v>9615.7000000000007</v>
      </c>
      <c r="H1206" s="2">
        <v>4475.9799999999996</v>
      </c>
      <c r="I1206" s="2" t="s">
        <v>84</v>
      </c>
      <c r="J1206" s="2" t="s">
        <v>54</v>
      </c>
      <c r="K1206" s="2" t="s">
        <v>80</v>
      </c>
      <c r="L1206" s="2" t="s">
        <v>43</v>
      </c>
      <c r="M1206" s="2">
        <v>1</v>
      </c>
      <c r="N1206" s="2" t="s">
        <v>69</v>
      </c>
      <c r="O1206" s="2" t="s">
        <v>25</v>
      </c>
      <c r="P1206" s="2" t="s">
        <v>26</v>
      </c>
    </row>
    <row r="1207" spans="1:16" x14ac:dyDescent="0.25">
      <c r="A1207" s="2" t="s">
        <v>2972</v>
      </c>
      <c r="B1207" s="2" t="s">
        <v>2197</v>
      </c>
      <c r="C1207" s="2">
        <v>1176</v>
      </c>
      <c r="D1207" s="2" t="s">
        <v>2067</v>
      </c>
      <c r="E1207" s="2" t="s">
        <v>18</v>
      </c>
      <c r="F1207" s="2" t="s">
        <v>39</v>
      </c>
      <c r="G1207" s="2">
        <v>10588.73</v>
      </c>
      <c r="H1207" s="2">
        <v>5184.84</v>
      </c>
      <c r="I1207" s="2" t="s">
        <v>68</v>
      </c>
      <c r="J1207" s="2" t="s">
        <v>41</v>
      </c>
      <c r="K1207" s="2" t="s">
        <v>32</v>
      </c>
      <c r="L1207" s="2" t="s">
        <v>64</v>
      </c>
      <c r="M1207" s="2">
        <v>4</v>
      </c>
      <c r="N1207" s="2" t="s">
        <v>33</v>
      </c>
      <c r="O1207" s="2" t="s">
        <v>70</v>
      </c>
      <c r="P1207" s="2" t="s">
        <v>34</v>
      </c>
    </row>
    <row r="1208" spans="1:16" x14ac:dyDescent="0.25">
      <c r="A1208" s="2" t="s">
        <v>2974</v>
      </c>
      <c r="B1208" s="2" t="s">
        <v>8115</v>
      </c>
      <c r="C1208" s="2">
        <v>4959</v>
      </c>
      <c r="D1208" s="2" t="s">
        <v>8116</v>
      </c>
      <c r="E1208" s="2" t="s">
        <v>6756</v>
      </c>
      <c r="F1208" s="2" t="s">
        <v>58</v>
      </c>
      <c r="G1208" s="2">
        <v>20983.09</v>
      </c>
      <c r="H1208" s="2">
        <v>13462.34</v>
      </c>
      <c r="I1208" s="2" t="s">
        <v>6799</v>
      </c>
      <c r="J1208" s="2" t="s">
        <v>6793</v>
      </c>
      <c r="K1208" s="2" t="s">
        <v>22</v>
      </c>
      <c r="L1208" s="2" t="s">
        <v>48</v>
      </c>
      <c r="M1208" s="2">
        <v>4</v>
      </c>
      <c r="N1208" s="2" t="s">
        <v>24</v>
      </c>
      <c r="O1208" s="2" t="s">
        <v>25</v>
      </c>
      <c r="P1208" s="2" t="s">
        <v>26</v>
      </c>
    </row>
    <row r="1210" spans="1:16" x14ac:dyDescent="0.25">
      <c r="A1210" s="2" t="s">
        <v>2976</v>
      </c>
      <c r="B1210" s="2" t="s">
        <v>1122</v>
      </c>
      <c r="C1210" s="2">
        <v>8569</v>
      </c>
      <c r="D1210" s="2" t="s">
        <v>5306</v>
      </c>
      <c r="E1210" s="2" t="s">
        <v>18</v>
      </c>
      <c r="F1210" s="2" t="s">
        <v>30</v>
      </c>
      <c r="G1210" s="2">
        <v>126548.06</v>
      </c>
      <c r="H1210" s="2">
        <v>69430.75</v>
      </c>
      <c r="I1210" s="2" t="s">
        <v>84</v>
      </c>
      <c r="J1210" s="2" t="s">
        <v>54</v>
      </c>
      <c r="K1210" s="2" t="s">
        <v>22</v>
      </c>
      <c r="L1210" s="2" t="s">
        <v>23</v>
      </c>
      <c r="M1210" s="2">
        <v>5</v>
      </c>
      <c r="N1210" s="2" t="s">
        <v>33</v>
      </c>
      <c r="O1210" s="2" t="s">
        <v>25</v>
      </c>
      <c r="P1210" s="2" t="s">
        <v>34</v>
      </c>
    </row>
    <row r="1212" spans="1:16" x14ac:dyDescent="0.25">
      <c r="A1212" s="2" t="s">
        <v>2978</v>
      </c>
      <c r="B1212" s="2" t="s">
        <v>281</v>
      </c>
      <c r="C1212" s="2">
        <v>8414</v>
      </c>
      <c r="D1212" s="2" t="s">
        <v>798</v>
      </c>
      <c r="E1212" s="2" t="s">
        <v>38</v>
      </c>
      <c r="F1212" s="2" t="s">
        <v>47</v>
      </c>
      <c r="G1212" s="2">
        <v>9516.17</v>
      </c>
      <c r="H1212" s="2">
        <v>5850.66</v>
      </c>
      <c r="I1212" s="2" t="s">
        <v>84</v>
      </c>
      <c r="J1212" s="2" t="s">
        <v>54</v>
      </c>
      <c r="K1212" s="2" t="s">
        <v>80</v>
      </c>
      <c r="L1212" s="2" t="s">
        <v>23</v>
      </c>
      <c r="M1212" s="2">
        <v>5</v>
      </c>
      <c r="N1212" s="2" t="s">
        <v>24</v>
      </c>
      <c r="O1212" s="2" t="s">
        <v>25</v>
      </c>
      <c r="P1212" s="2" t="s">
        <v>26</v>
      </c>
    </row>
    <row r="1213" spans="1:16" x14ac:dyDescent="0.25">
      <c r="A1213" s="2" t="s">
        <v>2980</v>
      </c>
      <c r="B1213" s="2" t="s">
        <v>4372</v>
      </c>
      <c r="C1213" s="2">
        <v>9284</v>
      </c>
      <c r="D1213" s="2" t="s">
        <v>8117</v>
      </c>
      <c r="E1213" s="2" t="s">
        <v>38</v>
      </c>
      <c r="F1213" s="2" t="s">
        <v>19</v>
      </c>
      <c r="G1213" s="2">
        <v>9443.5400000000009</v>
      </c>
      <c r="H1213" s="2">
        <v>4254.8599999999997</v>
      </c>
      <c r="I1213" s="2" t="s">
        <v>84</v>
      </c>
      <c r="J1213" s="2" t="s">
        <v>54</v>
      </c>
      <c r="K1213" s="2" t="s">
        <v>80</v>
      </c>
      <c r="L1213" s="2" t="s">
        <v>88</v>
      </c>
      <c r="M1213" s="2">
        <v>4</v>
      </c>
      <c r="N1213" s="2" t="s">
        <v>69</v>
      </c>
      <c r="O1213" s="2" t="s">
        <v>25</v>
      </c>
      <c r="P1213" s="2" t="s">
        <v>26</v>
      </c>
    </row>
    <row r="1214" spans="1:16" x14ac:dyDescent="0.25">
      <c r="A1214" s="2" t="s">
        <v>2982</v>
      </c>
      <c r="B1214" s="2" t="s">
        <v>3285</v>
      </c>
      <c r="C1214" s="2">
        <v>1761</v>
      </c>
      <c r="D1214" s="2" t="s">
        <v>8118</v>
      </c>
      <c r="E1214" s="2" t="s">
        <v>18</v>
      </c>
      <c r="F1214" s="2" t="s">
        <v>30</v>
      </c>
      <c r="G1214" s="2">
        <v>31988.080000000002</v>
      </c>
      <c r="H1214" s="2">
        <v>14892.08</v>
      </c>
      <c r="I1214" s="2" t="s">
        <v>20</v>
      </c>
      <c r="J1214" s="2" t="s">
        <v>21</v>
      </c>
      <c r="K1214" s="2" t="s">
        <v>42</v>
      </c>
      <c r="L1214" s="2" t="s">
        <v>88</v>
      </c>
      <c r="M1214" s="2">
        <v>2</v>
      </c>
      <c r="N1214" s="2" t="s">
        <v>24</v>
      </c>
      <c r="O1214" s="2" t="s">
        <v>25</v>
      </c>
      <c r="P1214" s="2" t="s">
        <v>49</v>
      </c>
    </row>
    <row r="1215" spans="1:16" x14ac:dyDescent="0.25">
      <c r="A1215" s="2" t="s">
        <v>2984</v>
      </c>
      <c r="B1215" s="2" t="s">
        <v>8119</v>
      </c>
      <c r="C1215" s="2">
        <v>4379</v>
      </c>
      <c r="D1215" s="2" t="s">
        <v>5219</v>
      </c>
      <c r="E1215" s="2" t="s">
        <v>18</v>
      </c>
      <c r="F1215" s="2" t="s">
        <v>58</v>
      </c>
      <c r="G1215" s="2">
        <v>8407.59</v>
      </c>
      <c r="H1215" s="2">
        <v>4065.53</v>
      </c>
      <c r="I1215" s="2" t="s">
        <v>63</v>
      </c>
      <c r="J1215" s="2" t="s">
        <v>54</v>
      </c>
      <c r="K1215" s="2" t="s">
        <v>42</v>
      </c>
      <c r="L1215" s="2" t="s">
        <v>55</v>
      </c>
      <c r="M1215" s="2">
        <v>1</v>
      </c>
      <c r="N1215" s="2" t="s">
        <v>33</v>
      </c>
      <c r="O1215" s="2" t="s">
        <v>25</v>
      </c>
      <c r="P1215" s="2" t="s">
        <v>49</v>
      </c>
    </row>
    <row r="1216" spans="1:16" x14ac:dyDescent="0.25">
      <c r="A1216" s="2" t="s">
        <v>2986</v>
      </c>
      <c r="B1216" s="2" t="s">
        <v>8120</v>
      </c>
      <c r="C1216" s="2">
        <v>5647</v>
      </c>
      <c r="D1216" s="2" t="s">
        <v>8121</v>
      </c>
      <c r="E1216" s="2" t="s">
        <v>6719</v>
      </c>
      <c r="F1216" s="2" t="s">
        <v>58</v>
      </c>
      <c r="G1216" s="2">
        <v>56189.91</v>
      </c>
      <c r="H1216" s="2">
        <v>32960.44</v>
      </c>
      <c r="I1216" s="2" t="s">
        <v>6808</v>
      </c>
      <c r="J1216" s="2" t="s">
        <v>6729</v>
      </c>
      <c r="K1216" s="2" t="s">
        <v>22</v>
      </c>
      <c r="L1216" s="2" t="s">
        <v>23</v>
      </c>
      <c r="M1216" s="2">
        <v>4</v>
      </c>
      <c r="N1216" s="2" t="s">
        <v>24</v>
      </c>
      <c r="O1216" s="2" t="s">
        <v>70</v>
      </c>
      <c r="P1216" s="2" t="s">
        <v>49</v>
      </c>
    </row>
    <row r="1217" spans="1:16" x14ac:dyDescent="0.25">
      <c r="A1217" s="2" t="s">
        <v>2987</v>
      </c>
      <c r="B1217" s="2" t="s">
        <v>658</v>
      </c>
      <c r="C1217" s="2">
        <v>7991</v>
      </c>
      <c r="D1217" s="2" t="s">
        <v>162</v>
      </c>
      <c r="E1217" s="2" t="s">
        <v>18</v>
      </c>
      <c r="F1217" s="2" t="s">
        <v>47</v>
      </c>
      <c r="G1217" s="2">
        <v>1942.9</v>
      </c>
      <c r="H1217" s="2">
        <v>1083.1300000000001</v>
      </c>
      <c r="I1217" s="2" t="s">
        <v>59</v>
      </c>
      <c r="J1217" s="2" t="s">
        <v>41</v>
      </c>
      <c r="K1217" s="2" t="s">
        <v>42</v>
      </c>
      <c r="L1217" s="2" t="s">
        <v>43</v>
      </c>
      <c r="M1217" s="2">
        <v>5</v>
      </c>
      <c r="N1217" s="2" t="s">
        <v>69</v>
      </c>
      <c r="O1217" s="2" t="s">
        <v>25</v>
      </c>
      <c r="P1217" s="2" t="s">
        <v>26</v>
      </c>
    </row>
    <row r="1218" spans="1:16" x14ac:dyDescent="0.25">
      <c r="A1218" s="2" t="s">
        <v>2989</v>
      </c>
      <c r="B1218" s="2" t="s">
        <v>8122</v>
      </c>
      <c r="C1218" s="2">
        <v>6461</v>
      </c>
      <c r="D1218" s="2" t="s">
        <v>8123</v>
      </c>
      <c r="E1218" s="2" t="s">
        <v>6698</v>
      </c>
      <c r="F1218" s="2" t="s">
        <v>58</v>
      </c>
      <c r="G1218" s="2">
        <v>24478.880000000001</v>
      </c>
      <c r="H1218" s="2">
        <v>15297.17</v>
      </c>
      <c r="I1218" s="2" t="s">
        <v>6845</v>
      </c>
      <c r="J1218" s="2" t="s">
        <v>6696</v>
      </c>
      <c r="K1218" s="2" t="s">
        <v>32</v>
      </c>
      <c r="L1218" s="2" t="s">
        <v>55</v>
      </c>
      <c r="M1218" s="2">
        <v>1</v>
      </c>
      <c r="N1218" s="2" t="s">
        <v>33</v>
      </c>
      <c r="O1218" s="2" t="s">
        <v>70</v>
      </c>
      <c r="P1218" s="2" t="s">
        <v>34</v>
      </c>
    </row>
    <row r="1219" spans="1:16" x14ac:dyDescent="0.25">
      <c r="A1219" s="2" t="s">
        <v>2990</v>
      </c>
      <c r="B1219" s="2" t="s">
        <v>8124</v>
      </c>
      <c r="C1219" s="2">
        <v>2522</v>
      </c>
      <c r="D1219" s="2" t="s">
        <v>8125</v>
      </c>
      <c r="E1219" s="2" t="s">
        <v>6703</v>
      </c>
      <c r="F1219" s="2" t="s">
        <v>39</v>
      </c>
      <c r="G1219" s="2">
        <v>50722.83</v>
      </c>
      <c r="H1219" s="2">
        <v>26293.68</v>
      </c>
      <c r="I1219" s="2" t="s">
        <v>6690</v>
      </c>
      <c r="J1219" s="2" t="s">
        <v>6729</v>
      </c>
      <c r="K1219" s="2" t="s">
        <v>22</v>
      </c>
      <c r="L1219" s="2" t="s">
        <v>43</v>
      </c>
      <c r="M1219" s="2">
        <v>2</v>
      </c>
      <c r="N1219" s="2" t="s">
        <v>33</v>
      </c>
      <c r="O1219" s="2" t="s">
        <v>25</v>
      </c>
      <c r="P1219" s="2" t="s">
        <v>49</v>
      </c>
    </row>
    <row r="1220" spans="1:16" x14ac:dyDescent="0.25">
      <c r="A1220" s="2" t="s">
        <v>2992</v>
      </c>
      <c r="B1220" s="2" t="s">
        <v>8126</v>
      </c>
      <c r="C1220" s="2">
        <v>7531</v>
      </c>
      <c r="D1220" s="2" t="s">
        <v>1615</v>
      </c>
      <c r="E1220" s="2" t="s">
        <v>38</v>
      </c>
      <c r="F1220" s="2" t="s">
        <v>30</v>
      </c>
      <c r="G1220" s="2">
        <v>25478.29</v>
      </c>
      <c r="H1220" s="2">
        <v>16037.56</v>
      </c>
      <c r="I1220" s="2" t="s">
        <v>59</v>
      </c>
      <c r="J1220" s="2" t="s">
        <v>41</v>
      </c>
      <c r="K1220" s="2" t="s">
        <v>32</v>
      </c>
      <c r="L1220" s="2" t="s">
        <v>48</v>
      </c>
      <c r="M1220" s="2">
        <v>1</v>
      </c>
      <c r="N1220" s="2" t="s">
        <v>69</v>
      </c>
      <c r="O1220" s="2" t="s">
        <v>25</v>
      </c>
      <c r="P1220" s="2" t="s">
        <v>34</v>
      </c>
    </row>
    <row r="1221" spans="1:16" x14ac:dyDescent="0.25">
      <c r="A1221" s="2" t="s">
        <v>2994</v>
      </c>
      <c r="B1221" s="2" t="s">
        <v>8127</v>
      </c>
      <c r="C1221" s="2">
        <v>6167</v>
      </c>
      <c r="D1221" s="2" t="s">
        <v>8128</v>
      </c>
      <c r="E1221" s="2" t="s">
        <v>6703</v>
      </c>
      <c r="F1221" s="2" t="s">
        <v>30</v>
      </c>
      <c r="G1221" s="2">
        <v>32380.1</v>
      </c>
      <c r="H1221" s="2">
        <v>15808.3</v>
      </c>
      <c r="I1221" s="2" t="s">
        <v>6808</v>
      </c>
      <c r="J1221" s="2" t="s">
        <v>54</v>
      </c>
      <c r="K1221" s="2" t="s">
        <v>22</v>
      </c>
      <c r="L1221" s="2" t="s">
        <v>55</v>
      </c>
      <c r="M1221" s="2">
        <v>3</v>
      </c>
      <c r="N1221" s="2" t="s">
        <v>24</v>
      </c>
      <c r="O1221" s="2" t="s">
        <v>70</v>
      </c>
      <c r="P1221" s="2" t="s">
        <v>34</v>
      </c>
    </row>
    <row r="1222" spans="1:16" x14ac:dyDescent="0.25">
      <c r="A1222" s="2" t="s">
        <v>2997</v>
      </c>
      <c r="B1222" s="2" t="s">
        <v>2456</v>
      </c>
      <c r="C1222" s="2">
        <v>8235</v>
      </c>
      <c r="D1222" s="2" t="s">
        <v>8129</v>
      </c>
      <c r="E1222" s="2" t="s">
        <v>38</v>
      </c>
      <c r="F1222" s="2" t="s">
        <v>39</v>
      </c>
      <c r="G1222" s="2">
        <v>42862.5</v>
      </c>
      <c r="H1222" s="2">
        <v>23240.01</v>
      </c>
      <c r="I1222" s="2" t="s">
        <v>20</v>
      </c>
      <c r="J1222" s="2" t="s">
        <v>21</v>
      </c>
      <c r="K1222" s="2" t="s">
        <v>32</v>
      </c>
      <c r="L1222" s="2" t="s">
        <v>88</v>
      </c>
      <c r="M1222" s="2">
        <v>4</v>
      </c>
      <c r="N1222" s="2" t="s">
        <v>24</v>
      </c>
      <c r="O1222" s="2" t="s">
        <v>25</v>
      </c>
      <c r="P1222" s="2" t="s">
        <v>49</v>
      </c>
    </row>
    <row r="1223" spans="1:16" x14ac:dyDescent="0.25">
      <c r="A1223" s="2" t="s">
        <v>3000</v>
      </c>
      <c r="B1223" s="2" t="s">
        <v>5276</v>
      </c>
      <c r="C1223" s="2">
        <v>6264</v>
      </c>
      <c r="D1223" s="2" t="s">
        <v>8130</v>
      </c>
      <c r="E1223" s="2" t="s">
        <v>18</v>
      </c>
      <c r="F1223" s="2" t="s">
        <v>47</v>
      </c>
      <c r="G1223" s="2">
        <v>8524.74</v>
      </c>
      <c r="H1223" s="2">
        <v>5090.8999999999996</v>
      </c>
      <c r="I1223" s="2" t="s">
        <v>68</v>
      </c>
      <c r="J1223" s="2" t="s">
        <v>41</v>
      </c>
      <c r="K1223" s="2" t="s">
        <v>22</v>
      </c>
      <c r="L1223" s="2" t="s">
        <v>88</v>
      </c>
      <c r="M1223" s="2">
        <v>5</v>
      </c>
      <c r="N1223" s="2" t="s">
        <v>24</v>
      </c>
      <c r="O1223" s="2" t="s">
        <v>25</v>
      </c>
      <c r="P1223" s="2" t="s">
        <v>34</v>
      </c>
    </row>
    <row r="1224" spans="1:16" x14ac:dyDescent="0.25">
      <c r="A1224" s="2" t="s">
        <v>3003</v>
      </c>
      <c r="B1224" s="2" t="s">
        <v>3285</v>
      </c>
      <c r="C1224" s="2">
        <v>8045</v>
      </c>
      <c r="D1224" s="2" t="s">
        <v>8131</v>
      </c>
      <c r="E1224" s="2" t="s">
        <v>38</v>
      </c>
      <c r="F1224" s="2" t="s">
        <v>47</v>
      </c>
      <c r="G1224" s="2">
        <v>3460.25</v>
      </c>
      <c r="H1224" s="2">
        <v>2161</v>
      </c>
      <c r="I1224" s="2" t="s">
        <v>68</v>
      </c>
      <c r="J1224" s="2" t="s">
        <v>41</v>
      </c>
      <c r="K1224" s="2" t="s">
        <v>22</v>
      </c>
      <c r="L1224" s="2" t="s">
        <v>23</v>
      </c>
      <c r="M1224" s="2">
        <v>3</v>
      </c>
      <c r="N1224" s="2" t="s">
        <v>24</v>
      </c>
      <c r="O1224" s="2" t="s">
        <v>25</v>
      </c>
      <c r="P1224" s="2" t="s">
        <v>34</v>
      </c>
    </row>
    <row r="1225" spans="1:16" x14ac:dyDescent="0.25">
      <c r="A1225" s="2" t="s">
        <v>3004</v>
      </c>
      <c r="B1225" s="2" t="s">
        <v>1282</v>
      </c>
      <c r="C1225" s="2">
        <v>9690</v>
      </c>
      <c r="D1225" s="2" t="s">
        <v>8132</v>
      </c>
      <c r="E1225" s="2" t="s">
        <v>18</v>
      </c>
      <c r="F1225" s="2" t="s">
        <v>39</v>
      </c>
      <c r="G1225" s="2">
        <v>47437.36</v>
      </c>
      <c r="H1225" s="2">
        <v>26484.14</v>
      </c>
      <c r="I1225" s="2" t="s">
        <v>84</v>
      </c>
      <c r="J1225" s="2" t="s">
        <v>54</v>
      </c>
      <c r="K1225" s="2" t="s">
        <v>42</v>
      </c>
      <c r="L1225" s="2" t="s">
        <v>48</v>
      </c>
      <c r="M1225" s="2">
        <v>4</v>
      </c>
      <c r="N1225" s="2" t="s">
        <v>24</v>
      </c>
      <c r="O1225" s="2" t="s">
        <v>25</v>
      </c>
      <c r="P1225" s="2" t="s">
        <v>34</v>
      </c>
    </row>
    <row r="1226" spans="1:16" x14ac:dyDescent="0.25">
      <c r="A1226" s="2" t="s">
        <v>3006</v>
      </c>
      <c r="B1226" s="2" t="s">
        <v>5044</v>
      </c>
      <c r="C1226" s="2">
        <v>3757</v>
      </c>
      <c r="D1226" s="2" t="s">
        <v>8133</v>
      </c>
      <c r="E1226" s="2" t="s">
        <v>38</v>
      </c>
      <c r="F1226" s="2" t="s">
        <v>39</v>
      </c>
      <c r="G1226" s="2">
        <v>23556.240000000002</v>
      </c>
      <c r="H1226" s="2">
        <v>11621.27</v>
      </c>
      <c r="I1226" s="2" t="s">
        <v>84</v>
      </c>
      <c r="J1226" s="2" t="s">
        <v>54</v>
      </c>
      <c r="K1226" s="2" t="s">
        <v>42</v>
      </c>
      <c r="L1226" s="2" t="s">
        <v>48</v>
      </c>
      <c r="M1226" s="2">
        <v>3</v>
      </c>
      <c r="N1226" s="2" t="s">
        <v>33</v>
      </c>
      <c r="O1226" s="2" t="s">
        <v>25</v>
      </c>
      <c r="P1226" s="2" t="s">
        <v>26</v>
      </c>
    </row>
    <row r="1227" spans="1:16" x14ac:dyDescent="0.25">
      <c r="A1227" s="2" t="s">
        <v>3008</v>
      </c>
      <c r="B1227" s="2" t="s">
        <v>3956</v>
      </c>
      <c r="C1227" s="2">
        <v>7647</v>
      </c>
      <c r="D1227" s="2" t="s">
        <v>8134</v>
      </c>
      <c r="E1227" s="2" t="s">
        <v>18</v>
      </c>
      <c r="F1227" s="2" t="s">
        <v>58</v>
      </c>
      <c r="G1227" s="2">
        <v>36726.65</v>
      </c>
      <c r="H1227" s="2">
        <v>23790.47</v>
      </c>
      <c r="I1227" s="2" t="s">
        <v>53</v>
      </c>
      <c r="J1227" s="2" t="s">
        <v>54</v>
      </c>
      <c r="K1227" s="2" t="s">
        <v>80</v>
      </c>
      <c r="L1227" s="2" t="s">
        <v>23</v>
      </c>
      <c r="M1227" s="2">
        <v>5</v>
      </c>
      <c r="N1227" s="2" t="s">
        <v>33</v>
      </c>
      <c r="O1227" s="2" t="s">
        <v>25</v>
      </c>
      <c r="P1227" s="2" t="s">
        <v>34</v>
      </c>
    </row>
    <row r="1228" spans="1:16" x14ac:dyDescent="0.25">
      <c r="A1228" s="2" t="s">
        <v>3010</v>
      </c>
      <c r="B1228" s="2" t="s">
        <v>3620</v>
      </c>
      <c r="C1228" s="2">
        <v>5481</v>
      </c>
      <c r="D1228" s="2" t="s">
        <v>8135</v>
      </c>
      <c r="E1228" s="2" t="s">
        <v>18</v>
      </c>
      <c r="F1228" s="2" t="s">
        <v>47</v>
      </c>
      <c r="G1228" s="2">
        <v>5179.41</v>
      </c>
      <c r="H1228" s="2">
        <v>2924.71</v>
      </c>
      <c r="I1228" s="2" t="s">
        <v>20</v>
      </c>
      <c r="J1228" s="2" t="s">
        <v>21</v>
      </c>
      <c r="K1228" s="2" t="s">
        <v>22</v>
      </c>
      <c r="L1228" s="2" t="s">
        <v>55</v>
      </c>
      <c r="M1228" s="2">
        <v>5</v>
      </c>
      <c r="N1228" s="2" t="s">
        <v>24</v>
      </c>
      <c r="O1228" s="2" t="s">
        <v>25</v>
      </c>
      <c r="P1228" s="2" t="s">
        <v>26</v>
      </c>
    </row>
    <row r="1229" spans="1:16" x14ac:dyDescent="0.25">
      <c r="A1229" s="2" t="s">
        <v>3012</v>
      </c>
      <c r="B1229" s="2" t="s">
        <v>8136</v>
      </c>
      <c r="C1229" s="2">
        <v>6919</v>
      </c>
      <c r="D1229" s="2" t="s">
        <v>8137</v>
      </c>
      <c r="E1229" s="2" t="s">
        <v>6719</v>
      </c>
      <c r="F1229" s="2" t="s">
        <v>39</v>
      </c>
      <c r="G1229" s="2">
        <v>12067.9</v>
      </c>
      <c r="H1229" s="2">
        <v>5591.67</v>
      </c>
      <c r="I1229" s="2" t="s">
        <v>6808</v>
      </c>
      <c r="J1229" s="2" t="s">
        <v>6691</v>
      </c>
      <c r="K1229" s="2" t="s">
        <v>42</v>
      </c>
      <c r="L1229" s="2" t="s">
        <v>48</v>
      </c>
      <c r="M1229" s="2">
        <v>1</v>
      </c>
      <c r="N1229" s="2" t="s">
        <v>33</v>
      </c>
      <c r="O1229" s="2" t="s">
        <v>25</v>
      </c>
      <c r="P1229" s="2" t="s">
        <v>26</v>
      </c>
    </row>
    <row r="1230" spans="1:16" x14ac:dyDescent="0.25">
      <c r="A1230" s="2" t="s">
        <v>3014</v>
      </c>
      <c r="B1230" s="2" t="s">
        <v>8138</v>
      </c>
      <c r="C1230" s="2">
        <v>4640</v>
      </c>
      <c r="D1230" s="2" t="s">
        <v>8139</v>
      </c>
      <c r="E1230" s="2" t="s">
        <v>6708</v>
      </c>
      <c r="F1230" s="2" t="s">
        <v>58</v>
      </c>
      <c r="G1230" s="2">
        <v>49413.23</v>
      </c>
      <c r="H1230" s="2">
        <v>29102.69</v>
      </c>
      <c r="I1230" s="2" t="s">
        <v>20</v>
      </c>
      <c r="J1230" s="2" t="s">
        <v>6795</v>
      </c>
      <c r="K1230" s="2" t="s">
        <v>80</v>
      </c>
      <c r="L1230" s="2" t="s">
        <v>55</v>
      </c>
      <c r="M1230" s="2">
        <v>5</v>
      </c>
      <c r="N1230" s="2" t="s">
        <v>33</v>
      </c>
      <c r="O1230" s="2" t="s">
        <v>25</v>
      </c>
      <c r="P1230" s="2" t="s">
        <v>26</v>
      </c>
    </row>
    <row r="1231" spans="1:16" x14ac:dyDescent="0.25">
      <c r="A1231" s="2" t="s">
        <v>3016</v>
      </c>
      <c r="B1231" s="2" t="s">
        <v>8140</v>
      </c>
      <c r="C1231" s="2">
        <v>5610</v>
      </c>
      <c r="D1231" s="2" t="s">
        <v>8141</v>
      </c>
      <c r="E1231" s="2" t="s">
        <v>32</v>
      </c>
      <c r="F1231" s="2" t="s">
        <v>30</v>
      </c>
      <c r="G1231" s="2">
        <v>63735.94</v>
      </c>
      <c r="H1231" s="2">
        <v>37772.83</v>
      </c>
      <c r="I1231" s="2" t="s">
        <v>6723</v>
      </c>
      <c r="J1231" s="2" t="s">
        <v>6795</v>
      </c>
      <c r="K1231" s="2" t="s">
        <v>42</v>
      </c>
      <c r="L1231" s="2" t="s">
        <v>55</v>
      </c>
      <c r="M1231" s="2">
        <v>1</v>
      </c>
      <c r="N1231" s="2" t="s">
        <v>24</v>
      </c>
      <c r="O1231" s="2" t="s">
        <v>25</v>
      </c>
      <c r="P1231" s="2" t="s">
        <v>26</v>
      </c>
    </row>
    <row r="1232" spans="1:16" x14ac:dyDescent="0.25">
      <c r="A1232" s="2" t="s">
        <v>3019</v>
      </c>
      <c r="B1232" s="2" t="s">
        <v>5000</v>
      </c>
      <c r="C1232" s="2">
        <v>2878</v>
      </c>
      <c r="D1232" s="2" t="s">
        <v>8142</v>
      </c>
      <c r="E1232" s="2" t="s">
        <v>18</v>
      </c>
      <c r="F1232" s="2" t="s">
        <v>19</v>
      </c>
      <c r="G1232" s="2">
        <v>13078.7</v>
      </c>
      <c r="H1232" s="2">
        <v>7958.56</v>
      </c>
      <c r="I1232" s="2" t="s">
        <v>63</v>
      </c>
      <c r="J1232" s="2" t="s">
        <v>54</v>
      </c>
      <c r="K1232" s="2" t="s">
        <v>42</v>
      </c>
      <c r="L1232" s="2" t="s">
        <v>88</v>
      </c>
      <c r="M1232" s="2">
        <v>1</v>
      </c>
      <c r="N1232" s="2" t="s">
        <v>69</v>
      </c>
      <c r="O1232" s="2" t="s">
        <v>25</v>
      </c>
      <c r="P1232" s="2" t="s">
        <v>26</v>
      </c>
    </row>
    <row r="1233" spans="1:16" x14ac:dyDescent="0.25">
      <c r="A1233" s="2" t="s">
        <v>3021</v>
      </c>
      <c r="B1233" s="2" t="s">
        <v>4950</v>
      </c>
      <c r="C1233" s="2">
        <v>3927</v>
      </c>
      <c r="D1233" s="2" t="s">
        <v>8143</v>
      </c>
      <c r="E1233" s="2" t="s">
        <v>38</v>
      </c>
      <c r="F1233" s="2" t="s">
        <v>47</v>
      </c>
      <c r="G1233" s="2">
        <v>10048.030000000001</v>
      </c>
      <c r="H1233" s="2">
        <v>6319.73</v>
      </c>
      <c r="I1233" s="2" t="s">
        <v>53</v>
      </c>
      <c r="J1233" s="2" t="s">
        <v>54</v>
      </c>
      <c r="K1233" s="2" t="s">
        <v>42</v>
      </c>
      <c r="L1233" s="2" t="s">
        <v>64</v>
      </c>
      <c r="M1233" s="2">
        <v>4</v>
      </c>
      <c r="N1233" s="2" t="s">
        <v>69</v>
      </c>
      <c r="O1233" s="2" t="s">
        <v>70</v>
      </c>
      <c r="P1233" s="2" t="s">
        <v>34</v>
      </c>
    </row>
    <row r="1234" spans="1:16" x14ac:dyDescent="0.25">
      <c r="A1234" s="2" t="s">
        <v>3023</v>
      </c>
      <c r="B1234" s="2" t="s">
        <v>2595</v>
      </c>
      <c r="C1234" s="2">
        <v>8021</v>
      </c>
      <c r="D1234" s="2" t="s">
        <v>8144</v>
      </c>
      <c r="E1234" s="2" t="s">
        <v>18</v>
      </c>
      <c r="F1234" s="2" t="s">
        <v>30</v>
      </c>
      <c r="G1234" s="2">
        <v>47487.98</v>
      </c>
      <c r="H1234" s="2">
        <v>29521.83</v>
      </c>
      <c r="I1234" s="2" t="s">
        <v>53</v>
      </c>
      <c r="J1234" s="2" t="s">
        <v>54</v>
      </c>
      <c r="K1234" s="2" t="s">
        <v>22</v>
      </c>
      <c r="L1234" s="2" t="s">
        <v>43</v>
      </c>
      <c r="M1234" s="2">
        <v>5</v>
      </c>
      <c r="N1234" s="2" t="s">
        <v>33</v>
      </c>
      <c r="O1234" s="2" t="s">
        <v>70</v>
      </c>
      <c r="P1234" s="2" t="s">
        <v>34</v>
      </c>
    </row>
    <row r="1235" spans="1:16" x14ac:dyDescent="0.25">
      <c r="A1235" s="2" t="s">
        <v>3026</v>
      </c>
      <c r="B1235" s="2" t="s">
        <v>1646</v>
      </c>
      <c r="C1235" s="2">
        <v>4591</v>
      </c>
      <c r="D1235" s="2" t="s">
        <v>8145</v>
      </c>
      <c r="E1235" s="2" t="s">
        <v>38</v>
      </c>
      <c r="F1235" s="2" t="s">
        <v>39</v>
      </c>
      <c r="G1235" s="2">
        <v>14579.65</v>
      </c>
      <c r="H1235" s="2">
        <v>8810.4699999999993</v>
      </c>
      <c r="I1235" s="2" t="s">
        <v>20</v>
      </c>
      <c r="J1235" s="2" t="s">
        <v>21</v>
      </c>
      <c r="K1235" s="2" t="s">
        <v>22</v>
      </c>
      <c r="L1235" s="2" t="s">
        <v>64</v>
      </c>
      <c r="M1235" s="2">
        <v>2</v>
      </c>
      <c r="N1235" s="2" t="s">
        <v>33</v>
      </c>
      <c r="O1235" s="2" t="s">
        <v>25</v>
      </c>
      <c r="P1235" s="2" t="s">
        <v>34</v>
      </c>
    </row>
    <row r="1236" spans="1:16" x14ac:dyDescent="0.25">
      <c r="A1236" s="2" t="s">
        <v>3028</v>
      </c>
      <c r="B1236" s="2" t="s">
        <v>496</v>
      </c>
      <c r="C1236" s="2">
        <v>6880</v>
      </c>
      <c r="D1236" s="2" t="s">
        <v>539</v>
      </c>
      <c r="E1236" s="2" t="s">
        <v>38</v>
      </c>
      <c r="F1236" s="2" t="s">
        <v>30</v>
      </c>
      <c r="G1236" s="2">
        <v>68407.89</v>
      </c>
      <c r="H1236" s="2">
        <v>35841.949999999997</v>
      </c>
      <c r="I1236" s="2" t="s">
        <v>120</v>
      </c>
      <c r="J1236" s="2" t="s">
        <v>21</v>
      </c>
      <c r="K1236" s="2" t="s">
        <v>32</v>
      </c>
      <c r="L1236" s="2" t="s">
        <v>64</v>
      </c>
      <c r="M1236" s="2">
        <v>2</v>
      </c>
      <c r="N1236" s="2" t="s">
        <v>33</v>
      </c>
      <c r="O1236" s="2" t="s">
        <v>25</v>
      </c>
      <c r="P1236" s="2" t="s">
        <v>34</v>
      </c>
    </row>
    <row r="1237" spans="1:16" x14ac:dyDescent="0.25">
      <c r="A1237" s="2" t="s">
        <v>3030</v>
      </c>
      <c r="B1237" s="2" t="s">
        <v>8146</v>
      </c>
      <c r="C1237" s="2">
        <v>1198</v>
      </c>
      <c r="D1237" s="2" t="s">
        <v>8147</v>
      </c>
      <c r="E1237" s="2" t="s">
        <v>6703</v>
      </c>
      <c r="F1237" s="2" t="s">
        <v>30</v>
      </c>
      <c r="G1237" s="2">
        <v>83220.399999999994</v>
      </c>
      <c r="H1237" s="2">
        <v>41229.660000000003</v>
      </c>
      <c r="I1237" s="2" t="s">
        <v>6739</v>
      </c>
      <c r="J1237" s="2" t="s">
        <v>6691</v>
      </c>
      <c r="K1237" s="2" t="s">
        <v>42</v>
      </c>
      <c r="L1237" s="2" t="s">
        <v>48</v>
      </c>
      <c r="M1237" s="2">
        <v>3</v>
      </c>
      <c r="N1237" s="2" t="s">
        <v>24</v>
      </c>
      <c r="O1237" s="2" t="s">
        <v>70</v>
      </c>
      <c r="P1237" s="2" t="s">
        <v>26</v>
      </c>
    </row>
    <row r="1238" spans="1:16" x14ac:dyDescent="0.25">
      <c r="A1238" s="2" t="s">
        <v>3032</v>
      </c>
      <c r="B1238" s="2" t="s">
        <v>4431</v>
      </c>
      <c r="C1238" s="2">
        <v>5290</v>
      </c>
      <c r="D1238" s="2" t="s">
        <v>8148</v>
      </c>
      <c r="E1238" s="2" t="s">
        <v>38</v>
      </c>
      <c r="F1238" s="2" t="s">
        <v>30</v>
      </c>
      <c r="G1238" s="2">
        <v>13296.97</v>
      </c>
      <c r="H1238" s="2">
        <v>7283.36</v>
      </c>
      <c r="I1238" s="2" t="s">
        <v>6723</v>
      </c>
      <c r="J1238" s="2" t="s">
        <v>6795</v>
      </c>
      <c r="K1238" s="2" t="s">
        <v>80</v>
      </c>
      <c r="L1238" s="2" t="s">
        <v>48</v>
      </c>
      <c r="M1238" s="2">
        <v>1</v>
      </c>
      <c r="N1238" s="2" t="s">
        <v>33</v>
      </c>
      <c r="O1238" s="2" t="s">
        <v>25</v>
      </c>
      <c r="P1238" s="2" t="s">
        <v>49</v>
      </c>
    </row>
    <row r="1239" spans="1:16" x14ac:dyDescent="0.25">
      <c r="A1239" s="2" t="s">
        <v>3034</v>
      </c>
      <c r="B1239" s="2" t="s">
        <v>8149</v>
      </c>
      <c r="C1239" s="2">
        <v>5200</v>
      </c>
      <c r="D1239" s="2" t="s">
        <v>8150</v>
      </c>
      <c r="E1239" s="2" t="s">
        <v>6748</v>
      </c>
      <c r="F1239" s="2" t="s">
        <v>19</v>
      </c>
      <c r="G1239" s="2">
        <v>23717.48</v>
      </c>
      <c r="H1239" s="2">
        <v>11296.04</v>
      </c>
      <c r="I1239" s="2" t="s">
        <v>84</v>
      </c>
      <c r="J1239" s="2" t="s">
        <v>6691</v>
      </c>
      <c r="K1239" s="2" t="s">
        <v>80</v>
      </c>
      <c r="L1239" s="2" t="s">
        <v>23</v>
      </c>
      <c r="M1239" s="2">
        <v>4</v>
      </c>
      <c r="N1239" s="2" t="s">
        <v>24</v>
      </c>
      <c r="O1239" s="2" t="s">
        <v>70</v>
      </c>
      <c r="P1239" s="2" t="s">
        <v>26</v>
      </c>
    </row>
    <row r="1240" spans="1:16" x14ac:dyDescent="0.25">
      <c r="A1240" s="2" t="s">
        <v>3036</v>
      </c>
      <c r="B1240" s="2" t="s">
        <v>5678</v>
      </c>
      <c r="C1240" s="2">
        <v>8418</v>
      </c>
      <c r="D1240" s="2" t="s">
        <v>3555</v>
      </c>
      <c r="E1240" s="2" t="s">
        <v>38</v>
      </c>
      <c r="F1240" s="2" t="s">
        <v>19</v>
      </c>
      <c r="G1240" s="2">
        <v>23329.3</v>
      </c>
      <c r="H1240" s="2">
        <v>11277.09</v>
      </c>
      <c r="I1240" s="2" t="s">
        <v>84</v>
      </c>
      <c r="J1240" s="2" t="s">
        <v>54</v>
      </c>
      <c r="K1240" s="2" t="s">
        <v>22</v>
      </c>
      <c r="L1240" s="2" t="s">
        <v>55</v>
      </c>
      <c r="M1240" s="2">
        <v>5</v>
      </c>
      <c r="N1240" s="2" t="s">
        <v>33</v>
      </c>
      <c r="O1240" s="2" t="s">
        <v>25</v>
      </c>
      <c r="P1240" s="2" t="s">
        <v>34</v>
      </c>
    </row>
    <row r="1241" spans="1:16" x14ac:dyDescent="0.25">
      <c r="A1241" s="2" t="s">
        <v>3038</v>
      </c>
      <c r="B1241" s="2" t="s">
        <v>8151</v>
      </c>
      <c r="C1241" s="2">
        <v>8018</v>
      </c>
      <c r="D1241" s="2" t="s">
        <v>8152</v>
      </c>
      <c r="E1241" s="2" t="s">
        <v>6756</v>
      </c>
      <c r="F1241" s="2" t="s">
        <v>58</v>
      </c>
      <c r="G1241" s="2">
        <v>19205.68</v>
      </c>
      <c r="H1241" s="2">
        <v>8782.7800000000007</v>
      </c>
      <c r="I1241" s="2" t="s">
        <v>6681</v>
      </c>
      <c r="J1241" s="2" t="s">
        <v>6713</v>
      </c>
      <c r="K1241" s="2" t="s">
        <v>32</v>
      </c>
      <c r="L1241" s="2" t="s">
        <v>64</v>
      </c>
      <c r="M1241" s="2">
        <v>3</v>
      </c>
      <c r="N1241" s="2" t="s">
        <v>69</v>
      </c>
      <c r="O1241" s="2" t="s">
        <v>25</v>
      </c>
      <c r="P1241" s="2" t="s">
        <v>26</v>
      </c>
    </row>
    <row r="1242" spans="1:16" x14ac:dyDescent="0.25">
      <c r="A1242" s="2" t="s">
        <v>3040</v>
      </c>
      <c r="B1242" s="2" t="s">
        <v>5808</v>
      </c>
      <c r="C1242" s="2">
        <v>3222</v>
      </c>
      <c r="D1242" s="2" t="s">
        <v>2794</v>
      </c>
      <c r="E1242" s="2" t="s">
        <v>6756</v>
      </c>
      <c r="F1242" s="2" t="s">
        <v>30</v>
      </c>
      <c r="G1242" s="2">
        <v>98471.06</v>
      </c>
      <c r="H1242" s="2">
        <v>52595.95</v>
      </c>
      <c r="I1242" s="2" t="s">
        <v>6759</v>
      </c>
      <c r="J1242" s="2" t="s">
        <v>6700</v>
      </c>
      <c r="K1242" s="2" t="s">
        <v>80</v>
      </c>
      <c r="L1242" s="2" t="s">
        <v>43</v>
      </c>
      <c r="M1242" s="2">
        <v>3</v>
      </c>
      <c r="N1242" s="2" t="s">
        <v>24</v>
      </c>
      <c r="O1242" s="2" t="s">
        <v>70</v>
      </c>
      <c r="P1242" s="2" t="s">
        <v>49</v>
      </c>
    </row>
    <row r="1243" spans="1:16" x14ac:dyDescent="0.25">
      <c r="A1243" s="2" t="s">
        <v>3043</v>
      </c>
      <c r="B1243" s="2" t="s">
        <v>3460</v>
      </c>
      <c r="C1243" s="2">
        <v>8712</v>
      </c>
      <c r="D1243" s="2" t="s">
        <v>8153</v>
      </c>
      <c r="E1243" s="2" t="s">
        <v>18</v>
      </c>
      <c r="F1243" s="2" t="s">
        <v>19</v>
      </c>
      <c r="G1243" s="2">
        <v>17704.939999999999</v>
      </c>
      <c r="H1243" s="2">
        <v>8690.83</v>
      </c>
      <c r="I1243" s="2" t="s">
        <v>53</v>
      </c>
      <c r="J1243" s="2" t="s">
        <v>54</v>
      </c>
      <c r="K1243" s="2" t="s">
        <v>32</v>
      </c>
      <c r="L1243" s="2" t="s">
        <v>48</v>
      </c>
      <c r="M1243" s="2">
        <v>5</v>
      </c>
      <c r="N1243" s="2" t="s">
        <v>24</v>
      </c>
      <c r="O1243" s="2" t="s">
        <v>70</v>
      </c>
      <c r="P1243" s="2" t="s">
        <v>49</v>
      </c>
    </row>
    <row r="1244" spans="1:16" x14ac:dyDescent="0.25">
      <c r="A1244" s="2" t="s">
        <v>3046</v>
      </c>
      <c r="B1244" s="2" t="s">
        <v>3981</v>
      </c>
      <c r="C1244" s="2">
        <v>1358</v>
      </c>
      <c r="D1244" s="2" t="s">
        <v>1747</v>
      </c>
      <c r="E1244" s="2" t="s">
        <v>6748</v>
      </c>
      <c r="F1244" s="2" t="s">
        <v>19</v>
      </c>
      <c r="G1244" s="2">
        <v>8834.64</v>
      </c>
      <c r="H1244" s="2">
        <v>4221.1899999999996</v>
      </c>
      <c r="I1244" s="2" t="s">
        <v>68</v>
      </c>
      <c r="J1244" s="2" t="s">
        <v>6793</v>
      </c>
      <c r="K1244" s="2" t="s">
        <v>22</v>
      </c>
      <c r="L1244" s="2" t="s">
        <v>48</v>
      </c>
      <c r="M1244" s="2">
        <v>4</v>
      </c>
      <c r="N1244" s="2" t="s">
        <v>33</v>
      </c>
      <c r="O1244" s="2" t="s">
        <v>70</v>
      </c>
      <c r="P1244" s="2" t="s">
        <v>49</v>
      </c>
    </row>
    <row r="1245" spans="1:16" x14ac:dyDescent="0.25">
      <c r="A1245" s="2" t="s">
        <v>3048</v>
      </c>
      <c r="B1245" s="2" t="s">
        <v>5975</v>
      </c>
      <c r="C1245" s="2">
        <v>4060</v>
      </c>
      <c r="D1245" s="2" t="s">
        <v>8154</v>
      </c>
      <c r="E1245" s="2" t="s">
        <v>18</v>
      </c>
      <c r="F1245" s="2" t="s">
        <v>19</v>
      </c>
      <c r="G1245" s="2">
        <v>8188.19</v>
      </c>
      <c r="H1245" s="2">
        <v>4343.37</v>
      </c>
      <c r="I1245" s="2" t="s">
        <v>40</v>
      </c>
      <c r="J1245" s="2" t="s">
        <v>41</v>
      </c>
      <c r="K1245" s="2" t="s">
        <v>32</v>
      </c>
      <c r="L1245" s="2" t="s">
        <v>43</v>
      </c>
      <c r="M1245" s="2">
        <v>1</v>
      </c>
      <c r="N1245" s="2" t="s">
        <v>24</v>
      </c>
      <c r="O1245" s="2" t="s">
        <v>70</v>
      </c>
      <c r="P1245" s="2" t="s">
        <v>49</v>
      </c>
    </row>
    <row r="1246" spans="1:16" x14ac:dyDescent="0.25">
      <c r="A1246" s="2" t="s">
        <v>3050</v>
      </c>
      <c r="B1246" s="2" t="s">
        <v>409</v>
      </c>
      <c r="C1246" s="2">
        <v>3617</v>
      </c>
      <c r="D1246" s="2" t="s">
        <v>8155</v>
      </c>
      <c r="E1246" s="2" t="s">
        <v>38</v>
      </c>
      <c r="F1246" s="2" t="s">
        <v>47</v>
      </c>
      <c r="G1246" s="2">
        <v>2999.98</v>
      </c>
      <c r="H1246" s="2">
        <v>1442.34</v>
      </c>
      <c r="I1246" s="2" t="s">
        <v>31</v>
      </c>
      <c r="J1246" s="2" t="s">
        <v>21</v>
      </c>
      <c r="K1246" s="2" t="s">
        <v>42</v>
      </c>
      <c r="L1246" s="2" t="s">
        <v>23</v>
      </c>
      <c r="M1246" s="2">
        <v>2</v>
      </c>
      <c r="N1246" s="2" t="s">
        <v>24</v>
      </c>
      <c r="O1246" s="2" t="s">
        <v>25</v>
      </c>
      <c r="P1246" s="2" t="s">
        <v>26</v>
      </c>
    </row>
    <row r="1247" spans="1:16" x14ac:dyDescent="0.25">
      <c r="A1247" s="2" t="s">
        <v>3053</v>
      </c>
      <c r="B1247" s="2" t="s">
        <v>1479</v>
      </c>
      <c r="C1247" s="2">
        <v>3584</v>
      </c>
      <c r="D1247" s="2" t="s">
        <v>3870</v>
      </c>
      <c r="E1247" s="2" t="s">
        <v>18</v>
      </c>
      <c r="F1247" s="2" t="s">
        <v>30</v>
      </c>
      <c r="G1247" s="2">
        <v>17248.21</v>
      </c>
      <c r="H1247" s="2">
        <v>10160.77</v>
      </c>
      <c r="I1247" s="2" t="s">
        <v>59</v>
      </c>
      <c r="J1247" s="2" t="s">
        <v>41</v>
      </c>
      <c r="K1247" s="2" t="s">
        <v>32</v>
      </c>
      <c r="L1247" s="2" t="s">
        <v>55</v>
      </c>
      <c r="M1247" s="2">
        <v>2</v>
      </c>
      <c r="N1247" s="2" t="s">
        <v>69</v>
      </c>
      <c r="O1247" s="2" t="s">
        <v>25</v>
      </c>
      <c r="P1247" s="2" t="s">
        <v>49</v>
      </c>
    </row>
    <row r="1248" spans="1:16" x14ac:dyDescent="0.25">
      <c r="A1248" s="2" t="s">
        <v>3055</v>
      </c>
      <c r="B1248" s="2" t="s">
        <v>3534</v>
      </c>
      <c r="C1248" s="2">
        <v>1438</v>
      </c>
      <c r="D1248" s="2" t="s">
        <v>2716</v>
      </c>
      <c r="E1248" s="2" t="s">
        <v>38</v>
      </c>
      <c r="F1248" s="2" t="s">
        <v>39</v>
      </c>
      <c r="G1248" s="2">
        <v>36930.01</v>
      </c>
      <c r="H1248" s="2">
        <v>17087.59</v>
      </c>
      <c r="I1248" s="2" t="s">
        <v>53</v>
      </c>
      <c r="J1248" s="2" t="s">
        <v>54</v>
      </c>
      <c r="K1248" s="2" t="s">
        <v>42</v>
      </c>
      <c r="L1248" s="2" t="s">
        <v>43</v>
      </c>
      <c r="M1248" s="2">
        <v>4</v>
      </c>
      <c r="N1248" s="2" t="s">
        <v>33</v>
      </c>
      <c r="O1248" s="2" t="s">
        <v>25</v>
      </c>
      <c r="P1248" s="2" t="s">
        <v>49</v>
      </c>
    </row>
    <row r="1249" spans="1:16" x14ac:dyDescent="0.25">
      <c r="A1249" s="2" t="s">
        <v>3057</v>
      </c>
      <c r="B1249" s="2" t="s">
        <v>8156</v>
      </c>
      <c r="C1249" s="2">
        <v>5019</v>
      </c>
      <c r="D1249" s="2" t="s">
        <v>2522</v>
      </c>
      <c r="E1249" s="2" t="s">
        <v>6756</v>
      </c>
      <c r="F1249" s="2" t="s">
        <v>39</v>
      </c>
      <c r="G1249" s="2">
        <v>28137.53</v>
      </c>
      <c r="H1249" s="2">
        <v>17067.16</v>
      </c>
      <c r="I1249" s="2" t="s">
        <v>6681</v>
      </c>
      <c r="J1249" s="2" t="s">
        <v>6713</v>
      </c>
      <c r="K1249" s="2" t="s">
        <v>22</v>
      </c>
      <c r="L1249" s="2" t="s">
        <v>64</v>
      </c>
      <c r="M1249" s="2">
        <v>5</v>
      </c>
      <c r="N1249" s="2" t="s">
        <v>33</v>
      </c>
      <c r="O1249" s="2" t="s">
        <v>25</v>
      </c>
      <c r="P1249" s="2" t="s">
        <v>26</v>
      </c>
    </row>
    <row r="1250" spans="1:16" x14ac:dyDescent="0.25">
      <c r="A1250" s="2" t="s">
        <v>3059</v>
      </c>
      <c r="B1250" s="2" t="s">
        <v>4369</v>
      </c>
      <c r="C1250" s="2">
        <v>2686</v>
      </c>
      <c r="D1250" s="2" t="s">
        <v>8157</v>
      </c>
      <c r="E1250" s="2" t="s">
        <v>38</v>
      </c>
      <c r="F1250" s="2" t="s">
        <v>39</v>
      </c>
      <c r="G1250" s="2">
        <v>39283.379999999997</v>
      </c>
      <c r="H1250" s="2">
        <v>19662.099999999999</v>
      </c>
      <c r="I1250" s="2" t="s">
        <v>63</v>
      </c>
      <c r="J1250" s="2" t="s">
        <v>54</v>
      </c>
      <c r="K1250" s="2" t="s">
        <v>32</v>
      </c>
      <c r="L1250" s="2" t="s">
        <v>48</v>
      </c>
      <c r="M1250" s="2">
        <v>5</v>
      </c>
      <c r="N1250" s="2" t="s">
        <v>33</v>
      </c>
      <c r="O1250" s="2" t="s">
        <v>25</v>
      </c>
      <c r="P1250" s="2" t="s">
        <v>34</v>
      </c>
    </row>
    <row r="1251" spans="1:16" x14ac:dyDescent="0.25">
      <c r="A1251" s="2" t="s">
        <v>3061</v>
      </c>
      <c r="B1251" s="2" t="s">
        <v>262</v>
      </c>
      <c r="C1251" s="2">
        <v>5888</v>
      </c>
      <c r="D1251" s="2" t="s">
        <v>8158</v>
      </c>
      <c r="E1251" s="2" t="s">
        <v>32</v>
      </c>
      <c r="F1251" s="2" t="s">
        <v>47</v>
      </c>
      <c r="G1251" s="2">
        <v>12117.5</v>
      </c>
      <c r="H1251" s="2">
        <v>5569.02</v>
      </c>
      <c r="I1251" s="2" t="s">
        <v>6808</v>
      </c>
      <c r="J1251" s="2" t="s">
        <v>6691</v>
      </c>
      <c r="K1251" s="2" t="s">
        <v>22</v>
      </c>
      <c r="L1251" s="2" t="s">
        <v>43</v>
      </c>
      <c r="M1251" s="2">
        <v>5</v>
      </c>
      <c r="N1251" s="2" t="s">
        <v>33</v>
      </c>
      <c r="O1251" s="2" t="s">
        <v>70</v>
      </c>
      <c r="P1251" s="2" t="s">
        <v>26</v>
      </c>
    </row>
    <row r="1252" spans="1:16" x14ac:dyDescent="0.25">
      <c r="A1252" s="2" t="s">
        <v>3063</v>
      </c>
      <c r="B1252" s="2" t="s">
        <v>1921</v>
      </c>
      <c r="C1252" s="2">
        <v>9627</v>
      </c>
      <c r="D1252" s="2" t="s">
        <v>229</v>
      </c>
      <c r="E1252" s="2" t="s">
        <v>38</v>
      </c>
      <c r="F1252" s="2" t="s">
        <v>30</v>
      </c>
      <c r="G1252" s="2">
        <v>92343.27</v>
      </c>
      <c r="H1252" s="2">
        <v>42112.05</v>
      </c>
      <c r="I1252" s="2" t="s">
        <v>53</v>
      </c>
      <c r="J1252" s="2" t="s">
        <v>54</v>
      </c>
      <c r="K1252" s="2" t="s">
        <v>22</v>
      </c>
      <c r="L1252" s="2" t="s">
        <v>64</v>
      </c>
      <c r="M1252" s="2">
        <v>2</v>
      </c>
      <c r="N1252" s="2" t="s">
        <v>24</v>
      </c>
      <c r="O1252" s="2" t="s">
        <v>70</v>
      </c>
      <c r="P1252" s="2" t="s">
        <v>34</v>
      </c>
    </row>
    <row r="1253" spans="1:16" x14ac:dyDescent="0.25">
      <c r="A1253" s="2" t="s">
        <v>3066</v>
      </c>
      <c r="B1253" s="2" t="s">
        <v>8159</v>
      </c>
      <c r="C1253" s="2">
        <v>9844</v>
      </c>
      <c r="D1253" s="2" t="s">
        <v>8160</v>
      </c>
      <c r="E1253" s="2" t="s">
        <v>32</v>
      </c>
      <c r="F1253" s="2" t="s">
        <v>30</v>
      </c>
      <c r="G1253" s="2">
        <v>51453.25</v>
      </c>
      <c r="H1253" s="2">
        <v>29249.49</v>
      </c>
      <c r="I1253" s="2" t="s">
        <v>6699</v>
      </c>
      <c r="J1253" s="2" t="s">
        <v>54</v>
      </c>
      <c r="K1253" s="2" t="s">
        <v>22</v>
      </c>
      <c r="L1253" s="2" t="s">
        <v>48</v>
      </c>
      <c r="M1253" s="2">
        <v>5</v>
      </c>
      <c r="N1253" s="2" t="s">
        <v>69</v>
      </c>
      <c r="O1253" s="2" t="s">
        <v>25</v>
      </c>
      <c r="P1253" s="2" t="s">
        <v>26</v>
      </c>
    </row>
    <row r="1254" spans="1:16" x14ac:dyDescent="0.25">
      <c r="A1254" s="2" t="s">
        <v>3068</v>
      </c>
      <c r="B1254" s="2" t="s">
        <v>8161</v>
      </c>
      <c r="C1254" s="2">
        <v>8475</v>
      </c>
      <c r="D1254" s="2" t="s">
        <v>8162</v>
      </c>
      <c r="E1254" s="2" t="s">
        <v>6703</v>
      </c>
      <c r="F1254" s="2" t="s">
        <v>58</v>
      </c>
      <c r="G1254" s="2">
        <v>23637.97</v>
      </c>
      <c r="H1254" s="2">
        <v>14440.27</v>
      </c>
      <c r="I1254" s="2" t="s">
        <v>6695</v>
      </c>
      <c r="J1254" s="2" t="s">
        <v>6696</v>
      </c>
      <c r="K1254" s="2" t="s">
        <v>80</v>
      </c>
      <c r="L1254" s="2" t="s">
        <v>23</v>
      </c>
      <c r="M1254" s="2">
        <v>3</v>
      </c>
      <c r="N1254" s="2" t="s">
        <v>33</v>
      </c>
      <c r="O1254" s="2" t="s">
        <v>25</v>
      </c>
      <c r="P1254" s="2" t="s">
        <v>49</v>
      </c>
    </row>
    <row r="1255" spans="1:16" x14ac:dyDescent="0.25">
      <c r="A1255" s="2" t="s">
        <v>3071</v>
      </c>
      <c r="B1255" s="2" t="s">
        <v>5020</v>
      </c>
      <c r="C1255" s="2">
        <v>3926</v>
      </c>
      <c r="D1255" s="2" t="s">
        <v>8163</v>
      </c>
      <c r="E1255" s="2" t="s">
        <v>18</v>
      </c>
      <c r="F1255" s="2" t="s">
        <v>47</v>
      </c>
      <c r="G1255" s="2">
        <v>10088.93</v>
      </c>
      <c r="H1255" s="2">
        <v>5135.74</v>
      </c>
      <c r="I1255" s="2" t="s">
        <v>40</v>
      </c>
      <c r="J1255" s="2" t="s">
        <v>41</v>
      </c>
      <c r="K1255" s="2" t="s">
        <v>32</v>
      </c>
      <c r="L1255" s="2" t="s">
        <v>88</v>
      </c>
      <c r="M1255" s="2">
        <v>2</v>
      </c>
      <c r="N1255" s="2" t="s">
        <v>24</v>
      </c>
      <c r="O1255" s="2" t="s">
        <v>25</v>
      </c>
      <c r="P1255" s="2" t="s">
        <v>34</v>
      </c>
    </row>
    <row r="1256" spans="1:16" x14ac:dyDescent="0.25">
      <c r="A1256" s="2" t="s">
        <v>3074</v>
      </c>
      <c r="B1256" s="2" t="s">
        <v>8164</v>
      </c>
      <c r="C1256" s="2">
        <v>3992</v>
      </c>
      <c r="D1256" s="2" t="s">
        <v>8165</v>
      </c>
      <c r="E1256" s="2" t="s">
        <v>6708</v>
      </c>
      <c r="F1256" s="2" t="s">
        <v>47</v>
      </c>
      <c r="G1256" s="2">
        <v>11066.97</v>
      </c>
      <c r="H1256" s="2">
        <v>5876.71</v>
      </c>
      <c r="I1256" s="2" t="s">
        <v>6915</v>
      </c>
      <c r="J1256" s="2" t="s">
        <v>6802</v>
      </c>
      <c r="K1256" s="2" t="s">
        <v>22</v>
      </c>
      <c r="L1256" s="2" t="s">
        <v>23</v>
      </c>
      <c r="M1256" s="2">
        <v>5</v>
      </c>
      <c r="N1256" s="2" t="s">
        <v>33</v>
      </c>
      <c r="O1256" s="2" t="s">
        <v>70</v>
      </c>
      <c r="P1256" s="2" t="s">
        <v>26</v>
      </c>
    </row>
    <row r="1257" spans="1:16" x14ac:dyDescent="0.25">
      <c r="A1257" s="2" t="s">
        <v>3076</v>
      </c>
      <c r="B1257" s="2" t="s">
        <v>7524</v>
      </c>
      <c r="C1257" s="2">
        <v>5191</v>
      </c>
      <c r="D1257" s="2" t="s">
        <v>8166</v>
      </c>
      <c r="E1257" s="2" t="s">
        <v>6703</v>
      </c>
      <c r="F1257" s="2" t="s">
        <v>39</v>
      </c>
      <c r="G1257" s="2">
        <v>22572.83</v>
      </c>
      <c r="H1257" s="2">
        <v>13837.83</v>
      </c>
      <c r="I1257" s="2" t="s">
        <v>40</v>
      </c>
      <c r="J1257" s="2" t="s">
        <v>6682</v>
      </c>
      <c r="K1257" s="2" t="s">
        <v>42</v>
      </c>
      <c r="L1257" s="2" t="s">
        <v>88</v>
      </c>
      <c r="M1257" s="2">
        <v>1</v>
      </c>
      <c r="N1257" s="2" t="s">
        <v>69</v>
      </c>
      <c r="O1257" s="2" t="s">
        <v>70</v>
      </c>
      <c r="P1257" s="2" t="s">
        <v>49</v>
      </c>
    </row>
    <row r="1258" spans="1:16" x14ac:dyDescent="0.25">
      <c r="A1258" s="2" t="s">
        <v>3078</v>
      </c>
      <c r="B1258" s="2" t="s">
        <v>5092</v>
      </c>
      <c r="C1258" s="2">
        <v>5529</v>
      </c>
      <c r="D1258" s="2" t="s">
        <v>8167</v>
      </c>
      <c r="E1258" s="2" t="s">
        <v>38</v>
      </c>
      <c r="F1258" s="2" t="s">
        <v>30</v>
      </c>
      <c r="G1258" s="2">
        <v>36234.76</v>
      </c>
      <c r="H1258" s="2">
        <v>23545.8</v>
      </c>
      <c r="I1258" s="2" t="s">
        <v>40</v>
      </c>
      <c r="J1258" s="2" t="s">
        <v>41</v>
      </c>
      <c r="K1258" s="2" t="s">
        <v>32</v>
      </c>
      <c r="L1258" s="2" t="s">
        <v>23</v>
      </c>
      <c r="M1258" s="2">
        <v>4</v>
      </c>
      <c r="N1258" s="2" t="s">
        <v>33</v>
      </c>
      <c r="O1258" s="2" t="s">
        <v>25</v>
      </c>
      <c r="P1258" s="2" t="s">
        <v>34</v>
      </c>
    </row>
    <row r="1259" spans="1:16" x14ac:dyDescent="0.25">
      <c r="A1259" s="2" t="s">
        <v>3080</v>
      </c>
      <c r="B1259" s="2" t="s">
        <v>3534</v>
      </c>
      <c r="C1259" s="2">
        <v>6085</v>
      </c>
      <c r="D1259" s="2" t="s">
        <v>300</v>
      </c>
      <c r="E1259" s="2" t="s">
        <v>6708</v>
      </c>
      <c r="F1259" s="2" t="s">
        <v>39</v>
      </c>
      <c r="G1259" s="2">
        <v>44777.65</v>
      </c>
      <c r="H1259" s="2">
        <v>27809.78</v>
      </c>
      <c r="I1259" s="2" t="s">
        <v>6867</v>
      </c>
      <c r="J1259" s="2" t="s">
        <v>21</v>
      </c>
      <c r="K1259" s="2" t="s">
        <v>32</v>
      </c>
      <c r="L1259" s="2" t="s">
        <v>23</v>
      </c>
      <c r="M1259" s="2">
        <v>1</v>
      </c>
      <c r="N1259" s="2" t="s">
        <v>69</v>
      </c>
      <c r="O1259" s="2" t="s">
        <v>25</v>
      </c>
      <c r="P1259" s="2" t="s">
        <v>49</v>
      </c>
    </row>
    <row r="1260" spans="1:16" x14ac:dyDescent="0.25">
      <c r="A1260" s="2" t="s">
        <v>3082</v>
      </c>
      <c r="B1260" s="2" t="s">
        <v>8168</v>
      </c>
      <c r="C1260" s="2">
        <v>7687</v>
      </c>
      <c r="D1260" s="2" t="s">
        <v>8169</v>
      </c>
      <c r="E1260" s="2" t="s">
        <v>32</v>
      </c>
      <c r="F1260" s="2" t="s">
        <v>58</v>
      </c>
      <c r="G1260" s="2">
        <v>20697.68</v>
      </c>
      <c r="H1260" s="2">
        <v>10741.07</v>
      </c>
      <c r="I1260" s="2" t="s">
        <v>6759</v>
      </c>
      <c r="J1260" s="2" t="s">
        <v>6691</v>
      </c>
      <c r="K1260" s="2" t="s">
        <v>32</v>
      </c>
      <c r="L1260" s="2" t="s">
        <v>43</v>
      </c>
      <c r="M1260" s="2">
        <v>5</v>
      </c>
      <c r="N1260" s="2" t="s">
        <v>24</v>
      </c>
      <c r="O1260" s="2" t="s">
        <v>70</v>
      </c>
      <c r="P1260" s="2" t="s">
        <v>26</v>
      </c>
    </row>
    <row r="1261" spans="1:16" x14ac:dyDescent="0.25">
      <c r="A1261" s="2" t="s">
        <v>3085</v>
      </c>
      <c r="B1261" s="2" t="s">
        <v>2136</v>
      </c>
      <c r="C1261" s="2">
        <v>1202</v>
      </c>
      <c r="D1261" s="2" t="s">
        <v>8170</v>
      </c>
      <c r="E1261" s="2" t="s">
        <v>38</v>
      </c>
      <c r="F1261" s="2" t="s">
        <v>30</v>
      </c>
      <c r="G1261" s="2">
        <v>23993.040000000001</v>
      </c>
      <c r="H1261" s="2">
        <v>12019.59</v>
      </c>
      <c r="I1261" s="2" t="s">
        <v>31</v>
      </c>
      <c r="J1261" s="2" t="s">
        <v>21</v>
      </c>
      <c r="K1261" s="2" t="s">
        <v>32</v>
      </c>
      <c r="L1261" s="2" t="s">
        <v>55</v>
      </c>
      <c r="M1261" s="2">
        <v>5</v>
      </c>
      <c r="N1261" s="2" t="s">
        <v>69</v>
      </c>
      <c r="O1261" s="2" t="s">
        <v>70</v>
      </c>
      <c r="P1261" s="2" t="s">
        <v>49</v>
      </c>
    </row>
    <row r="1262" spans="1:16" x14ac:dyDescent="0.25">
      <c r="A1262" s="2" t="s">
        <v>3087</v>
      </c>
      <c r="B1262" s="2" t="s">
        <v>1155</v>
      </c>
      <c r="C1262" s="2">
        <v>3535</v>
      </c>
      <c r="D1262" s="2" t="s">
        <v>7305</v>
      </c>
      <c r="E1262" s="2" t="s">
        <v>32</v>
      </c>
      <c r="F1262" s="2" t="s">
        <v>30</v>
      </c>
      <c r="G1262" s="2">
        <v>62068.38</v>
      </c>
      <c r="H1262" s="2">
        <v>28294.880000000001</v>
      </c>
      <c r="I1262" s="2" t="s">
        <v>6808</v>
      </c>
      <c r="J1262" s="2" t="s">
        <v>6691</v>
      </c>
      <c r="K1262" s="2" t="s">
        <v>22</v>
      </c>
      <c r="L1262" s="2" t="s">
        <v>88</v>
      </c>
      <c r="M1262" s="2">
        <v>3</v>
      </c>
      <c r="N1262" s="2" t="s">
        <v>33</v>
      </c>
      <c r="O1262" s="2" t="s">
        <v>70</v>
      </c>
      <c r="P1262" s="2" t="s">
        <v>49</v>
      </c>
    </row>
    <row r="1263" spans="1:16" x14ac:dyDescent="0.25">
      <c r="A1263" s="2" t="s">
        <v>3090</v>
      </c>
      <c r="B1263" s="2" t="s">
        <v>3609</v>
      </c>
      <c r="C1263" s="2">
        <v>4716</v>
      </c>
      <c r="D1263" s="2" t="s">
        <v>3610</v>
      </c>
      <c r="E1263" s="2" t="s">
        <v>6703</v>
      </c>
      <c r="F1263" s="2" t="s">
        <v>47</v>
      </c>
      <c r="G1263" s="2">
        <v>13383.94</v>
      </c>
      <c r="H1263" s="2">
        <v>7979.74</v>
      </c>
      <c r="I1263" s="2" t="s">
        <v>6910</v>
      </c>
      <c r="J1263" s="2" t="s">
        <v>6724</v>
      </c>
      <c r="K1263" s="2" t="s">
        <v>22</v>
      </c>
      <c r="L1263" s="2" t="s">
        <v>23</v>
      </c>
      <c r="M1263" s="2">
        <v>3</v>
      </c>
      <c r="N1263" s="2" t="s">
        <v>33</v>
      </c>
      <c r="O1263" s="2" t="s">
        <v>25</v>
      </c>
      <c r="P1263" s="2" t="s">
        <v>49</v>
      </c>
    </row>
    <row r="1264" spans="1:16" x14ac:dyDescent="0.25">
      <c r="A1264" s="2" t="s">
        <v>3092</v>
      </c>
      <c r="B1264" s="2" t="s">
        <v>8171</v>
      </c>
      <c r="C1264" s="2">
        <v>7287</v>
      </c>
      <c r="D1264" s="2" t="s">
        <v>470</v>
      </c>
      <c r="E1264" s="2" t="s">
        <v>6719</v>
      </c>
      <c r="F1264" s="2" t="s">
        <v>30</v>
      </c>
      <c r="G1264" s="2">
        <v>28395.759999999998</v>
      </c>
      <c r="H1264" s="2">
        <v>17241.36</v>
      </c>
      <c r="I1264" s="2" t="s">
        <v>6739</v>
      </c>
      <c r="J1264" s="2" t="s">
        <v>6729</v>
      </c>
      <c r="K1264" s="2" t="s">
        <v>32</v>
      </c>
      <c r="L1264" s="2" t="s">
        <v>88</v>
      </c>
      <c r="M1264" s="2">
        <v>1</v>
      </c>
      <c r="N1264" s="2" t="s">
        <v>33</v>
      </c>
      <c r="O1264" s="2" t="s">
        <v>70</v>
      </c>
      <c r="P1264" s="2" t="s">
        <v>49</v>
      </c>
    </row>
    <row r="1265" spans="1:16" x14ac:dyDescent="0.25">
      <c r="A1265" s="2" t="s">
        <v>3095</v>
      </c>
      <c r="B1265" s="2" t="s">
        <v>8172</v>
      </c>
      <c r="C1265" s="2">
        <v>5276</v>
      </c>
      <c r="D1265" s="2" t="s">
        <v>8173</v>
      </c>
      <c r="E1265" s="2" t="s">
        <v>6719</v>
      </c>
      <c r="F1265" s="2" t="s">
        <v>47</v>
      </c>
      <c r="G1265" s="2">
        <v>4876.54</v>
      </c>
      <c r="H1265" s="2">
        <v>3108.98</v>
      </c>
      <c r="I1265" s="2" t="s">
        <v>53</v>
      </c>
      <c r="J1265" s="2" t="s">
        <v>6753</v>
      </c>
      <c r="K1265" s="2" t="s">
        <v>22</v>
      </c>
      <c r="L1265" s="2" t="s">
        <v>48</v>
      </c>
      <c r="M1265" s="2">
        <v>3</v>
      </c>
      <c r="N1265" s="2" t="s">
        <v>33</v>
      </c>
      <c r="O1265" s="2" t="s">
        <v>25</v>
      </c>
      <c r="P1265" s="2" t="s">
        <v>26</v>
      </c>
    </row>
    <row r="1266" spans="1:16" x14ac:dyDescent="0.25">
      <c r="A1266" s="2" t="s">
        <v>3097</v>
      </c>
      <c r="B1266" s="2" t="s">
        <v>8174</v>
      </c>
      <c r="C1266" s="2">
        <v>8869</v>
      </c>
      <c r="D1266" s="2" t="s">
        <v>8175</v>
      </c>
      <c r="E1266" s="2" t="s">
        <v>6743</v>
      </c>
      <c r="F1266" s="2" t="s">
        <v>58</v>
      </c>
      <c r="G1266" s="2">
        <v>41439.949999999997</v>
      </c>
      <c r="H1266" s="2">
        <v>24048.74</v>
      </c>
      <c r="I1266" s="2" t="s">
        <v>6726</v>
      </c>
      <c r="J1266" s="2" t="s">
        <v>21</v>
      </c>
      <c r="K1266" s="2" t="s">
        <v>42</v>
      </c>
      <c r="L1266" s="2" t="s">
        <v>55</v>
      </c>
      <c r="M1266" s="2">
        <v>3</v>
      </c>
      <c r="N1266" s="2" t="s">
        <v>33</v>
      </c>
      <c r="O1266" s="2" t="s">
        <v>70</v>
      </c>
      <c r="P1266" s="2" t="s">
        <v>34</v>
      </c>
    </row>
    <row r="1267" spans="1:16" x14ac:dyDescent="0.25">
      <c r="A1267" s="2" t="s">
        <v>3099</v>
      </c>
      <c r="B1267" s="2" t="s">
        <v>2386</v>
      </c>
      <c r="C1267" s="2">
        <v>1208</v>
      </c>
      <c r="D1267" s="2" t="s">
        <v>8176</v>
      </c>
      <c r="E1267" s="2" t="s">
        <v>6694</v>
      </c>
      <c r="F1267" s="2" t="s">
        <v>19</v>
      </c>
      <c r="G1267" s="2">
        <v>10694.91</v>
      </c>
      <c r="H1267" s="2">
        <v>5873.36</v>
      </c>
      <c r="I1267" s="2" t="s">
        <v>6726</v>
      </c>
      <c r="J1267" s="2" t="s">
        <v>21</v>
      </c>
      <c r="K1267" s="2" t="s">
        <v>32</v>
      </c>
      <c r="L1267" s="2" t="s">
        <v>55</v>
      </c>
      <c r="M1267" s="2">
        <v>4</v>
      </c>
      <c r="N1267" s="2" t="s">
        <v>69</v>
      </c>
      <c r="O1267" s="2" t="s">
        <v>25</v>
      </c>
      <c r="P1267" s="2" t="s">
        <v>26</v>
      </c>
    </row>
    <row r="1268" spans="1:16" x14ac:dyDescent="0.25">
      <c r="A1268" s="2" t="s">
        <v>3101</v>
      </c>
      <c r="B1268" s="2" t="s">
        <v>5107</v>
      </c>
      <c r="C1268" s="2">
        <v>2162</v>
      </c>
      <c r="D1268" s="2" t="s">
        <v>8177</v>
      </c>
      <c r="E1268" s="2" t="s">
        <v>18</v>
      </c>
      <c r="F1268" s="2" t="s">
        <v>47</v>
      </c>
      <c r="G1268" s="2">
        <v>13418.18</v>
      </c>
      <c r="H1268" s="2">
        <v>6557.13</v>
      </c>
      <c r="I1268" s="2" t="s">
        <v>53</v>
      </c>
      <c r="J1268" s="2" t="s">
        <v>54</v>
      </c>
      <c r="K1268" s="2" t="s">
        <v>80</v>
      </c>
      <c r="L1268" s="2" t="s">
        <v>55</v>
      </c>
      <c r="M1268" s="2">
        <v>2</v>
      </c>
      <c r="N1268" s="2" t="s">
        <v>33</v>
      </c>
      <c r="O1268" s="2" t="s">
        <v>25</v>
      </c>
      <c r="P1268" s="2" t="s">
        <v>34</v>
      </c>
    </row>
    <row r="1269" spans="1:16" x14ac:dyDescent="0.25">
      <c r="A1269" s="2" t="s">
        <v>3104</v>
      </c>
      <c r="B1269" s="2" t="s">
        <v>3144</v>
      </c>
      <c r="C1269" s="2">
        <v>8065</v>
      </c>
      <c r="D1269" s="2" t="s">
        <v>8178</v>
      </c>
      <c r="E1269" s="2" t="s">
        <v>18</v>
      </c>
      <c r="F1269" s="2" t="s">
        <v>39</v>
      </c>
      <c r="G1269" s="2">
        <v>29876.639999999999</v>
      </c>
      <c r="H1269" s="2">
        <v>19173.45</v>
      </c>
      <c r="I1269" s="2" t="s">
        <v>53</v>
      </c>
      <c r="J1269" s="2" t="s">
        <v>54</v>
      </c>
      <c r="K1269" s="2" t="s">
        <v>80</v>
      </c>
      <c r="L1269" s="2" t="s">
        <v>23</v>
      </c>
      <c r="M1269" s="2">
        <v>2</v>
      </c>
      <c r="N1269" s="2" t="s">
        <v>33</v>
      </c>
      <c r="O1269" s="2" t="s">
        <v>25</v>
      </c>
      <c r="P1269" s="2" t="s">
        <v>26</v>
      </c>
    </row>
    <row r="1270" spans="1:16" x14ac:dyDescent="0.25">
      <c r="A1270" s="2" t="s">
        <v>3106</v>
      </c>
      <c r="B1270" s="2" t="s">
        <v>8179</v>
      </c>
      <c r="C1270" s="2">
        <v>1558</v>
      </c>
      <c r="D1270" s="2" t="s">
        <v>8180</v>
      </c>
      <c r="E1270" s="2" t="s">
        <v>6680</v>
      </c>
      <c r="F1270" s="2" t="s">
        <v>58</v>
      </c>
      <c r="G1270" s="2">
        <v>14154.56</v>
      </c>
      <c r="H1270" s="2">
        <v>8337.25</v>
      </c>
      <c r="I1270" s="2" t="s">
        <v>120</v>
      </c>
      <c r="J1270" s="2" t="s">
        <v>6789</v>
      </c>
      <c r="K1270" s="2" t="s">
        <v>32</v>
      </c>
      <c r="L1270" s="2" t="s">
        <v>43</v>
      </c>
      <c r="M1270" s="2">
        <v>5</v>
      </c>
      <c r="N1270" s="2" t="s">
        <v>33</v>
      </c>
      <c r="O1270" s="2" t="s">
        <v>25</v>
      </c>
      <c r="P1270" s="2" t="s">
        <v>34</v>
      </c>
    </row>
    <row r="1271" spans="1:16" x14ac:dyDescent="0.25">
      <c r="A1271" s="2" t="s">
        <v>3109</v>
      </c>
      <c r="B1271" s="2" t="s">
        <v>8181</v>
      </c>
      <c r="C1271" s="2">
        <v>6258</v>
      </c>
      <c r="D1271" s="2" t="s">
        <v>8182</v>
      </c>
      <c r="E1271" s="2" t="s">
        <v>38</v>
      </c>
      <c r="F1271" s="2" t="s">
        <v>58</v>
      </c>
      <c r="G1271" s="2">
        <v>-17641.169999999998</v>
      </c>
      <c r="H1271" s="2">
        <v>10472.9</v>
      </c>
      <c r="I1271" s="2" t="s">
        <v>31</v>
      </c>
      <c r="J1271" s="2" t="s">
        <v>6789</v>
      </c>
      <c r="K1271" s="2" t="s">
        <v>80</v>
      </c>
      <c r="L1271" s="2" t="s">
        <v>48</v>
      </c>
      <c r="M1271" s="2">
        <v>3</v>
      </c>
      <c r="N1271" s="2" t="s">
        <v>33</v>
      </c>
      <c r="O1271" s="2" t="s">
        <v>70</v>
      </c>
      <c r="P1271" s="2" t="s">
        <v>34</v>
      </c>
    </row>
    <row r="1272" spans="1:16" x14ac:dyDescent="0.25">
      <c r="A1272" s="2" t="s">
        <v>3111</v>
      </c>
      <c r="B1272" s="2" t="s">
        <v>2967</v>
      </c>
      <c r="C1272" s="2">
        <v>9840</v>
      </c>
      <c r="D1272" s="2" t="s">
        <v>8183</v>
      </c>
      <c r="E1272" s="2" t="s">
        <v>6708</v>
      </c>
      <c r="F1272" s="2" t="s">
        <v>19</v>
      </c>
      <c r="G1272" s="2">
        <v>21333.99</v>
      </c>
      <c r="H1272" s="2">
        <v>13843.46</v>
      </c>
      <c r="I1272" s="2" t="s">
        <v>6808</v>
      </c>
      <c r="J1272" s="2" t="s">
        <v>6686</v>
      </c>
      <c r="K1272" s="2" t="s">
        <v>32</v>
      </c>
      <c r="L1272" s="2" t="s">
        <v>43</v>
      </c>
      <c r="M1272" s="2">
        <v>5</v>
      </c>
      <c r="N1272" s="2" t="s">
        <v>33</v>
      </c>
      <c r="O1272" s="2" t="s">
        <v>25</v>
      </c>
      <c r="P1272" s="2" t="s">
        <v>49</v>
      </c>
    </row>
    <row r="1273" spans="1:16" x14ac:dyDescent="0.25">
      <c r="A1273" s="2" t="s">
        <v>3114</v>
      </c>
      <c r="B1273" s="2" t="s">
        <v>8184</v>
      </c>
      <c r="C1273" s="2">
        <v>7542</v>
      </c>
      <c r="D1273" s="2" t="s">
        <v>8185</v>
      </c>
      <c r="E1273" s="2" t="s">
        <v>6748</v>
      </c>
      <c r="F1273" s="2" t="s">
        <v>30</v>
      </c>
      <c r="G1273" s="2">
        <v>72336.210000000006</v>
      </c>
      <c r="H1273" s="2">
        <v>42582.49</v>
      </c>
      <c r="I1273" s="2" t="s">
        <v>6915</v>
      </c>
      <c r="J1273" s="2" t="s">
        <v>21</v>
      </c>
      <c r="K1273" s="2" t="s">
        <v>22</v>
      </c>
      <c r="L1273" s="2" t="s">
        <v>48</v>
      </c>
      <c r="M1273" s="2">
        <v>4</v>
      </c>
      <c r="N1273" s="2" t="s">
        <v>24</v>
      </c>
      <c r="O1273" s="2" t="s">
        <v>25</v>
      </c>
      <c r="P1273" s="2" t="s">
        <v>34</v>
      </c>
    </row>
    <row r="1274" spans="1:16" x14ac:dyDescent="0.25">
      <c r="A1274" s="2" t="s">
        <v>3115</v>
      </c>
      <c r="B1274" s="2" t="s">
        <v>8186</v>
      </c>
      <c r="C1274" s="2">
        <v>4337</v>
      </c>
      <c r="D1274" s="2" t="s">
        <v>8187</v>
      </c>
      <c r="E1274" s="2" t="s">
        <v>18</v>
      </c>
      <c r="F1274" s="2" t="s">
        <v>39</v>
      </c>
      <c r="G1274" s="2">
        <v>13728.01</v>
      </c>
      <c r="H1274" s="2">
        <v>7323.96</v>
      </c>
      <c r="I1274" s="2" t="s">
        <v>59</v>
      </c>
      <c r="J1274" s="2" t="s">
        <v>41</v>
      </c>
      <c r="K1274" s="2" t="s">
        <v>32</v>
      </c>
      <c r="L1274" s="2" t="s">
        <v>55</v>
      </c>
      <c r="M1274" s="2">
        <v>2</v>
      </c>
      <c r="N1274" s="2" t="s">
        <v>24</v>
      </c>
      <c r="O1274" s="2" t="s">
        <v>25</v>
      </c>
      <c r="P1274" s="2" t="s">
        <v>34</v>
      </c>
    </row>
    <row r="1275" spans="1:16" x14ac:dyDescent="0.25">
      <c r="A1275" s="2" t="s">
        <v>3117</v>
      </c>
      <c r="B1275" s="2" t="s">
        <v>594</v>
      </c>
      <c r="C1275" s="2">
        <v>1697</v>
      </c>
      <c r="D1275" s="2" t="s">
        <v>6166</v>
      </c>
      <c r="E1275" s="2" t="s">
        <v>38</v>
      </c>
      <c r="F1275" s="2" t="s">
        <v>47</v>
      </c>
      <c r="G1275" s="2">
        <v>18631.25</v>
      </c>
      <c r="H1275" s="2">
        <v>8542.65</v>
      </c>
      <c r="I1275" s="2" t="s">
        <v>31</v>
      </c>
      <c r="J1275" s="2" t="s">
        <v>21</v>
      </c>
      <c r="K1275" s="2" t="s">
        <v>32</v>
      </c>
      <c r="L1275" s="2" t="s">
        <v>55</v>
      </c>
      <c r="M1275" s="2">
        <v>1</v>
      </c>
      <c r="N1275" s="2" t="s">
        <v>24</v>
      </c>
      <c r="O1275" s="2" t="s">
        <v>70</v>
      </c>
      <c r="P1275" s="2" t="s">
        <v>49</v>
      </c>
    </row>
    <row r="1276" spans="1:16" x14ac:dyDescent="0.25">
      <c r="A1276" s="2" t="s">
        <v>3119</v>
      </c>
      <c r="B1276" s="2" t="s">
        <v>1107</v>
      </c>
      <c r="C1276" s="2">
        <v>2505</v>
      </c>
      <c r="D1276" s="2" t="s">
        <v>365</v>
      </c>
      <c r="E1276" s="2" t="s">
        <v>6743</v>
      </c>
      <c r="F1276" s="2" t="s">
        <v>47</v>
      </c>
      <c r="G1276" s="2">
        <v>8257.0300000000007</v>
      </c>
      <c r="H1276" s="2">
        <v>5219.22</v>
      </c>
      <c r="I1276" s="2" t="s">
        <v>6761</v>
      </c>
      <c r="J1276" s="2" t="s">
        <v>6732</v>
      </c>
      <c r="K1276" s="2" t="s">
        <v>80</v>
      </c>
      <c r="L1276" s="2" t="s">
        <v>64</v>
      </c>
      <c r="M1276" s="2">
        <v>1</v>
      </c>
      <c r="N1276" s="2" t="s">
        <v>33</v>
      </c>
      <c r="O1276" s="2" t="s">
        <v>25</v>
      </c>
      <c r="P1276" s="2" t="s">
        <v>49</v>
      </c>
    </row>
    <row r="1277" spans="1:16" x14ac:dyDescent="0.25">
      <c r="A1277" s="2" t="s">
        <v>3122</v>
      </c>
      <c r="B1277" s="2" t="s">
        <v>7414</v>
      </c>
      <c r="C1277" s="2">
        <v>5837</v>
      </c>
      <c r="D1277" s="2" t="s">
        <v>6982</v>
      </c>
      <c r="E1277" s="2" t="s">
        <v>38</v>
      </c>
      <c r="F1277" s="2" t="s">
        <v>58</v>
      </c>
      <c r="G1277" s="2">
        <v>51822.66</v>
      </c>
      <c r="H1277" s="2">
        <v>30287.61</v>
      </c>
      <c r="I1277" s="2" t="s">
        <v>84</v>
      </c>
      <c r="J1277" s="2" t="s">
        <v>54</v>
      </c>
      <c r="K1277" s="2" t="s">
        <v>32</v>
      </c>
      <c r="L1277" s="2" t="s">
        <v>23</v>
      </c>
      <c r="M1277" s="2">
        <v>1</v>
      </c>
      <c r="N1277" s="2" t="s">
        <v>33</v>
      </c>
      <c r="O1277" s="2" t="s">
        <v>70</v>
      </c>
      <c r="P1277" s="2" t="s">
        <v>34</v>
      </c>
    </row>
    <row r="1278" spans="1:16" x14ac:dyDescent="0.25">
      <c r="A1278" s="2" t="s">
        <v>3125</v>
      </c>
      <c r="B1278" s="2" t="s">
        <v>2874</v>
      </c>
      <c r="C1278" s="2">
        <v>9713</v>
      </c>
      <c r="D1278" s="2" t="s">
        <v>8188</v>
      </c>
      <c r="E1278" s="2" t="s">
        <v>18</v>
      </c>
      <c r="F1278" s="2" t="s">
        <v>39</v>
      </c>
      <c r="G1278" s="2">
        <v>37311.620000000003</v>
      </c>
      <c r="H1278" s="2">
        <v>23471.99</v>
      </c>
      <c r="I1278" s="2" t="s">
        <v>120</v>
      </c>
      <c r="J1278" s="2" t="s">
        <v>21</v>
      </c>
      <c r="K1278" s="2" t="s">
        <v>22</v>
      </c>
      <c r="L1278" s="2" t="s">
        <v>64</v>
      </c>
      <c r="M1278" s="2">
        <v>1</v>
      </c>
      <c r="N1278" s="2" t="s">
        <v>33</v>
      </c>
      <c r="O1278" s="2" t="s">
        <v>70</v>
      </c>
      <c r="P1278" s="2" t="s">
        <v>49</v>
      </c>
    </row>
    <row r="1279" spans="1:16" x14ac:dyDescent="0.25">
      <c r="A1279" s="2" t="s">
        <v>3127</v>
      </c>
      <c r="B1279" s="2" t="s">
        <v>3093</v>
      </c>
      <c r="C1279" s="2">
        <v>7687</v>
      </c>
      <c r="D1279" s="2" t="s">
        <v>891</v>
      </c>
      <c r="E1279" s="2" t="s">
        <v>18</v>
      </c>
      <c r="F1279" s="2" t="s">
        <v>39</v>
      </c>
      <c r="G1279" s="2">
        <v>44752.160000000003</v>
      </c>
      <c r="H1279" s="2">
        <v>21747.78</v>
      </c>
      <c r="I1279" s="2" t="s">
        <v>31</v>
      </c>
      <c r="J1279" s="2" t="s">
        <v>21</v>
      </c>
      <c r="K1279" s="2" t="s">
        <v>42</v>
      </c>
      <c r="L1279" s="2" t="s">
        <v>48</v>
      </c>
      <c r="M1279" s="2">
        <v>5</v>
      </c>
      <c r="N1279" s="2" t="s">
        <v>33</v>
      </c>
      <c r="O1279" s="2" t="s">
        <v>25</v>
      </c>
      <c r="P1279" s="2" t="s">
        <v>26</v>
      </c>
    </row>
    <row r="1280" spans="1:16" x14ac:dyDescent="0.25">
      <c r="A1280" s="2" t="s">
        <v>3129</v>
      </c>
      <c r="B1280" s="2" t="s">
        <v>6634</v>
      </c>
      <c r="C1280" s="2">
        <v>7127</v>
      </c>
      <c r="D1280" s="2" t="s">
        <v>1855</v>
      </c>
      <c r="E1280" s="2" t="s">
        <v>6708</v>
      </c>
      <c r="F1280" s="2" t="s">
        <v>58</v>
      </c>
      <c r="G1280" s="2">
        <v>52549.46</v>
      </c>
      <c r="H1280" s="2">
        <v>33182</v>
      </c>
      <c r="I1280" s="2" t="s">
        <v>6759</v>
      </c>
      <c r="J1280" s="2" t="s">
        <v>6729</v>
      </c>
      <c r="K1280" s="2" t="s">
        <v>22</v>
      </c>
      <c r="L1280" s="2" t="s">
        <v>23</v>
      </c>
      <c r="M1280" s="2">
        <v>4</v>
      </c>
      <c r="N1280" s="2" t="s">
        <v>24</v>
      </c>
      <c r="O1280" s="2" t="s">
        <v>25</v>
      </c>
      <c r="P1280" s="2" t="s">
        <v>26</v>
      </c>
    </row>
    <row r="1281" spans="1:16" x14ac:dyDescent="0.25">
      <c r="A1281" s="2" t="s">
        <v>3131</v>
      </c>
      <c r="B1281" s="2" t="s">
        <v>8189</v>
      </c>
      <c r="C1281" s="2">
        <v>2437</v>
      </c>
      <c r="D1281" s="2" t="s">
        <v>3297</v>
      </c>
      <c r="E1281" s="2" t="s">
        <v>6748</v>
      </c>
      <c r="F1281" s="2" t="s">
        <v>39</v>
      </c>
      <c r="G1281" s="2" t="s">
        <v>8190</v>
      </c>
      <c r="H1281" s="2">
        <v>7267.62</v>
      </c>
      <c r="I1281" s="2" t="s">
        <v>6720</v>
      </c>
      <c r="J1281" s="2" t="s">
        <v>6729</v>
      </c>
      <c r="K1281" s="2" t="s">
        <v>22</v>
      </c>
      <c r="L1281" s="2" t="s">
        <v>55</v>
      </c>
      <c r="M1281" s="2">
        <v>2</v>
      </c>
      <c r="N1281" s="2" t="s">
        <v>24</v>
      </c>
      <c r="O1281" s="2" t="s">
        <v>25</v>
      </c>
      <c r="P1281" s="2" t="s">
        <v>26</v>
      </c>
    </row>
    <row r="1282" spans="1:16" x14ac:dyDescent="0.25">
      <c r="A1282" s="2" t="s">
        <v>3133</v>
      </c>
      <c r="B1282" s="2" t="s">
        <v>8191</v>
      </c>
      <c r="C1282" s="2">
        <v>8659</v>
      </c>
      <c r="D1282" s="2" t="s">
        <v>8192</v>
      </c>
      <c r="E1282" s="2" t="s">
        <v>6708</v>
      </c>
      <c r="F1282" s="2" t="s">
        <v>39</v>
      </c>
      <c r="G1282" s="2">
        <v>20191.82</v>
      </c>
      <c r="H1282" s="2">
        <v>9539.08</v>
      </c>
      <c r="I1282" s="2" t="s">
        <v>6812</v>
      </c>
      <c r="J1282" s="2" t="s">
        <v>6700</v>
      </c>
      <c r="K1282" s="2" t="s">
        <v>32</v>
      </c>
      <c r="L1282" s="2" t="s">
        <v>64</v>
      </c>
      <c r="M1282" s="2">
        <v>1</v>
      </c>
      <c r="N1282" s="2" t="s">
        <v>33</v>
      </c>
      <c r="O1282" s="2" t="s">
        <v>70</v>
      </c>
      <c r="P1282" s="2" t="s">
        <v>34</v>
      </c>
    </row>
    <row r="1283" spans="1:16" x14ac:dyDescent="0.25">
      <c r="A1283" s="2" t="s">
        <v>3136</v>
      </c>
      <c r="B1283" s="2" t="s">
        <v>4017</v>
      </c>
      <c r="C1283" s="2">
        <v>5612</v>
      </c>
      <c r="D1283" s="2" t="s">
        <v>8193</v>
      </c>
      <c r="E1283" s="2" t="s">
        <v>38</v>
      </c>
      <c r="F1283" s="2" t="s">
        <v>30</v>
      </c>
      <c r="G1283" s="2">
        <v>50731.11</v>
      </c>
      <c r="H1283" s="2">
        <v>25113.21</v>
      </c>
      <c r="I1283" s="2" t="s">
        <v>40</v>
      </c>
      <c r="J1283" s="2" t="s">
        <v>41</v>
      </c>
      <c r="K1283" s="2" t="s">
        <v>22</v>
      </c>
      <c r="L1283" s="2" t="s">
        <v>55</v>
      </c>
      <c r="M1283" s="2">
        <v>5</v>
      </c>
      <c r="N1283" s="2" t="s">
        <v>33</v>
      </c>
      <c r="O1283" s="2" t="s">
        <v>25</v>
      </c>
      <c r="P1283" s="2" t="s">
        <v>49</v>
      </c>
    </row>
    <row r="1284" spans="1:16" x14ac:dyDescent="0.25">
      <c r="A1284" s="2" t="s">
        <v>3138</v>
      </c>
      <c r="B1284" s="2" t="s">
        <v>5133</v>
      </c>
      <c r="C1284" s="2">
        <v>7523</v>
      </c>
      <c r="D1284" s="2" t="s">
        <v>8194</v>
      </c>
      <c r="E1284" s="2" t="s">
        <v>38</v>
      </c>
      <c r="F1284" s="2" t="s">
        <v>39</v>
      </c>
      <c r="G1284" s="2">
        <v>12421.26</v>
      </c>
      <c r="H1284" s="2">
        <v>6006.61</v>
      </c>
      <c r="I1284" s="2" t="s">
        <v>84</v>
      </c>
      <c r="J1284" s="2" t="s">
        <v>54</v>
      </c>
      <c r="K1284" s="2" t="s">
        <v>42</v>
      </c>
      <c r="L1284" s="2" t="s">
        <v>23</v>
      </c>
      <c r="M1284" s="2">
        <v>1</v>
      </c>
      <c r="N1284" s="2" t="s">
        <v>24</v>
      </c>
      <c r="O1284" s="2" t="s">
        <v>25</v>
      </c>
      <c r="P1284" s="2" t="s">
        <v>34</v>
      </c>
    </row>
    <row r="1285" spans="1:16" x14ac:dyDescent="0.25">
      <c r="A1285" s="2" t="s">
        <v>3140</v>
      </c>
      <c r="B1285" s="2" t="s">
        <v>1797</v>
      </c>
      <c r="C1285" s="2">
        <v>6072</v>
      </c>
      <c r="D1285" s="2" t="s">
        <v>8195</v>
      </c>
      <c r="E1285" s="2" t="s">
        <v>38</v>
      </c>
      <c r="F1285" s="2" t="s">
        <v>47</v>
      </c>
      <c r="G1285" s="2">
        <v>3457.25</v>
      </c>
      <c r="H1285" s="2">
        <v>1563.01</v>
      </c>
      <c r="I1285" s="2" t="s">
        <v>6720</v>
      </c>
      <c r="J1285" s="2" t="s">
        <v>54</v>
      </c>
      <c r="K1285" s="2" t="s">
        <v>80</v>
      </c>
      <c r="L1285" s="2" t="s">
        <v>48</v>
      </c>
      <c r="M1285" s="2">
        <v>2</v>
      </c>
      <c r="N1285" s="2" t="s">
        <v>24</v>
      </c>
      <c r="O1285" s="2" t="s">
        <v>70</v>
      </c>
      <c r="P1285" s="2" t="s">
        <v>34</v>
      </c>
    </row>
    <row r="1286" spans="1:16" x14ac:dyDescent="0.25">
      <c r="A1286" s="2" t="s">
        <v>3143</v>
      </c>
      <c r="B1286" s="2" t="s">
        <v>8196</v>
      </c>
      <c r="C1286" s="2">
        <v>2477</v>
      </c>
      <c r="D1286" s="2" t="s">
        <v>8197</v>
      </c>
      <c r="E1286" s="2" t="s">
        <v>38</v>
      </c>
      <c r="F1286" s="2" t="s">
        <v>19</v>
      </c>
      <c r="G1286" s="2">
        <v>9636.51</v>
      </c>
      <c r="H1286" s="2">
        <v>4517.38</v>
      </c>
      <c r="I1286" s="2" t="s">
        <v>6808</v>
      </c>
      <c r="J1286" s="2" t="s">
        <v>6729</v>
      </c>
      <c r="K1286" s="2" t="s">
        <v>80</v>
      </c>
      <c r="L1286" s="2" t="s">
        <v>55</v>
      </c>
      <c r="M1286" s="2">
        <v>3</v>
      </c>
      <c r="N1286" s="2" t="s">
        <v>24</v>
      </c>
      <c r="O1286" s="2" t="s">
        <v>25</v>
      </c>
      <c r="P1286" s="2" t="s">
        <v>34</v>
      </c>
    </row>
    <row r="1287" spans="1:16" x14ac:dyDescent="0.25">
      <c r="A1287" s="2" t="s">
        <v>3146</v>
      </c>
      <c r="B1287" s="2" t="s">
        <v>8198</v>
      </c>
      <c r="C1287" s="2">
        <v>5328</v>
      </c>
      <c r="D1287" s="2" t="s">
        <v>8199</v>
      </c>
      <c r="E1287" s="2" t="s">
        <v>6748</v>
      </c>
      <c r="F1287" s="2" t="s">
        <v>30</v>
      </c>
      <c r="G1287" s="2">
        <v>27606.97</v>
      </c>
      <c r="H1287" s="2">
        <v>16177.74</v>
      </c>
      <c r="I1287" s="2" t="s">
        <v>6794</v>
      </c>
      <c r="J1287" s="2" t="s">
        <v>6724</v>
      </c>
      <c r="K1287" s="2" t="s">
        <v>42</v>
      </c>
      <c r="L1287" s="2" t="s">
        <v>48</v>
      </c>
      <c r="M1287" s="2">
        <v>4</v>
      </c>
      <c r="N1287" s="2" t="s">
        <v>24</v>
      </c>
      <c r="O1287" s="2" t="s">
        <v>25</v>
      </c>
      <c r="P1287" s="2" t="s">
        <v>34</v>
      </c>
    </row>
    <row r="1288" spans="1:16" x14ac:dyDescent="0.25">
      <c r="A1288" s="2" t="s">
        <v>3148</v>
      </c>
      <c r="B1288" s="2" t="s">
        <v>2499</v>
      </c>
      <c r="C1288" s="2">
        <v>6408</v>
      </c>
      <c r="D1288" s="2" t="s">
        <v>8200</v>
      </c>
      <c r="E1288" s="2" t="s">
        <v>6680</v>
      </c>
      <c r="F1288" s="2" t="s">
        <v>47</v>
      </c>
      <c r="G1288" s="2">
        <v>10173.51</v>
      </c>
      <c r="H1288" s="2">
        <v>5704.75</v>
      </c>
      <c r="I1288" s="2" t="s">
        <v>59</v>
      </c>
      <c r="J1288" s="2" t="s">
        <v>6682</v>
      </c>
      <c r="K1288" s="2" t="s">
        <v>32</v>
      </c>
      <c r="L1288" s="2" t="s">
        <v>88</v>
      </c>
      <c r="M1288" s="2">
        <v>5</v>
      </c>
      <c r="N1288" s="2" t="s">
        <v>24</v>
      </c>
      <c r="O1288" s="2" t="s">
        <v>70</v>
      </c>
      <c r="P1288" s="2" t="s">
        <v>49</v>
      </c>
    </row>
    <row r="1289" spans="1:16" x14ac:dyDescent="0.25">
      <c r="A1289" s="2" t="s">
        <v>3150</v>
      </c>
      <c r="B1289" s="2" t="s">
        <v>8201</v>
      </c>
      <c r="C1289" s="2">
        <v>8766</v>
      </c>
      <c r="D1289" s="2" t="s">
        <v>6152</v>
      </c>
      <c r="E1289" s="2" t="s">
        <v>6703</v>
      </c>
      <c r="F1289" s="2" t="s">
        <v>19</v>
      </c>
      <c r="G1289" s="2">
        <v>14199.85</v>
      </c>
      <c r="H1289" s="2">
        <v>7083.91</v>
      </c>
      <c r="I1289" s="2" t="s">
        <v>6918</v>
      </c>
      <c r="J1289" s="2" t="s">
        <v>6802</v>
      </c>
      <c r="K1289" s="2" t="s">
        <v>22</v>
      </c>
      <c r="L1289" s="2" t="s">
        <v>48</v>
      </c>
      <c r="M1289" s="2">
        <v>1</v>
      </c>
      <c r="N1289" s="2" t="s">
        <v>24</v>
      </c>
      <c r="O1289" s="2" t="s">
        <v>25</v>
      </c>
      <c r="P1289" s="2" t="s">
        <v>49</v>
      </c>
    </row>
    <row r="1290" spans="1:16" x14ac:dyDescent="0.25">
      <c r="A1290" s="2" t="s">
        <v>3152</v>
      </c>
      <c r="B1290" s="2" t="s">
        <v>3083</v>
      </c>
      <c r="C1290" s="2">
        <v>3183</v>
      </c>
      <c r="D1290" s="2" t="s">
        <v>8202</v>
      </c>
      <c r="E1290" s="2" t="s">
        <v>32</v>
      </c>
      <c r="F1290" s="2" t="s">
        <v>19</v>
      </c>
      <c r="G1290" s="2">
        <v>10091.31</v>
      </c>
      <c r="H1290" s="2">
        <v>6278.03</v>
      </c>
      <c r="I1290" s="2" t="s">
        <v>6749</v>
      </c>
      <c r="J1290" s="2" t="s">
        <v>6732</v>
      </c>
      <c r="K1290" s="2" t="s">
        <v>42</v>
      </c>
      <c r="L1290" s="2" t="s">
        <v>88</v>
      </c>
      <c r="M1290" s="2">
        <v>1</v>
      </c>
      <c r="N1290" s="2" t="s">
        <v>33</v>
      </c>
      <c r="O1290" s="2" t="s">
        <v>25</v>
      </c>
      <c r="P1290" s="2" t="s">
        <v>26</v>
      </c>
    </row>
    <row r="1291" spans="1:16" x14ac:dyDescent="0.25">
      <c r="A1291" s="2" t="s">
        <v>3154</v>
      </c>
      <c r="B1291" s="2" t="s">
        <v>1594</v>
      </c>
      <c r="C1291" s="2">
        <v>4879</v>
      </c>
      <c r="D1291" s="2" t="s">
        <v>8203</v>
      </c>
      <c r="E1291" s="2" t="s">
        <v>6756</v>
      </c>
      <c r="F1291" s="2" t="s">
        <v>19</v>
      </c>
      <c r="G1291" s="2">
        <v>6745.6</v>
      </c>
      <c r="H1291" s="2">
        <v>3757.19</v>
      </c>
      <c r="I1291" s="2" t="s">
        <v>31</v>
      </c>
      <c r="J1291" s="2" t="s">
        <v>6724</v>
      </c>
      <c r="K1291" s="2" t="s">
        <v>42</v>
      </c>
      <c r="L1291" s="2" t="s">
        <v>48</v>
      </c>
      <c r="M1291" s="2">
        <v>2</v>
      </c>
      <c r="N1291" s="2" t="s">
        <v>33</v>
      </c>
      <c r="O1291" s="2" t="s">
        <v>25</v>
      </c>
      <c r="P1291" s="2" t="s">
        <v>26</v>
      </c>
    </row>
    <row r="1292" spans="1:16" x14ac:dyDescent="0.25">
      <c r="A1292" s="2" t="s">
        <v>3156</v>
      </c>
      <c r="B1292" s="2" t="s">
        <v>507</v>
      </c>
      <c r="C1292" s="2">
        <v>3265</v>
      </c>
      <c r="D1292" s="2" t="s">
        <v>8204</v>
      </c>
      <c r="E1292" s="2" t="s">
        <v>18</v>
      </c>
      <c r="F1292" s="2" t="s">
        <v>19</v>
      </c>
      <c r="G1292" s="2">
        <v>14825.82</v>
      </c>
      <c r="H1292" s="2">
        <v>8138.32</v>
      </c>
      <c r="I1292" s="2" t="s">
        <v>20</v>
      </c>
      <c r="J1292" s="2" t="s">
        <v>21</v>
      </c>
      <c r="K1292" s="2" t="s">
        <v>22</v>
      </c>
      <c r="L1292" s="2" t="s">
        <v>43</v>
      </c>
      <c r="M1292" s="2">
        <v>5</v>
      </c>
      <c r="N1292" s="2" t="s">
        <v>24</v>
      </c>
      <c r="O1292" s="2" t="s">
        <v>70</v>
      </c>
      <c r="P1292" s="2" t="s">
        <v>26</v>
      </c>
    </row>
    <row r="1293" spans="1:16" x14ac:dyDescent="0.25">
      <c r="A1293" s="2" t="s">
        <v>3158</v>
      </c>
      <c r="B1293" s="2" t="s">
        <v>8205</v>
      </c>
      <c r="C1293" s="2">
        <v>6604</v>
      </c>
      <c r="D1293" s="2" t="s">
        <v>5430</v>
      </c>
      <c r="E1293" s="2" t="s">
        <v>18</v>
      </c>
      <c r="F1293" s="2" t="s">
        <v>47</v>
      </c>
      <c r="G1293" s="2">
        <v>13708.74</v>
      </c>
      <c r="H1293" s="2">
        <v>6326.8</v>
      </c>
      <c r="I1293" s="2" t="s">
        <v>120</v>
      </c>
      <c r="J1293" s="2" t="s">
        <v>6795</v>
      </c>
      <c r="K1293" s="2" t="s">
        <v>80</v>
      </c>
      <c r="L1293" s="2" t="s">
        <v>88</v>
      </c>
      <c r="M1293" s="2">
        <v>4</v>
      </c>
      <c r="N1293" s="2" t="s">
        <v>24</v>
      </c>
      <c r="O1293" s="2" t="s">
        <v>70</v>
      </c>
      <c r="P1293" s="2" t="s">
        <v>26</v>
      </c>
    </row>
    <row r="1294" spans="1:16" x14ac:dyDescent="0.25">
      <c r="A1294" s="2" t="s">
        <v>3161</v>
      </c>
      <c r="B1294" s="2" t="s">
        <v>5978</v>
      </c>
      <c r="C1294" s="2">
        <v>8086</v>
      </c>
      <c r="D1294" s="2" t="s">
        <v>8206</v>
      </c>
      <c r="E1294" s="2" t="s">
        <v>18</v>
      </c>
      <c r="F1294" s="2" t="s">
        <v>47</v>
      </c>
      <c r="G1294" s="2">
        <v>8874.09</v>
      </c>
      <c r="H1294" s="2">
        <v>4867.91</v>
      </c>
      <c r="I1294" s="2" t="s">
        <v>59</v>
      </c>
      <c r="J1294" s="2" t="s">
        <v>41</v>
      </c>
      <c r="K1294" s="2" t="s">
        <v>80</v>
      </c>
      <c r="L1294" s="2" t="s">
        <v>64</v>
      </c>
      <c r="M1294" s="2">
        <v>2</v>
      </c>
      <c r="N1294" s="2" t="s">
        <v>33</v>
      </c>
      <c r="O1294" s="2" t="s">
        <v>25</v>
      </c>
      <c r="P1294" s="2" t="s">
        <v>49</v>
      </c>
    </row>
    <row r="1295" spans="1:16" x14ac:dyDescent="0.25">
      <c r="A1295" s="2" t="s">
        <v>3163</v>
      </c>
      <c r="B1295" s="2" t="s">
        <v>679</v>
      </c>
      <c r="C1295" s="2">
        <v>8257</v>
      </c>
      <c r="D1295" s="2" t="s">
        <v>3702</v>
      </c>
      <c r="E1295" s="2" t="s">
        <v>18</v>
      </c>
      <c r="F1295" s="2" t="s">
        <v>39</v>
      </c>
      <c r="G1295" s="2">
        <v>10381.549999999999</v>
      </c>
      <c r="H1295" s="2">
        <v>5422.3</v>
      </c>
      <c r="I1295" s="2" t="s">
        <v>59</v>
      </c>
      <c r="J1295" s="2" t="s">
        <v>41</v>
      </c>
      <c r="K1295" s="2" t="s">
        <v>32</v>
      </c>
      <c r="L1295" s="2" t="s">
        <v>64</v>
      </c>
      <c r="M1295" s="2">
        <v>1</v>
      </c>
      <c r="N1295" s="2" t="s">
        <v>33</v>
      </c>
      <c r="O1295" s="2" t="s">
        <v>25</v>
      </c>
      <c r="P1295" s="2" t="s">
        <v>49</v>
      </c>
    </row>
    <row r="1296" spans="1:16" x14ac:dyDescent="0.25">
      <c r="A1296" s="2" t="s">
        <v>3166</v>
      </c>
      <c r="B1296" s="2" t="s">
        <v>6840</v>
      </c>
      <c r="C1296" s="2">
        <v>8748</v>
      </c>
      <c r="D1296" s="2" t="s">
        <v>3705</v>
      </c>
      <c r="E1296" s="2" t="s">
        <v>38</v>
      </c>
      <c r="F1296" s="2" t="s">
        <v>39</v>
      </c>
      <c r="G1296" s="2">
        <v>46532.27</v>
      </c>
      <c r="H1296" s="2">
        <v>22170.55</v>
      </c>
      <c r="I1296" s="2" t="s">
        <v>84</v>
      </c>
      <c r="J1296" s="2" t="s">
        <v>54</v>
      </c>
      <c r="K1296" s="2" t="s">
        <v>80</v>
      </c>
      <c r="L1296" s="2" t="s">
        <v>88</v>
      </c>
      <c r="M1296" s="2">
        <v>1</v>
      </c>
      <c r="N1296" s="2" t="s">
        <v>24</v>
      </c>
      <c r="O1296" s="2" t="s">
        <v>70</v>
      </c>
      <c r="P1296" s="2" t="s">
        <v>34</v>
      </c>
    </row>
    <row r="1297" spans="1:16" x14ac:dyDescent="0.25">
      <c r="A1297" s="2" t="s">
        <v>3169</v>
      </c>
      <c r="B1297" s="2" t="s">
        <v>2409</v>
      </c>
      <c r="C1297" s="2">
        <v>1039</v>
      </c>
      <c r="D1297" s="2" t="s">
        <v>193</v>
      </c>
      <c r="E1297" s="2" t="s">
        <v>38</v>
      </c>
      <c r="F1297" s="2" t="s">
        <v>30</v>
      </c>
      <c r="G1297" s="2">
        <v>87143.61</v>
      </c>
      <c r="H1297" s="2">
        <v>39455.03</v>
      </c>
      <c r="I1297" s="2" t="s">
        <v>63</v>
      </c>
      <c r="J1297" s="2" t="s">
        <v>54</v>
      </c>
      <c r="K1297" s="2" t="s">
        <v>22</v>
      </c>
      <c r="L1297" s="2" t="s">
        <v>23</v>
      </c>
      <c r="M1297" s="2">
        <v>4</v>
      </c>
      <c r="N1297" s="2" t="s">
        <v>33</v>
      </c>
      <c r="O1297" s="2" t="s">
        <v>25</v>
      </c>
      <c r="P1297" s="2" t="s">
        <v>34</v>
      </c>
    </row>
    <row r="1298" spans="1:16" x14ac:dyDescent="0.25">
      <c r="A1298" s="2" t="s">
        <v>3171</v>
      </c>
      <c r="B1298" s="2" t="s">
        <v>1162</v>
      </c>
      <c r="C1298" s="2">
        <v>5632</v>
      </c>
      <c r="D1298" s="2" t="s">
        <v>8207</v>
      </c>
      <c r="E1298" s="2" t="s">
        <v>38</v>
      </c>
      <c r="F1298" s="2" t="s">
        <v>47</v>
      </c>
      <c r="G1298" s="2">
        <v>7301.03</v>
      </c>
      <c r="H1298" s="2">
        <v>4154.3</v>
      </c>
      <c r="I1298" s="2" t="s">
        <v>120</v>
      </c>
      <c r="J1298" s="2" t="s">
        <v>21</v>
      </c>
      <c r="K1298" s="2" t="s">
        <v>32</v>
      </c>
      <c r="L1298" s="2" t="s">
        <v>55</v>
      </c>
      <c r="M1298" s="2">
        <v>5</v>
      </c>
      <c r="N1298" s="2" t="s">
        <v>69</v>
      </c>
      <c r="O1298" s="2" t="s">
        <v>70</v>
      </c>
      <c r="P1298" s="2" t="s">
        <v>49</v>
      </c>
    </row>
    <row r="1299" spans="1:16" x14ac:dyDescent="0.25">
      <c r="A1299" s="2" t="s">
        <v>3173</v>
      </c>
      <c r="B1299" s="2" t="s">
        <v>8208</v>
      </c>
      <c r="C1299" s="2">
        <v>2267</v>
      </c>
      <c r="D1299" s="2" t="s">
        <v>8209</v>
      </c>
      <c r="E1299" s="2" t="s">
        <v>6748</v>
      </c>
      <c r="F1299" s="2" t="s">
        <v>30</v>
      </c>
      <c r="G1299" s="2">
        <v>64064.4</v>
      </c>
      <c r="H1299" s="2">
        <v>37875.72</v>
      </c>
      <c r="I1299" s="2" t="s">
        <v>6867</v>
      </c>
      <c r="J1299" s="2" t="s">
        <v>6802</v>
      </c>
      <c r="K1299" s="2" t="s">
        <v>80</v>
      </c>
      <c r="L1299" s="2" t="s">
        <v>55</v>
      </c>
      <c r="M1299" s="2">
        <v>5</v>
      </c>
      <c r="N1299" s="2" t="s">
        <v>24</v>
      </c>
      <c r="O1299" s="2" t="s">
        <v>70</v>
      </c>
      <c r="P1299" s="2" t="s">
        <v>34</v>
      </c>
    </row>
    <row r="1300" spans="1:16" x14ac:dyDescent="0.25">
      <c r="A1300" s="2" t="s">
        <v>3176</v>
      </c>
      <c r="B1300" s="2" t="s">
        <v>6037</v>
      </c>
      <c r="C1300" s="2">
        <v>5214</v>
      </c>
      <c r="D1300" s="2" t="s">
        <v>8210</v>
      </c>
      <c r="E1300" s="2" t="s">
        <v>6748</v>
      </c>
      <c r="F1300" s="2" t="s">
        <v>39</v>
      </c>
      <c r="G1300" s="2">
        <v>6596.32</v>
      </c>
      <c r="H1300" s="2">
        <v>3101.38</v>
      </c>
      <c r="I1300" s="2" t="s">
        <v>59</v>
      </c>
      <c r="J1300" s="2" t="s">
        <v>6705</v>
      </c>
      <c r="K1300" s="2" t="s">
        <v>22</v>
      </c>
      <c r="L1300" s="2" t="s">
        <v>48</v>
      </c>
      <c r="M1300" s="2">
        <v>1</v>
      </c>
      <c r="N1300" s="2" t="s">
        <v>33</v>
      </c>
      <c r="O1300" s="2" t="s">
        <v>25</v>
      </c>
      <c r="P1300" s="2" t="s">
        <v>34</v>
      </c>
    </row>
    <row r="1301" spans="1:16" x14ac:dyDescent="0.25">
      <c r="A1301" s="2" t="s">
        <v>3178</v>
      </c>
      <c r="B1301" s="2" t="s">
        <v>3242</v>
      </c>
      <c r="C1301" s="2">
        <v>4163</v>
      </c>
      <c r="D1301" s="2" t="s">
        <v>8211</v>
      </c>
      <c r="E1301" s="2" t="s">
        <v>6680</v>
      </c>
      <c r="F1301" s="2" t="s">
        <v>19</v>
      </c>
      <c r="G1301" s="2">
        <v>21395.22</v>
      </c>
      <c r="H1301" s="2">
        <v>10912.29</v>
      </c>
      <c r="I1301" s="2" t="s">
        <v>6726</v>
      </c>
      <c r="J1301" s="2" t="s">
        <v>6802</v>
      </c>
      <c r="K1301" s="2" t="s">
        <v>32</v>
      </c>
      <c r="L1301" s="2" t="s">
        <v>88</v>
      </c>
      <c r="M1301" s="2">
        <v>4</v>
      </c>
      <c r="N1301" s="2" t="s">
        <v>24</v>
      </c>
      <c r="O1301" s="2" t="s">
        <v>70</v>
      </c>
      <c r="P1301" s="2" t="s">
        <v>49</v>
      </c>
    </row>
    <row r="1302" spans="1:16" x14ac:dyDescent="0.25">
      <c r="A1302" s="2" t="s">
        <v>3180</v>
      </c>
      <c r="B1302" s="2" t="s">
        <v>8212</v>
      </c>
      <c r="C1302" s="2">
        <v>9956</v>
      </c>
      <c r="D1302" s="2" t="s">
        <v>8213</v>
      </c>
      <c r="E1302" s="2" t="s">
        <v>6708</v>
      </c>
      <c r="F1302" s="2" t="s">
        <v>19</v>
      </c>
      <c r="G1302" s="2">
        <v>6178.52</v>
      </c>
      <c r="H1302" s="2">
        <v>3425.56</v>
      </c>
      <c r="I1302" s="2" t="s">
        <v>6739</v>
      </c>
      <c r="J1302" s="2" t="s">
        <v>6753</v>
      </c>
      <c r="K1302" s="2" t="s">
        <v>80</v>
      </c>
      <c r="L1302" s="2" t="s">
        <v>48</v>
      </c>
      <c r="M1302" s="2">
        <v>1</v>
      </c>
      <c r="N1302" s="2" t="s">
        <v>69</v>
      </c>
      <c r="O1302" s="2" t="s">
        <v>25</v>
      </c>
      <c r="P1302" s="2" t="s">
        <v>49</v>
      </c>
    </row>
    <row r="1303" spans="1:16" x14ac:dyDescent="0.25">
      <c r="A1303" s="2" t="s">
        <v>3182</v>
      </c>
      <c r="B1303" s="2" t="s">
        <v>3325</v>
      </c>
      <c r="C1303" s="2">
        <v>1401</v>
      </c>
      <c r="D1303" s="2" t="s">
        <v>7298</v>
      </c>
      <c r="E1303" s="2" t="s">
        <v>38</v>
      </c>
      <c r="F1303" s="2" t="s">
        <v>30</v>
      </c>
      <c r="G1303" s="2">
        <v>62022.39</v>
      </c>
      <c r="H1303" s="2">
        <v>36428.21</v>
      </c>
      <c r="I1303" s="2" t="s">
        <v>31</v>
      </c>
      <c r="J1303" s="2" t="s">
        <v>21</v>
      </c>
      <c r="K1303" s="2" t="s">
        <v>42</v>
      </c>
      <c r="L1303" s="2" t="s">
        <v>43</v>
      </c>
      <c r="M1303" s="2">
        <v>4</v>
      </c>
      <c r="N1303" s="2" t="s">
        <v>33</v>
      </c>
      <c r="O1303" s="2" t="s">
        <v>70</v>
      </c>
      <c r="P1303" s="2" t="s">
        <v>26</v>
      </c>
    </row>
    <row r="1304" spans="1:16" x14ac:dyDescent="0.25">
      <c r="A1304" s="2" t="s">
        <v>3184</v>
      </c>
      <c r="B1304" s="2" t="s">
        <v>8214</v>
      </c>
      <c r="C1304" s="2">
        <v>9896</v>
      </c>
      <c r="D1304" s="2" t="s">
        <v>8215</v>
      </c>
      <c r="E1304" s="2" t="s">
        <v>6756</v>
      </c>
      <c r="F1304" s="2" t="s">
        <v>58</v>
      </c>
      <c r="G1304" s="2">
        <v>21926.560000000001</v>
      </c>
      <c r="H1304" s="2">
        <v>10484</v>
      </c>
      <c r="I1304" s="2" t="s">
        <v>6681</v>
      </c>
      <c r="J1304" s="2" t="s">
        <v>6713</v>
      </c>
      <c r="K1304" s="2" t="s">
        <v>22</v>
      </c>
      <c r="L1304" s="2" t="s">
        <v>64</v>
      </c>
      <c r="M1304" s="2">
        <v>4</v>
      </c>
      <c r="N1304" s="2" t="s">
        <v>33</v>
      </c>
      <c r="O1304" s="2" t="s">
        <v>25</v>
      </c>
      <c r="P1304" s="2" t="s">
        <v>34</v>
      </c>
    </row>
    <row r="1305" spans="1:16" x14ac:dyDescent="0.25">
      <c r="A1305" s="2" t="s">
        <v>3186</v>
      </c>
      <c r="B1305" s="2" t="s">
        <v>3096</v>
      </c>
      <c r="C1305" s="2">
        <v>6283</v>
      </c>
      <c r="D1305" s="2" t="s">
        <v>2735</v>
      </c>
      <c r="E1305" s="2" t="s">
        <v>38</v>
      </c>
      <c r="F1305" s="2" t="s">
        <v>39</v>
      </c>
      <c r="G1305" s="2">
        <v>36573.519999999997</v>
      </c>
      <c r="H1305" s="2">
        <v>19080.21</v>
      </c>
      <c r="I1305" s="2" t="s">
        <v>120</v>
      </c>
      <c r="J1305" s="2" t="s">
        <v>21</v>
      </c>
      <c r="K1305" s="2" t="s">
        <v>80</v>
      </c>
      <c r="L1305" s="2" t="s">
        <v>88</v>
      </c>
      <c r="M1305" s="2">
        <v>1</v>
      </c>
      <c r="N1305" s="2" t="s">
        <v>69</v>
      </c>
      <c r="O1305" s="2" t="s">
        <v>25</v>
      </c>
      <c r="P1305" s="2" t="s">
        <v>34</v>
      </c>
    </row>
    <row r="1306" spans="1:16" x14ac:dyDescent="0.25">
      <c r="A1306" s="2" t="s">
        <v>3188</v>
      </c>
      <c r="B1306" s="2" t="s">
        <v>3159</v>
      </c>
      <c r="C1306" s="2">
        <v>3175</v>
      </c>
      <c r="D1306" s="2" t="s">
        <v>8216</v>
      </c>
      <c r="E1306" s="2" t="s">
        <v>38</v>
      </c>
      <c r="F1306" s="2" t="s">
        <v>39</v>
      </c>
      <c r="G1306" s="2">
        <v>44323.02</v>
      </c>
      <c r="H1306" s="2">
        <v>23113.69</v>
      </c>
      <c r="I1306" s="2" t="s">
        <v>53</v>
      </c>
      <c r="J1306" s="2" t="s">
        <v>54</v>
      </c>
      <c r="K1306" s="2" t="s">
        <v>80</v>
      </c>
      <c r="L1306" s="2" t="s">
        <v>64</v>
      </c>
      <c r="M1306" s="2">
        <v>3</v>
      </c>
      <c r="N1306" s="2" t="s">
        <v>33</v>
      </c>
      <c r="O1306" s="2" t="s">
        <v>25</v>
      </c>
      <c r="P1306" s="2" t="s">
        <v>26</v>
      </c>
    </row>
    <row r="1307" spans="1:16" x14ac:dyDescent="0.25">
      <c r="A1307" s="2" t="s">
        <v>3190</v>
      </c>
      <c r="B1307" s="2" t="s">
        <v>1303</v>
      </c>
      <c r="C1307" s="2">
        <v>5851</v>
      </c>
      <c r="D1307" s="2" t="s">
        <v>8217</v>
      </c>
      <c r="E1307" s="2" t="s">
        <v>32</v>
      </c>
      <c r="F1307" s="2" t="s">
        <v>58</v>
      </c>
      <c r="G1307" s="2">
        <v>11486.47</v>
      </c>
      <c r="H1307" s="2">
        <v>7117.09</v>
      </c>
      <c r="I1307" s="2" t="s">
        <v>6799</v>
      </c>
      <c r="J1307" s="2" t="s">
        <v>41</v>
      </c>
      <c r="K1307" s="2" t="s">
        <v>32</v>
      </c>
      <c r="L1307" s="2" t="s">
        <v>23</v>
      </c>
      <c r="M1307" s="2">
        <v>5</v>
      </c>
      <c r="N1307" s="2" t="s">
        <v>33</v>
      </c>
      <c r="O1307" s="2" t="s">
        <v>25</v>
      </c>
      <c r="P1307" s="2" t="s">
        <v>34</v>
      </c>
    </row>
    <row r="1308" spans="1:16" x14ac:dyDescent="0.25">
      <c r="A1308" s="2" t="s">
        <v>3192</v>
      </c>
      <c r="B1308" s="2" t="s">
        <v>8218</v>
      </c>
      <c r="C1308" s="2">
        <v>5387</v>
      </c>
      <c r="D1308" s="2" t="s">
        <v>8219</v>
      </c>
      <c r="E1308" s="2" t="s">
        <v>6694</v>
      </c>
      <c r="F1308" s="2" t="s">
        <v>39</v>
      </c>
      <c r="G1308" s="2">
        <v>27928.6</v>
      </c>
      <c r="H1308" s="2">
        <v>15431.64</v>
      </c>
      <c r="I1308" s="2" t="s">
        <v>6910</v>
      </c>
      <c r="J1308" s="2" t="s">
        <v>6696</v>
      </c>
      <c r="K1308" s="2" t="s">
        <v>80</v>
      </c>
      <c r="L1308" s="2" t="s">
        <v>55</v>
      </c>
      <c r="M1308" s="2">
        <v>2</v>
      </c>
      <c r="N1308" s="2" t="s">
        <v>33</v>
      </c>
      <c r="O1308" s="2" t="s">
        <v>70</v>
      </c>
      <c r="P1308" s="2" t="s">
        <v>49</v>
      </c>
    </row>
    <row r="1309" spans="1:16" x14ac:dyDescent="0.25">
      <c r="A1309" s="2" t="s">
        <v>3194</v>
      </c>
      <c r="B1309" s="2" t="s">
        <v>8220</v>
      </c>
      <c r="C1309" s="2">
        <v>2084</v>
      </c>
      <c r="D1309" s="2" t="s">
        <v>8221</v>
      </c>
      <c r="E1309" s="2" t="s">
        <v>6680</v>
      </c>
      <c r="F1309" s="2" t="s">
        <v>39</v>
      </c>
      <c r="G1309" s="2">
        <v>30682.49</v>
      </c>
      <c r="H1309" s="2">
        <v>19133.64</v>
      </c>
      <c r="I1309" s="2" t="s">
        <v>6915</v>
      </c>
      <c r="J1309" s="2" t="s">
        <v>6789</v>
      </c>
      <c r="K1309" s="2" t="s">
        <v>80</v>
      </c>
      <c r="L1309" s="2" t="s">
        <v>23</v>
      </c>
      <c r="M1309" s="2">
        <v>3</v>
      </c>
      <c r="N1309" s="2" t="s">
        <v>33</v>
      </c>
      <c r="O1309" s="2" t="s">
        <v>25</v>
      </c>
      <c r="P1309" s="2" t="s">
        <v>34</v>
      </c>
    </row>
    <row r="1310" spans="1:16" x14ac:dyDescent="0.25">
      <c r="A1310" s="2" t="s">
        <v>3196</v>
      </c>
      <c r="B1310" s="2" t="s">
        <v>116</v>
      </c>
      <c r="C1310" s="2">
        <v>9063</v>
      </c>
      <c r="D1310" s="2" t="s">
        <v>4980</v>
      </c>
      <c r="E1310" s="2" t="s">
        <v>38</v>
      </c>
      <c r="F1310" s="2" t="s">
        <v>47</v>
      </c>
      <c r="G1310" s="2">
        <v>20490.54</v>
      </c>
      <c r="H1310" s="2">
        <v>13211</v>
      </c>
      <c r="I1310" s="2" t="s">
        <v>53</v>
      </c>
      <c r="J1310" s="2" t="s">
        <v>54</v>
      </c>
      <c r="K1310" s="2" t="s">
        <v>22</v>
      </c>
      <c r="L1310" s="2" t="s">
        <v>43</v>
      </c>
      <c r="M1310" s="2">
        <v>3</v>
      </c>
      <c r="N1310" s="2" t="s">
        <v>24</v>
      </c>
      <c r="O1310" s="2" t="s">
        <v>70</v>
      </c>
      <c r="P1310" s="2" t="s">
        <v>26</v>
      </c>
    </row>
    <row r="1311" spans="1:16" x14ac:dyDescent="0.25">
      <c r="A1311" s="2" t="s">
        <v>3198</v>
      </c>
      <c r="B1311" s="2" t="s">
        <v>1524</v>
      </c>
      <c r="C1311" s="2">
        <v>3299</v>
      </c>
      <c r="D1311" s="2" t="s">
        <v>8222</v>
      </c>
      <c r="E1311" s="2" t="s">
        <v>38</v>
      </c>
      <c r="F1311" s="2" t="s">
        <v>30</v>
      </c>
      <c r="G1311" s="2">
        <v>13891.49</v>
      </c>
      <c r="H1311" s="2">
        <v>8243.84</v>
      </c>
      <c r="I1311" s="2" t="s">
        <v>120</v>
      </c>
      <c r="J1311" s="2" t="s">
        <v>21</v>
      </c>
      <c r="K1311" s="2" t="s">
        <v>42</v>
      </c>
      <c r="L1311" s="2" t="s">
        <v>88</v>
      </c>
      <c r="M1311" s="2">
        <v>2</v>
      </c>
      <c r="N1311" s="2" t="s">
        <v>24</v>
      </c>
      <c r="O1311" s="2" t="s">
        <v>70</v>
      </c>
      <c r="P1311" s="2" t="s">
        <v>26</v>
      </c>
    </row>
    <row r="1312" spans="1:16" x14ac:dyDescent="0.25">
      <c r="A1312" s="2" t="s">
        <v>3200</v>
      </c>
      <c r="B1312" s="2" t="s">
        <v>3743</v>
      </c>
      <c r="C1312" s="2">
        <v>9529</v>
      </c>
      <c r="D1312" s="2" t="s">
        <v>3744</v>
      </c>
      <c r="E1312" s="2" t="s">
        <v>38</v>
      </c>
      <c r="F1312" s="2" t="s">
        <v>47</v>
      </c>
      <c r="G1312" s="2">
        <v>8738.4599999999991</v>
      </c>
      <c r="H1312" s="2">
        <v>5454.55</v>
      </c>
      <c r="I1312" s="2" t="s">
        <v>59</v>
      </c>
      <c r="J1312" s="2" t="s">
        <v>41</v>
      </c>
      <c r="K1312" s="2" t="s">
        <v>80</v>
      </c>
      <c r="L1312" s="2" t="s">
        <v>23</v>
      </c>
      <c r="M1312" s="2">
        <v>3</v>
      </c>
      <c r="N1312" s="2" t="s">
        <v>33</v>
      </c>
      <c r="O1312" s="2" t="s">
        <v>25</v>
      </c>
      <c r="P1312" s="2" t="s">
        <v>49</v>
      </c>
    </row>
    <row r="1313" spans="1:16" x14ac:dyDescent="0.25">
      <c r="A1313" s="2" t="s">
        <v>3202</v>
      </c>
      <c r="B1313" s="2" t="s">
        <v>2069</v>
      </c>
      <c r="C1313" s="2">
        <v>6985</v>
      </c>
      <c r="D1313" s="2" t="s">
        <v>8223</v>
      </c>
      <c r="E1313" s="2" t="s">
        <v>6694</v>
      </c>
      <c r="F1313" s="2" t="s">
        <v>39</v>
      </c>
      <c r="G1313" s="2">
        <v>28658.1</v>
      </c>
      <c r="H1313" s="2">
        <v>13278.41</v>
      </c>
      <c r="I1313" s="2" t="s">
        <v>6726</v>
      </c>
      <c r="J1313" s="2" t="s">
        <v>6789</v>
      </c>
      <c r="K1313" s="2" t="s">
        <v>80</v>
      </c>
      <c r="L1313" s="2" t="s">
        <v>48</v>
      </c>
      <c r="M1313" s="2">
        <v>3</v>
      </c>
      <c r="N1313" s="2" t="s">
        <v>69</v>
      </c>
      <c r="O1313" s="2" t="s">
        <v>70</v>
      </c>
      <c r="P1313" s="2" t="s">
        <v>49</v>
      </c>
    </row>
    <row r="1314" spans="1:16" x14ac:dyDescent="0.25">
      <c r="A1314" s="2" t="s">
        <v>3203</v>
      </c>
      <c r="B1314" s="2" t="s">
        <v>8224</v>
      </c>
      <c r="C1314" s="2">
        <v>2737</v>
      </c>
      <c r="D1314" s="2" t="s">
        <v>8225</v>
      </c>
      <c r="E1314" s="2" t="s">
        <v>38</v>
      </c>
      <c r="F1314" s="2" t="s">
        <v>30</v>
      </c>
      <c r="G1314" s="2">
        <v>28343.599999999999</v>
      </c>
      <c r="H1314" s="2">
        <v>16420.599999999999</v>
      </c>
      <c r="I1314" s="2" t="s">
        <v>84</v>
      </c>
      <c r="J1314" s="2" t="s">
        <v>54</v>
      </c>
      <c r="K1314" s="2" t="s">
        <v>32</v>
      </c>
      <c r="L1314" s="2" t="s">
        <v>23</v>
      </c>
      <c r="M1314" s="2">
        <v>4</v>
      </c>
      <c r="N1314" s="2" t="s">
        <v>33</v>
      </c>
      <c r="O1314" s="2" t="s">
        <v>70</v>
      </c>
      <c r="P1314" s="2" t="s">
        <v>49</v>
      </c>
    </row>
    <row r="1315" spans="1:16" x14ac:dyDescent="0.25">
      <c r="A1315" s="2" t="s">
        <v>3206</v>
      </c>
      <c r="B1315" s="2" t="s">
        <v>8226</v>
      </c>
      <c r="C1315" s="2">
        <v>9459</v>
      </c>
      <c r="D1315" s="2" t="s">
        <v>8227</v>
      </c>
      <c r="E1315" s="2" t="s">
        <v>18</v>
      </c>
      <c r="F1315" s="2" t="s">
        <v>58</v>
      </c>
      <c r="G1315" s="2">
        <v>11650.31</v>
      </c>
      <c r="H1315" s="2">
        <v>7531.2</v>
      </c>
      <c r="I1315" s="2" t="s">
        <v>6845</v>
      </c>
      <c r="J1315" s="2" t="s">
        <v>21</v>
      </c>
      <c r="K1315" s="2" t="s">
        <v>32</v>
      </c>
      <c r="L1315" s="2" t="s">
        <v>48</v>
      </c>
      <c r="M1315" s="2">
        <v>1</v>
      </c>
      <c r="N1315" s="2" t="s">
        <v>33</v>
      </c>
      <c r="O1315" s="2" t="s">
        <v>25</v>
      </c>
      <c r="P1315" s="2" t="s">
        <v>49</v>
      </c>
    </row>
    <row r="1316" spans="1:16" x14ac:dyDescent="0.25">
      <c r="A1316" s="2" t="s">
        <v>3207</v>
      </c>
      <c r="B1316" s="2" t="s">
        <v>273</v>
      </c>
      <c r="C1316" s="2">
        <v>9861</v>
      </c>
      <c r="D1316" s="2" t="s">
        <v>8228</v>
      </c>
      <c r="E1316" s="2" t="s">
        <v>18</v>
      </c>
      <c r="F1316" s="2" t="s">
        <v>47</v>
      </c>
      <c r="G1316" s="2">
        <v>5799.62</v>
      </c>
      <c r="H1316" s="2">
        <v>2779.97</v>
      </c>
      <c r="I1316" s="2" t="s">
        <v>40</v>
      </c>
      <c r="J1316" s="2" t="s">
        <v>41</v>
      </c>
      <c r="K1316" s="2" t="s">
        <v>80</v>
      </c>
      <c r="L1316" s="2" t="s">
        <v>88</v>
      </c>
      <c r="M1316" s="2">
        <v>3</v>
      </c>
      <c r="N1316" s="2" t="s">
        <v>24</v>
      </c>
      <c r="O1316" s="2" t="s">
        <v>25</v>
      </c>
      <c r="P1316" s="2" t="s">
        <v>49</v>
      </c>
    </row>
    <row r="1317" spans="1:16" x14ac:dyDescent="0.25">
      <c r="A1317" s="2" t="s">
        <v>3208</v>
      </c>
      <c r="B1317" s="2" t="s">
        <v>8229</v>
      </c>
      <c r="C1317" s="2">
        <v>4605</v>
      </c>
      <c r="D1317" s="2" t="s">
        <v>8230</v>
      </c>
      <c r="E1317" s="2" t="s">
        <v>6698</v>
      </c>
      <c r="F1317" s="2" t="s">
        <v>47</v>
      </c>
      <c r="G1317" s="2">
        <v>4067.85</v>
      </c>
      <c r="H1317" s="2">
        <v>2338.75</v>
      </c>
      <c r="I1317" s="2" t="s">
        <v>6759</v>
      </c>
      <c r="J1317" s="2" t="s">
        <v>54</v>
      </c>
      <c r="K1317" s="2" t="s">
        <v>22</v>
      </c>
      <c r="L1317" s="2" t="s">
        <v>23</v>
      </c>
      <c r="M1317" s="2">
        <v>2</v>
      </c>
      <c r="N1317" s="2" t="s">
        <v>33</v>
      </c>
      <c r="O1317" s="2" t="s">
        <v>70</v>
      </c>
      <c r="P1317" s="2" t="s">
        <v>49</v>
      </c>
    </row>
    <row r="1318" spans="1:16" x14ac:dyDescent="0.25">
      <c r="A1318" s="2" t="s">
        <v>3210</v>
      </c>
      <c r="B1318" s="2" t="s">
        <v>4405</v>
      </c>
      <c r="C1318" s="2">
        <v>6291</v>
      </c>
      <c r="D1318" s="2" t="s">
        <v>4815</v>
      </c>
      <c r="E1318" s="2" t="s">
        <v>38</v>
      </c>
      <c r="F1318" s="2" t="s">
        <v>39</v>
      </c>
      <c r="G1318" s="2">
        <v>10729.32</v>
      </c>
      <c r="H1318" s="2">
        <v>6525.7</v>
      </c>
      <c r="I1318" s="2" t="s">
        <v>31</v>
      </c>
      <c r="J1318" s="2" t="s">
        <v>21</v>
      </c>
      <c r="K1318" s="2" t="s">
        <v>80</v>
      </c>
      <c r="L1318" s="2" t="s">
        <v>64</v>
      </c>
      <c r="M1318" s="2">
        <v>3</v>
      </c>
      <c r="N1318" s="2" t="s">
        <v>33</v>
      </c>
      <c r="O1318" s="2" t="s">
        <v>25</v>
      </c>
      <c r="P1318" s="2" t="s">
        <v>26</v>
      </c>
    </row>
    <row r="1319" spans="1:16" x14ac:dyDescent="0.25">
      <c r="A1319" s="2" t="s">
        <v>3212</v>
      </c>
      <c r="B1319" s="2" t="s">
        <v>954</v>
      </c>
      <c r="C1319" s="2">
        <v>8582</v>
      </c>
      <c r="D1319" s="2" t="s">
        <v>8231</v>
      </c>
      <c r="E1319" s="2" t="s">
        <v>18</v>
      </c>
      <c r="F1319" s="2" t="s">
        <v>30</v>
      </c>
      <c r="G1319" s="2">
        <v>32559.54</v>
      </c>
      <c r="H1319" s="2">
        <v>15073.78</v>
      </c>
      <c r="I1319" s="2" t="s">
        <v>40</v>
      </c>
      <c r="J1319" s="2" t="s">
        <v>41</v>
      </c>
      <c r="K1319" s="2" t="s">
        <v>80</v>
      </c>
      <c r="L1319" s="2" t="s">
        <v>43</v>
      </c>
      <c r="M1319" s="2">
        <v>1</v>
      </c>
      <c r="N1319" s="2" t="s">
        <v>24</v>
      </c>
      <c r="O1319" s="2" t="s">
        <v>25</v>
      </c>
      <c r="P1319" s="2" t="s">
        <v>49</v>
      </c>
    </row>
    <row r="1320" spans="1:16" x14ac:dyDescent="0.25">
      <c r="A1320" s="2" t="s">
        <v>3215</v>
      </c>
      <c r="B1320" s="2" t="s">
        <v>1776</v>
      </c>
      <c r="C1320" s="2">
        <v>9282</v>
      </c>
      <c r="D1320" s="2" t="s">
        <v>8231</v>
      </c>
      <c r="E1320" s="2" t="s">
        <v>38</v>
      </c>
      <c r="F1320" s="2" t="s">
        <v>39</v>
      </c>
      <c r="G1320" s="2">
        <v>25166.3</v>
      </c>
      <c r="H1320" s="2">
        <v>13556.05</v>
      </c>
      <c r="I1320" s="2" t="s">
        <v>6867</v>
      </c>
      <c r="J1320" s="2" t="s">
        <v>6802</v>
      </c>
      <c r="K1320" s="2" t="s">
        <v>32</v>
      </c>
      <c r="L1320" s="2" t="s">
        <v>43</v>
      </c>
      <c r="M1320" s="2">
        <v>1</v>
      </c>
      <c r="N1320" s="2" t="s">
        <v>69</v>
      </c>
      <c r="O1320" s="2" t="s">
        <v>70</v>
      </c>
      <c r="P1320" s="2" t="s">
        <v>49</v>
      </c>
    </row>
    <row r="1321" spans="1:16" x14ac:dyDescent="0.25">
      <c r="A1321" s="2" t="s">
        <v>3217</v>
      </c>
      <c r="B1321" s="2" t="s">
        <v>8232</v>
      </c>
      <c r="C1321" s="2">
        <v>1456</v>
      </c>
      <c r="D1321" s="2" t="s">
        <v>8233</v>
      </c>
      <c r="E1321" s="2" t="s">
        <v>38</v>
      </c>
      <c r="F1321" s="2" t="s">
        <v>58</v>
      </c>
      <c r="G1321" s="2">
        <v>30017.26</v>
      </c>
      <c r="H1321" s="2">
        <v>16792.75</v>
      </c>
      <c r="I1321" s="2" t="s">
        <v>6867</v>
      </c>
      <c r="J1321" s="2" t="s">
        <v>21</v>
      </c>
      <c r="K1321" s="2" t="s">
        <v>22</v>
      </c>
      <c r="L1321" s="2" t="s">
        <v>23</v>
      </c>
      <c r="M1321" s="2">
        <v>5</v>
      </c>
      <c r="N1321" s="2" t="s">
        <v>24</v>
      </c>
      <c r="O1321" s="2" t="s">
        <v>25</v>
      </c>
      <c r="P1321" s="2" t="s">
        <v>49</v>
      </c>
    </row>
    <row r="1322" spans="1:16" x14ac:dyDescent="0.25">
      <c r="A1322" s="2" t="s">
        <v>3219</v>
      </c>
      <c r="B1322" s="2" t="s">
        <v>8234</v>
      </c>
      <c r="C1322" s="2">
        <v>2940</v>
      </c>
      <c r="D1322" s="2" t="s">
        <v>8235</v>
      </c>
      <c r="E1322" s="2" t="s">
        <v>18</v>
      </c>
      <c r="F1322" s="2" t="s">
        <v>58</v>
      </c>
      <c r="G1322" s="2">
        <v>24823.22</v>
      </c>
      <c r="H1322" s="2">
        <v>11825.56</v>
      </c>
      <c r="I1322" s="2" t="s">
        <v>120</v>
      </c>
      <c r="J1322" s="2" t="s">
        <v>21</v>
      </c>
      <c r="K1322" s="2" t="s">
        <v>80</v>
      </c>
      <c r="L1322" s="2" t="s">
        <v>23</v>
      </c>
      <c r="M1322" s="2">
        <v>5</v>
      </c>
      <c r="N1322" s="2" t="s">
        <v>24</v>
      </c>
      <c r="O1322" s="2" t="s">
        <v>25</v>
      </c>
      <c r="P1322" s="2" t="s">
        <v>49</v>
      </c>
    </row>
    <row r="1323" spans="1:16" x14ac:dyDescent="0.25">
      <c r="A1323" s="2" t="s">
        <v>3221</v>
      </c>
      <c r="B1323" s="2" t="s">
        <v>339</v>
      </c>
      <c r="C1323" s="2">
        <v>5977</v>
      </c>
      <c r="D1323" s="2" t="s">
        <v>3610</v>
      </c>
      <c r="E1323" s="2" t="s">
        <v>6680</v>
      </c>
      <c r="F1323" s="2" t="s">
        <v>30</v>
      </c>
      <c r="G1323" s="2">
        <v>118884.57</v>
      </c>
      <c r="H1323" s="2">
        <v>59266.58</v>
      </c>
      <c r="I1323" s="2" t="s">
        <v>6699</v>
      </c>
      <c r="J1323" s="2" t="s">
        <v>6729</v>
      </c>
      <c r="K1323" s="2" t="s">
        <v>42</v>
      </c>
      <c r="L1323" s="2" t="s">
        <v>55</v>
      </c>
      <c r="M1323" s="2">
        <v>4</v>
      </c>
      <c r="N1323" s="2" t="s">
        <v>24</v>
      </c>
      <c r="O1323" s="2" t="s">
        <v>25</v>
      </c>
      <c r="P1323" s="2" t="s">
        <v>49</v>
      </c>
    </row>
    <row r="1324" spans="1:16" x14ac:dyDescent="0.25">
      <c r="A1324" s="2" t="s">
        <v>3223</v>
      </c>
      <c r="B1324" s="2" t="s">
        <v>5494</v>
      </c>
      <c r="C1324" s="2">
        <v>2663</v>
      </c>
      <c r="D1324" s="2" t="s">
        <v>8236</v>
      </c>
      <c r="E1324" s="2" t="s">
        <v>18</v>
      </c>
      <c r="F1324" s="2" t="s">
        <v>30</v>
      </c>
      <c r="G1324" s="2">
        <v>109965.15</v>
      </c>
      <c r="H1324" s="2">
        <v>63960.13</v>
      </c>
      <c r="I1324" s="2" t="s">
        <v>84</v>
      </c>
      <c r="J1324" s="2" t="s">
        <v>54</v>
      </c>
      <c r="K1324" s="2" t="s">
        <v>32</v>
      </c>
      <c r="L1324" s="2" t="s">
        <v>55</v>
      </c>
      <c r="M1324" s="2">
        <v>3</v>
      </c>
      <c r="N1324" s="2" t="s">
        <v>33</v>
      </c>
      <c r="O1324" s="2" t="s">
        <v>70</v>
      </c>
      <c r="P1324" s="2" t="s">
        <v>49</v>
      </c>
    </row>
    <row r="1325" spans="1:16" x14ac:dyDescent="0.25">
      <c r="A1325" s="2" t="s">
        <v>3225</v>
      </c>
      <c r="B1325" s="2" t="s">
        <v>8237</v>
      </c>
      <c r="C1325" s="2">
        <v>9598</v>
      </c>
      <c r="D1325" s="2" t="s">
        <v>8238</v>
      </c>
      <c r="E1325" s="2" t="s">
        <v>6680</v>
      </c>
      <c r="F1325" s="2" t="s">
        <v>47</v>
      </c>
      <c r="G1325" s="2">
        <v>12268.01</v>
      </c>
      <c r="H1325" s="2">
        <v>7178.02</v>
      </c>
      <c r="I1325" s="2" t="s">
        <v>6699</v>
      </c>
      <c r="J1325" s="2" t="s">
        <v>54</v>
      </c>
      <c r="K1325" s="2" t="s">
        <v>32</v>
      </c>
      <c r="L1325" s="2" t="s">
        <v>43</v>
      </c>
      <c r="M1325" s="2">
        <v>3</v>
      </c>
      <c r="N1325" s="2" t="s">
        <v>24</v>
      </c>
      <c r="O1325" s="2" t="s">
        <v>25</v>
      </c>
      <c r="P1325" s="2" t="s">
        <v>26</v>
      </c>
    </row>
    <row r="1326" spans="1:16" x14ac:dyDescent="0.25">
      <c r="A1326" s="2" t="s">
        <v>3227</v>
      </c>
      <c r="B1326" s="2" t="s">
        <v>8239</v>
      </c>
      <c r="C1326" s="2">
        <v>2677</v>
      </c>
      <c r="D1326" s="2" t="s">
        <v>3778</v>
      </c>
      <c r="E1326" s="2" t="s">
        <v>6694</v>
      </c>
      <c r="F1326" s="2" t="s">
        <v>58</v>
      </c>
      <c r="G1326" s="2">
        <v>39974.75</v>
      </c>
      <c r="H1326" s="2">
        <v>25805.91</v>
      </c>
      <c r="I1326" s="2" t="s">
        <v>6799</v>
      </c>
      <c r="J1326" s="2" t="s">
        <v>41</v>
      </c>
      <c r="K1326" s="2" t="s">
        <v>42</v>
      </c>
      <c r="L1326" s="2" t="s">
        <v>55</v>
      </c>
      <c r="M1326" s="2">
        <v>2</v>
      </c>
      <c r="N1326" s="2" t="s">
        <v>33</v>
      </c>
      <c r="O1326" s="2" t="s">
        <v>70</v>
      </c>
      <c r="P1326" s="2" t="s">
        <v>26</v>
      </c>
    </row>
    <row r="1327" spans="1:16" x14ac:dyDescent="0.25">
      <c r="A1327" s="2" t="s">
        <v>3230</v>
      </c>
      <c r="B1327" s="2" t="s">
        <v>4746</v>
      </c>
      <c r="C1327" s="2">
        <v>8313</v>
      </c>
      <c r="D1327" s="2" t="s">
        <v>8240</v>
      </c>
      <c r="E1327" s="2" t="s">
        <v>32</v>
      </c>
      <c r="F1327" s="2" t="s">
        <v>19</v>
      </c>
      <c r="G1327" s="2">
        <v>20211</v>
      </c>
      <c r="H1327" s="2">
        <v>9669.44</v>
      </c>
      <c r="I1327" s="2" t="s">
        <v>6695</v>
      </c>
      <c r="J1327" s="2" t="s">
        <v>21</v>
      </c>
      <c r="K1327" s="2" t="s">
        <v>42</v>
      </c>
      <c r="L1327" s="2" t="s">
        <v>48</v>
      </c>
      <c r="M1327" s="2">
        <v>3</v>
      </c>
      <c r="N1327" s="2" t="s">
        <v>33</v>
      </c>
      <c r="O1327" s="2" t="s">
        <v>25</v>
      </c>
      <c r="P1327" s="2" t="s">
        <v>34</v>
      </c>
    </row>
    <row r="1328" spans="1:16" x14ac:dyDescent="0.25">
      <c r="A1328" s="2" t="s">
        <v>3231</v>
      </c>
      <c r="B1328" s="2" t="s">
        <v>504</v>
      </c>
      <c r="C1328" s="2">
        <v>1354</v>
      </c>
      <c r="D1328" s="2" t="s">
        <v>8241</v>
      </c>
      <c r="E1328" s="2" t="s">
        <v>18</v>
      </c>
      <c r="F1328" s="2" t="s">
        <v>47</v>
      </c>
      <c r="G1328" s="2">
        <v>5925.06</v>
      </c>
      <c r="H1328" s="2">
        <v>3777.38</v>
      </c>
      <c r="I1328" s="2" t="s">
        <v>68</v>
      </c>
      <c r="J1328" s="2" t="s">
        <v>41</v>
      </c>
      <c r="K1328" s="2" t="s">
        <v>42</v>
      </c>
      <c r="L1328" s="2" t="s">
        <v>64</v>
      </c>
      <c r="M1328" s="2">
        <v>2</v>
      </c>
      <c r="N1328" s="2" t="s">
        <v>24</v>
      </c>
      <c r="O1328" s="2" t="s">
        <v>25</v>
      </c>
      <c r="P1328" s="2" t="s">
        <v>26</v>
      </c>
    </row>
    <row r="1329" spans="1:16" x14ac:dyDescent="0.25">
      <c r="A1329" s="2" t="s">
        <v>3233</v>
      </c>
      <c r="B1329" s="2" t="s">
        <v>1685</v>
      </c>
      <c r="C1329" s="2">
        <v>3413</v>
      </c>
      <c r="D1329" s="2" t="s">
        <v>8242</v>
      </c>
      <c r="E1329" s="2" t="s">
        <v>38</v>
      </c>
      <c r="F1329" s="2" t="s">
        <v>39</v>
      </c>
      <c r="G1329" s="2">
        <v>22059.31</v>
      </c>
      <c r="H1329" s="2">
        <v>12172.52</v>
      </c>
      <c r="I1329" s="2" t="s">
        <v>53</v>
      </c>
      <c r="J1329" s="2" t="s">
        <v>54</v>
      </c>
      <c r="K1329" s="2" t="s">
        <v>32</v>
      </c>
      <c r="L1329" s="2" t="s">
        <v>48</v>
      </c>
      <c r="M1329" s="2">
        <v>1</v>
      </c>
      <c r="N1329" s="2" t="s">
        <v>33</v>
      </c>
      <c r="O1329" s="2" t="s">
        <v>70</v>
      </c>
      <c r="P1329" s="2" t="s">
        <v>34</v>
      </c>
    </row>
    <row r="1330" spans="1:16" x14ac:dyDescent="0.25">
      <c r="A1330" s="2" t="s">
        <v>3235</v>
      </c>
      <c r="B1330" s="2" t="s">
        <v>8243</v>
      </c>
      <c r="C1330" s="2">
        <v>3868</v>
      </c>
      <c r="D1330" s="2" t="s">
        <v>8244</v>
      </c>
      <c r="E1330" s="2" t="s">
        <v>38</v>
      </c>
      <c r="F1330" s="2" t="s">
        <v>39</v>
      </c>
      <c r="G1330" s="2">
        <v>6365.77</v>
      </c>
      <c r="H1330" s="2">
        <v>3952.55</v>
      </c>
      <c r="I1330" s="2" t="s">
        <v>6712</v>
      </c>
      <c r="J1330" s="2" t="s">
        <v>6705</v>
      </c>
      <c r="K1330" s="2" t="s">
        <v>42</v>
      </c>
      <c r="L1330" s="2" t="s">
        <v>55</v>
      </c>
      <c r="M1330" s="2">
        <v>5</v>
      </c>
      <c r="N1330" s="2" t="s">
        <v>33</v>
      </c>
      <c r="O1330" s="2" t="s">
        <v>70</v>
      </c>
      <c r="P1330" s="2" t="s">
        <v>49</v>
      </c>
    </row>
    <row r="1331" spans="1:16" x14ac:dyDescent="0.25">
      <c r="A1331" s="2" t="s">
        <v>3237</v>
      </c>
      <c r="B1331" s="2" t="s">
        <v>5660</v>
      </c>
      <c r="C1331" s="2">
        <v>3004</v>
      </c>
      <c r="D1331" s="2" t="s">
        <v>8245</v>
      </c>
      <c r="E1331" s="2" t="s">
        <v>38</v>
      </c>
      <c r="F1331" s="2" t="s">
        <v>47</v>
      </c>
      <c r="G1331" s="2">
        <v>17681.45</v>
      </c>
      <c r="H1331" s="2">
        <v>9980.48</v>
      </c>
      <c r="I1331" s="2" t="s">
        <v>53</v>
      </c>
      <c r="J1331" s="2" t="s">
        <v>54</v>
      </c>
      <c r="K1331" s="2" t="s">
        <v>42</v>
      </c>
      <c r="L1331" s="2" t="s">
        <v>48</v>
      </c>
      <c r="M1331" s="2">
        <v>1</v>
      </c>
      <c r="N1331" s="2" t="s">
        <v>69</v>
      </c>
      <c r="O1331" s="2" t="s">
        <v>25</v>
      </c>
      <c r="P1331" s="2" t="s">
        <v>49</v>
      </c>
    </row>
    <row r="1332" spans="1:16" x14ac:dyDescent="0.25">
      <c r="A1332" s="2" t="s">
        <v>3239</v>
      </c>
      <c r="B1332" s="2" t="s">
        <v>3411</v>
      </c>
      <c r="C1332" s="2">
        <v>3647</v>
      </c>
      <c r="D1332" s="2" t="s">
        <v>8246</v>
      </c>
      <c r="E1332" s="2" t="s">
        <v>18</v>
      </c>
      <c r="F1332" s="2" t="s">
        <v>30</v>
      </c>
      <c r="G1332" s="2">
        <v>13211.51</v>
      </c>
      <c r="H1332" s="2">
        <v>7700.74</v>
      </c>
      <c r="I1332" s="2" t="s">
        <v>68</v>
      </c>
      <c r="J1332" s="2" t="s">
        <v>41</v>
      </c>
      <c r="K1332" s="2" t="s">
        <v>80</v>
      </c>
      <c r="L1332" s="2" t="s">
        <v>43</v>
      </c>
      <c r="M1332" s="2">
        <v>5</v>
      </c>
      <c r="N1332" s="2" t="s">
        <v>33</v>
      </c>
      <c r="O1332" s="2" t="s">
        <v>70</v>
      </c>
      <c r="P1332" s="2" t="s">
        <v>34</v>
      </c>
    </row>
    <row r="1333" spans="1:16" x14ac:dyDescent="0.25">
      <c r="A1333" s="2" t="s">
        <v>3241</v>
      </c>
      <c r="B1333" s="2" t="s">
        <v>3988</v>
      </c>
      <c r="C1333" s="2">
        <v>5180</v>
      </c>
      <c r="D1333" s="2" t="s">
        <v>5481</v>
      </c>
      <c r="E1333" s="2" t="s">
        <v>18</v>
      </c>
      <c r="F1333" s="2" t="s">
        <v>47</v>
      </c>
      <c r="G1333" s="2">
        <v>15421.41</v>
      </c>
      <c r="H1333" s="2">
        <v>9440.56</v>
      </c>
      <c r="I1333" s="2" t="s">
        <v>53</v>
      </c>
      <c r="J1333" s="2" t="s">
        <v>54</v>
      </c>
      <c r="K1333" s="2" t="s">
        <v>42</v>
      </c>
      <c r="L1333" s="2" t="s">
        <v>55</v>
      </c>
      <c r="M1333" s="2">
        <v>2</v>
      </c>
      <c r="N1333" s="2" t="s">
        <v>24</v>
      </c>
      <c r="O1333" s="2" t="s">
        <v>70</v>
      </c>
      <c r="P1333" s="2" t="s">
        <v>26</v>
      </c>
    </row>
    <row r="1334" spans="1:16" x14ac:dyDescent="0.25">
      <c r="A1334" s="2" t="s">
        <v>3244</v>
      </c>
      <c r="B1334" s="2" t="s">
        <v>8247</v>
      </c>
      <c r="C1334" s="2">
        <v>7959</v>
      </c>
      <c r="D1334" s="2" t="s">
        <v>8248</v>
      </c>
      <c r="E1334" s="2" t="s">
        <v>38</v>
      </c>
      <c r="F1334" s="2" t="s">
        <v>47</v>
      </c>
      <c r="G1334" s="2">
        <v>21923.33</v>
      </c>
      <c r="H1334" s="2">
        <v>13150.06</v>
      </c>
      <c r="I1334" s="2" t="s">
        <v>6752</v>
      </c>
      <c r="J1334" s="2" t="s">
        <v>6753</v>
      </c>
      <c r="K1334" s="2" t="s">
        <v>80</v>
      </c>
      <c r="L1334" s="2" t="s">
        <v>48</v>
      </c>
      <c r="M1334" s="2">
        <v>2</v>
      </c>
      <c r="N1334" s="2" t="s">
        <v>33</v>
      </c>
      <c r="O1334" s="2" t="s">
        <v>70</v>
      </c>
      <c r="P1334" s="2" t="s">
        <v>34</v>
      </c>
    </row>
    <row r="1335" spans="1:16" x14ac:dyDescent="0.25">
      <c r="A1335" s="2" t="s">
        <v>3246</v>
      </c>
      <c r="B1335" s="2" t="s">
        <v>2434</v>
      </c>
      <c r="C1335" s="2">
        <v>5552</v>
      </c>
      <c r="D1335" s="2" t="s">
        <v>7753</v>
      </c>
      <c r="E1335" s="2" t="s">
        <v>18</v>
      </c>
      <c r="F1335" s="2" t="s">
        <v>58</v>
      </c>
      <c r="G1335" s="2">
        <v>57027.58</v>
      </c>
      <c r="H1335" s="2">
        <v>36175.1</v>
      </c>
      <c r="I1335" s="2" t="s">
        <v>63</v>
      </c>
      <c r="J1335" s="2" t="s">
        <v>54</v>
      </c>
      <c r="K1335" s="2" t="s">
        <v>32</v>
      </c>
      <c r="L1335" s="2" t="s">
        <v>23</v>
      </c>
      <c r="M1335" s="2">
        <v>2</v>
      </c>
      <c r="N1335" s="2" t="s">
        <v>24</v>
      </c>
      <c r="O1335" s="2" t="s">
        <v>70</v>
      </c>
      <c r="P1335" s="2" t="s">
        <v>34</v>
      </c>
    </row>
    <row r="1336" spans="1:16" x14ac:dyDescent="0.25">
      <c r="A1336" s="2" t="s">
        <v>3248</v>
      </c>
      <c r="B1336" s="2" t="s">
        <v>8249</v>
      </c>
      <c r="C1336" s="2">
        <v>4616</v>
      </c>
      <c r="D1336" s="2" t="s">
        <v>8250</v>
      </c>
      <c r="E1336" s="2" t="s">
        <v>6708</v>
      </c>
      <c r="F1336" s="2" t="s">
        <v>47</v>
      </c>
      <c r="G1336" s="2">
        <v>7312.36</v>
      </c>
      <c r="H1336" s="2">
        <v>4193.2</v>
      </c>
      <c r="I1336" s="2" t="s">
        <v>20</v>
      </c>
      <c r="J1336" s="2" t="s">
        <v>6696</v>
      </c>
      <c r="K1336" s="2" t="s">
        <v>22</v>
      </c>
      <c r="L1336" s="2" t="s">
        <v>55</v>
      </c>
      <c r="M1336" s="2">
        <v>4</v>
      </c>
      <c r="N1336" s="2" t="s">
        <v>69</v>
      </c>
      <c r="O1336" s="2" t="s">
        <v>70</v>
      </c>
      <c r="P1336" s="2" t="s">
        <v>34</v>
      </c>
    </row>
    <row r="1337" spans="1:16" x14ac:dyDescent="0.25">
      <c r="A1337" s="2" t="s">
        <v>3250</v>
      </c>
      <c r="B1337" s="2" t="s">
        <v>8251</v>
      </c>
      <c r="C1337" s="2">
        <v>8502</v>
      </c>
      <c r="D1337" s="2" t="s">
        <v>8252</v>
      </c>
      <c r="E1337" s="2" t="s">
        <v>6708</v>
      </c>
      <c r="F1337" s="2" t="s">
        <v>58</v>
      </c>
      <c r="G1337" s="2">
        <v>40294.33</v>
      </c>
      <c r="H1337" s="2">
        <v>25449.62</v>
      </c>
      <c r="I1337" s="2" t="s">
        <v>6699</v>
      </c>
      <c r="J1337" s="2" t="s">
        <v>6753</v>
      </c>
      <c r="K1337" s="2" t="s">
        <v>80</v>
      </c>
      <c r="L1337" s="2" t="s">
        <v>88</v>
      </c>
      <c r="M1337" s="2">
        <v>2</v>
      </c>
      <c r="N1337" s="2" t="s">
        <v>69</v>
      </c>
      <c r="O1337" s="2" t="s">
        <v>25</v>
      </c>
      <c r="P1337" s="2" t="s">
        <v>26</v>
      </c>
    </row>
    <row r="1338" spans="1:16" x14ac:dyDescent="0.25">
      <c r="A1338" s="2" t="s">
        <v>3253</v>
      </c>
      <c r="B1338" s="2" t="s">
        <v>1188</v>
      </c>
      <c r="C1338" s="2">
        <v>6486</v>
      </c>
      <c r="D1338" s="2" t="s">
        <v>8253</v>
      </c>
      <c r="E1338" s="2" t="s">
        <v>6719</v>
      </c>
      <c r="F1338" s="2" t="s">
        <v>30</v>
      </c>
      <c r="G1338" s="2">
        <v>81799.94</v>
      </c>
      <c r="H1338" s="2">
        <v>39394.04</v>
      </c>
      <c r="I1338" s="2" t="s">
        <v>6739</v>
      </c>
      <c r="J1338" s="2" t="s">
        <v>54</v>
      </c>
      <c r="K1338" s="2" t="s">
        <v>32</v>
      </c>
      <c r="L1338" s="2" t="s">
        <v>64</v>
      </c>
      <c r="M1338" s="2">
        <v>4</v>
      </c>
      <c r="N1338" s="2" t="s">
        <v>33</v>
      </c>
      <c r="O1338" s="2" t="s">
        <v>70</v>
      </c>
      <c r="P1338" s="2" t="s">
        <v>26</v>
      </c>
    </row>
    <row r="1339" spans="1:16" x14ac:dyDescent="0.25">
      <c r="A1339" s="2" t="s">
        <v>3256</v>
      </c>
      <c r="B1339" s="2" t="s">
        <v>8254</v>
      </c>
      <c r="C1339" s="2">
        <v>5727</v>
      </c>
      <c r="D1339" s="2" t="s">
        <v>8255</v>
      </c>
      <c r="E1339" s="2" t="s">
        <v>6719</v>
      </c>
      <c r="F1339" s="2" t="s">
        <v>47</v>
      </c>
      <c r="G1339" s="2">
        <v>10078.17</v>
      </c>
      <c r="H1339" s="2">
        <v>5340.08</v>
      </c>
      <c r="I1339" s="2" t="s">
        <v>40</v>
      </c>
      <c r="J1339" s="2" t="s">
        <v>6682</v>
      </c>
      <c r="K1339" s="2" t="s">
        <v>32</v>
      </c>
      <c r="L1339" s="2" t="s">
        <v>23</v>
      </c>
      <c r="M1339" s="2">
        <v>5</v>
      </c>
      <c r="N1339" s="2" t="s">
        <v>69</v>
      </c>
      <c r="O1339" s="2" t="s">
        <v>25</v>
      </c>
      <c r="P1339" s="2" t="s">
        <v>26</v>
      </c>
    </row>
    <row r="1340" spans="1:16" x14ac:dyDescent="0.25">
      <c r="A1340" s="2" t="s">
        <v>3259</v>
      </c>
      <c r="B1340" s="2" t="s">
        <v>2995</v>
      </c>
      <c r="C1340" s="2">
        <v>8900</v>
      </c>
      <c r="D1340" s="2" t="s">
        <v>8256</v>
      </c>
      <c r="E1340" s="2" t="s">
        <v>38</v>
      </c>
      <c r="F1340" s="2" t="s">
        <v>39</v>
      </c>
      <c r="G1340" s="2">
        <v>24514.28</v>
      </c>
      <c r="H1340" s="2">
        <v>12002.06</v>
      </c>
      <c r="I1340" s="2" t="s">
        <v>59</v>
      </c>
      <c r="J1340" s="2" t="s">
        <v>41</v>
      </c>
      <c r="K1340" s="2" t="s">
        <v>42</v>
      </c>
      <c r="L1340" s="2" t="s">
        <v>55</v>
      </c>
      <c r="M1340" s="2">
        <v>1</v>
      </c>
      <c r="N1340" s="2" t="s">
        <v>33</v>
      </c>
      <c r="O1340" s="2" t="s">
        <v>70</v>
      </c>
      <c r="P1340" s="2" t="s">
        <v>34</v>
      </c>
    </row>
    <row r="1341" spans="1:16" x14ac:dyDescent="0.25">
      <c r="A1341" s="2" t="s">
        <v>3261</v>
      </c>
      <c r="B1341" s="2" t="s">
        <v>1446</v>
      </c>
      <c r="C1341" s="2">
        <v>5743</v>
      </c>
      <c r="D1341" s="2" t="s">
        <v>542</v>
      </c>
      <c r="E1341" s="2" t="s">
        <v>18</v>
      </c>
      <c r="F1341" s="2" t="s">
        <v>58</v>
      </c>
      <c r="G1341" s="2">
        <v>25140.47</v>
      </c>
      <c r="H1341" s="2">
        <v>12748.3</v>
      </c>
      <c r="I1341" s="2" t="s">
        <v>120</v>
      </c>
      <c r="J1341" s="2" t="s">
        <v>21</v>
      </c>
      <c r="K1341" s="2" t="s">
        <v>80</v>
      </c>
      <c r="L1341" s="2" t="s">
        <v>64</v>
      </c>
      <c r="M1341" s="2">
        <v>4</v>
      </c>
      <c r="N1341" s="2" t="s">
        <v>33</v>
      </c>
      <c r="O1341" s="2" t="s">
        <v>25</v>
      </c>
      <c r="P1341" s="2" t="s">
        <v>26</v>
      </c>
    </row>
    <row r="1342" spans="1:16" x14ac:dyDescent="0.25">
      <c r="A1342" s="2" t="s">
        <v>3262</v>
      </c>
      <c r="B1342" s="2" t="s">
        <v>3573</v>
      </c>
      <c r="C1342" s="2">
        <v>8871</v>
      </c>
      <c r="D1342" s="2" t="s">
        <v>8257</v>
      </c>
      <c r="E1342" s="2" t="s">
        <v>32</v>
      </c>
      <c r="F1342" s="2" t="s">
        <v>58</v>
      </c>
      <c r="G1342" s="2">
        <v>6285.17</v>
      </c>
      <c r="H1342" s="2">
        <v>3087.44</v>
      </c>
      <c r="I1342" s="2" t="s">
        <v>6761</v>
      </c>
      <c r="J1342" s="2" t="s">
        <v>6713</v>
      </c>
      <c r="K1342" s="2" t="s">
        <v>22</v>
      </c>
      <c r="L1342" s="2" t="s">
        <v>88</v>
      </c>
      <c r="M1342" s="2">
        <v>1</v>
      </c>
      <c r="N1342" s="2" t="s">
        <v>69</v>
      </c>
      <c r="O1342" s="2" t="s">
        <v>25</v>
      </c>
      <c r="P1342" s="2" t="s">
        <v>34</v>
      </c>
    </row>
    <row r="1343" spans="1:16" x14ac:dyDescent="0.25">
      <c r="A1343" s="2" t="s">
        <v>3264</v>
      </c>
      <c r="B1343" s="2" t="s">
        <v>1524</v>
      </c>
      <c r="C1343" s="2">
        <v>2594</v>
      </c>
      <c r="D1343" s="2" t="s">
        <v>8258</v>
      </c>
      <c r="E1343" s="2" t="s">
        <v>6694</v>
      </c>
      <c r="F1343" s="2" t="s">
        <v>30</v>
      </c>
      <c r="G1343" s="2">
        <v>78529.149999999994</v>
      </c>
      <c r="H1343" s="2">
        <v>41705.089999999997</v>
      </c>
      <c r="I1343" s="2" t="s">
        <v>63</v>
      </c>
      <c r="J1343" s="2" t="s">
        <v>6729</v>
      </c>
      <c r="K1343" s="2" t="s">
        <v>42</v>
      </c>
      <c r="L1343" s="2" t="s">
        <v>64</v>
      </c>
      <c r="M1343" s="2">
        <v>3</v>
      </c>
      <c r="N1343" s="2" t="s">
        <v>33</v>
      </c>
      <c r="O1343" s="2" t="s">
        <v>70</v>
      </c>
      <c r="P1343" s="2" t="s">
        <v>26</v>
      </c>
    </row>
    <row r="1344" spans="1:16" x14ac:dyDescent="0.25">
      <c r="A1344" s="2" t="s">
        <v>3267</v>
      </c>
      <c r="B1344" s="2" t="s">
        <v>82</v>
      </c>
      <c r="C1344" s="2">
        <v>5313</v>
      </c>
      <c r="D1344" s="2" t="s">
        <v>5794</v>
      </c>
      <c r="E1344" s="2" t="s">
        <v>6743</v>
      </c>
      <c r="F1344" s="2" t="s">
        <v>19</v>
      </c>
      <c r="G1344" s="2">
        <v>8764.07</v>
      </c>
      <c r="H1344" s="2">
        <v>4287.6899999999996</v>
      </c>
      <c r="I1344" s="2" t="s">
        <v>6777</v>
      </c>
      <c r="J1344" s="2" t="s">
        <v>6713</v>
      </c>
      <c r="K1344" s="2" t="s">
        <v>80</v>
      </c>
      <c r="L1344" s="2" t="s">
        <v>55</v>
      </c>
      <c r="M1344" s="2">
        <v>1</v>
      </c>
      <c r="N1344" s="2" t="s">
        <v>33</v>
      </c>
      <c r="O1344" s="2" t="s">
        <v>25</v>
      </c>
      <c r="P1344" s="2" t="s">
        <v>49</v>
      </c>
    </row>
    <row r="1345" spans="1:16" x14ac:dyDescent="0.25">
      <c r="A1345" s="2" t="s">
        <v>3269</v>
      </c>
      <c r="B1345" s="2" t="s">
        <v>8259</v>
      </c>
      <c r="C1345" s="2">
        <v>2570</v>
      </c>
      <c r="D1345" s="2" t="s">
        <v>1938</v>
      </c>
      <c r="E1345" s="2" t="s">
        <v>38</v>
      </c>
      <c r="F1345" s="2" t="s">
        <v>47</v>
      </c>
      <c r="G1345" s="2">
        <v>12600.33</v>
      </c>
      <c r="H1345" s="2">
        <v>5738.97</v>
      </c>
      <c r="I1345" s="2" t="s">
        <v>53</v>
      </c>
      <c r="J1345" s="2" t="s">
        <v>54</v>
      </c>
      <c r="K1345" s="2" t="s">
        <v>80</v>
      </c>
      <c r="L1345" s="2" t="s">
        <v>64</v>
      </c>
      <c r="M1345" s="2">
        <v>1</v>
      </c>
      <c r="N1345" s="2" t="s">
        <v>33</v>
      </c>
      <c r="O1345" s="2" t="s">
        <v>25</v>
      </c>
      <c r="P1345" s="2" t="s">
        <v>34</v>
      </c>
    </row>
    <row r="1346" spans="1:16" x14ac:dyDescent="0.25">
      <c r="A1346" s="2" t="s">
        <v>3270</v>
      </c>
      <c r="B1346" s="2" t="s">
        <v>7619</v>
      </c>
      <c r="C1346" s="2">
        <v>4371</v>
      </c>
      <c r="D1346" s="2" t="s">
        <v>8260</v>
      </c>
      <c r="E1346" s="2" t="s">
        <v>18</v>
      </c>
      <c r="F1346" s="2" t="s">
        <v>58</v>
      </c>
      <c r="G1346" s="2">
        <v>15953.53</v>
      </c>
      <c r="H1346" s="2">
        <v>9900.3799999999992</v>
      </c>
      <c r="I1346" s="2" t="s">
        <v>6915</v>
      </c>
      <c r="J1346" s="2" t="s">
        <v>6724</v>
      </c>
      <c r="K1346" s="2" t="s">
        <v>42</v>
      </c>
      <c r="L1346" s="2" t="s">
        <v>55</v>
      </c>
      <c r="M1346" s="2">
        <v>1</v>
      </c>
      <c r="N1346" s="2" t="s">
        <v>69</v>
      </c>
      <c r="O1346" s="2" t="s">
        <v>25</v>
      </c>
      <c r="P1346" s="2" t="s">
        <v>49</v>
      </c>
    </row>
    <row r="1347" spans="1:16" x14ac:dyDescent="0.25">
      <c r="A1347" s="2" t="s">
        <v>3273</v>
      </c>
      <c r="B1347" s="2" t="s">
        <v>614</v>
      </c>
      <c r="C1347" s="2">
        <v>2237</v>
      </c>
      <c r="D1347" s="2" t="s">
        <v>8261</v>
      </c>
      <c r="E1347" s="2" t="s">
        <v>32</v>
      </c>
      <c r="F1347" s="2" t="s">
        <v>58</v>
      </c>
      <c r="G1347" s="2">
        <v>49751.89</v>
      </c>
      <c r="H1347" s="2">
        <v>24935.91</v>
      </c>
      <c r="I1347" s="2" t="s">
        <v>63</v>
      </c>
      <c r="J1347" s="2" t="s">
        <v>6729</v>
      </c>
      <c r="K1347" s="2" t="s">
        <v>42</v>
      </c>
      <c r="L1347" s="2" t="s">
        <v>23</v>
      </c>
      <c r="M1347" s="2">
        <v>2</v>
      </c>
      <c r="N1347" s="2" t="s">
        <v>24</v>
      </c>
      <c r="O1347" s="2" t="s">
        <v>25</v>
      </c>
      <c r="P1347" s="2" t="s">
        <v>49</v>
      </c>
    </row>
    <row r="1348" spans="1:16" x14ac:dyDescent="0.25">
      <c r="A1348" s="2" t="s">
        <v>3275</v>
      </c>
      <c r="B1348" s="2" t="s">
        <v>8262</v>
      </c>
      <c r="C1348" s="2">
        <v>5641</v>
      </c>
      <c r="D1348" s="2" t="s">
        <v>8263</v>
      </c>
      <c r="E1348" s="2" t="s">
        <v>6708</v>
      </c>
      <c r="F1348" s="2" t="s">
        <v>30</v>
      </c>
      <c r="G1348" s="2">
        <v>25458.66</v>
      </c>
      <c r="H1348" s="2">
        <v>13005.71</v>
      </c>
      <c r="I1348" s="2" t="s">
        <v>6752</v>
      </c>
      <c r="J1348" s="2" t="s">
        <v>6729</v>
      </c>
      <c r="K1348" s="2" t="s">
        <v>80</v>
      </c>
      <c r="L1348" s="2" t="s">
        <v>88</v>
      </c>
      <c r="M1348" s="2">
        <v>3</v>
      </c>
      <c r="N1348" s="2" t="s">
        <v>24</v>
      </c>
      <c r="O1348" s="2" t="s">
        <v>25</v>
      </c>
      <c r="P1348" s="2" t="s">
        <v>26</v>
      </c>
    </row>
    <row r="1349" spans="1:16" x14ac:dyDescent="0.25">
      <c r="A1349" s="2" t="s">
        <v>3277</v>
      </c>
      <c r="B1349" s="2" t="s">
        <v>832</v>
      </c>
      <c r="C1349" s="2">
        <v>8164</v>
      </c>
      <c r="D1349" s="2" t="s">
        <v>6122</v>
      </c>
      <c r="E1349" s="2" t="s">
        <v>38</v>
      </c>
      <c r="F1349" s="2" t="s">
        <v>58</v>
      </c>
      <c r="G1349" s="2">
        <v>47334.49</v>
      </c>
      <c r="H1349" s="2">
        <v>25783.599999999999</v>
      </c>
      <c r="I1349" s="2" t="s">
        <v>84</v>
      </c>
      <c r="J1349" s="2" t="s">
        <v>54</v>
      </c>
      <c r="K1349" s="2" t="s">
        <v>32</v>
      </c>
      <c r="L1349" s="2" t="s">
        <v>88</v>
      </c>
      <c r="M1349" s="2">
        <v>5</v>
      </c>
      <c r="N1349" s="2" t="s">
        <v>24</v>
      </c>
      <c r="O1349" s="2" t="s">
        <v>70</v>
      </c>
      <c r="P1349" s="2" t="s">
        <v>26</v>
      </c>
    </row>
    <row r="1350" spans="1:16" x14ac:dyDescent="0.25">
      <c r="A1350" s="2" t="s">
        <v>3279</v>
      </c>
      <c r="B1350" s="2" t="s">
        <v>5801</v>
      </c>
      <c r="C1350" s="2">
        <v>3909</v>
      </c>
      <c r="D1350" s="2" t="s">
        <v>8264</v>
      </c>
      <c r="E1350" s="2" t="s">
        <v>38</v>
      </c>
      <c r="F1350" s="2" t="s">
        <v>39</v>
      </c>
      <c r="G1350" s="2">
        <v>36938.07</v>
      </c>
      <c r="H1350" s="2">
        <v>19608.830000000002</v>
      </c>
      <c r="I1350" s="2" t="s">
        <v>59</v>
      </c>
      <c r="J1350" s="2" t="s">
        <v>41</v>
      </c>
      <c r="K1350" s="2" t="s">
        <v>42</v>
      </c>
      <c r="L1350" s="2" t="s">
        <v>43</v>
      </c>
      <c r="M1350" s="2">
        <v>1</v>
      </c>
      <c r="N1350" s="2" t="s">
        <v>33</v>
      </c>
      <c r="O1350" s="2" t="s">
        <v>70</v>
      </c>
      <c r="P1350" s="2" t="s">
        <v>34</v>
      </c>
    </row>
    <row r="1351" spans="1:16" x14ac:dyDescent="0.25">
      <c r="A1351" s="2" t="s">
        <v>3281</v>
      </c>
      <c r="B1351" s="2" t="s">
        <v>8265</v>
      </c>
      <c r="C1351" s="2">
        <v>7823</v>
      </c>
      <c r="D1351" s="2" t="s">
        <v>8266</v>
      </c>
      <c r="E1351" s="2" t="s">
        <v>6708</v>
      </c>
      <c r="F1351" s="2" t="s">
        <v>47</v>
      </c>
      <c r="G1351" s="2">
        <v>5265.16</v>
      </c>
      <c r="H1351" s="2">
        <v>2867.12</v>
      </c>
      <c r="I1351" s="2" t="s">
        <v>6690</v>
      </c>
      <c r="J1351" s="2" t="s">
        <v>6686</v>
      </c>
      <c r="K1351" s="2" t="s">
        <v>42</v>
      </c>
      <c r="L1351" s="2" t="s">
        <v>23</v>
      </c>
      <c r="M1351" s="2">
        <v>2</v>
      </c>
      <c r="N1351" s="2" t="s">
        <v>33</v>
      </c>
      <c r="O1351" s="2" t="s">
        <v>25</v>
      </c>
      <c r="P1351" s="2" t="s">
        <v>34</v>
      </c>
    </row>
    <row r="1352" spans="1:16" x14ac:dyDescent="0.25">
      <c r="A1352" s="2" t="s">
        <v>3283</v>
      </c>
      <c r="B1352" s="2" t="s">
        <v>605</v>
      </c>
      <c r="C1352" s="2">
        <v>7680</v>
      </c>
      <c r="D1352" s="2" t="s">
        <v>5155</v>
      </c>
      <c r="E1352" s="2" t="s">
        <v>18</v>
      </c>
      <c r="F1352" s="2" t="s">
        <v>39</v>
      </c>
      <c r="G1352" s="2">
        <v>44356.44</v>
      </c>
      <c r="H1352" s="2">
        <v>27773.31</v>
      </c>
      <c r="I1352" s="2" t="s">
        <v>63</v>
      </c>
      <c r="J1352" s="2" t="s">
        <v>54</v>
      </c>
      <c r="K1352" s="2" t="s">
        <v>42</v>
      </c>
      <c r="L1352" s="2" t="s">
        <v>48</v>
      </c>
      <c r="M1352" s="2">
        <v>2</v>
      </c>
      <c r="N1352" s="2" t="s">
        <v>33</v>
      </c>
      <c r="O1352" s="2" t="s">
        <v>25</v>
      </c>
      <c r="P1352" s="2" t="s">
        <v>49</v>
      </c>
    </row>
    <row r="1353" spans="1:16" x14ac:dyDescent="0.25">
      <c r="A1353" s="2" t="s">
        <v>3284</v>
      </c>
      <c r="B1353" s="2" t="s">
        <v>5340</v>
      </c>
      <c r="C1353" s="2">
        <v>3566</v>
      </c>
      <c r="D1353" s="2" t="s">
        <v>8267</v>
      </c>
      <c r="E1353" s="2" t="s">
        <v>38</v>
      </c>
      <c r="F1353" s="2" t="s">
        <v>58</v>
      </c>
      <c r="G1353" s="2">
        <v>40745.14</v>
      </c>
      <c r="H1353" s="2">
        <v>24022.05</v>
      </c>
      <c r="I1353" s="2" t="s">
        <v>84</v>
      </c>
      <c r="J1353" s="2" t="s">
        <v>54</v>
      </c>
      <c r="K1353" s="2" t="s">
        <v>80</v>
      </c>
      <c r="L1353" s="2" t="s">
        <v>23</v>
      </c>
      <c r="M1353" s="2">
        <v>5</v>
      </c>
      <c r="N1353" s="2" t="s">
        <v>69</v>
      </c>
      <c r="O1353" s="2" t="s">
        <v>25</v>
      </c>
      <c r="P1353" s="2" t="s">
        <v>26</v>
      </c>
    </row>
    <row r="1354" spans="1:16" x14ac:dyDescent="0.25">
      <c r="A1354" s="2" t="s">
        <v>3286</v>
      </c>
      <c r="B1354" s="2" t="s">
        <v>920</v>
      </c>
      <c r="C1354" s="2">
        <v>1428</v>
      </c>
      <c r="D1354" s="2" t="s">
        <v>8268</v>
      </c>
      <c r="E1354" s="2" t="s">
        <v>38</v>
      </c>
      <c r="F1354" s="2" t="s">
        <v>39</v>
      </c>
      <c r="G1354" s="2">
        <v>49347.22</v>
      </c>
      <c r="H1354" s="2">
        <v>26087.87</v>
      </c>
      <c r="I1354" s="2" t="s">
        <v>84</v>
      </c>
      <c r="J1354" s="2" t="s">
        <v>54</v>
      </c>
      <c r="K1354" s="2" t="s">
        <v>32</v>
      </c>
      <c r="L1354" s="2" t="s">
        <v>88</v>
      </c>
      <c r="M1354" s="2">
        <v>5</v>
      </c>
      <c r="N1354" s="2" t="s">
        <v>24</v>
      </c>
      <c r="O1354" s="2" t="s">
        <v>70</v>
      </c>
      <c r="P1354" s="2" t="s">
        <v>49</v>
      </c>
    </row>
    <row r="1355" spans="1:16" x14ac:dyDescent="0.25">
      <c r="A1355" s="2" t="s">
        <v>3288</v>
      </c>
      <c r="B1355" s="2" t="s">
        <v>7483</v>
      </c>
      <c r="C1355" s="2">
        <v>4679</v>
      </c>
      <c r="D1355" s="2" t="s">
        <v>8269</v>
      </c>
      <c r="E1355" s="2" t="s">
        <v>18</v>
      </c>
      <c r="F1355" s="2" t="s">
        <v>19</v>
      </c>
      <c r="G1355" s="2">
        <v>2796.66</v>
      </c>
      <c r="H1355" s="2">
        <v>1760.18</v>
      </c>
      <c r="I1355" s="2" t="s">
        <v>40</v>
      </c>
      <c r="J1355" s="2" t="s">
        <v>41</v>
      </c>
      <c r="K1355" s="2" t="s">
        <v>32</v>
      </c>
      <c r="L1355" s="2" t="s">
        <v>48</v>
      </c>
      <c r="M1355" s="2">
        <v>4</v>
      </c>
      <c r="N1355" s="2" t="s">
        <v>33</v>
      </c>
      <c r="O1355" s="2" t="s">
        <v>25</v>
      </c>
      <c r="P1355" s="2" t="s">
        <v>34</v>
      </c>
    </row>
    <row r="1356" spans="1:16" x14ac:dyDescent="0.25">
      <c r="A1356" s="2" t="s">
        <v>3291</v>
      </c>
      <c r="B1356" s="2" t="s">
        <v>1955</v>
      </c>
      <c r="C1356" s="2">
        <v>5487</v>
      </c>
      <c r="D1356" s="2" t="s">
        <v>8270</v>
      </c>
      <c r="E1356" s="2" t="s">
        <v>6708</v>
      </c>
      <c r="F1356" s="2" t="s">
        <v>58</v>
      </c>
      <c r="G1356" s="2">
        <v>43857.75</v>
      </c>
      <c r="H1356" s="2">
        <v>28147.25</v>
      </c>
      <c r="I1356" s="2" t="s">
        <v>6726</v>
      </c>
      <c r="J1356" s="2" t="s">
        <v>6789</v>
      </c>
      <c r="K1356" s="2" t="s">
        <v>22</v>
      </c>
      <c r="L1356" s="2" t="s">
        <v>43</v>
      </c>
      <c r="M1356" s="2">
        <v>2</v>
      </c>
      <c r="N1356" s="2" t="s">
        <v>33</v>
      </c>
      <c r="O1356" s="2" t="s">
        <v>25</v>
      </c>
      <c r="P1356" s="2" t="s">
        <v>26</v>
      </c>
    </row>
    <row r="1357" spans="1:16" x14ac:dyDescent="0.25">
      <c r="A1357" s="2" t="s">
        <v>3294</v>
      </c>
      <c r="B1357" s="2" t="s">
        <v>3547</v>
      </c>
      <c r="C1357" s="2">
        <v>3694</v>
      </c>
      <c r="D1357" s="2" t="s">
        <v>218</v>
      </c>
      <c r="E1357" s="2" t="s">
        <v>38</v>
      </c>
      <c r="F1357" s="2" t="s">
        <v>39</v>
      </c>
      <c r="G1357" s="2">
        <v>34800.78</v>
      </c>
      <c r="H1357" s="2">
        <v>17724.3</v>
      </c>
      <c r="I1357" s="2" t="s">
        <v>120</v>
      </c>
      <c r="J1357" s="2" t="s">
        <v>21</v>
      </c>
      <c r="K1357" s="2" t="s">
        <v>80</v>
      </c>
      <c r="L1357" s="2" t="s">
        <v>23</v>
      </c>
      <c r="M1357" s="2">
        <v>2</v>
      </c>
      <c r="N1357" s="2" t="s">
        <v>24</v>
      </c>
      <c r="O1357" s="2" t="s">
        <v>25</v>
      </c>
      <c r="P1357" s="2" t="s">
        <v>49</v>
      </c>
    </row>
    <row r="1358" spans="1:16" x14ac:dyDescent="0.25">
      <c r="A1358" s="2" t="s">
        <v>3296</v>
      </c>
      <c r="B1358" s="2" t="s">
        <v>8271</v>
      </c>
      <c r="C1358" s="2">
        <v>5296</v>
      </c>
      <c r="D1358" s="2" t="s">
        <v>8272</v>
      </c>
      <c r="E1358" s="2" t="s">
        <v>18</v>
      </c>
      <c r="F1358" s="2" t="s">
        <v>19</v>
      </c>
      <c r="G1358" s="2">
        <v>13429.05</v>
      </c>
      <c r="H1358" s="2">
        <v>6338.07</v>
      </c>
      <c r="I1358" s="2" t="s">
        <v>40</v>
      </c>
      <c r="J1358" s="2" t="s">
        <v>41</v>
      </c>
      <c r="K1358" s="2" t="s">
        <v>80</v>
      </c>
      <c r="L1358" s="2" t="s">
        <v>48</v>
      </c>
      <c r="M1358" s="2">
        <v>4</v>
      </c>
      <c r="N1358" s="2" t="s">
        <v>24</v>
      </c>
      <c r="O1358" s="2" t="s">
        <v>25</v>
      </c>
      <c r="P1358" s="2" t="s">
        <v>26</v>
      </c>
    </row>
    <row r="1359" spans="1:16" x14ac:dyDescent="0.25">
      <c r="A1359" s="2" t="s">
        <v>3298</v>
      </c>
      <c r="B1359" s="2" t="s">
        <v>8273</v>
      </c>
      <c r="C1359" s="2">
        <v>4579</v>
      </c>
      <c r="D1359" s="2" t="s">
        <v>8274</v>
      </c>
      <c r="E1359" s="2" t="s">
        <v>6719</v>
      </c>
      <c r="F1359" s="2" t="s">
        <v>58</v>
      </c>
      <c r="G1359" s="2">
        <v>18589.66</v>
      </c>
      <c r="H1359" s="2">
        <v>8777.81</v>
      </c>
      <c r="I1359" s="2" t="s">
        <v>6695</v>
      </c>
      <c r="J1359" s="2" t="s">
        <v>6795</v>
      </c>
      <c r="K1359" s="2" t="s">
        <v>22</v>
      </c>
      <c r="L1359" s="2" t="s">
        <v>64</v>
      </c>
      <c r="M1359" s="2">
        <v>1</v>
      </c>
      <c r="N1359" s="2" t="s">
        <v>33</v>
      </c>
      <c r="O1359" s="2" t="s">
        <v>70</v>
      </c>
      <c r="P1359" s="2" t="s">
        <v>49</v>
      </c>
    </row>
    <row r="1360" spans="1:16" x14ac:dyDescent="0.25">
      <c r="A1360" s="2" t="s">
        <v>3300</v>
      </c>
      <c r="B1360" s="2" t="s">
        <v>8275</v>
      </c>
      <c r="C1360" s="2">
        <v>8802</v>
      </c>
      <c r="D1360" s="2" t="s">
        <v>8276</v>
      </c>
      <c r="E1360" s="2" t="s">
        <v>38</v>
      </c>
      <c r="F1360" s="2" t="s">
        <v>58</v>
      </c>
      <c r="G1360" s="2">
        <v>33005.11</v>
      </c>
      <c r="H1360" s="2">
        <v>19187.79</v>
      </c>
      <c r="I1360" s="2" t="s">
        <v>20</v>
      </c>
      <c r="J1360" s="2" t="s">
        <v>21</v>
      </c>
      <c r="K1360" s="2" t="s">
        <v>32</v>
      </c>
      <c r="L1360" s="2" t="s">
        <v>48</v>
      </c>
      <c r="M1360" s="2">
        <v>3</v>
      </c>
      <c r="N1360" s="2" t="s">
        <v>24</v>
      </c>
      <c r="O1360" s="2" t="s">
        <v>25</v>
      </c>
      <c r="P1360" s="2" t="s">
        <v>26</v>
      </c>
    </row>
    <row r="1361" spans="1:16" x14ac:dyDescent="0.25">
      <c r="A1361" s="2" t="s">
        <v>3302</v>
      </c>
      <c r="B1361" s="2" t="s">
        <v>6119</v>
      </c>
      <c r="C1361" s="2">
        <v>9087</v>
      </c>
      <c r="D1361" s="2" t="s">
        <v>8277</v>
      </c>
      <c r="E1361" s="2" t="s">
        <v>18</v>
      </c>
      <c r="F1361" s="2" t="s">
        <v>39</v>
      </c>
      <c r="G1361" s="2">
        <v>10305.01</v>
      </c>
      <c r="H1361" s="2">
        <v>6685.84</v>
      </c>
      <c r="I1361" s="2" t="s">
        <v>31</v>
      </c>
      <c r="J1361" s="2" t="s">
        <v>21</v>
      </c>
      <c r="K1361" s="2" t="s">
        <v>22</v>
      </c>
      <c r="L1361" s="2" t="s">
        <v>55</v>
      </c>
      <c r="M1361" s="2">
        <v>4</v>
      </c>
      <c r="N1361" s="2" t="s">
        <v>33</v>
      </c>
      <c r="O1361" s="2" t="s">
        <v>25</v>
      </c>
      <c r="P1361" s="2" t="s">
        <v>49</v>
      </c>
    </row>
    <row r="1362" spans="1:16" x14ac:dyDescent="0.25">
      <c r="A1362" s="2" t="s">
        <v>3305</v>
      </c>
      <c r="B1362" s="2" t="s">
        <v>8278</v>
      </c>
      <c r="C1362" s="2">
        <v>3646</v>
      </c>
      <c r="D1362" s="2" t="s">
        <v>8279</v>
      </c>
      <c r="E1362" s="2" t="s">
        <v>18</v>
      </c>
      <c r="F1362" s="2" t="s">
        <v>19</v>
      </c>
      <c r="G1362" s="2">
        <v>4261.93</v>
      </c>
      <c r="H1362" s="2">
        <v>2396.7600000000002</v>
      </c>
      <c r="I1362" s="2" t="s">
        <v>20</v>
      </c>
      <c r="J1362" s="2" t="s">
        <v>21</v>
      </c>
      <c r="K1362" s="2" t="s">
        <v>80</v>
      </c>
      <c r="L1362" s="2" t="s">
        <v>64</v>
      </c>
      <c r="M1362" s="2">
        <v>1</v>
      </c>
      <c r="N1362" s="2" t="s">
        <v>33</v>
      </c>
      <c r="O1362" s="2" t="s">
        <v>25</v>
      </c>
      <c r="P1362" s="2" t="s">
        <v>26</v>
      </c>
    </row>
    <row r="1363" spans="1:16" x14ac:dyDescent="0.25">
      <c r="A1363" s="2" t="s">
        <v>3307</v>
      </c>
      <c r="B1363" s="2" t="s">
        <v>8280</v>
      </c>
      <c r="C1363" s="2">
        <v>4286</v>
      </c>
      <c r="D1363" s="2" t="s">
        <v>8281</v>
      </c>
      <c r="E1363" s="2" t="s">
        <v>6708</v>
      </c>
      <c r="F1363" s="2" t="s">
        <v>30</v>
      </c>
      <c r="G1363" s="2">
        <v>49614.76</v>
      </c>
      <c r="H1363" s="2">
        <v>29696.6</v>
      </c>
      <c r="I1363" s="2" t="s">
        <v>84</v>
      </c>
      <c r="J1363" s="2" t="s">
        <v>6686</v>
      </c>
      <c r="K1363" s="2" t="s">
        <v>42</v>
      </c>
      <c r="L1363" s="2" t="s">
        <v>88</v>
      </c>
      <c r="M1363" s="2">
        <v>5</v>
      </c>
      <c r="N1363" s="2" t="s">
        <v>33</v>
      </c>
      <c r="O1363" s="2" t="s">
        <v>25</v>
      </c>
      <c r="P1363" s="2" t="s">
        <v>26</v>
      </c>
    </row>
    <row r="1364" spans="1:16" x14ac:dyDescent="0.25">
      <c r="A1364" s="2" t="s">
        <v>3309</v>
      </c>
      <c r="B1364" s="2" t="s">
        <v>1880</v>
      </c>
      <c r="C1364" s="2">
        <v>4365</v>
      </c>
      <c r="D1364" s="2" t="s">
        <v>3183</v>
      </c>
      <c r="E1364" s="2" t="s">
        <v>38</v>
      </c>
      <c r="F1364" s="2" t="s">
        <v>58</v>
      </c>
      <c r="G1364" s="2">
        <v>12717.68</v>
      </c>
      <c r="H1364" s="2">
        <v>6546.87</v>
      </c>
      <c r="I1364" s="2" t="s">
        <v>31</v>
      </c>
      <c r="J1364" s="2" t="s">
        <v>21</v>
      </c>
      <c r="K1364" s="2" t="s">
        <v>80</v>
      </c>
      <c r="L1364" s="2" t="s">
        <v>55</v>
      </c>
      <c r="M1364" s="2">
        <v>1</v>
      </c>
      <c r="N1364" s="2" t="s">
        <v>24</v>
      </c>
      <c r="O1364" s="2" t="s">
        <v>25</v>
      </c>
      <c r="P1364" s="2" t="s">
        <v>26</v>
      </c>
    </row>
    <row r="1365" spans="1:16" x14ac:dyDescent="0.25">
      <c r="A1365" s="2" t="s">
        <v>3311</v>
      </c>
      <c r="B1365" s="2" t="s">
        <v>4526</v>
      </c>
      <c r="C1365" s="2">
        <v>5971</v>
      </c>
      <c r="D1365" s="2" t="s">
        <v>8282</v>
      </c>
      <c r="E1365" s="2" t="s">
        <v>38</v>
      </c>
      <c r="F1365" s="2" t="s">
        <v>39</v>
      </c>
      <c r="G1365" s="2">
        <v>43615.839999999997</v>
      </c>
      <c r="H1365" s="2">
        <v>19664.71</v>
      </c>
      <c r="I1365" s="2" t="s">
        <v>84</v>
      </c>
      <c r="J1365" s="2" t="s">
        <v>54</v>
      </c>
      <c r="K1365" s="2" t="s">
        <v>22</v>
      </c>
      <c r="L1365" s="2" t="s">
        <v>88</v>
      </c>
      <c r="M1365" s="2">
        <v>1</v>
      </c>
      <c r="N1365" s="2" t="s">
        <v>33</v>
      </c>
      <c r="O1365" s="2" t="s">
        <v>70</v>
      </c>
      <c r="P1365" s="2" t="s">
        <v>34</v>
      </c>
    </row>
    <row r="1366" spans="1:16" x14ac:dyDescent="0.25">
      <c r="A1366" s="2" t="s">
        <v>3313</v>
      </c>
      <c r="B1366" s="2" t="s">
        <v>161</v>
      </c>
      <c r="C1366" s="2">
        <v>4491</v>
      </c>
      <c r="D1366" s="2" t="s">
        <v>8283</v>
      </c>
      <c r="E1366" s="2" t="s">
        <v>6748</v>
      </c>
      <c r="F1366" s="2" t="s">
        <v>47</v>
      </c>
      <c r="G1366" s="2">
        <v>12683.19</v>
      </c>
      <c r="H1366" s="2">
        <v>7001.31</v>
      </c>
      <c r="I1366" s="2" t="s">
        <v>6690</v>
      </c>
      <c r="J1366" s="2" t="s">
        <v>6700</v>
      </c>
      <c r="K1366" s="2" t="s">
        <v>80</v>
      </c>
      <c r="L1366" s="2" t="s">
        <v>64</v>
      </c>
      <c r="M1366" s="2">
        <v>3</v>
      </c>
      <c r="N1366" s="2" t="s">
        <v>69</v>
      </c>
      <c r="O1366" s="2" t="s">
        <v>25</v>
      </c>
      <c r="P1366" s="2" t="s">
        <v>26</v>
      </c>
    </row>
    <row r="1367" spans="1:16" x14ac:dyDescent="0.25">
      <c r="A1367" s="2" t="s">
        <v>3315</v>
      </c>
      <c r="B1367" s="2" t="s">
        <v>4707</v>
      </c>
      <c r="C1367" s="2">
        <v>3774</v>
      </c>
      <c r="D1367" s="2" t="s">
        <v>8284</v>
      </c>
      <c r="E1367" s="2" t="s">
        <v>6694</v>
      </c>
      <c r="F1367" s="2" t="s">
        <v>19</v>
      </c>
      <c r="G1367" s="2">
        <v>12800.52</v>
      </c>
      <c r="H1367" s="2">
        <v>6064.81</v>
      </c>
      <c r="I1367" s="2" t="s">
        <v>6723</v>
      </c>
      <c r="J1367" s="2" t="s">
        <v>6795</v>
      </c>
      <c r="K1367" s="2" t="s">
        <v>42</v>
      </c>
      <c r="L1367" s="2" t="s">
        <v>55</v>
      </c>
      <c r="M1367" s="2">
        <v>1</v>
      </c>
      <c r="N1367" s="2" t="s">
        <v>24</v>
      </c>
      <c r="O1367" s="2" t="s">
        <v>25</v>
      </c>
      <c r="P1367" s="2" t="s">
        <v>34</v>
      </c>
    </row>
    <row r="1368" spans="1:16" x14ac:dyDescent="0.25">
      <c r="A1368" s="2" t="s">
        <v>3317</v>
      </c>
      <c r="B1368" s="2" t="s">
        <v>373</v>
      </c>
      <c r="C1368" s="2">
        <v>3739</v>
      </c>
      <c r="D1368" s="2" t="s">
        <v>8285</v>
      </c>
      <c r="E1368" s="2" t="s">
        <v>38</v>
      </c>
      <c r="F1368" s="2" t="s">
        <v>39</v>
      </c>
      <c r="G1368" s="2">
        <v>15349.81</v>
      </c>
      <c r="H1368" s="2">
        <v>8921.27</v>
      </c>
      <c r="I1368" s="2" t="s">
        <v>63</v>
      </c>
      <c r="J1368" s="2" t="s">
        <v>54</v>
      </c>
      <c r="K1368" s="2" t="s">
        <v>42</v>
      </c>
      <c r="L1368" s="2" t="s">
        <v>55</v>
      </c>
      <c r="M1368" s="2">
        <v>1</v>
      </c>
      <c r="N1368" s="2" t="s">
        <v>33</v>
      </c>
      <c r="O1368" s="2" t="s">
        <v>25</v>
      </c>
      <c r="P1368" s="2" t="s">
        <v>34</v>
      </c>
    </row>
    <row r="1369" spans="1:16" x14ac:dyDescent="0.25">
      <c r="A1369" s="2" t="s">
        <v>3319</v>
      </c>
      <c r="B1369" s="2" t="s">
        <v>2420</v>
      </c>
      <c r="C1369" s="2">
        <v>5520</v>
      </c>
      <c r="D1369" s="2" t="s">
        <v>8286</v>
      </c>
      <c r="E1369" s="2" t="s">
        <v>38</v>
      </c>
      <c r="F1369" s="2" t="s">
        <v>30</v>
      </c>
      <c r="G1369" s="2">
        <v>59467.06</v>
      </c>
      <c r="H1369" s="2">
        <v>33949.85</v>
      </c>
      <c r="I1369" s="2" t="s">
        <v>84</v>
      </c>
      <c r="J1369" s="2" t="s">
        <v>54</v>
      </c>
      <c r="K1369" s="2" t="s">
        <v>32</v>
      </c>
      <c r="L1369" s="2" t="s">
        <v>55</v>
      </c>
      <c r="M1369" s="2">
        <v>1</v>
      </c>
      <c r="N1369" s="2" t="s">
        <v>33</v>
      </c>
      <c r="O1369" s="2" t="s">
        <v>25</v>
      </c>
      <c r="P1369" s="2" t="s">
        <v>49</v>
      </c>
    </row>
    <row r="1370" spans="1:16" x14ac:dyDescent="0.25">
      <c r="A1370" s="2" t="s">
        <v>3322</v>
      </c>
      <c r="B1370" s="2" t="s">
        <v>8287</v>
      </c>
      <c r="C1370" s="2">
        <v>6990</v>
      </c>
      <c r="D1370" s="2" t="s">
        <v>8288</v>
      </c>
      <c r="E1370" s="2" t="s">
        <v>6748</v>
      </c>
      <c r="F1370" s="2" t="s">
        <v>39</v>
      </c>
      <c r="G1370" s="2">
        <v>45103.64</v>
      </c>
      <c r="H1370" s="2">
        <v>22968.97</v>
      </c>
      <c r="I1370" s="2" t="s">
        <v>6812</v>
      </c>
      <c r="J1370" s="2" t="s">
        <v>6753</v>
      </c>
      <c r="K1370" s="2" t="s">
        <v>32</v>
      </c>
      <c r="L1370" s="2" t="s">
        <v>23</v>
      </c>
      <c r="M1370" s="2">
        <v>4</v>
      </c>
      <c r="N1370" s="2" t="s">
        <v>24</v>
      </c>
      <c r="O1370" s="2" t="s">
        <v>25</v>
      </c>
      <c r="P1370" s="2" t="s">
        <v>26</v>
      </c>
    </row>
    <row r="1371" spans="1:16" x14ac:dyDescent="0.25">
      <c r="A1371" s="2" t="s">
        <v>3324</v>
      </c>
      <c r="B1371" s="2" t="s">
        <v>7855</v>
      </c>
      <c r="C1371" s="2">
        <v>1701</v>
      </c>
      <c r="D1371" s="2" t="s">
        <v>8289</v>
      </c>
      <c r="E1371" s="2" t="s">
        <v>18</v>
      </c>
      <c r="F1371" s="2" t="s">
        <v>39</v>
      </c>
      <c r="G1371" s="2">
        <v>15033.59</v>
      </c>
      <c r="H1371" s="2">
        <v>9768.6299999999992</v>
      </c>
      <c r="I1371" s="2" t="s">
        <v>53</v>
      </c>
      <c r="J1371" s="2" t="s">
        <v>54</v>
      </c>
      <c r="K1371" s="2" t="s">
        <v>42</v>
      </c>
      <c r="L1371" s="2" t="s">
        <v>55</v>
      </c>
      <c r="M1371" s="2">
        <v>2</v>
      </c>
      <c r="N1371" s="2" t="s">
        <v>33</v>
      </c>
      <c r="O1371" s="2" t="s">
        <v>70</v>
      </c>
      <c r="P1371" s="2" t="s">
        <v>49</v>
      </c>
    </row>
    <row r="1372" spans="1:16" x14ac:dyDescent="0.25">
      <c r="A1372" s="2" t="s">
        <v>3327</v>
      </c>
      <c r="B1372" s="2" t="s">
        <v>7014</v>
      </c>
      <c r="C1372" s="2">
        <v>2681</v>
      </c>
      <c r="D1372" s="2" t="s">
        <v>8290</v>
      </c>
      <c r="E1372" s="2" t="s">
        <v>6694</v>
      </c>
      <c r="F1372" s="2" t="s">
        <v>39</v>
      </c>
      <c r="G1372" s="2">
        <v>6668.63</v>
      </c>
      <c r="H1372" s="2">
        <v>3852.03</v>
      </c>
      <c r="I1372" s="2" t="s">
        <v>6822</v>
      </c>
      <c r="J1372" s="2" t="s">
        <v>41</v>
      </c>
      <c r="K1372" s="2" t="s">
        <v>80</v>
      </c>
      <c r="L1372" s="2" t="s">
        <v>64</v>
      </c>
      <c r="M1372" s="2">
        <v>5</v>
      </c>
      <c r="N1372" s="2" t="s">
        <v>24</v>
      </c>
      <c r="O1372" s="2" t="s">
        <v>70</v>
      </c>
      <c r="P1372" s="2" t="s">
        <v>26</v>
      </c>
    </row>
    <row r="1373" spans="1:16" x14ac:dyDescent="0.25">
      <c r="A1373" s="2" t="s">
        <v>3329</v>
      </c>
      <c r="B1373" s="2" t="s">
        <v>1736</v>
      </c>
      <c r="C1373" s="2">
        <v>3643</v>
      </c>
      <c r="D1373" s="2" t="s">
        <v>8291</v>
      </c>
      <c r="E1373" s="2" t="s">
        <v>6703</v>
      </c>
      <c r="F1373" s="2" t="s">
        <v>58</v>
      </c>
      <c r="G1373" s="2">
        <v>20608.29</v>
      </c>
      <c r="H1373" s="2">
        <v>11549.77</v>
      </c>
      <c r="I1373" s="2" t="s">
        <v>6910</v>
      </c>
      <c r="J1373" s="2" t="s">
        <v>6802</v>
      </c>
      <c r="K1373" s="2" t="s">
        <v>32</v>
      </c>
      <c r="L1373" s="2" t="s">
        <v>23</v>
      </c>
      <c r="M1373" s="2">
        <v>5</v>
      </c>
      <c r="N1373" s="2" t="s">
        <v>33</v>
      </c>
      <c r="O1373" s="2" t="s">
        <v>25</v>
      </c>
      <c r="P1373" s="2" t="s">
        <v>34</v>
      </c>
    </row>
    <row r="1374" spans="1:16" x14ac:dyDescent="0.25">
      <c r="A1374" s="2" t="s">
        <v>3331</v>
      </c>
      <c r="B1374" s="2" t="s">
        <v>8292</v>
      </c>
      <c r="C1374" s="2">
        <v>2511</v>
      </c>
      <c r="D1374" s="2" t="s">
        <v>8293</v>
      </c>
      <c r="E1374" s="2" t="s">
        <v>18</v>
      </c>
      <c r="F1374" s="2" t="s">
        <v>30</v>
      </c>
      <c r="G1374" s="2">
        <v>78022.990000000005</v>
      </c>
      <c r="H1374" s="2">
        <v>43759.11</v>
      </c>
      <c r="I1374" s="2" t="s">
        <v>84</v>
      </c>
      <c r="J1374" s="2" t="s">
        <v>54</v>
      </c>
      <c r="K1374" s="2" t="s">
        <v>80</v>
      </c>
      <c r="L1374" s="2" t="s">
        <v>43</v>
      </c>
      <c r="M1374" s="2">
        <v>1</v>
      </c>
      <c r="N1374" s="2" t="s">
        <v>33</v>
      </c>
      <c r="O1374" s="2" t="s">
        <v>70</v>
      </c>
      <c r="P1374" s="2" t="s">
        <v>26</v>
      </c>
    </row>
    <row r="1375" spans="1:16" x14ac:dyDescent="0.25">
      <c r="A1375" s="2" t="s">
        <v>3333</v>
      </c>
      <c r="B1375" s="2" t="s">
        <v>8294</v>
      </c>
      <c r="C1375" s="2">
        <v>6221</v>
      </c>
      <c r="D1375" s="2" t="s">
        <v>3902</v>
      </c>
      <c r="E1375" s="2" t="s">
        <v>6680</v>
      </c>
      <c r="F1375" s="2" t="s">
        <v>19</v>
      </c>
      <c r="G1375" s="2">
        <v>15891.43</v>
      </c>
      <c r="H1375" s="2">
        <v>7674.71</v>
      </c>
      <c r="I1375" s="2" t="s">
        <v>59</v>
      </c>
      <c r="J1375" s="2" t="s">
        <v>6793</v>
      </c>
      <c r="K1375" s="2" t="s">
        <v>32</v>
      </c>
      <c r="L1375" s="2" t="s">
        <v>55</v>
      </c>
      <c r="M1375" s="2">
        <v>4</v>
      </c>
      <c r="N1375" s="2" t="s">
        <v>33</v>
      </c>
      <c r="O1375" s="2" t="s">
        <v>70</v>
      </c>
      <c r="P1375" s="2" t="s">
        <v>49</v>
      </c>
    </row>
    <row r="1376" spans="1:16" x14ac:dyDescent="0.25">
      <c r="A1376" s="2" t="s">
        <v>3335</v>
      </c>
      <c r="B1376" s="2" t="s">
        <v>8295</v>
      </c>
      <c r="C1376" s="2">
        <v>2192</v>
      </c>
      <c r="D1376" s="2" t="s">
        <v>8296</v>
      </c>
      <c r="E1376" s="2" t="s">
        <v>18</v>
      </c>
      <c r="F1376" s="2" t="s">
        <v>39</v>
      </c>
      <c r="G1376" s="2">
        <v>31053.49</v>
      </c>
      <c r="H1376" s="2">
        <v>14609.59</v>
      </c>
      <c r="I1376" s="2" t="s">
        <v>31</v>
      </c>
      <c r="J1376" s="2" t="s">
        <v>21</v>
      </c>
      <c r="K1376" s="2" t="s">
        <v>42</v>
      </c>
      <c r="L1376" s="2" t="s">
        <v>48</v>
      </c>
      <c r="M1376" s="2">
        <v>3</v>
      </c>
      <c r="N1376" s="2" t="s">
        <v>33</v>
      </c>
      <c r="O1376" s="2" t="s">
        <v>25</v>
      </c>
      <c r="P1376" s="2" t="s">
        <v>34</v>
      </c>
    </row>
    <row r="1377" spans="1:16" x14ac:dyDescent="0.25">
      <c r="A1377" s="2" t="s">
        <v>3337</v>
      </c>
      <c r="B1377" s="2" t="s">
        <v>4785</v>
      </c>
      <c r="C1377" s="2">
        <v>5717</v>
      </c>
      <c r="D1377" s="2" t="s">
        <v>8297</v>
      </c>
      <c r="E1377" s="2" t="s">
        <v>38</v>
      </c>
      <c r="F1377" s="2" t="s">
        <v>19</v>
      </c>
      <c r="G1377" s="2">
        <v>10401.5</v>
      </c>
      <c r="H1377" s="2">
        <v>6344.64</v>
      </c>
      <c r="I1377" s="2" t="s">
        <v>84</v>
      </c>
      <c r="J1377" s="2" t="s">
        <v>54</v>
      </c>
      <c r="K1377" s="2" t="s">
        <v>42</v>
      </c>
      <c r="L1377" s="2" t="s">
        <v>48</v>
      </c>
      <c r="M1377" s="2">
        <v>2</v>
      </c>
      <c r="N1377" s="2" t="s">
        <v>24</v>
      </c>
      <c r="O1377" s="2" t="s">
        <v>25</v>
      </c>
      <c r="P1377" s="2" t="s">
        <v>49</v>
      </c>
    </row>
    <row r="1378" spans="1:16" x14ac:dyDescent="0.25">
      <c r="A1378" s="2" t="s">
        <v>3340</v>
      </c>
      <c r="B1378" s="2" t="s">
        <v>373</v>
      </c>
      <c r="C1378" s="2">
        <v>1408</v>
      </c>
      <c r="D1378" s="2" t="s">
        <v>8298</v>
      </c>
      <c r="E1378" s="2" t="s">
        <v>18</v>
      </c>
      <c r="F1378" s="2" t="s">
        <v>39</v>
      </c>
      <c r="G1378" s="2">
        <v>22333.75</v>
      </c>
      <c r="H1378" s="2">
        <v>12664.05</v>
      </c>
      <c r="I1378" s="2" t="s">
        <v>31</v>
      </c>
      <c r="J1378" s="2" t="s">
        <v>21</v>
      </c>
      <c r="K1378" s="2" t="s">
        <v>22</v>
      </c>
      <c r="L1378" s="2" t="s">
        <v>48</v>
      </c>
      <c r="M1378" s="2">
        <v>2</v>
      </c>
      <c r="N1378" s="2" t="s">
        <v>33</v>
      </c>
      <c r="O1378" s="2" t="s">
        <v>70</v>
      </c>
      <c r="P1378" s="2" t="s">
        <v>49</v>
      </c>
    </row>
    <row r="1379" spans="1:16" x14ac:dyDescent="0.25">
      <c r="A1379" s="2" t="s">
        <v>3342</v>
      </c>
      <c r="B1379" s="2" t="s">
        <v>2838</v>
      </c>
      <c r="C1379" s="2">
        <v>1225</v>
      </c>
      <c r="D1379" s="2" t="s">
        <v>1091</v>
      </c>
      <c r="E1379" s="2" t="s">
        <v>38</v>
      </c>
      <c r="F1379" s="2" t="s">
        <v>47</v>
      </c>
      <c r="G1379" s="2">
        <v>15848.77</v>
      </c>
      <c r="H1379" s="2">
        <v>8883.39</v>
      </c>
      <c r="I1379" s="2" t="s">
        <v>120</v>
      </c>
      <c r="J1379" s="2" t="s">
        <v>21</v>
      </c>
      <c r="K1379" s="2" t="s">
        <v>42</v>
      </c>
      <c r="L1379" s="2" t="s">
        <v>64</v>
      </c>
      <c r="M1379" s="2">
        <v>3</v>
      </c>
      <c r="N1379" s="2" t="s">
        <v>24</v>
      </c>
      <c r="O1379" s="2" t="s">
        <v>25</v>
      </c>
      <c r="P1379" s="2" t="s">
        <v>26</v>
      </c>
    </row>
    <row r="1380" spans="1:16" x14ac:dyDescent="0.25">
      <c r="A1380" s="2" t="s">
        <v>3343</v>
      </c>
      <c r="B1380" s="2" t="s">
        <v>8299</v>
      </c>
      <c r="C1380" s="2">
        <v>8043</v>
      </c>
      <c r="D1380" s="2" t="s">
        <v>8300</v>
      </c>
      <c r="E1380" s="2" t="s">
        <v>6743</v>
      </c>
      <c r="F1380" s="2" t="s">
        <v>47</v>
      </c>
      <c r="G1380" s="2">
        <v>10006.540000000001</v>
      </c>
      <c r="H1380" s="2">
        <v>5221.99</v>
      </c>
      <c r="I1380" s="2" t="s">
        <v>6752</v>
      </c>
      <c r="J1380" s="2" t="s">
        <v>6753</v>
      </c>
      <c r="K1380" s="2" t="s">
        <v>32</v>
      </c>
      <c r="L1380" s="2" t="s">
        <v>43</v>
      </c>
      <c r="M1380" s="2">
        <v>5</v>
      </c>
      <c r="N1380" s="2" t="s">
        <v>69</v>
      </c>
      <c r="O1380" s="2" t="s">
        <v>25</v>
      </c>
      <c r="P1380" s="2" t="s">
        <v>34</v>
      </c>
    </row>
    <row r="1381" spans="1:16" x14ac:dyDescent="0.25">
      <c r="A1381" s="2" t="s">
        <v>3346</v>
      </c>
      <c r="B1381" s="2" t="s">
        <v>8301</v>
      </c>
      <c r="C1381" s="2">
        <v>7538</v>
      </c>
      <c r="D1381" s="2" t="s">
        <v>8302</v>
      </c>
      <c r="E1381" s="2" t="s">
        <v>6748</v>
      </c>
      <c r="F1381" s="2" t="s">
        <v>19</v>
      </c>
      <c r="G1381" s="2" t="s">
        <v>8303</v>
      </c>
      <c r="H1381" s="2">
        <v>3572.33</v>
      </c>
      <c r="I1381" s="2" t="s">
        <v>6812</v>
      </c>
      <c r="J1381" s="2" t="s">
        <v>6729</v>
      </c>
      <c r="K1381" s="2" t="s">
        <v>32</v>
      </c>
      <c r="L1381" s="2" t="s">
        <v>64</v>
      </c>
      <c r="M1381" s="2">
        <v>5</v>
      </c>
      <c r="N1381" s="2" t="s">
        <v>33</v>
      </c>
      <c r="O1381" s="2" t="s">
        <v>25</v>
      </c>
      <c r="P1381" s="2" t="s">
        <v>49</v>
      </c>
    </row>
    <row r="1382" spans="1:16" x14ac:dyDescent="0.25">
      <c r="A1382" s="2" t="s">
        <v>3348</v>
      </c>
      <c r="B1382" s="2" t="s">
        <v>4642</v>
      </c>
      <c r="C1382" s="2">
        <v>5845</v>
      </c>
      <c r="D1382" s="2" t="s">
        <v>8304</v>
      </c>
      <c r="E1382" s="2" t="s">
        <v>6748</v>
      </c>
      <c r="F1382" s="2" t="s">
        <v>30</v>
      </c>
      <c r="G1382" s="2">
        <v>28895.29</v>
      </c>
      <c r="H1382" s="2">
        <v>17475.13</v>
      </c>
      <c r="I1382" s="2" t="s">
        <v>6726</v>
      </c>
      <c r="J1382" s="2" t="s">
        <v>6696</v>
      </c>
      <c r="K1382" s="2" t="s">
        <v>80</v>
      </c>
      <c r="L1382" s="2" t="s">
        <v>23</v>
      </c>
      <c r="M1382" s="2">
        <v>3</v>
      </c>
      <c r="N1382" s="2" t="s">
        <v>69</v>
      </c>
      <c r="O1382" s="2" t="s">
        <v>70</v>
      </c>
      <c r="P1382" s="2" t="s">
        <v>49</v>
      </c>
    </row>
    <row r="1383" spans="1:16" x14ac:dyDescent="0.25">
      <c r="A1383" s="2" t="s">
        <v>3350</v>
      </c>
      <c r="B1383" s="2" t="s">
        <v>8305</v>
      </c>
      <c r="C1383" s="2">
        <v>8444</v>
      </c>
      <c r="D1383" s="2" t="s">
        <v>8306</v>
      </c>
      <c r="E1383" s="2" t="s">
        <v>6694</v>
      </c>
      <c r="F1383" s="2" t="s">
        <v>30</v>
      </c>
      <c r="G1383" s="2">
        <v>51705.66</v>
      </c>
      <c r="H1383" s="2">
        <v>30714.67</v>
      </c>
      <c r="I1383" s="2" t="s">
        <v>53</v>
      </c>
      <c r="J1383" s="2" t="s">
        <v>6753</v>
      </c>
      <c r="K1383" s="2" t="s">
        <v>42</v>
      </c>
      <c r="L1383" s="2" t="s">
        <v>23</v>
      </c>
      <c r="M1383" s="2">
        <v>4</v>
      </c>
      <c r="N1383" s="2" t="s">
        <v>24</v>
      </c>
      <c r="O1383" s="2" t="s">
        <v>25</v>
      </c>
      <c r="P1383" s="2" t="s">
        <v>34</v>
      </c>
    </row>
    <row r="1384" spans="1:16" x14ac:dyDescent="0.25">
      <c r="A1384" s="2" t="s">
        <v>3353</v>
      </c>
      <c r="B1384" s="2" t="s">
        <v>8307</v>
      </c>
      <c r="C1384" s="2">
        <v>3695</v>
      </c>
      <c r="D1384" s="2" t="s">
        <v>8308</v>
      </c>
      <c r="E1384" s="2" t="s">
        <v>38</v>
      </c>
      <c r="F1384" s="2" t="s">
        <v>30</v>
      </c>
      <c r="G1384" s="2">
        <v>54010.83</v>
      </c>
      <c r="H1384" s="2">
        <v>26888.34</v>
      </c>
      <c r="I1384" s="2" t="s">
        <v>6812</v>
      </c>
      <c r="J1384" s="2" t="s">
        <v>6686</v>
      </c>
      <c r="K1384" s="2" t="s">
        <v>32</v>
      </c>
      <c r="L1384" s="2" t="s">
        <v>23</v>
      </c>
      <c r="M1384" s="2">
        <v>2</v>
      </c>
      <c r="N1384" s="2" t="s">
        <v>24</v>
      </c>
      <c r="O1384" s="2" t="s">
        <v>25</v>
      </c>
      <c r="P1384" s="2" t="s">
        <v>49</v>
      </c>
    </row>
    <row r="1385" spans="1:16" x14ac:dyDescent="0.25">
      <c r="A1385" s="2" t="s">
        <v>3356</v>
      </c>
      <c r="B1385" s="2" t="s">
        <v>3927</v>
      </c>
      <c r="C1385" s="2">
        <v>3290</v>
      </c>
      <c r="D1385" s="2" t="s">
        <v>3928</v>
      </c>
      <c r="E1385" s="2" t="s">
        <v>38</v>
      </c>
      <c r="F1385" s="2" t="s">
        <v>30</v>
      </c>
      <c r="G1385" s="2">
        <v>34542.83</v>
      </c>
      <c r="H1385" s="2">
        <v>21795.29</v>
      </c>
      <c r="I1385" s="2" t="s">
        <v>20</v>
      </c>
      <c r="J1385" s="2" t="s">
        <v>21</v>
      </c>
      <c r="K1385" s="2" t="s">
        <v>22</v>
      </c>
      <c r="L1385" s="2" t="s">
        <v>64</v>
      </c>
      <c r="M1385" s="2">
        <v>2</v>
      </c>
      <c r="N1385" s="2" t="s">
        <v>33</v>
      </c>
      <c r="O1385" s="2" t="s">
        <v>25</v>
      </c>
      <c r="P1385" s="2" t="s">
        <v>26</v>
      </c>
    </row>
    <row r="1386" spans="1:16" x14ac:dyDescent="0.25">
      <c r="A1386" s="2" t="s">
        <v>3358</v>
      </c>
      <c r="B1386" s="2" t="s">
        <v>8309</v>
      </c>
      <c r="C1386" s="2">
        <v>2953</v>
      </c>
      <c r="D1386" s="2" t="s">
        <v>8310</v>
      </c>
      <c r="E1386" s="2" t="s">
        <v>6698</v>
      </c>
      <c r="F1386" s="2" t="s">
        <v>39</v>
      </c>
      <c r="G1386" s="2">
        <v>22191.3</v>
      </c>
      <c r="H1386" s="2">
        <v>12606.17</v>
      </c>
      <c r="I1386" s="2" t="s">
        <v>68</v>
      </c>
      <c r="J1386" s="2" t="s">
        <v>6705</v>
      </c>
      <c r="K1386" s="2" t="s">
        <v>80</v>
      </c>
      <c r="L1386" s="2" t="s">
        <v>64</v>
      </c>
      <c r="M1386" s="2">
        <v>5</v>
      </c>
      <c r="N1386" s="2" t="s">
        <v>33</v>
      </c>
      <c r="O1386" s="2" t="s">
        <v>70</v>
      </c>
      <c r="P1386" s="2" t="s">
        <v>26</v>
      </c>
    </row>
    <row r="1387" spans="1:16" x14ac:dyDescent="0.25">
      <c r="A1387" s="2" t="s">
        <v>3361</v>
      </c>
      <c r="B1387" s="2" t="s">
        <v>8311</v>
      </c>
      <c r="C1387" s="2">
        <v>6870</v>
      </c>
      <c r="D1387" s="2" t="s">
        <v>8312</v>
      </c>
      <c r="E1387" s="2" t="s">
        <v>6703</v>
      </c>
      <c r="F1387" s="2" t="s">
        <v>30</v>
      </c>
      <c r="G1387" s="2">
        <v>35191.519999999997</v>
      </c>
      <c r="H1387" s="2">
        <v>16153.49</v>
      </c>
      <c r="I1387" s="2" t="s">
        <v>6690</v>
      </c>
      <c r="J1387" s="2" t="s">
        <v>6691</v>
      </c>
      <c r="K1387" s="2" t="s">
        <v>22</v>
      </c>
      <c r="L1387" s="2" t="s">
        <v>48</v>
      </c>
      <c r="M1387" s="2">
        <v>5</v>
      </c>
      <c r="N1387" s="2" t="s">
        <v>33</v>
      </c>
      <c r="O1387" s="2" t="s">
        <v>25</v>
      </c>
      <c r="P1387" s="2" t="s">
        <v>49</v>
      </c>
    </row>
    <row r="1388" spans="1:16" x14ac:dyDescent="0.25">
      <c r="A1388" s="2" t="s">
        <v>3363</v>
      </c>
      <c r="B1388" s="2" t="s">
        <v>8313</v>
      </c>
      <c r="C1388" s="2">
        <v>6596</v>
      </c>
      <c r="D1388" s="2" t="s">
        <v>8314</v>
      </c>
      <c r="E1388" s="2" t="s">
        <v>6698</v>
      </c>
      <c r="F1388" s="2" t="s">
        <v>58</v>
      </c>
      <c r="G1388" s="2">
        <v>8759.74</v>
      </c>
      <c r="H1388" s="2">
        <v>4198.0600000000004</v>
      </c>
      <c r="I1388" s="2" t="s">
        <v>31</v>
      </c>
      <c r="J1388" s="2" t="s">
        <v>6795</v>
      </c>
      <c r="K1388" s="2" t="s">
        <v>42</v>
      </c>
      <c r="L1388" s="2" t="s">
        <v>64</v>
      </c>
      <c r="M1388" s="2">
        <v>3</v>
      </c>
      <c r="N1388" s="2" t="s">
        <v>24</v>
      </c>
      <c r="O1388" s="2" t="s">
        <v>25</v>
      </c>
      <c r="P1388" s="2" t="s">
        <v>49</v>
      </c>
    </row>
    <row r="1389" spans="1:16" x14ac:dyDescent="0.25">
      <c r="A1389" s="2" t="s">
        <v>3365</v>
      </c>
      <c r="B1389" s="2" t="s">
        <v>8315</v>
      </c>
      <c r="C1389" s="2">
        <v>6638</v>
      </c>
      <c r="D1389" s="2" t="s">
        <v>8316</v>
      </c>
      <c r="E1389" s="2" t="s">
        <v>32</v>
      </c>
      <c r="F1389" s="2" t="s">
        <v>47</v>
      </c>
      <c r="G1389" s="2">
        <v>4293.13</v>
      </c>
      <c r="H1389" s="2">
        <v>2133.11</v>
      </c>
      <c r="I1389" s="2" t="s">
        <v>6739</v>
      </c>
      <c r="J1389" s="2" t="s">
        <v>6729</v>
      </c>
      <c r="K1389" s="2" t="s">
        <v>80</v>
      </c>
      <c r="L1389" s="2" t="s">
        <v>48</v>
      </c>
      <c r="M1389" s="2">
        <v>4</v>
      </c>
      <c r="N1389" s="2" t="s">
        <v>24</v>
      </c>
      <c r="O1389" s="2" t="s">
        <v>70</v>
      </c>
      <c r="P1389" s="2" t="s">
        <v>26</v>
      </c>
    </row>
    <row r="1390" spans="1:16" x14ac:dyDescent="0.25">
      <c r="A1390" s="2" t="s">
        <v>3367</v>
      </c>
      <c r="B1390" s="2" t="s">
        <v>4146</v>
      </c>
      <c r="C1390" s="2">
        <v>2710</v>
      </c>
      <c r="D1390" s="2" t="s">
        <v>8317</v>
      </c>
      <c r="E1390" s="2" t="s">
        <v>32</v>
      </c>
      <c r="F1390" s="2" t="s">
        <v>58</v>
      </c>
      <c r="G1390" s="2">
        <v>39351.550000000003</v>
      </c>
      <c r="H1390" s="2">
        <v>25374.15</v>
      </c>
      <c r="I1390" s="2" t="s">
        <v>84</v>
      </c>
      <c r="J1390" s="2" t="s">
        <v>6729</v>
      </c>
      <c r="K1390" s="2" t="s">
        <v>80</v>
      </c>
      <c r="L1390" s="2" t="s">
        <v>64</v>
      </c>
      <c r="M1390" s="2">
        <v>4</v>
      </c>
      <c r="N1390" s="2" t="s">
        <v>33</v>
      </c>
      <c r="O1390" s="2" t="s">
        <v>25</v>
      </c>
      <c r="P1390" s="2" t="s">
        <v>49</v>
      </c>
    </row>
    <row r="1391" spans="1:16" x14ac:dyDescent="0.25">
      <c r="A1391" s="2" t="s">
        <v>3369</v>
      </c>
      <c r="B1391" s="2" t="s">
        <v>8318</v>
      </c>
      <c r="C1391" s="2">
        <v>6261</v>
      </c>
      <c r="D1391" s="2" t="s">
        <v>8319</v>
      </c>
      <c r="E1391" s="2" t="s">
        <v>38</v>
      </c>
      <c r="F1391" s="2" t="s">
        <v>58</v>
      </c>
      <c r="G1391" s="2">
        <v>25429.75</v>
      </c>
      <c r="H1391" s="2">
        <v>13512.25</v>
      </c>
      <c r="I1391" s="2" t="s">
        <v>84</v>
      </c>
      <c r="J1391" s="2" t="s">
        <v>54</v>
      </c>
      <c r="K1391" s="2" t="s">
        <v>22</v>
      </c>
      <c r="L1391" s="2" t="s">
        <v>48</v>
      </c>
      <c r="M1391" s="2">
        <v>5</v>
      </c>
      <c r="N1391" s="2" t="s">
        <v>33</v>
      </c>
      <c r="O1391" s="2" t="s">
        <v>25</v>
      </c>
      <c r="P1391" s="2" t="s">
        <v>26</v>
      </c>
    </row>
    <row r="1392" spans="1:16" x14ac:dyDescent="0.25">
      <c r="A1392" s="2" t="s">
        <v>3371</v>
      </c>
      <c r="B1392" s="2" t="s">
        <v>8320</v>
      </c>
      <c r="C1392" s="2">
        <v>8828</v>
      </c>
      <c r="D1392" s="2" t="s">
        <v>8321</v>
      </c>
      <c r="E1392" s="2" t="s">
        <v>6748</v>
      </c>
      <c r="F1392" s="2" t="s">
        <v>30</v>
      </c>
      <c r="G1392" s="2">
        <v>40392.51</v>
      </c>
      <c r="H1392" s="2">
        <v>20164.54</v>
      </c>
      <c r="I1392" s="2" t="s">
        <v>6739</v>
      </c>
      <c r="J1392" s="2" t="s">
        <v>6686</v>
      </c>
      <c r="K1392" s="2" t="s">
        <v>32</v>
      </c>
      <c r="L1392" s="2" t="s">
        <v>23</v>
      </c>
      <c r="M1392" s="2">
        <v>4</v>
      </c>
      <c r="N1392" s="2" t="s">
        <v>33</v>
      </c>
      <c r="O1392" s="2" t="s">
        <v>25</v>
      </c>
      <c r="P1392" s="2" t="s">
        <v>26</v>
      </c>
    </row>
    <row r="1393" spans="1:16" x14ac:dyDescent="0.25">
      <c r="A1393" s="2" t="s">
        <v>3373</v>
      </c>
      <c r="B1393" s="2" t="s">
        <v>3351</v>
      </c>
      <c r="C1393" s="2">
        <v>3494</v>
      </c>
      <c r="D1393" s="2" t="s">
        <v>8322</v>
      </c>
      <c r="E1393" s="2" t="s">
        <v>38</v>
      </c>
      <c r="F1393" s="2" t="s">
        <v>39</v>
      </c>
      <c r="G1393" s="2">
        <v>15357.85</v>
      </c>
      <c r="H1393" s="2">
        <v>7034.03</v>
      </c>
      <c r="I1393" s="2" t="s">
        <v>120</v>
      </c>
      <c r="J1393" s="2" t="s">
        <v>21</v>
      </c>
      <c r="K1393" s="2" t="s">
        <v>32</v>
      </c>
      <c r="L1393" s="2" t="s">
        <v>64</v>
      </c>
      <c r="M1393" s="2">
        <v>3</v>
      </c>
      <c r="N1393" s="2" t="s">
        <v>24</v>
      </c>
      <c r="O1393" s="2" t="s">
        <v>25</v>
      </c>
      <c r="P1393" s="2" t="s">
        <v>49</v>
      </c>
    </row>
    <row r="1394" spans="1:16" x14ac:dyDescent="0.25">
      <c r="A1394" s="2" t="s">
        <v>3375</v>
      </c>
      <c r="B1394" s="2" t="s">
        <v>8323</v>
      </c>
      <c r="C1394" s="2">
        <v>8165</v>
      </c>
      <c r="D1394" s="2" t="s">
        <v>2613</v>
      </c>
      <c r="E1394" s="2" t="s">
        <v>38</v>
      </c>
      <c r="F1394" s="2" t="s">
        <v>19</v>
      </c>
      <c r="G1394" s="2">
        <v>9143.89</v>
      </c>
      <c r="H1394" s="2">
        <v>5260.24</v>
      </c>
      <c r="I1394" s="2" t="s">
        <v>20</v>
      </c>
      <c r="J1394" s="2" t="s">
        <v>21</v>
      </c>
      <c r="K1394" s="2" t="s">
        <v>80</v>
      </c>
      <c r="L1394" s="2" t="s">
        <v>64</v>
      </c>
      <c r="M1394" s="2">
        <v>5</v>
      </c>
      <c r="N1394" s="2" t="s">
        <v>33</v>
      </c>
      <c r="O1394" s="2" t="s">
        <v>70</v>
      </c>
      <c r="P1394" s="2" t="s">
        <v>49</v>
      </c>
    </row>
    <row r="1395" spans="1:16" x14ac:dyDescent="0.25">
      <c r="A1395" s="2" t="s">
        <v>3377</v>
      </c>
      <c r="B1395" s="2" t="s">
        <v>1917</v>
      </c>
      <c r="C1395" s="2">
        <v>6611</v>
      </c>
      <c r="D1395" s="2" t="s">
        <v>6237</v>
      </c>
      <c r="E1395" s="2" t="s">
        <v>18</v>
      </c>
      <c r="F1395" s="2" t="s">
        <v>30</v>
      </c>
      <c r="G1395" s="2">
        <v>114621.12</v>
      </c>
      <c r="H1395" s="2">
        <v>59392.7</v>
      </c>
      <c r="I1395" s="2" t="s">
        <v>84</v>
      </c>
      <c r="J1395" s="2" t="s">
        <v>54</v>
      </c>
      <c r="K1395" s="2" t="s">
        <v>32</v>
      </c>
      <c r="L1395" s="2" t="s">
        <v>43</v>
      </c>
      <c r="M1395" s="2">
        <v>2</v>
      </c>
      <c r="N1395" s="2" t="s">
        <v>33</v>
      </c>
      <c r="O1395" s="2" t="s">
        <v>25</v>
      </c>
      <c r="P1395" s="2" t="s">
        <v>34</v>
      </c>
    </row>
    <row r="1396" spans="1:16" x14ac:dyDescent="0.25">
      <c r="A1396" s="2" t="s">
        <v>3379</v>
      </c>
      <c r="B1396" s="2" t="s">
        <v>8324</v>
      </c>
      <c r="C1396" s="2">
        <v>5797</v>
      </c>
      <c r="D1396" s="2" t="s">
        <v>8325</v>
      </c>
      <c r="E1396" s="2" t="s">
        <v>6703</v>
      </c>
      <c r="F1396" s="2" t="s">
        <v>47</v>
      </c>
      <c r="G1396" s="2">
        <v>8046.3</v>
      </c>
      <c r="H1396" s="2">
        <v>5014.13</v>
      </c>
      <c r="I1396" s="2" t="s">
        <v>6728</v>
      </c>
      <c r="J1396" s="2" t="s">
        <v>6753</v>
      </c>
      <c r="K1396" s="2" t="s">
        <v>32</v>
      </c>
      <c r="L1396" s="2" t="s">
        <v>88</v>
      </c>
      <c r="M1396" s="2">
        <v>1</v>
      </c>
      <c r="N1396" s="2" t="s">
        <v>69</v>
      </c>
      <c r="O1396" s="2" t="s">
        <v>25</v>
      </c>
      <c r="P1396" s="2" t="s">
        <v>34</v>
      </c>
    </row>
    <row r="1397" spans="1:16" x14ac:dyDescent="0.25">
      <c r="A1397" s="2" t="s">
        <v>3381</v>
      </c>
      <c r="B1397" s="2" t="s">
        <v>8326</v>
      </c>
      <c r="C1397" s="2">
        <v>8688</v>
      </c>
      <c r="D1397" s="2" t="s">
        <v>8327</v>
      </c>
      <c r="E1397" s="2" t="s">
        <v>38</v>
      </c>
      <c r="F1397" s="2" t="s">
        <v>19</v>
      </c>
      <c r="G1397" s="2">
        <v>5454.43</v>
      </c>
      <c r="H1397" s="2">
        <v>2935.89</v>
      </c>
      <c r="I1397" s="2" t="s">
        <v>6681</v>
      </c>
      <c r="J1397" s="2" t="s">
        <v>6732</v>
      </c>
      <c r="K1397" s="2" t="s">
        <v>42</v>
      </c>
      <c r="L1397" s="2" t="s">
        <v>43</v>
      </c>
      <c r="M1397" s="2">
        <v>4</v>
      </c>
      <c r="N1397" s="2" t="s">
        <v>33</v>
      </c>
      <c r="O1397" s="2" t="s">
        <v>25</v>
      </c>
      <c r="P1397" s="2" t="s">
        <v>49</v>
      </c>
    </row>
    <row r="1398" spans="1:16" x14ac:dyDescent="0.25">
      <c r="A1398" s="2" t="s">
        <v>3384</v>
      </c>
      <c r="B1398" s="2" t="s">
        <v>682</v>
      </c>
      <c r="C1398" s="2">
        <v>7861</v>
      </c>
      <c r="D1398" s="2" t="s">
        <v>3960</v>
      </c>
      <c r="E1398" s="2" t="s">
        <v>38</v>
      </c>
      <c r="F1398" s="2" t="s">
        <v>58</v>
      </c>
      <c r="G1398" s="2">
        <v>22173.87</v>
      </c>
      <c r="H1398" s="2">
        <v>14097.3</v>
      </c>
      <c r="I1398" s="2" t="s">
        <v>120</v>
      </c>
      <c r="J1398" s="2" t="s">
        <v>21</v>
      </c>
      <c r="K1398" s="2" t="s">
        <v>22</v>
      </c>
      <c r="L1398" s="2" t="s">
        <v>23</v>
      </c>
      <c r="M1398" s="2">
        <v>1</v>
      </c>
      <c r="N1398" s="2" t="s">
        <v>69</v>
      </c>
      <c r="O1398" s="2" t="s">
        <v>70</v>
      </c>
      <c r="P1398" s="2" t="s">
        <v>34</v>
      </c>
    </row>
    <row r="1399" spans="1:16" x14ac:dyDescent="0.25">
      <c r="A1399" s="2" t="s">
        <v>3386</v>
      </c>
      <c r="B1399" s="2" t="s">
        <v>4017</v>
      </c>
      <c r="C1399" s="2">
        <v>8222</v>
      </c>
      <c r="D1399" s="2" t="s">
        <v>4205</v>
      </c>
      <c r="E1399" s="2" t="s">
        <v>6703</v>
      </c>
      <c r="F1399" s="2" t="s">
        <v>30</v>
      </c>
      <c r="G1399" s="2">
        <v>26171.71</v>
      </c>
      <c r="H1399" s="2">
        <v>16369.54</v>
      </c>
      <c r="I1399" s="2" t="s">
        <v>6918</v>
      </c>
      <c r="J1399" s="2" t="s">
        <v>6802</v>
      </c>
      <c r="K1399" s="2" t="s">
        <v>32</v>
      </c>
      <c r="L1399" s="2" t="s">
        <v>55</v>
      </c>
      <c r="M1399" s="2">
        <v>2</v>
      </c>
      <c r="N1399" s="2" t="s">
        <v>24</v>
      </c>
      <c r="O1399" s="2" t="s">
        <v>25</v>
      </c>
      <c r="P1399" s="2" t="s">
        <v>49</v>
      </c>
    </row>
    <row r="1400" spans="1:16" x14ac:dyDescent="0.25">
      <c r="A1400" s="2" t="s">
        <v>3388</v>
      </c>
      <c r="B1400" s="2" t="s">
        <v>78</v>
      </c>
      <c r="C1400" s="2">
        <v>1102</v>
      </c>
      <c r="D1400" s="2" t="s">
        <v>8328</v>
      </c>
      <c r="E1400" s="2" t="s">
        <v>38</v>
      </c>
      <c r="F1400" s="2" t="s">
        <v>30</v>
      </c>
      <c r="G1400" s="2">
        <v>117722.51</v>
      </c>
      <c r="H1400" s="2">
        <v>75871.350000000006</v>
      </c>
      <c r="I1400" s="2" t="s">
        <v>53</v>
      </c>
      <c r="J1400" s="2" t="s">
        <v>54</v>
      </c>
      <c r="K1400" s="2" t="s">
        <v>80</v>
      </c>
      <c r="L1400" s="2" t="s">
        <v>23</v>
      </c>
      <c r="M1400" s="2">
        <v>3</v>
      </c>
      <c r="N1400" s="2" t="s">
        <v>33</v>
      </c>
      <c r="O1400" s="2" t="s">
        <v>25</v>
      </c>
      <c r="P1400" s="2" t="s">
        <v>49</v>
      </c>
    </row>
    <row r="1401" spans="1:16" x14ac:dyDescent="0.25">
      <c r="A1401" s="2" t="s">
        <v>3390</v>
      </c>
      <c r="B1401" s="2" t="s">
        <v>6978</v>
      </c>
      <c r="C1401" s="2">
        <v>5794</v>
      </c>
      <c r="D1401" s="2" t="s">
        <v>8238</v>
      </c>
      <c r="E1401" s="2" t="s">
        <v>38</v>
      </c>
      <c r="F1401" s="2" t="s">
        <v>39</v>
      </c>
      <c r="G1401" s="2">
        <v>29131.25</v>
      </c>
      <c r="H1401" s="2">
        <v>18008.22</v>
      </c>
      <c r="I1401" s="2" t="s">
        <v>20</v>
      </c>
      <c r="J1401" s="2" t="s">
        <v>21</v>
      </c>
      <c r="K1401" s="2" t="s">
        <v>32</v>
      </c>
      <c r="L1401" s="2" t="s">
        <v>23</v>
      </c>
      <c r="M1401" s="2">
        <v>2</v>
      </c>
      <c r="N1401" s="2" t="s">
        <v>33</v>
      </c>
      <c r="O1401" s="2" t="s">
        <v>70</v>
      </c>
      <c r="P1401" s="2" t="s">
        <v>26</v>
      </c>
    </row>
    <row r="1402" spans="1:16" x14ac:dyDescent="0.25">
      <c r="A1402" s="2" t="s">
        <v>3393</v>
      </c>
      <c r="B1402" s="2" t="s">
        <v>319</v>
      </c>
      <c r="C1402" s="2">
        <v>7556</v>
      </c>
      <c r="D1402" s="2" t="s">
        <v>2963</v>
      </c>
      <c r="E1402" s="2" t="s">
        <v>38</v>
      </c>
      <c r="F1402" s="2" t="s">
        <v>19</v>
      </c>
      <c r="G1402" s="2">
        <v>2752.79</v>
      </c>
      <c r="H1402" s="2">
        <v>1347.29</v>
      </c>
      <c r="I1402" s="2" t="s">
        <v>40</v>
      </c>
      <c r="J1402" s="2" t="s">
        <v>41</v>
      </c>
      <c r="K1402" s="2" t="s">
        <v>32</v>
      </c>
      <c r="L1402" s="2" t="s">
        <v>48</v>
      </c>
      <c r="M1402" s="2">
        <v>2</v>
      </c>
      <c r="N1402" s="2" t="s">
        <v>69</v>
      </c>
      <c r="O1402" s="2" t="s">
        <v>70</v>
      </c>
      <c r="P1402" s="2" t="s">
        <v>49</v>
      </c>
    </row>
    <row r="1403" spans="1:16" x14ac:dyDescent="0.25">
      <c r="A1403" s="2" t="s">
        <v>3396</v>
      </c>
      <c r="B1403" s="2" t="s">
        <v>4439</v>
      </c>
      <c r="C1403" s="2">
        <v>9486</v>
      </c>
      <c r="D1403" s="2" t="s">
        <v>8329</v>
      </c>
      <c r="E1403" s="2" t="s">
        <v>6708</v>
      </c>
      <c r="F1403" s="2" t="s">
        <v>58</v>
      </c>
      <c r="G1403" s="2">
        <v>24960.99</v>
      </c>
      <c r="H1403" s="2">
        <v>12572.46</v>
      </c>
      <c r="I1403" s="2" t="s">
        <v>6749</v>
      </c>
      <c r="J1403" s="2" t="s">
        <v>41</v>
      </c>
      <c r="K1403" s="2" t="s">
        <v>80</v>
      </c>
      <c r="L1403" s="2" t="s">
        <v>88</v>
      </c>
      <c r="M1403" s="2">
        <v>5</v>
      </c>
      <c r="N1403" s="2" t="s">
        <v>33</v>
      </c>
      <c r="O1403" s="2" t="s">
        <v>70</v>
      </c>
      <c r="P1403" s="2" t="s">
        <v>26</v>
      </c>
    </row>
    <row r="1404" spans="1:16" x14ac:dyDescent="0.25">
      <c r="A1404" s="2" t="s">
        <v>3398</v>
      </c>
      <c r="B1404" s="2" t="s">
        <v>1093</v>
      </c>
      <c r="C1404" s="2">
        <v>7643</v>
      </c>
      <c r="D1404" s="2" t="s">
        <v>8330</v>
      </c>
      <c r="E1404" s="2" t="s">
        <v>38</v>
      </c>
      <c r="F1404" s="2" t="s">
        <v>58</v>
      </c>
      <c r="G1404" s="2">
        <v>32606.18</v>
      </c>
      <c r="H1404" s="2">
        <v>18834.23</v>
      </c>
      <c r="I1404" s="2" t="s">
        <v>40</v>
      </c>
      <c r="J1404" s="2" t="s">
        <v>41</v>
      </c>
      <c r="K1404" s="2" t="s">
        <v>32</v>
      </c>
      <c r="L1404" s="2" t="s">
        <v>64</v>
      </c>
      <c r="M1404" s="2">
        <v>1</v>
      </c>
      <c r="N1404" s="2" t="s">
        <v>69</v>
      </c>
      <c r="O1404" s="2" t="s">
        <v>70</v>
      </c>
      <c r="P1404" s="2" t="s">
        <v>34</v>
      </c>
    </row>
    <row r="1405" spans="1:16" x14ac:dyDescent="0.25">
      <c r="A1405" s="2" t="s">
        <v>3399</v>
      </c>
      <c r="B1405" s="2" t="s">
        <v>2060</v>
      </c>
      <c r="C1405" s="2">
        <v>7069</v>
      </c>
      <c r="D1405" s="2" t="s">
        <v>8331</v>
      </c>
      <c r="E1405" s="2" t="s">
        <v>38</v>
      </c>
      <c r="F1405" s="2" t="s">
        <v>47</v>
      </c>
      <c r="G1405" s="2">
        <v>8278.82</v>
      </c>
      <c r="H1405" s="2">
        <v>4909.66</v>
      </c>
      <c r="I1405" s="2" t="s">
        <v>53</v>
      </c>
      <c r="J1405" s="2" t="s">
        <v>54</v>
      </c>
      <c r="K1405" s="2" t="s">
        <v>22</v>
      </c>
      <c r="L1405" s="2" t="s">
        <v>55</v>
      </c>
      <c r="M1405" s="2">
        <v>2</v>
      </c>
      <c r="N1405" s="2" t="s">
        <v>33</v>
      </c>
      <c r="O1405" s="2" t="s">
        <v>70</v>
      </c>
      <c r="P1405" s="2" t="s">
        <v>26</v>
      </c>
    </row>
    <row r="1406" spans="1:16" x14ac:dyDescent="0.25">
      <c r="A1406" s="2" t="s">
        <v>3401</v>
      </c>
      <c r="B1406" s="2" t="s">
        <v>608</v>
      </c>
      <c r="C1406" s="2">
        <v>2774</v>
      </c>
      <c r="D1406" s="2" t="s">
        <v>8332</v>
      </c>
      <c r="E1406" s="2" t="s">
        <v>38</v>
      </c>
      <c r="F1406" s="2" t="s">
        <v>58</v>
      </c>
      <c r="G1406" s="2">
        <v>16211.22</v>
      </c>
      <c r="H1406" s="2">
        <v>7650.8</v>
      </c>
      <c r="I1406" s="2" t="s">
        <v>59</v>
      </c>
      <c r="J1406" s="2" t="s">
        <v>41</v>
      </c>
      <c r="K1406" s="2" t="s">
        <v>42</v>
      </c>
      <c r="L1406" s="2" t="s">
        <v>43</v>
      </c>
      <c r="M1406" s="2">
        <v>1</v>
      </c>
      <c r="N1406" s="2" t="s">
        <v>24</v>
      </c>
      <c r="O1406" s="2" t="s">
        <v>25</v>
      </c>
      <c r="P1406" s="2" t="s">
        <v>49</v>
      </c>
    </row>
    <row r="1407" spans="1:16" x14ac:dyDescent="0.25">
      <c r="A1407" s="2" t="s">
        <v>3403</v>
      </c>
      <c r="B1407" s="2" t="s">
        <v>7082</v>
      </c>
      <c r="C1407" s="2">
        <v>2003</v>
      </c>
      <c r="D1407" s="2" t="s">
        <v>8333</v>
      </c>
      <c r="E1407" s="2" t="s">
        <v>6680</v>
      </c>
      <c r="F1407" s="2" t="s">
        <v>19</v>
      </c>
      <c r="G1407" s="2">
        <v>4390.82</v>
      </c>
      <c r="H1407" s="2">
        <v>2188.38</v>
      </c>
      <c r="I1407" s="2" t="s">
        <v>31</v>
      </c>
      <c r="J1407" s="2" t="s">
        <v>6696</v>
      </c>
      <c r="K1407" s="2" t="s">
        <v>42</v>
      </c>
      <c r="L1407" s="2" t="s">
        <v>64</v>
      </c>
      <c r="M1407" s="2">
        <v>4</v>
      </c>
      <c r="N1407" s="2" t="s">
        <v>69</v>
      </c>
      <c r="O1407" s="2" t="s">
        <v>25</v>
      </c>
      <c r="P1407" s="2" t="s">
        <v>49</v>
      </c>
    </row>
    <row r="1408" spans="1:16" x14ac:dyDescent="0.25">
      <c r="A1408" s="2" t="s">
        <v>3406</v>
      </c>
      <c r="B1408" s="2" t="s">
        <v>8334</v>
      </c>
      <c r="C1408" s="2">
        <v>1818</v>
      </c>
      <c r="D1408" s="2" t="s">
        <v>8335</v>
      </c>
      <c r="E1408" s="2" t="s">
        <v>6743</v>
      </c>
      <c r="F1408" s="2" t="s">
        <v>30</v>
      </c>
      <c r="G1408" s="2">
        <v>17331.169999999998</v>
      </c>
      <c r="H1408" s="2">
        <v>10014.51</v>
      </c>
      <c r="I1408" s="2" t="s">
        <v>20</v>
      </c>
      <c r="J1408" s="2" t="s">
        <v>21</v>
      </c>
      <c r="K1408" s="2" t="s">
        <v>22</v>
      </c>
      <c r="L1408" s="2" t="s">
        <v>64</v>
      </c>
      <c r="M1408" s="2">
        <v>5</v>
      </c>
      <c r="N1408" s="2" t="s">
        <v>69</v>
      </c>
      <c r="O1408" s="2" t="s">
        <v>25</v>
      </c>
      <c r="P1408" s="2" t="s">
        <v>34</v>
      </c>
    </row>
    <row r="1409" spans="1:16" x14ac:dyDescent="0.25">
      <c r="A1409" s="2" t="s">
        <v>3408</v>
      </c>
      <c r="B1409" s="2" t="s">
        <v>2543</v>
      </c>
      <c r="C1409" s="2">
        <v>7632</v>
      </c>
      <c r="D1409" s="2" t="s">
        <v>683</v>
      </c>
      <c r="E1409" s="2" t="s">
        <v>18</v>
      </c>
      <c r="F1409" s="2" t="s">
        <v>58</v>
      </c>
      <c r="G1409" s="2">
        <v>24279.48</v>
      </c>
      <c r="H1409" s="2">
        <v>11425.1</v>
      </c>
      <c r="I1409" s="2" t="s">
        <v>40</v>
      </c>
      <c r="J1409" s="2" t="s">
        <v>41</v>
      </c>
      <c r="K1409" s="2" t="s">
        <v>22</v>
      </c>
      <c r="L1409" s="2" t="s">
        <v>55</v>
      </c>
      <c r="M1409" s="2">
        <v>3</v>
      </c>
      <c r="N1409" s="2" t="s">
        <v>24</v>
      </c>
      <c r="O1409" s="2" t="s">
        <v>25</v>
      </c>
      <c r="P1409" s="2" t="s">
        <v>49</v>
      </c>
    </row>
    <row r="1410" spans="1:16" x14ac:dyDescent="0.25">
      <c r="A1410" s="2" t="s">
        <v>3410</v>
      </c>
      <c r="B1410" s="2" t="s">
        <v>876</v>
      </c>
      <c r="C1410" s="2">
        <v>6836</v>
      </c>
      <c r="D1410" s="2" t="s">
        <v>3989</v>
      </c>
      <c r="E1410" s="2" t="s">
        <v>18</v>
      </c>
      <c r="F1410" s="2" t="s">
        <v>30</v>
      </c>
      <c r="G1410" s="2">
        <v>90707.520000000004</v>
      </c>
      <c r="H1410" s="2">
        <v>43717.97</v>
      </c>
      <c r="I1410" s="2" t="s">
        <v>84</v>
      </c>
      <c r="J1410" s="2" t="s">
        <v>54</v>
      </c>
      <c r="K1410" s="2" t="s">
        <v>22</v>
      </c>
      <c r="L1410" s="2" t="s">
        <v>64</v>
      </c>
      <c r="M1410" s="2">
        <v>1</v>
      </c>
      <c r="N1410" s="2" t="s">
        <v>24</v>
      </c>
      <c r="O1410" s="2" t="s">
        <v>70</v>
      </c>
      <c r="P1410" s="2" t="s">
        <v>34</v>
      </c>
    </row>
    <row r="1411" spans="1:16" x14ac:dyDescent="0.25">
      <c r="A1411" s="2" t="s">
        <v>3413</v>
      </c>
      <c r="B1411" s="2" t="s">
        <v>146</v>
      </c>
      <c r="C1411" s="2">
        <v>6697</v>
      </c>
      <c r="D1411" s="2" t="s">
        <v>8336</v>
      </c>
      <c r="E1411" s="2" t="s">
        <v>38</v>
      </c>
      <c r="F1411" s="2" t="s">
        <v>58</v>
      </c>
      <c r="G1411" s="2">
        <v>20104.509999999998</v>
      </c>
      <c r="H1411" s="2">
        <v>11884.13</v>
      </c>
      <c r="I1411" s="2" t="s">
        <v>120</v>
      </c>
      <c r="J1411" s="2" t="s">
        <v>21</v>
      </c>
      <c r="K1411" s="2" t="s">
        <v>42</v>
      </c>
      <c r="L1411" s="2" t="s">
        <v>23</v>
      </c>
      <c r="M1411" s="2">
        <v>3</v>
      </c>
      <c r="N1411" s="2" t="s">
        <v>69</v>
      </c>
      <c r="O1411" s="2" t="s">
        <v>70</v>
      </c>
      <c r="P1411" s="2" t="s">
        <v>49</v>
      </c>
    </row>
    <row r="1412" spans="1:16" x14ac:dyDescent="0.25">
      <c r="A1412" s="2" t="s">
        <v>3415</v>
      </c>
      <c r="B1412" s="2" t="s">
        <v>3651</v>
      </c>
      <c r="C1412" s="2">
        <v>3326</v>
      </c>
      <c r="D1412" s="2" t="s">
        <v>7077</v>
      </c>
      <c r="E1412" s="2" t="s">
        <v>18</v>
      </c>
      <c r="F1412" s="2" t="s">
        <v>58</v>
      </c>
      <c r="G1412" s="2">
        <v>21522.52</v>
      </c>
      <c r="H1412" s="2">
        <v>13028.77</v>
      </c>
      <c r="I1412" s="2" t="s">
        <v>31</v>
      </c>
      <c r="J1412" s="2" t="s">
        <v>21</v>
      </c>
      <c r="K1412" s="2" t="s">
        <v>80</v>
      </c>
      <c r="L1412" s="2" t="s">
        <v>88</v>
      </c>
      <c r="M1412" s="2">
        <v>5</v>
      </c>
      <c r="N1412" s="2" t="s">
        <v>33</v>
      </c>
      <c r="O1412" s="2" t="s">
        <v>70</v>
      </c>
      <c r="P1412" s="2" t="s">
        <v>49</v>
      </c>
    </row>
    <row r="1413" spans="1:16" x14ac:dyDescent="0.25">
      <c r="A1413" s="2" t="s">
        <v>3418</v>
      </c>
      <c r="B1413" s="2" t="s">
        <v>968</v>
      </c>
      <c r="C1413" s="2">
        <v>4316</v>
      </c>
      <c r="D1413" s="2" t="s">
        <v>8337</v>
      </c>
      <c r="E1413" s="2" t="s">
        <v>18</v>
      </c>
      <c r="F1413" s="2" t="s">
        <v>30</v>
      </c>
      <c r="G1413" s="2">
        <v>19896.68</v>
      </c>
      <c r="H1413" s="2">
        <v>11004.61</v>
      </c>
      <c r="I1413" s="2" t="s">
        <v>59</v>
      </c>
      <c r="J1413" s="2" t="s">
        <v>41</v>
      </c>
      <c r="K1413" s="2" t="s">
        <v>32</v>
      </c>
      <c r="L1413" s="2" t="s">
        <v>23</v>
      </c>
      <c r="M1413" s="2">
        <v>4</v>
      </c>
      <c r="N1413" s="2" t="s">
        <v>33</v>
      </c>
      <c r="O1413" s="2" t="s">
        <v>70</v>
      </c>
      <c r="P1413" s="2" t="s">
        <v>34</v>
      </c>
    </row>
    <row r="1414" spans="1:16" x14ac:dyDescent="0.25">
      <c r="A1414" s="2" t="s">
        <v>3419</v>
      </c>
      <c r="B1414" s="2" t="s">
        <v>8338</v>
      </c>
      <c r="C1414" s="2">
        <v>3696</v>
      </c>
      <c r="D1414" s="2" t="s">
        <v>8339</v>
      </c>
      <c r="E1414" s="2" t="s">
        <v>6719</v>
      </c>
      <c r="F1414" s="2" t="s">
        <v>39</v>
      </c>
      <c r="G1414" s="2">
        <v>6272.33</v>
      </c>
      <c r="H1414" s="2">
        <v>3472.18</v>
      </c>
      <c r="I1414" s="2" t="s">
        <v>68</v>
      </c>
      <c r="J1414" s="2" t="s">
        <v>6793</v>
      </c>
      <c r="K1414" s="2" t="s">
        <v>42</v>
      </c>
      <c r="L1414" s="2" t="s">
        <v>64</v>
      </c>
      <c r="M1414" s="2">
        <v>1</v>
      </c>
      <c r="N1414" s="2" t="s">
        <v>69</v>
      </c>
      <c r="O1414" s="2" t="s">
        <v>25</v>
      </c>
      <c r="P1414" s="2" t="s">
        <v>49</v>
      </c>
    </row>
    <row r="1415" spans="1:16" x14ac:dyDescent="0.25">
      <c r="A1415" s="2" t="s">
        <v>3421</v>
      </c>
      <c r="B1415" s="2" t="s">
        <v>8340</v>
      </c>
      <c r="C1415" s="2">
        <v>8482</v>
      </c>
      <c r="D1415" s="2" t="s">
        <v>8341</v>
      </c>
      <c r="E1415" s="2" t="s">
        <v>6703</v>
      </c>
      <c r="F1415" s="2" t="s">
        <v>58</v>
      </c>
      <c r="G1415" s="2">
        <v>26771.33</v>
      </c>
      <c r="H1415" s="2">
        <v>15875.53</v>
      </c>
      <c r="I1415" s="2" t="s">
        <v>6681</v>
      </c>
      <c r="J1415" s="2" t="s">
        <v>6705</v>
      </c>
      <c r="K1415" s="2" t="s">
        <v>32</v>
      </c>
      <c r="L1415" s="2" t="s">
        <v>64</v>
      </c>
      <c r="M1415" s="2">
        <v>4</v>
      </c>
      <c r="N1415" s="2" t="s">
        <v>24</v>
      </c>
      <c r="O1415" s="2" t="s">
        <v>70</v>
      </c>
      <c r="P1415" s="2" t="s">
        <v>26</v>
      </c>
    </row>
    <row r="1416" spans="1:16" x14ac:dyDescent="0.25">
      <c r="A1416" s="2" t="s">
        <v>3423</v>
      </c>
      <c r="B1416" s="2" t="s">
        <v>7025</v>
      </c>
      <c r="C1416" s="2">
        <v>2007</v>
      </c>
      <c r="D1416" s="2" t="s">
        <v>8342</v>
      </c>
      <c r="E1416" s="2" t="s">
        <v>6703</v>
      </c>
      <c r="F1416" s="2" t="s">
        <v>19</v>
      </c>
      <c r="G1416" s="2">
        <v>12396.86</v>
      </c>
      <c r="H1416" s="2">
        <v>5784.24</v>
      </c>
      <c r="I1416" s="2" t="s">
        <v>120</v>
      </c>
      <c r="J1416" s="2" t="s">
        <v>6696</v>
      </c>
      <c r="K1416" s="2" t="s">
        <v>22</v>
      </c>
      <c r="L1416" s="2" t="s">
        <v>55</v>
      </c>
      <c r="M1416" s="2">
        <v>2</v>
      </c>
      <c r="N1416" s="2" t="s">
        <v>24</v>
      </c>
      <c r="O1416" s="2" t="s">
        <v>25</v>
      </c>
      <c r="P1416" s="2" t="s">
        <v>26</v>
      </c>
    </row>
    <row r="1417" spans="1:16" x14ac:dyDescent="0.25">
      <c r="A1417" s="2" t="s">
        <v>3424</v>
      </c>
      <c r="B1417" s="2" t="s">
        <v>4405</v>
      </c>
      <c r="C1417" s="2">
        <v>2539</v>
      </c>
      <c r="D1417" s="2" t="s">
        <v>8343</v>
      </c>
      <c r="E1417" s="2" t="s">
        <v>38</v>
      </c>
      <c r="F1417" s="2" t="s">
        <v>47</v>
      </c>
      <c r="G1417" s="2">
        <v>16310.96</v>
      </c>
      <c r="H1417" s="2">
        <v>9551.23</v>
      </c>
      <c r="I1417" s="2" t="s">
        <v>120</v>
      </c>
      <c r="J1417" s="2" t="s">
        <v>21</v>
      </c>
      <c r="K1417" s="2" t="s">
        <v>80</v>
      </c>
      <c r="L1417" s="2" t="s">
        <v>55</v>
      </c>
      <c r="M1417" s="2">
        <v>4</v>
      </c>
      <c r="N1417" s="2" t="s">
        <v>33</v>
      </c>
      <c r="O1417" s="2" t="s">
        <v>70</v>
      </c>
      <c r="P1417" s="2" t="s">
        <v>34</v>
      </c>
    </row>
    <row r="1418" spans="1:16" x14ac:dyDescent="0.25">
      <c r="A1418" s="2" t="s">
        <v>3426</v>
      </c>
      <c r="B1418" s="2" t="s">
        <v>3416</v>
      </c>
      <c r="C1418" s="2">
        <v>7187</v>
      </c>
      <c r="D1418" s="2" t="s">
        <v>3268</v>
      </c>
      <c r="E1418" s="2" t="s">
        <v>18</v>
      </c>
      <c r="F1418" s="2" t="s">
        <v>39</v>
      </c>
      <c r="G1418" s="2">
        <v>12084.71</v>
      </c>
      <c r="H1418" s="2">
        <v>7320.87</v>
      </c>
      <c r="I1418" s="2" t="s">
        <v>53</v>
      </c>
      <c r="J1418" s="2" t="s">
        <v>54</v>
      </c>
      <c r="K1418" s="2" t="s">
        <v>22</v>
      </c>
      <c r="L1418" s="2" t="s">
        <v>55</v>
      </c>
      <c r="M1418" s="2">
        <v>5</v>
      </c>
      <c r="N1418" s="2" t="s">
        <v>24</v>
      </c>
      <c r="O1418" s="2" t="s">
        <v>25</v>
      </c>
      <c r="P1418" s="2" t="s">
        <v>34</v>
      </c>
    </row>
    <row r="1419" spans="1:16" x14ac:dyDescent="0.25">
      <c r="A1419" s="2" t="s">
        <v>3429</v>
      </c>
      <c r="B1419" s="2" t="s">
        <v>8344</v>
      </c>
      <c r="C1419" s="2">
        <v>4281</v>
      </c>
      <c r="D1419" s="2" t="s">
        <v>8345</v>
      </c>
      <c r="E1419" s="2" t="s">
        <v>32</v>
      </c>
      <c r="F1419" s="2" t="s">
        <v>19</v>
      </c>
      <c r="G1419" s="2">
        <v>4008.13</v>
      </c>
      <c r="H1419" s="2">
        <v>1874.4</v>
      </c>
      <c r="I1419" s="2" t="s">
        <v>6681</v>
      </c>
      <c r="J1419" s="2" t="s">
        <v>41</v>
      </c>
      <c r="K1419" s="2" t="s">
        <v>22</v>
      </c>
      <c r="L1419" s="2" t="s">
        <v>88</v>
      </c>
      <c r="M1419" s="2">
        <v>2</v>
      </c>
      <c r="N1419" s="2" t="s">
        <v>69</v>
      </c>
      <c r="O1419" s="2" t="s">
        <v>70</v>
      </c>
      <c r="P1419" s="2" t="s">
        <v>34</v>
      </c>
    </row>
    <row r="1420" spans="1:16" x14ac:dyDescent="0.25">
      <c r="A1420" s="2" t="s">
        <v>3432</v>
      </c>
      <c r="B1420" s="2" t="s">
        <v>8346</v>
      </c>
      <c r="C1420" s="2">
        <v>6386</v>
      </c>
      <c r="D1420" s="2" t="s">
        <v>8347</v>
      </c>
      <c r="E1420" s="2" t="s">
        <v>6694</v>
      </c>
      <c r="F1420" s="2" t="s">
        <v>30</v>
      </c>
      <c r="G1420" s="2">
        <v>76361.36</v>
      </c>
      <c r="H1420" s="2">
        <v>35831.54</v>
      </c>
      <c r="I1420" s="2" t="s">
        <v>6726</v>
      </c>
      <c r="J1420" s="2" t="s">
        <v>6795</v>
      </c>
      <c r="K1420" s="2" t="s">
        <v>22</v>
      </c>
      <c r="L1420" s="2" t="s">
        <v>64</v>
      </c>
      <c r="M1420" s="2">
        <v>2</v>
      </c>
      <c r="N1420" s="2" t="s">
        <v>33</v>
      </c>
      <c r="O1420" s="2" t="s">
        <v>25</v>
      </c>
      <c r="P1420" s="2" t="s">
        <v>26</v>
      </c>
    </row>
    <row r="1421" spans="1:16" x14ac:dyDescent="0.25">
      <c r="A1421" s="2" t="s">
        <v>3435</v>
      </c>
      <c r="B1421" s="2" t="s">
        <v>8348</v>
      </c>
      <c r="C1421" s="2">
        <v>4615</v>
      </c>
      <c r="D1421" s="2" t="s">
        <v>8349</v>
      </c>
      <c r="E1421" s="2" t="s">
        <v>6680</v>
      </c>
      <c r="F1421" s="2" t="s">
        <v>47</v>
      </c>
      <c r="G1421" s="2">
        <v>8435.64</v>
      </c>
      <c r="H1421" s="2">
        <v>4640.2700000000004</v>
      </c>
      <c r="I1421" s="2" t="s">
        <v>53</v>
      </c>
      <c r="J1421" s="2" t="s">
        <v>6700</v>
      </c>
      <c r="K1421" s="2" t="s">
        <v>32</v>
      </c>
      <c r="L1421" s="2" t="s">
        <v>88</v>
      </c>
      <c r="M1421" s="2">
        <v>4</v>
      </c>
      <c r="N1421" s="2" t="s">
        <v>69</v>
      </c>
      <c r="O1421" s="2" t="s">
        <v>70</v>
      </c>
      <c r="P1421" s="2" t="s">
        <v>26</v>
      </c>
    </row>
    <row r="1422" spans="1:16" x14ac:dyDescent="0.25">
      <c r="A1422" s="2" t="s">
        <v>3438</v>
      </c>
      <c r="B1422" s="2" t="s">
        <v>1607</v>
      </c>
      <c r="C1422" s="2">
        <v>5647</v>
      </c>
      <c r="D1422" s="2" t="s">
        <v>8350</v>
      </c>
      <c r="E1422" s="2" t="s">
        <v>6703</v>
      </c>
      <c r="F1422" s="2" t="s">
        <v>30</v>
      </c>
      <c r="G1422" s="2">
        <v>85558.62</v>
      </c>
      <c r="H1422" s="2">
        <v>38894.019999999997</v>
      </c>
      <c r="I1422" s="2" t="s">
        <v>6699</v>
      </c>
      <c r="J1422" s="2" t="s">
        <v>6700</v>
      </c>
      <c r="K1422" s="2" t="s">
        <v>32</v>
      </c>
      <c r="L1422" s="2" t="s">
        <v>55</v>
      </c>
      <c r="M1422" s="2">
        <v>4</v>
      </c>
      <c r="N1422" s="2" t="s">
        <v>24</v>
      </c>
      <c r="O1422" s="2" t="s">
        <v>70</v>
      </c>
      <c r="P1422" s="2" t="s">
        <v>34</v>
      </c>
    </row>
    <row r="1423" spans="1:16" x14ac:dyDescent="0.25">
      <c r="A1423" s="2" t="s">
        <v>3440</v>
      </c>
      <c r="B1423" s="2" t="s">
        <v>4903</v>
      </c>
      <c r="C1423" s="2">
        <v>3105</v>
      </c>
      <c r="D1423" s="2" t="s">
        <v>8351</v>
      </c>
      <c r="E1423" s="2" t="s">
        <v>38</v>
      </c>
      <c r="F1423" s="2" t="s">
        <v>39</v>
      </c>
      <c r="G1423" s="2">
        <v>10629.38</v>
      </c>
      <c r="H1423" s="2">
        <v>6506.97</v>
      </c>
      <c r="I1423" s="2" t="s">
        <v>53</v>
      </c>
      <c r="J1423" s="2" t="s">
        <v>54</v>
      </c>
      <c r="K1423" s="2" t="s">
        <v>32</v>
      </c>
      <c r="L1423" s="2" t="s">
        <v>55</v>
      </c>
      <c r="M1423" s="2">
        <v>5</v>
      </c>
      <c r="N1423" s="2" t="s">
        <v>33</v>
      </c>
      <c r="O1423" s="2" t="s">
        <v>25</v>
      </c>
      <c r="P1423" s="2" t="s">
        <v>34</v>
      </c>
    </row>
    <row r="1424" spans="1:16" x14ac:dyDescent="0.25">
      <c r="A1424" s="2" t="s">
        <v>3442</v>
      </c>
      <c r="B1424" s="2" t="s">
        <v>6546</v>
      </c>
      <c r="C1424" s="2">
        <v>5584</v>
      </c>
      <c r="D1424" s="2" t="s">
        <v>8352</v>
      </c>
      <c r="E1424" s="2" t="s">
        <v>18</v>
      </c>
      <c r="F1424" s="2" t="s">
        <v>39</v>
      </c>
      <c r="G1424" s="2">
        <v>47180.47</v>
      </c>
      <c r="H1424" s="2">
        <v>25906.86</v>
      </c>
      <c r="I1424" s="2" t="s">
        <v>63</v>
      </c>
      <c r="J1424" s="2" t="s">
        <v>54</v>
      </c>
      <c r="K1424" s="2" t="s">
        <v>22</v>
      </c>
      <c r="L1424" s="2" t="s">
        <v>64</v>
      </c>
      <c r="M1424" s="2">
        <v>2</v>
      </c>
      <c r="N1424" s="2" t="s">
        <v>24</v>
      </c>
      <c r="O1424" s="2" t="s">
        <v>70</v>
      </c>
      <c r="P1424" s="2" t="s">
        <v>49</v>
      </c>
    </row>
    <row r="1425" spans="1:16" x14ac:dyDescent="0.25">
      <c r="A1425" s="2" t="s">
        <v>3444</v>
      </c>
      <c r="B1425" s="2" t="s">
        <v>8353</v>
      </c>
      <c r="C1425" s="2">
        <v>4289</v>
      </c>
      <c r="D1425" s="2" t="s">
        <v>8354</v>
      </c>
      <c r="E1425" s="2" t="s">
        <v>18</v>
      </c>
      <c r="F1425" s="2" t="s">
        <v>47</v>
      </c>
      <c r="G1425" s="2">
        <v>3391.51</v>
      </c>
      <c r="H1425" s="2">
        <v>1565.67</v>
      </c>
      <c r="I1425" s="2" t="s">
        <v>6799</v>
      </c>
      <c r="J1425" s="2" t="s">
        <v>41</v>
      </c>
      <c r="K1425" s="2" t="s">
        <v>22</v>
      </c>
      <c r="L1425" s="2" t="s">
        <v>43</v>
      </c>
      <c r="M1425" s="2">
        <v>1</v>
      </c>
      <c r="N1425" s="2" t="s">
        <v>24</v>
      </c>
      <c r="O1425" s="2" t="s">
        <v>25</v>
      </c>
      <c r="P1425" s="2" t="s">
        <v>26</v>
      </c>
    </row>
    <row r="1426" spans="1:16" x14ac:dyDescent="0.25">
      <c r="A1426" s="2" t="s">
        <v>3447</v>
      </c>
      <c r="B1426" s="2" t="s">
        <v>8355</v>
      </c>
      <c r="C1426" s="2">
        <v>9629</v>
      </c>
      <c r="D1426" s="2" t="s">
        <v>8356</v>
      </c>
      <c r="E1426" s="2" t="s">
        <v>18</v>
      </c>
      <c r="F1426" s="2" t="s">
        <v>47</v>
      </c>
      <c r="G1426" s="2">
        <v>5777.91</v>
      </c>
      <c r="H1426" s="2">
        <v>3699.99</v>
      </c>
      <c r="I1426" s="2" t="s">
        <v>59</v>
      </c>
      <c r="J1426" s="2" t="s">
        <v>41</v>
      </c>
      <c r="K1426" s="2" t="s">
        <v>22</v>
      </c>
      <c r="L1426" s="2" t="s">
        <v>88</v>
      </c>
      <c r="M1426" s="2">
        <v>5</v>
      </c>
      <c r="N1426" s="2" t="s">
        <v>69</v>
      </c>
      <c r="O1426" s="2" t="s">
        <v>70</v>
      </c>
      <c r="P1426" s="2" t="s">
        <v>26</v>
      </c>
    </row>
    <row r="1427" spans="1:16" x14ac:dyDescent="0.25">
      <c r="A1427" s="2" t="s">
        <v>3449</v>
      </c>
      <c r="B1427" s="2" t="s">
        <v>977</v>
      </c>
      <c r="C1427" s="2">
        <v>8266</v>
      </c>
      <c r="D1427" s="2" t="s">
        <v>8357</v>
      </c>
      <c r="E1427" s="2" t="s">
        <v>38</v>
      </c>
      <c r="F1427" s="2" t="s">
        <v>39</v>
      </c>
      <c r="G1427" s="2">
        <v>31522.53</v>
      </c>
      <c r="H1427" s="2">
        <v>15713.61</v>
      </c>
      <c r="I1427" s="2" t="s">
        <v>84</v>
      </c>
      <c r="J1427" s="2" t="s">
        <v>54</v>
      </c>
      <c r="K1427" s="2" t="s">
        <v>80</v>
      </c>
      <c r="L1427" s="2" t="s">
        <v>64</v>
      </c>
      <c r="M1427" s="2">
        <v>2</v>
      </c>
      <c r="N1427" s="2" t="s">
        <v>24</v>
      </c>
      <c r="O1427" s="2" t="s">
        <v>70</v>
      </c>
      <c r="P1427" s="2" t="s">
        <v>49</v>
      </c>
    </row>
    <row r="1428" spans="1:16" x14ac:dyDescent="0.25">
      <c r="A1428" s="2" t="s">
        <v>3452</v>
      </c>
      <c r="B1428" s="2" t="s">
        <v>8358</v>
      </c>
      <c r="C1428" s="2">
        <v>5965</v>
      </c>
      <c r="D1428" s="2" t="s">
        <v>8359</v>
      </c>
      <c r="E1428" s="2" t="s">
        <v>6680</v>
      </c>
      <c r="F1428" s="2" t="s">
        <v>19</v>
      </c>
      <c r="G1428" s="2">
        <v>19757.849999999999</v>
      </c>
      <c r="H1428" s="2">
        <v>12769.07</v>
      </c>
      <c r="I1428" s="2" t="s">
        <v>6808</v>
      </c>
      <c r="J1428" s="2" t="s">
        <v>54</v>
      </c>
      <c r="K1428" s="2" t="s">
        <v>80</v>
      </c>
      <c r="L1428" s="2" t="s">
        <v>55</v>
      </c>
      <c r="M1428" s="2">
        <v>3</v>
      </c>
      <c r="N1428" s="2" t="s">
        <v>69</v>
      </c>
      <c r="O1428" s="2" t="s">
        <v>25</v>
      </c>
      <c r="P1428" s="2" t="s">
        <v>26</v>
      </c>
    </row>
    <row r="1429" spans="1:16" x14ac:dyDescent="0.25">
      <c r="A1429" s="2" t="s">
        <v>3455</v>
      </c>
      <c r="B1429" s="2" t="s">
        <v>5071</v>
      </c>
      <c r="C1429" s="2">
        <v>9254</v>
      </c>
      <c r="D1429" s="2" t="s">
        <v>8360</v>
      </c>
      <c r="E1429" s="2" t="s">
        <v>6708</v>
      </c>
      <c r="F1429" s="2" t="s">
        <v>30</v>
      </c>
      <c r="G1429" s="2">
        <v>53197.74</v>
      </c>
      <c r="H1429" s="2">
        <v>24946.17</v>
      </c>
      <c r="I1429" s="2" t="s">
        <v>6799</v>
      </c>
      <c r="J1429" s="2" t="s">
        <v>6682</v>
      </c>
      <c r="K1429" s="2" t="s">
        <v>22</v>
      </c>
      <c r="L1429" s="2" t="s">
        <v>48</v>
      </c>
      <c r="M1429" s="2">
        <v>3</v>
      </c>
      <c r="N1429" s="2" t="s">
        <v>33</v>
      </c>
      <c r="O1429" s="2" t="s">
        <v>25</v>
      </c>
      <c r="P1429" s="2" t="s">
        <v>26</v>
      </c>
    </row>
    <row r="1430" spans="1:16" x14ac:dyDescent="0.25">
      <c r="A1430" s="2" t="s">
        <v>3457</v>
      </c>
      <c r="B1430" s="2" t="s">
        <v>3254</v>
      </c>
      <c r="C1430" s="2">
        <v>2610</v>
      </c>
      <c r="D1430" s="2" t="s">
        <v>6024</v>
      </c>
      <c r="E1430" s="2" t="s">
        <v>38</v>
      </c>
      <c r="F1430" s="2" t="s">
        <v>58</v>
      </c>
      <c r="G1430" s="2">
        <v>32140.63</v>
      </c>
      <c r="H1430" s="2">
        <v>20054.04</v>
      </c>
      <c r="I1430" s="2" t="s">
        <v>31</v>
      </c>
      <c r="J1430" s="2" t="s">
        <v>21</v>
      </c>
      <c r="K1430" s="2" t="s">
        <v>32</v>
      </c>
      <c r="L1430" s="2" t="s">
        <v>48</v>
      </c>
      <c r="M1430" s="2">
        <v>5</v>
      </c>
      <c r="N1430" s="2" t="s">
        <v>24</v>
      </c>
      <c r="O1430" s="2" t="s">
        <v>70</v>
      </c>
      <c r="P1430" s="2" t="s">
        <v>34</v>
      </c>
    </row>
    <row r="1431" spans="1:16" x14ac:dyDescent="0.25">
      <c r="A1431" s="2" t="s">
        <v>3459</v>
      </c>
      <c r="B1431" s="2" t="s">
        <v>2060</v>
      </c>
      <c r="C1431" s="2">
        <v>7496</v>
      </c>
      <c r="D1431" s="2" t="s">
        <v>5591</v>
      </c>
      <c r="E1431" s="2" t="s">
        <v>18</v>
      </c>
      <c r="F1431" s="2" t="s">
        <v>47</v>
      </c>
      <c r="G1431" s="2">
        <v>11383.11</v>
      </c>
      <c r="H1431" s="2">
        <v>6036.5</v>
      </c>
      <c r="I1431" s="2" t="s">
        <v>84</v>
      </c>
      <c r="J1431" s="2" t="s">
        <v>54</v>
      </c>
      <c r="K1431" s="2" t="s">
        <v>32</v>
      </c>
      <c r="L1431" s="2" t="s">
        <v>23</v>
      </c>
      <c r="M1431" s="2">
        <v>4</v>
      </c>
      <c r="N1431" s="2" t="s">
        <v>33</v>
      </c>
      <c r="O1431" s="2" t="s">
        <v>25</v>
      </c>
      <c r="P1431" s="2" t="s">
        <v>49</v>
      </c>
    </row>
    <row r="1432" spans="1:16" x14ac:dyDescent="0.25">
      <c r="A1432" s="2" t="s">
        <v>3462</v>
      </c>
      <c r="B1432" s="2" t="s">
        <v>764</v>
      </c>
      <c r="C1432" s="2">
        <v>6322</v>
      </c>
      <c r="D1432" s="2" t="s">
        <v>8361</v>
      </c>
      <c r="E1432" s="2" t="s">
        <v>18</v>
      </c>
      <c r="F1432" s="2" t="s">
        <v>58</v>
      </c>
      <c r="G1432" s="2">
        <v>17167.97</v>
      </c>
      <c r="H1432" s="2">
        <v>10873.43</v>
      </c>
      <c r="I1432" s="2" t="s">
        <v>31</v>
      </c>
      <c r="J1432" s="2" t="s">
        <v>21</v>
      </c>
      <c r="K1432" s="2" t="s">
        <v>22</v>
      </c>
      <c r="L1432" s="2" t="s">
        <v>64</v>
      </c>
      <c r="M1432" s="2">
        <v>3</v>
      </c>
      <c r="N1432" s="2" t="s">
        <v>24</v>
      </c>
      <c r="O1432" s="2" t="s">
        <v>25</v>
      </c>
      <c r="P1432" s="2" t="s">
        <v>34</v>
      </c>
    </row>
    <row r="1433" spans="1:16" x14ac:dyDescent="0.25">
      <c r="A1433" s="2" t="s">
        <v>3464</v>
      </c>
      <c r="B1433" s="2" t="s">
        <v>8362</v>
      </c>
      <c r="C1433" s="2">
        <v>8107</v>
      </c>
      <c r="D1433" s="2" t="s">
        <v>8363</v>
      </c>
      <c r="E1433" s="2" t="s">
        <v>6680</v>
      </c>
      <c r="F1433" s="2" t="s">
        <v>39</v>
      </c>
      <c r="G1433" s="2">
        <v>54040.160000000003</v>
      </c>
      <c r="H1433" s="2">
        <v>33353</v>
      </c>
      <c r="I1433" s="2" t="s">
        <v>53</v>
      </c>
      <c r="J1433" s="2" t="s">
        <v>6700</v>
      </c>
      <c r="K1433" s="2" t="s">
        <v>80</v>
      </c>
      <c r="L1433" s="2" t="s">
        <v>88</v>
      </c>
      <c r="M1433" s="2">
        <v>1</v>
      </c>
      <c r="N1433" s="2" t="s">
        <v>24</v>
      </c>
      <c r="O1433" s="2" t="s">
        <v>25</v>
      </c>
      <c r="P1433" s="2" t="s">
        <v>49</v>
      </c>
    </row>
    <row r="1434" spans="1:16" x14ac:dyDescent="0.25">
      <c r="A1434" s="2" t="s">
        <v>3467</v>
      </c>
      <c r="B1434" s="2" t="s">
        <v>4168</v>
      </c>
      <c r="C1434" s="2">
        <v>8222</v>
      </c>
      <c r="D1434" s="2" t="s">
        <v>8364</v>
      </c>
      <c r="E1434" s="2" t="s">
        <v>18</v>
      </c>
      <c r="F1434" s="2" t="s">
        <v>47</v>
      </c>
      <c r="G1434" s="2">
        <v>20473.91</v>
      </c>
      <c r="H1434" s="2">
        <v>12410.09</v>
      </c>
      <c r="I1434" s="2" t="s">
        <v>63</v>
      </c>
      <c r="J1434" s="2" t="s">
        <v>54</v>
      </c>
      <c r="K1434" s="2" t="s">
        <v>42</v>
      </c>
      <c r="L1434" s="2" t="s">
        <v>64</v>
      </c>
      <c r="M1434" s="2">
        <v>5</v>
      </c>
      <c r="N1434" s="2" t="s">
        <v>24</v>
      </c>
      <c r="O1434" s="2" t="s">
        <v>25</v>
      </c>
      <c r="P1434" s="2" t="s">
        <v>26</v>
      </c>
    </row>
    <row r="1435" spans="1:16" x14ac:dyDescent="0.25">
      <c r="A1435" s="2" t="s">
        <v>3469</v>
      </c>
      <c r="B1435" s="2" t="s">
        <v>4515</v>
      </c>
      <c r="C1435" s="2">
        <v>9730</v>
      </c>
      <c r="D1435" s="2" t="s">
        <v>8365</v>
      </c>
      <c r="E1435" s="2" t="s">
        <v>38</v>
      </c>
      <c r="F1435" s="2" t="s">
        <v>47</v>
      </c>
      <c r="G1435" s="2">
        <v>2627.61</v>
      </c>
      <c r="H1435" s="2">
        <v>1242.4100000000001</v>
      </c>
      <c r="I1435" s="2" t="s">
        <v>59</v>
      </c>
      <c r="J1435" s="2" t="s">
        <v>41</v>
      </c>
      <c r="K1435" s="2" t="s">
        <v>42</v>
      </c>
      <c r="L1435" s="2" t="s">
        <v>43</v>
      </c>
      <c r="M1435" s="2">
        <v>4</v>
      </c>
      <c r="N1435" s="2" t="s">
        <v>33</v>
      </c>
      <c r="O1435" s="2" t="s">
        <v>70</v>
      </c>
      <c r="P1435" s="2" t="s">
        <v>34</v>
      </c>
    </row>
    <row r="1436" spans="1:16" x14ac:dyDescent="0.25">
      <c r="A1436" s="2" t="s">
        <v>3472</v>
      </c>
      <c r="B1436" s="2" t="s">
        <v>8068</v>
      </c>
      <c r="C1436" s="2">
        <v>3964</v>
      </c>
      <c r="D1436" s="2" t="s">
        <v>8366</v>
      </c>
      <c r="E1436" s="2" t="s">
        <v>6719</v>
      </c>
      <c r="F1436" s="2" t="s">
        <v>58</v>
      </c>
      <c r="G1436" s="2" t="s">
        <v>8367</v>
      </c>
      <c r="H1436" s="2">
        <v>21669.3</v>
      </c>
      <c r="I1436" s="2" t="s">
        <v>84</v>
      </c>
      <c r="J1436" s="2" t="s">
        <v>6686</v>
      </c>
      <c r="K1436" s="2" t="s">
        <v>42</v>
      </c>
      <c r="L1436" s="2" t="s">
        <v>48</v>
      </c>
      <c r="M1436" s="2">
        <v>4</v>
      </c>
      <c r="N1436" s="2" t="s">
        <v>69</v>
      </c>
      <c r="O1436" s="2" t="s">
        <v>70</v>
      </c>
      <c r="P1436" s="2" t="s">
        <v>49</v>
      </c>
    </row>
    <row r="1437" spans="1:16" x14ac:dyDescent="0.25">
      <c r="A1437" s="2" t="s">
        <v>3473</v>
      </c>
      <c r="B1437" s="2" t="s">
        <v>8368</v>
      </c>
      <c r="C1437" s="2">
        <v>1591</v>
      </c>
      <c r="D1437" s="2" t="s">
        <v>8369</v>
      </c>
      <c r="E1437" s="2" t="s">
        <v>6680</v>
      </c>
      <c r="F1437" s="2" t="s">
        <v>19</v>
      </c>
      <c r="G1437" s="2">
        <v>4213.6499999999996</v>
      </c>
      <c r="H1437" s="2">
        <v>2377.86</v>
      </c>
      <c r="I1437" s="2" t="s">
        <v>59</v>
      </c>
      <c r="J1437" s="2" t="s">
        <v>41</v>
      </c>
      <c r="K1437" s="2" t="s">
        <v>22</v>
      </c>
      <c r="L1437" s="2" t="s">
        <v>64</v>
      </c>
      <c r="M1437" s="2">
        <v>5</v>
      </c>
      <c r="N1437" s="2" t="s">
        <v>33</v>
      </c>
      <c r="O1437" s="2" t="s">
        <v>70</v>
      </c>
      <c r="P1437" s="2" t="s">
        <v>26</v>
      </c>
    </row>
    <row r="1438" spans="1:16" x14ac:dyDescent="0.25">
      <c r="A1438" s="2" t="s">
        <v>3476</v>
      </c>
      <c r="B1438" s="2" t="s">
        <v>4445</v>
      </c>
      <c r="C1438" s="2">
        <v>4204</v>
      </c>
      <c r="D1438" s="2" t="s">
        <v>8370</v>
      </c>
      <c r="E1438" s="2" t="s">
        <v>6703</v>
      </c>
      <c r="F1438" s="2" t="s">
        <v>39</v>
      </c>
      <c r="G1438" s="2">
        <v>47542.33</v>
      </c>
      <c r="H1438" s="2">
        <v>29118.6</v>
      </c>
      <c r="I1438" s="2" t="s">
        <v>6723</v>
      </c>
      <c r="J1438" s="2" t="s">
        <v>6795</v>
      </c>
      <c r="K1438" s="2" t="s">
        <v>32</v>
      </c>
      <c r="L1438" s="2" t="s">
        <v>64</v>
      </c>
      <c r="M1438" s="2">
        <v>4</v>
      </c>
      <c r="N1438" s="2" t="s">
        <v>33</v>
      </c>
      <c r="O1438" s="2" t="s">
        <v>70</v>
      </c>
      <c r="P1438" s="2" t="s">
        <v>49</v>
      </c>
    </row>
    <row r="1439" spans="1:16" x14ac:dyDescent="0.25">
      <c r="A1439" s="2" t="s">
        <v>3479</v>
      </c>
      <c r="B1439" s="2" t="s">
        <v>550</v>
      </c>
      <c r="C1439" s="2">
        <v>5539</v>
      </c>
      <c r="D1439" s="2" t="s">
        <v>3877</v>
      </c>
      <c r="E1439" s="2" t="s">
        <v>38</v>
      </c>
      <c r="F1439" s="2" t="s">
        <v>19</v>
      </c>
      <c r="G1439" s="2">
        <v>9169.91</v>
      </c>
      <c r="H1439" s="2">
        <v>5343.02</v>
      </c>
      <c r="I1439" s="2" t="s">
        <v>20</v>
      </c>
      <c r="J1439" s="2" t="s">
        <v>21</v>
      </c>
      <c r="K1439" s="2" t="s">
        <v>42</v>
      </c>
      <c r="L1439" s="2" t="s">
        <v>64</v>
      </c>
      <c r="M1439" s="2">
        <v>4</v>
      </c>
      <c r="N1439" s="2" t="s">
        <v>33</v>
      </c>
      <c r="O1439" s="2" t="s">
        <v>70</v>
      </c>
      <c r="P1439" s="2" t="s">
        <v>49</v>
      </c>
    </row>
    <row r="1440" spans="1:16" x14ac:dyDescent="0.25">
      <c r="A1440" s="2" t="s">
        <v>3481</v>
      </c>
      <c r="B1440" s="2" t="s">
        <v>7139</v>
      </c>
      <c r="C1440" s="2">
        <v>5167</v>
      </c>
      <c r="D1440" s="2" t="s">
        <v>8371</v>
      </c>
      <c r="E1440" s="2" t="s">
        <v>6680</v>
      </c>
      <c r="F1440" s="2" t="s">
        <v>19</v>
      </c>
      <c r="G1440" s="2">
        <v>14006.03</v>
      </c>
      <c r="H1440" s="2">
        <v>7088.98</v>
      </c>
      <c r="I1440" s="2" t="s">
        <v>6726</v>
      </c>
      <c r="J1440" s="2" t="s">
        <v>6696</v>
      </c>
      <c r="K1440" s="2" t="s">
        <v>80</v>
      </c>
      <c r="L1440" s="2" t="s">
        <v>43</v>
      </c>
      <c r="M1440" s="2">
        <v>5</v>
      </c>
      <c r="N1440" s="2" t="s">
        <v>24</v>
      </c>
      <c r="O1440" s="2" t="s">
        <v>25</v>
      </c>
      <c r="P1440" s="2" t="s">
        <v>49</v>
      </c>
    </row>
    <row r="1441" spans="1:16" x14ac:dyDescent="0.25">
      <c r="A1441" s="2" t="s">
        <v>3482</v>
      </c>
      <c r="B1441" s="2" t="s">
        <v>8372</v>
      </c>
      <c r="C1441" s="2">
        <v>8028</v>
      </c>
      <c r="D1441" s="2" t="s">
        <v>8373</v>
      </c>
      <c r="E1441" s="2" t="s">
        <v>32</v>
      </c>
      <c r="F1441" s="2" t="s">
        <v>19</v>
      </c>
      <c r="G1441" s="2">
        <v>19866</v>
      </c>
      <c r="H1441" s="2">
        <v>12245.9</v>
      </c>
      <c r="I1441" s="2" t="s">
        <v>6915</v>
      </c>
      <c r="J1441" s="2" t="s">
        <v>6789</v>
      </c>
      <c r="K1441" s="2" t="s">
        <v>32</v>
      </c>
      <c r="L1441" s="2" t="s">
        <v>64</v>
      </c>
      <c r="M1441" s="2">
        <v>4</v>
      </c>
      <c r="N1441" s="2" t="s">
        <v>69</v>
      </c>
      <c r="O1441" s="2" t="s">
        <v>25</v>
      </c>
      <c r="P1441" s="2" t="s">
        <v>26</v>
      </c>
    </row>
    <row r="1442" spans="1:16" x14ac:dyDescent="0.25">
      <c r="A1442" s="2" t="s">
        <v>3485</v>
      </c>
      <c r="B1442" s="2" t="s">
        <v>376</v>
      </c>
      <c r="C1442" s="2">
        <v>7693</v>
      </c>
      <c r="D1442" s="2" t="s">
        <v>8374</v>
      </c>
      <c r="E1442" s="2" t="s">
        <v>6743</v>
      </c>
      <c r="F1442" s="2" t="s">
        <v>47</v>
      </c>
      <c r="G1442" s="2">
        <v>10711.09</v>
      </c>
      <c r="H1442" s="2">
        <v>6209.92</v>
      </c>
      <c r="I1442" s="2" t="s">
        <v>31</v>
      </c>
      <c r="J1442" s="2" t="s">
        <v>6696</v>
      </c>
      <c r="K1442" s="2" t="s">
        <v>42</v>
      </c>
      <c r="L1442" s="2" t="s">
        <v>23</v>
      </c>
      <c r="M1442" s="2">
        <v>4</v>
      </c>
      <c r="N1442" s="2" t="s">
        <v>69</v>
      </c>
      <c r="O1442" s="2" t="s">
        <v>70</v>
      </c>
      <c r="P1442" s="2" t="s">
        <v>49</v>
      </c>
    </row>
    <row r="1443" spans="1:16" x14ac:dyDescent="0.25">
      <c r="A1443" s="2" t="s">
        <v>3488</v>
      </c>
      <c r="B1443" s="2" t="s">
        <v>8375</v>
      </c>
      <c r="C1443" s="2">
        <v>3706</v>
      </c>
      <c r="D1443" s="2" t="s">
        <v>8376</v>
      </c>
      <c r="E1443" s="2" t="s">
        <v>6703</v>
      </c>
      <c r="F1443" s="2" t="s">
        <v>30</v>
      </c>
      <c r="G1443" s="2">
        <v>13569.69</v>
      </c>
      <c r="H1443" s="2">
        <v>6641.21</v>
      </c>
      <c r="I1443" s="2" t="s">
        <v>6704</v>
      </c>
      <c r="J1443" s="2" t="s">
        <v>6682</v>
      </c>
      <c r="K1443" s="2" t="s">
        <v>32</v>
      </c>
      <c r="L1443" s="2" t="s">
        <v>43</v>
      </c>
      <c r="M1443" s="2">
        <v>2</v>
      </c>
      <c r="N1443" s="2" t="s">
        <v>24</v>
      </c>
      <c r="O1443" s="2" t="s">
        <v>70</v>
      </c>
      <c r="P1443" s="2" t="s">
        <v>34</v>
      </c>
    </row>
    <row r="1444" spans="1:16" x14ac:dyDescent="0.25">
      <c r="A1444" s="2" t="s">
        <v>3490</v>
      </c>
      <c r="B1444" s="2" t="s">
        <v>6282</v>
      </c>
      <c r="C1444" s="2">
        <v>1468</v>
      </c>
      <c r="D1444" s="2" t="s">
        <v>8377</v>
      </c>
      <c r="E1444" s="2" t="s">
        <v>18</v>
      </c>
      <c r="F1444" s="2" t="s">
        <v>19</v>
      </c>
      <c r="G1444" s="2">
        <v>12018.5</v>
      </c>
      <c r="H1444" s="2">
        <v>6213.76</v>
      </c>
      <c r="I1444" s="2" t="s">
        <v>120</v>
      </c>
      <c r="J1444" s="2" t="s">
        <v>21</v>
      </c>
      <c r="K1444" s="2" t="s">
        <v>42</v>
      </c>
      <c r="L1444" s="2" t="s">
        <v>55</v>
      </c>
      <c r="M1444" s="2">
        <v>3</v>
      </c>
      <c r="N1444" s="2" t="s">
        <v>33</v>
      </c>
      <c r="O1444" s="2" t="s">
        <v>25</v>
      </c>
      <c r="P1444" s="2" t="s">
        <v>49</v>
      </c>
    </row>
    <row r="1445" spans="1:16" x14ac:dyDescent="0.25">
      <c r="A1445" s="2" t="s">
        <v>3492</v>
      </c>
      <c r="B1445" s="2" t="s">
        <v>7471</v>
      </c>
      <c r="C1445" s="2">
        <v>6106</v>
      </c>
      <c r="D1445" s="2" t="s">
        <v>8378</v>
      </c>
      <c r="E1445" s="2" t="s">
        <v>18</v>
      </c>
      <c r="F1445" s="2" t="s">
        <v>58</v>
      </c>
      <c r="G1445" s="2">
        <v>21120.58</v>
      </c>
      <c r="H1445" s="2">
        <v>13241.41</v>
      </c>
      <c r="I1445" s="2" t="s">
        <v>53</v>
      </c>
      <c r="J1445" s="2" t="s">
        <v>54</v>
      </c>
      <c r="K1445" s="2" t="s">
        <v>32</v>
      </c>
      <c r="L1445" s="2" t="s">
        <v>64</v>
      </c>
      <c r="M1445" s="2">
        <v>5</v>
      </c>
      <c r="N1445" s="2" t="s">
        <v>33</v>
      </c>
      <c r="O1445" s="2" t="s">
        <v>70</v>
      </c>
      <c r="P1445" s="2" t="s">
        <v>49</v>
      </c>
    </row>
    <row r="1446" spans="1:16" x14ac:dyDescent="0.25">
      <c r="A1446" s="2" t="s">
        <v>3494</v>
      </c>
      <c r="B1446" s="2" t="s">
        <v>8379</v>
      </c>
      <c r="C1446" s="2">
        <v>2288</v>
      </c>
      <c r="D1446" s="2" t="s">
        <v>4728</v>
      </c>
      <c r="E1446" s="2" t="s">
        <v>6743</v>
      </c>
      <c r="F1446" s="2" t="s">
        <v>19</v>
      </c>
      <c r="G1446" s="2">
        <v>4799.34</v>
      </c>
      <c r="H1446" s="2">
        <v>2389.11</v>
      </c>
      <c r="I1446" s="2" t="s">
        <v>59</v>
      </c>
      <c r="J1446" s="2" t="s">
        <v>6793</v>
      </c>
      <c r="K1446" s="2" t="s">
        <v>42</v>
      </c>
      <c r="L1446" s="2" t="s">
        <v>43</v>
      </c>
      <c r="M1446" s="2">
        <v>1</v>
      </c>
      <c r="N1446" s="2" t="s">
        <v>33</v>
      </c>
      <c r="O1446" s="2" t="s">
        <v>70</v>
      </c>
      <c r="P1446" s="2" t="s">
        <v>34</v>
      </c>
    </row>
    <row r="1447" spans="1:16" x14ac:dyDescent="0.25">
      <c r="A1447" s="2" t="s">
        <v>3496</v>
      </c>
      <c r="B1447" s="2" t="s">
        <v>8380</v>
      </c>
      <c r="C1447" s="2">
        <v>2818</v>
      </c>
      <c r="D1447" s="2" t="s">
        <v>8381</v>
      </c>
      <c r="E1447" s="2" t="s">
        <v>6694</v>
      </c>
      <c r="F1447" s="2" t="s">
        <v>39</v>
      </c>
      <c r="G1447" s="2">
        <v>24763.45</v>
      </c>
      <c r="H1447" s="2">
        <v>13599.64</v>
      </c>
      <c r="I1447" s="2" t="s">
        <v>84</v>
      </c>
      <c r="J1447" s="2" t="s">
        <v>6691</v>
      </c>
      <c r="K1447" s="2" t="s">
        <v>32</v>
      </c>
      <c r="L1447" s="2" t="s">
        <v>43</v>
      </c>
      <c r="M1447" s="2">
        <v>3</v>
      </c>
      <c r="N1447" s="2" t="s">
        <v>33</v>
      </c>
      <c r="O1447" s="2" t="s">
        <v>25</v>
      </c>
      <c r="P1447" s="2" t="s">
        <v>26</v>
      </c>
    </row>
    <row r="1448" spans="1:16" x14ac:dyDescent="0.25">
      <c r="A1448" s="2" t="s">
        <v>3498</v>
      </c>
      <c r="B1448" s="2" t="s">
        <v>4541</v>
      </c>
      <c r="C1448" s="2">
        <v>6856</v>
      </c>
      <c r="D1448" s="2" t="s">
        <v>8382</v>
      </c>
      <c r="E1448" s="2" t="s">
        <v>6708</v>
      </c>
      <c r="F1448" s="2" t="s">
        <v>58</v>
      </c>
      <c r="G1448" s="2">
        <v>49631.09</v>
      </c>
      <c r="H1448" s="2">
        <v>24516.959999999999</v>
      </c>
      <c r="I1448" s="2" t="s">
        <v>6808</v>
      </c>
      <c r="J1448" s="2" t="s">
        <v>6729</v>
      </c>
      <c r="K1448" s="2" t="s">
        <v>80</v>
      </c>
      <c r="L1448" s="2" t="s">
        <v>48</v>
      </c>
      <c r="M1448" s="2">
        <v>1</v>
      </c>
      <c r="N1448" s="2" t="s">
        <v>69</v>
      </c>
      <c r="O1448" s="2" t="s">
        <v>25</v>
      </c>
      <c r="P1448" s="2" t="s">
        <v>34</v>
      </c>
    </row>
    <row r="1449" spans="1:16" x14ac:dyDescent="0.25">
      <c r="A1449" s="2" t="s">
        <v>3500</v>
      </c>
      <c r="B1449" s="2" t="s">
        <v>8383</v>
      </c>
      <c r="C1449" s="2">
        <v>6201</v>
      </c>
      <c r="D1449" s="2" t="s">
        <v>8384</v>
      </c>
      <c r="E1449" s="2" t="s">
        <v>38</v>
      </c>
      <c r="F1449" s="2" t="s">
        <v>58</v>
      </c>
      <c r="G1449" s="2">
        <v>32787.629999999997</v>
      </c>
      <c r="H1449" s="2">
        <v>17529.439999999999</v>
      </c>
      <c r="I1449" s="2" t="s">
        <v>6759</v>
      </c>
      <c r="J1449" s="2" t="s">
        <v>6753</v>
      </c>
      <c r="K1449" s="2" t="s">
        <v>32</v>
      </c>
      <c r="L1449" s="2" t="s">
        <v>64</v>
      </c>
      <c r="M1449" s="2">
        <v>3</v>
      </c>
      <c r="N1449" s="2" t="s">
        <v>69</v>
      </c>
      <c r="O1449" s="2" t="s">
        <v>25</v>
      </c>
      <c r="P1449" s="2" t="s">
        <v>34</v>
      </c>
    </row>
    <row r="1450" spans="1:16" x14ac:dyDescent="0.25">
      <c r="A1450" s="2" t="s">
        <v>3502</v>
      </c>
      <c r="B1450" s="2" t="s">
        <v>1271</v>
      </c>
      <c r="C1450" s="2">
        <v>2373</v>
      </c>
      <c r="D1450" s="2" t="s">
        <v>8385</v>
      </c>
      <c r="E1450" s="2" t="s">
        <v>38</v>
      </c>
      <c r="F1450" s="2" t="s">
        <v>19</v>
      </c>
      <c r="G1450" s="2">
        <v>6288.51</v>
      </c>
      <c r="H1450" s="2">
        <v>3823.54</v>
      </c>
      <c r="I1450" s="2" t="s">
        <v>6739</v>
      </c>
      <c r="J1450" s="2" t="s">
        <v>6700</v>
      </c>
      <c r="K1450" s="2" t="s">
        <v>32</v>
      </c>
      <c r="L1450" s="2" t="s">
        <v>43</v>
      </c>
      <c r="M1450" s="2">
        <v>5</v>
      </c>
      <c r="N1450" s="2" t="s">
        <v>33</v>
      </c>
      <c r="O1450" s="2" t="s">
        <v>25</v>
      </c>
      <c r="P1450" s="2" t="s">
        <v>49</v>
      </c>
    </row>
    <row r="1452" spans="1:16" x14ac:dyDescent="0.25">
      <c r="A1452" s="2" t="s">
        <v>3505</v>
      </c>
      <c r="B1452" s="2" t="s">
        <v>1093</v>
      </c>
      <c r="C1452" s="2">
        <v>3048</v>
      </c>
      <c r="D1452" s="2" t="s">
        <v>8386</v>
      </c>
      <c r="E1452" s="2" t="s">
        <v>38</v>
      </c>
      <c r="F1452" s="2" t="s">
        <v>19</v>
      </c>
      <c r="G1452" s="2">
        <v>14835.51</v>
      </c>
      <c r="H1452" s="2">
        <v>8683.81</v>
      </c>
      <c r="I1452" s="2" t="s">
        <v>53</v>
      </c>
      <c r="J1452" s="2" t="s">
        <v>54</v>
      </c>
      <c r="K1452" s="2" t="s">
        <v>22</v>
      </c>
      <c r="L1452" s="2" t="s">
        <v>23</v>
      </c>
      <c r="M1452" s="2">
        <v>2</v>
      </c>
      <c r="N1452" s="2" t="s">
        <v>33</v>
      </c>
      <c r="O1452" s="2" t="s">
        <v>25</v>
      </c>
      <c r="P1452" s="2" t="s">
        <v>49</v>
      </c>
    </row>
    <row r="1453" spans="1:16" x14ac:dyDescent="0.25">
      <c r="A1453" s="2" t="s">
        <v>3506</v>
      </c>
      <c r="B1453" s="2" t="s">
        <v>2190</v>
      </c>
      <c r="C1453" s="2">
        <v>5780</v>
      </c>
      <c r="D1453" s="2" t="s">
        <v>8387</v>
      </c>
      <c r="E1453" s="2" t="s">
        <v>18</v>
      </c>
      <c r="F1453" s="2" t="s">
        <v>39</v>
      </c>
      <c r="G1453" s="2">
        <v>8887.08</v>
      </c>
      <c r="H1453" s="2">
        <v>4655.58</v>
      </c>
      <c r="I1453" s="2" t="s">
        <v>20</v>
      </c>
      <c r="J1453" s="2" t="s">
        <v>21</v>
      </c>
      <c r="K1453" s="2" t="s">
        <v>32</v>
      </c>
      <c r="L1453" s="2" t="s">
        <v>64</v>
      </c>
      <c r="M1453" s="2">
        <v>3</v>
      </c>
      <c r="N1453" s="2" t="s">
        <v>33</v>
      </c>
      <c r="O1453" s="2" t="s">
        <v>70</v>
      </c>
      <c r="P1453" s="2" t="s">
        <v>26</v>
      </c>
    </row>
    <row r="1454" spans="1:16" x14ac:dyDescent="0.25">
      <c r="A1454" s="2" t="s">
        <v>3507</v>
      </c>
      <c r="B1454" s="2" t="s">
        <v>322</v>
      </c>
      <c r="C1454" s="2">
        <v>7079</v>
      </c>
      <c r="D1454" s="2" t="s">
        <v>1156</v>
      </c>
      <c r="E1454" s="2" t="s">
        <v>38</v>
      </c>
      <c r="F1454" s="2" t="s">
        <v>58</v>
      </c>
      <c r="G1454" s="2">
        <v>22008.080000000002</v>
      </c>
      <c r="H1454" s="2">
        <v>10717.08</v>
      </c>
      <c r="I1454" s="2" t="s">
        <v>20</v>
      </c>
      <c r="J1454" s="2" t="s">
        <v>21</v>
      </c>
      <c r="K1454" s="2" t="s">
        <v>22</v>
      </c>
      <c r="L1454" s="2" t="s">
        <v>55</v>
      </c>
      <c r="M1454" s="2">
        <v>3</v>
      </c>
      <c r="N1454" s="2" t="s">
        <v>33</v>
      </c>
      <c r="O1454" s="2" t="s">
        <v>25</v>
      </c>
      <c r="P1454" s="2" t="s">
        <v>34</v>
      </c>
    </row>
    <row r="1455" spans="1:16" x14ac:dyDescent="0.25">
      <c r="A1455" s="2" t="s">
        <v>3510</v>
      </c>
      <c r="B1455" s="2" t="s">
        <v>8388</v>
      </c>
      <c r="C1455" s="2">
        <v>5075</v>
      </c>
      <c r="D1455" s="2" t="s">
        <v>229</v>
      </c>
      <c r="E1455" s="2" t="s">
        <v>6698</v>
      </c>
      <c r="F1455" s="2" t="s">
        <v>30</v>
      </c>
      <c r="G1455" s="2">
        <v>114681.1</v>
      </c>
      <c r="H1455" s="2">
        <v>60150.52</v>
      </c>
      <c r="I1455" s="2" t="s">
        <v>63</v>
      </c>
      <c r="J1455" s="2" t="s">
        <v>6753</v>
      </c>
      <c r="K1455" s="2" t="s">
        <v>22</v>
      </c>
      <c r="L1455" s="2" t="s">
        <v>55</v>
      </c>
      <c r="M1455" s="2">
        <v>2</v>
      </c>
      <c r="N1455" s="2" t="s">
        <v>24</v>
      </c>
      <c r="O1455" s="2" t="s">
        <v>25</v>
      </c>
      <c r="P1455" s="2" t="s">
        <v>34</v>
      </c>
    </row>
    <row r="1456" spans="1:16" x14ac:dyDescent="0.25">
      <c r="A1456" s="2" t="s">
        <v>3512</v>
      </c>
      <c r="B1456" s="2" t="s">
        <v>8389</v>
      </c>
      <c r="C1456" s="2">
        <v>3072</v>
      </c>
      <c r="D1456" s="2" t="s">
        <v>8390</v>
      </c>
      <c r="E1456" s="2" t="s">
        <v>6748</v>
      </c>
      <c r="F1456" s="2" t="s">
        <v>58</v>
      </c>
      <c r="G1456" s="2">
        <v>57159.94</v>
      </c>
      <c r="H1456" s="2">
        <v>36696.050000000003</v>
      </c>
      <c r="I1456" s="2" t="s">
        <v>84</v>
      </c>
      <c r="J1456" s="2" t="s">
        <v>6686</v>
      </c>
      <c r="K1456" s="2" t="s">
        <v>22</v>
      </c>
      <c r="L1456" s="2" t="s">
        <v>64</v>
      </c>
      <c r="M1456" s="2">
        <v>2</v>
      </c>
      <c r="N1456" s="2" t="s">
        <v>69</v>
      </c>
      <c r="O1456" s="2" t="s">
        <v>25</v>
      </c>
      <c r="P1456" s="2" t="s">
        <v>34</v>
      </c>
    </row>
    <row r="1457" spans="1:16" x14ac:dyDescent="0.25">
      <c r="A1457" s="2" t="s">
        <v>3514</v>
      </c>
      <c r="B1457" s="2" t="s">
        <v>5470</v>
      </c>
      <c r="C1457" s="2">
        <v>5033</v>
      </c>
      <c r="D1457" s="2" t="s">
        <v>8391</v>
      </c>
      <c r="E1457" s="2" t="s">
        <v>6719</v>
      </c>
      <c r="F1457" s="2" t="s">
        <v>47</v>
      </c>
      <c r="G1457" s="2">
        <v>8151.5</v>
      </c>
      <c r="H1457" s="2">
        <v>3791.29</v>
      </c>
      <c r="I1457" s="2" t="s">
        <v>6910</v>
      </c>
      <c r="J1457" s="2" t="s">
        <v>6789</v>
      </c>
      <c r="K1457" s="2" t="s">
        <v>42</v>
      </c>
      <c r="L1457" s="2" t="s">
        <v>64</v>
      </c>
      <c r="M1457" s="2">
        <v>2</v>
      </c>
      <c r="N1457" s="2" t="s">
        <v>24</v>
      </c>
      <c r="O1457" s="2" t="s">
        <v>25</v>
      </c>
      <c r="P1457" s="2" t="s">
        <v>34</v>
      </c>
    </row>
    <row r="1458" spans="1:16" x14ac:dyDescent="0.25">
      <c r="A1458" s="2" t="s">
        <v>3516</v>
      </c>
      <c r="B1458" s="2" t="s">
        <v>8392</v>
      </c>
      <c r="C1458" s="2">
        <v>2326</v>
      </c>
      <c r="D1458" s="2" t="s">
        <v>8393</v>
      </c>
      <c r="E1458" s="2" t="s">
        <v>6748</v>
      </c>
      <c r="F1458" s="2" t="s">
        <v>58</v>
      </c>
      <c r="G1458" s="2">
        <v>45937.19</v>
      </c>
      <c r="H1458" s="2">
        <v>21190.639999999999</v>
      </c>
      <c r="I1458" s="2" t="s">
        <v>6726</v>
      </c>
      <c r="J1458" s="2" t="s">
        <v>6789</v>
      </c>
      <c r="K1458" s="2" t="s">
        <v>42</v>
      </c>
      <c r="L1458" s="2" t="s">
        <v>88</v>
      </c>
      <c r="M1458" s="2">
        <v>1</v>
      </c>
      <c r="N1458" s="2" t="s">
        <v>33</v>
      </c>
      <c r="O1458" s="2" t="s">
        <v>70</v>
      </c>
      <c r="P1458" s="2" t="s">
        <v>26</v>
      </c>
    </row>
    <row r="1459" spans="1:16" x14ac:dyDescent="0.25">
      <c r="A1459" s="2" t="s">
        <v>3518</v>
      </c>
      <c r="B1459" s="2" t="s">
        <v>8394</v>
      </c>
      <c r="C1459" s="2">
        <v>6672</v>
      </c>
      <c r="D1459" s="2" t="s">
        <v>8395</v>
      </c>
      <c r="E1459" s="2" t="s">
        <v>6703</v>
      </c>
      <c r="F1459" s="2" t="s">
        <v>58</v>
      </c>
      <c r="G1459" s="2">
        <v>12149.68</v>
      </c>
      <c r="H1459" s="2">
        <v>6235.72</v>
      </c>
      <c r="I1459" s="2" t="s">
        <v>6695</v>
      </c>
      <c r="J1459" s="2" t="s">
        <v>6724</v>
      </c>
      <c r="K1459" s="2" t="s">
        <v>80</v>
      </c>
      <c r="L1459" s="2" t="s">
        <v>64</v>
      </c>
      <c r="M1459" s="2">
        <v>4</v>
      </c>
      <c r="N1459" s="2" t="s">
        <v>33</v>
      </c>
      <c r="O1459" s="2" t="s">
        <v>70</v>
      </c>
      <c r="P1459" s="2" t="s">
        <v>26</v>
      </c>
    </row>
    <row r="1460" spans="1:16" x14ac:dyDescent="0.25">
      <c r="A1460" s="2" t="s">
        <v>3520</v>
      </c>
      <c r="B1460" s="2" t="s">
        <v>6710</v>
      </c>
      <c r="C1460" s="2">
        <v>3395</v>
      </c>
      <c r="D1460" s="2" t="s">
        <v>8396</v>
      </c>
      <c r="E1460" s="2" t="s">
        <v>18</v>
      </c>
      <c r="F1460" s="2" t="s">
        <v>19</v>
      </c>
      <c r="G1460" s="2">
        <v>14937.71</v>
      </c>
      <c r="H1460" s="2">
        <v>8340.33</v>
      </c>
      <c r="I1460" s="2" t="s">
        <v>6845</v>
      </c>
      <c r="J1460" s="2" t="s">
        <v>21</v>
      </c>
      <c r="K1460" s="2" t="s">
        <v>22</v>
      </c>
      <c r="L1460" s="2" t="s">
        <v>55</v>
      </c>
      <c r="M1460" s="2">
        <v>1</v>
      </c>
      <c r="N1460" s="2" t="s">
        <v>69</v>
      </c>
      <c r="O1460" s="2" t="s">
        <v>70</v>
      </c>
      <c r="P1460" s="2" t="s">
        <v>49</v>
      </c>
    </row>
    <row r="1461" spans="1:16" x14ac:dyDescent="0.25">
      <c r="A1461" s="2" t="s">
        <v>3523</v>
      </c>
      <c r="B1461" s="2" t="s">
        <v>8397</v>
      </c>
      <c r="C1461" s="2">
        <v>3439</v>
      </c>
      <c r="D1461" s="2" t="s">
        <v>8398</v>
      </c>
      <c r="E1461" s="2" t="s">
        <v>6756</v>
      </c>
      <c r="F1461" s="2" t="s">
        <v>39</v>
      </c>
      <c r="G1461" s="2">
        <v>10456.86</v>
      </c>
      <c r="H1461" s="2">
        <v>5825.34</v>
      </c>
      <c r="I1461" s="2" t="s">
        <v>6759</v>
      </c>
      <c r="J1461" s="2" t="s">
        <v>6691</v>
      </c>
      <c r="K1461" s="2" t="s">
        <v>32</v>
      </c>
      <c r="L1461" s="2" t="s">
        <v>88</v>
      </c>
      <c r="M1461" s="2">
        <v>2</v>
      </c>
      <c r="N1461" s="2" t="s">
        <v>33</v>
      </c>
      <c r="O1461" s="2" t="s">
        <v>70</v>
      </c>
      <c r="P1461" s="2" t="s">
        <v>49</v>
      </c>
    </row>
    <row r="1462" spans="1:16" x14ac:dyDescent="0.25">
      <c r="A1462" s="2" t="s">
        <v>3525</v>
      </c>
      <c r="B1462" s="2" t="s">
        <v>113</v>
      </c>
      <c r="C1462" s="2">
        <v>9805</v>
      </c>
      <c r="D1462" s="2" t="s">
        <v>8399</v>
      </c>
      <c r="E1462" s="2" t="s">
        <v>18</v>
      </c>
      <c r="F1462" s="2" t="s">
        <v>39</v>
      </c>
      <c r="G1462" s="2">
        <v>34081.11</v>
      </c>
      <c r="H1462" s="2">
        <v>20117.490000000002</v>
      </c>
      <c r="I1462" s="2" t="s">
        <v>84</v>
      </c>
      <c r="J1462" s="2" t="s">
        <v>54</v>
      </c>
      <c r="K1462" s="2" t="s">
        <v>32</v>
      </c>
      <c r="L1462" s="2" t="s">
        <v>48</v>
      </c>
      <c r="M1462" s="2">
        <v>4</v>
      </c>
      <c r="N1462" s="2" t="s">
        <v>24</v>
      </c>
      <c r="O1462" s="2" t="s">
        <v>25</v>
      </c>
      <c r="P1462" s="2" t="s">
        <v>49</v>
      </c>
    </row>
    <row r="1463" spans="1:16" x14ac:dyDescent="0.25">
      <c r="A1463" s="2" t="s">
        <v>3527</v>
      </c>
      <c r="B1463" s="2" t="s">
        <v>8400</v>
      </c>
      <c r="C1463" s="2">
        <v>6793</v>
      </c>
      <c r="D1463" s="2" t="s">
        <v>8401</v>
      </c>
      <c r="E1463" s="2" t="s">
        <v>18</v>
      </c>
      <c r="F1463" s="2" t="s">
        <v>30</v>
      </c>
      <c r="G1463" s="2">
        <v>18255.810000000001</v>
      </c>
      <c r="H1463" s="2">
        <v>10766.36</v>
      </c>
      <c r="I1463" s="2" t="s">
        <v>6812</v>
      </c>
      <c r="J1463" s="2" t="s">
        <v>54</v>
      </c>
      <c r="K1463" s="2" t="s">
        <v>22</v>
      </c>
      <c r="L1463" s="2" t="s">
        <v>55</v>
      </c>
      <c r="M1463" s="2">
        <v>4</v>
      </c>
      <c r="N1463" s="2" t="s">
        <v>69</v>
      </c>
      <c r="O1463" s="2" t="s">
        <v>25</v>
      </c>
      <c r="P1463" s="2" t="s">
        <v>34</v>
      </c>
    </row>
    <row r="1464" spans="1:16" x14ac:dyDescent="0.25">
      <c r="A1464" s="2" t="s">
        <v>3529</v>
      </c>
      <c r="B1464" s="2" t="s">
        <v>8402</v>
      </c>
      <c r="C1464" s="2">
        <v>2318</v>
      </c>
      <c r="D1464" s="2" t="s">
        <v>4124</v>
      </c>
      <c r="E1464" s="2" t="s">
        <v>38</v>
      </c>
      <c r="F1464" s="2" t="s">
        <v>58</v>
      </c>
      <c r="G1464" s="2">
        <v>45055.51</v>
      </c>
      <c r="H1464" s="2">
        <v>23013.74</v>
      </c>
      <c r="I1464" s="2" t="s">
        <v>6728</v>
      </c>
      <c r="J1464" s="2" t="s">
        <v>6753</v>
      </c>
      <c r="K1464" s="2" t="s">
        <v>42</v>
      </c>
      <c r="L1464" s="2" t="s">
        <v>88</v>
      </c>
      <c r="M1464" s="2">
        <v>4</v>
      </c>
      <c r="N1464" s="2" t="s">
        <v>24</v>
      </c>
      <c r="O1464" s="2" t="s">
        <v>25</v>
      </c>
      <c r="P1464" s="2" t="s">
        <v>34</v>
      </c>
    </row>
    <row r="1465" spans="1:16" x14ac:dyDescent="0.25">
      <c r="A1465" s="2" t="s">
        <v>3531</v>
      </c>
      <c r="B1465" s="2" t="s">
        <v>1809</v>
      </c>
      <c r="C1465" s="2">
        <v>9208</v>
      </c>
      <c r="D1465" s="2" t="s">
        <v>8403</v>
      </c>
      <c r="E1465" s="2" t="s">
        <v>38</v>
      </c>
      <c r="F1465" s="2" t="s">
        <v>39</v>
      </c>
      <c r="G1465" s="2">
        <v>38103.31</v>
      </c>
      <c r="H1465" s="2">
        <v>23597.05</v>
      </c>
      <c r="I1465" s="2" t="s">
        <v>63</v>
      </c>
      <c r="J1465" s="2" t="s">
        <v>54</v>
      </c>
      <c r="K1465" s="2" t="s">
        <v>32</v>
      </c>
      <c r="L1465" s="2" t="s">
        <v>43</v>
      </c>
      <c r="M1465" s="2">
        <v>3</v>
      </c>
      <c r="N1465" s="2" t="s">
        <v>33</v>
      </c>
      <c r="O1465" s="2" t="s">
        <v>25</v>
      </c>
      <c r="P1465" s="2" t="s">
        <v>34</v>
      </c>
    </row>
    <row r="1466" spans="1:16" x14ac:dyDescent="0.25">
      <c r="A1466" s="2" t="s">
        <v>3533</v>
      </c>
      <c r="B1466" s="2" t="s">
        <v>8404</v>
      </c>
      <c r="C1466" s="2">
        <v>9100</v>
      </c>
      <c r="D1466" s="2" t="s">
        <v>8405</v>
      </c>
      <c r="E1466" s="2" t="s">
        <v>6756</v>
      </c>
      <c r="F1466" s="2" t="s">
        <v>30</v>
      </c>
      <c r="G1466" s="2">
        <v>68234.92</v>
      </c>
      <c r="H1466" s="2">
        <v>33375.03</v>
      </c>
      <c r="I1466" s="2" t="s">
        <v>6812</v>
      </c>
      <c r="J1466" s="2" t="s">
        <v>6686</v>
      </c>
      <c r="K1466" s="2" t="s">
        <v>80</v>
      </c>
      <c r="L1466" s="2" t="s">
        <v>48</v>
      </c>
      <c r="M1466" s="2">
        <v>3</v>
      </c>
      <c r="N1466" s="2" t="s">
        <v>69</v>
      </c>
      <c r="O1466" s="2" t="s">
        <v>25</v>
      </c>
      <c r="P1466" s="2" t="s">
        <v>49</v>
      </c>
    </row>
    <row r="1468" spans="1:16" x14ac:dyDescent="0.25">
      <c r="A1468" s="2" t="s">
        <v>3536</v>
      </c>
      <c r="B1468" s="2" t="s">
        <v>259</v>
      </c>
      <c r="C1468" s="2">
        <v>9097</v>
      </c>
      <c r="D1468" s="2" t="s">
        <v>8406</v>
      </c>
      <c r="E1468" s="2" t="s">
        <v>38</v>
      </c>
      <c r="F1468" s="2" t="s">
        <v>39</v>
      </c>
      <c r="G1468" s="2">
        <v>20637.28</v>
      </c>
      <c r="H1468" s="2">
        <v>10188.26</v>
      </c>
      <c r="I1468" s="2" t="s">
        <v>63</v>
      </c>
      <c r="J1468" s="2" t="s">
        <v>54</v>
      </c>
      <c r="K1468" s="2" t="s">
        <v>42</v>
      </c>
      <c r="L1468" s="2" t="s">
        <v>48</v>
      </c>
      <c r="M1468" s="2">
        <v>1</v>
      </c>
      <c r="N1468" s="2" t="s">
        <v>33</v>
      </c>
      <c r="O1468" s="2" t="s">
        <v>25</v>
      </c>
      <c r="P1468" s="2" t="s">
        <v>26</v>
      </c>
    </row>
    <row r="1469" spans="1:16" x14ac:dyDescent="0.25">
      <c r="A1469" s="2" t="s">
        <v>3538</v>
      </c>
      <c r="B1469" s="2" t="s">
        <v>8407</v>
      </c>
      <c r="C1469" s="2">
        <v>2846</v>
      </c>
      <c r="D1469" s="2" t="s">
        <v>7656</v>
      </c>
      <c r="E1469" s="2" t="s">
        <v>6680</v>
      </c>
      <c r="F1469" s="2" t="s">
        <v>58</v>
      </c>
      <c r="G1469" s="2">
        <v>45535.81</v>
      </c>
      <c r="H1469" s="2">
        <v>27204.2</v>
      </c>
      <c r="I1469" s="2" t="s">
        <v>6752</v>
      </c>
      <c r="J1469" s="2" t="s">
        <v>6691</v>
      </c>
      <c r="K1469" s="2" t="s">
        <v>32</v>
      </c>
      <c r="L1469" s="2" t="s">
        <v>64</v>
      </c>
      <c r="M1469" s="2">
        <v>3</v>
      </c>
      <c r="N1469" s="2" t="s">
        <v>24</v>
      </c>
      <c r="O1469" s="2" t="s">
        <v>70</v>
      </c>
      <c r="P1469" s="2" t="s">
        <v>34</v>
      </c>
    </row>
    <row r="1470" spans="1:16" x14ac:dyDescent="0.25">
      <c r="A1470" s="2" t="s">
        <v>3540</v>
      </c>
      <c r="B1470" s="2" t="s">
        <v>8408</v>
      </c>
      <c r="C1470" s="2">
        <v>4790</v>
      </c>
      <c r="D1470" s="2" t="s">
        <v>8409</v>
      </c>
      <c r="E1470" s="2" t="s">
        <v>6694</v>
      </c>
      <c r="F1470" s="2" t="s">
        <v>47</v>
      </c>
      <c r="G1470" s="2">
        <v>2425.7600000000002</v>
      </c>
      <c r="H1470" s="2">
        <v>1354.2</v>
      </c>
      <c r="I1470" s="2" t="s">
        <v>6726</v>
      </c>
      <c r="J1470" s="2" t="s">
        <v>6795</v>
      </c>
      <c r="K1470" s="2" t="s">
        <v>80</v>
      </c>
      <c r="L1470" s="2" t="s">
        <v>48</v>
      </c>
      <c r="M1470" s="2">
        <v>5</v>
      </c>
      <c r="N1470" s="2" t="s">
        <v>69</v>
      </c>
      <c r="O1470" s="2" t="s">
        <v>25</v>
      </c>
      <c r="P1470" s="2" t="s">
        <v>49</v>
      </c>
    </row>
    <row r="1471" spans="1:16" x14ac:dyDescent="0.25">
      <c r="A1471" s="2" t="s">
        <v>3541</v>
      </c>
      <c r="B1471" s="2" t="s">
        <v>3883</v>
      </c>
      <c r="C1471" s="2">
        <v>3747</v>
      </c>
      <c r="D1471" s="2" t="s">
        <v>8410</v>
      </c>
      <c r="E1471" s="2" t="s">
        <v>38</v>
      </c>
      <c r="F1471" s="2" t="s">
        <v>47</v>
      </c>
      <c r="G1471" s="2">
        <v>12237.17</v>
      </c>
      <c r="H1471" s="2">
        <v>6444.83</v>
      </c>
      <c r="I1471" s="2" t="s">
        <v>40</v>
      </c>
      <c r="J1471" s="2" t="s">
        <v>41</v>
      </c>
      <c r="K1471" s="2" t="s">
        <v>32</v>
      </c>
      <c r="L1471" s="2" t="s">
        <v>88</v>
      </c>
      <c r="M1471" s="2">
        <v>1</v>
      </c>
      <c r="N1471" s="2" t="s">
        <v>33</v>
      </c>
      <c r="O1471" s="2" t="s">
        <v>25</v>
      </c>
      <c r="P1471" s="2" t="s">
        <v>34</v>
      </c>
    </row>
    <row r="1472" spans="1:16" x14ac:dyDescent="0.25">
      <c r="A1472" s="2" t="s">
        <v>3543</v>
      </c>
      <c r="B1472" s="2" t="s">
        <v>2039</v>
      </c>
      <c r="C1472" s="2">
        <v>9414</v>
      </c>
      <c r="D1472" s="2" t="s">
        <v>8411</v>
      </c>
      <c r="E1472" s="2" t="s">
        <v>18</v>
      </c>
      <c r="F1472" s="2" t="s">
        <v>58</v>
      </c>
      <c r="G1472" s="2">
        <v>21146.59</v>
      </c>
      <c r="H1472" s="2">
        <v>10040.73</v>
      </c>
      <c r="I1472" s="2" t="s">
        <v>31</v>
      </c>
      <c r="J1472" s="2" t="s">
        <v>21</v>
      </c>
      <c r="K1472" s="2" t="s">
        <v>32</v>
      </c>
      <c r="L1472" s="2" t="s">
        <v>55</v>
      </c>
      <c r="M1472" s="2">
        <v>1</v>
      </c>
      <c r="N1472" s="2" t="s">
        <v>24</v>
      </c>
      <c r="O1472" s="2" t="s">
        <v>25</v>
      </c>
      <c r="P1472" s="2" t="s">
        <v>49</v>
      </c>
    </row>
    <row r="1473" spans="1:16" x14ac:dyDescent="0.25">
      <c r="A1473" s="2" t="s">
        <v>3544</v>
      </c>
      <c r="B1473" s="2" t="s">
        <v>8412</v>
      </c>
      <c r="C1473" s="2">
        <v>8343</v>
      </c>
      <c r="D1473" s="2" t="s">
        <v>3412</v>
      </c>
      <c r="E1473" s="2" t="s">
        <v>6708</v>
      </c>
      <c r="F1473" s="2" t="s">
        <v>58</v>
      </c>
      <c r="G1473" s="2">
        <v>36381.879999999997</v>
      </c>
      <c r="H1473" s="2">
        <v>19843.150000000001</v>
      </c>
      <c r="I1473" s="2" t="s">
        <v>40</v>
      </c>
      <c r="J1473" s="2" t="s">
        <v>41</v>
      </c>
      <c r="K1473" s="2" t="s">
        <v>42</v>
      </c>
      <c r="L1473" s="2" t="s">
        <v>43</v>
      </c>
      <c r="M1473" s="2">
        <v>5</v>
      </c>
      <c r="N1473" s="2" t="s">
        <v>33</v>
      </c>
      <c r="O1473" s="2" t="s">
        <v>70</v>
      </c>
      <c r="P1473" s="2" t="s">
        <v>34</v>
      </c>
    </row>
    <row r="1474" spans="1:16" x14ac:dyDescent="0.25">
      <c r="A1474" s="2" t="s">
        <v>3545</v>
      </c>
      <c r="B1474" s="2" t="s">
        <v>832</v>
      </c>
      <c r="C1474" s="2">
        <v>2555</v>
      </c>
      <c r="D1474" s="2" t="s">
        <v>5851</v>
      </c>
      <c r="E1474" s="2" t="s">
        <v>18</v>
      </c>
      <c r="F1474" s="2" t="s">
        <v>19</v>
      </c>
      <c r="G1474" s="2">
        <v>26889.09</v>
      </c>
      <c r="H1474" s="2">
        <v>16893.8</v>
      </c>
      <c r="I1474" s="2" t="s">
        <v>53</v>
      </c>
      <c r="J1474" s="2" t="s">
        <v>54</v>
      </c>
      <c r="K1474" s="2" t="s">
        <v>22</v>
      </c>
      <c r="L1474" s="2" t="s">
        <v>64</v>
      </c>
      <c r="M1474" s="2">
        <v>1</v>
      </c>
      <c r="N1474" s="2" t="s">
        <v>24</v>
      </c>
      <c r="O1474" s="2" t="s">
        <v>70</v>
      </c>
      <c r="P1474" s="2" t="s">
        <v>49</v>
      </c>
    </row>
    <row r="1475" spans="1:16" x14ac:dyDescent="0.25">
      <c r="A1475" s="2" t="s">
        <v>3546</v>
      </c>
      <c r="B1475" s="2" t="s">
        <v>8413</v>
      </c>
      <c r="C1475" s="2">
        <v>2542</v>
      </c>
      <c r="D1475" s="2" t="s">
        <v>8414</v>
      </c>
      <c r="E1475" s="2" t="s">
        <v>6694</v>
      </c>
      <c r="F1475" s="2" t="s">
        <v>39</v>
      </c>
      <c r="G1475" s="2">
        <v>17008.8</v>
      </c>
      <c r="H1475" s="2">
        <v>10991.32</v>
      </c>
      <c r="I1475" s="2" t="s">
        <v>6681</v>
      </c>
      <c r="J1475" s="2" t="s">
        <v>6705</v>
      </c>
      <c r="K1475" s="2" t="s">
        <v>42</v>
      </c>
      <c r="L1475" s="2" t="s">
        <v>88</v>
      </c>
      <c r="M1475" s="2">
        <v>4</v>
      </c>
      <c r="N1475" s="2" t="s">
        <v>69</v>
      </c>
      <c r="O1475" s="2" t="s">
        <v>70</v>
      </c>
      <c r="P1475" s="2" t="s">
        <v>34</v>
      </c>
    </row>
    <row r="1476" spans="1:16" x14ac:dyDescent="0.25">
      <c r="A1476" s="2" t="s">
        <v>3549</v>
      </c>
      <c r="B1476" s="2" t="s">
        <v>8415</v>
      </c>
      <c r="C1476" s="2">
        <v>1877</v>
      </c>
      <c r="D1476" s="2" t="s">
        <v>8416</v>
      </c>
      <c r="E1476" s="2" t="s">
        <v>6708</v>
      </c>
      <c r="F1476" s="2" t="s">
        <v>30</v>
      </c>
      <c r="G1476" s="2">
        <v>38039.47</v>
      </c>
      <c r="H1476" s="2">
        <v>24328.22</v>
      </c>
      <c r="I1476" s="2" t="s">
        <v>6695</v>
      </c>
      <c r="J1476" s="2" t="s">
        <v>6802</v>
      </c>
      <c r="K1476" s="2" t="s">
        <v>22</v>
      </c>
      <c r="L1476" s="2" t="s">
        <v>55</v>
      </c>
      <c r="M1476" s="2">
        <v>2</v>
      </c>
      <c r="N1476" s="2" t="s">
        <v>24</v>
      </c>
      <c r="O1476" s="2" t="s">
        <v>25</v>
      </c>
      <c r="P1476" s="2" t="s">
        <v>26</v>
      </c>
    </row>
    <row r="1477" spans="1:16" x14ac:dyDescent="0.25">
      <c r="A1477" s="2" t="s">
        <v>3551</v>
      </c>
      <c r="B1477" s="2" t="s">
        <v>8417</v>
      </c>
      <c r="C1477" s="2">
        <v>7907</v>
      </c>
      <c r="D1477" s="2" t="s">
        <v>8418</v>
      </c>
      <c r="E1477" s="2" t="s">
        <v>18</v>
      </c>
      <c r="F1477" s="2" t="s">
        <v>58</v>
      </c>
      <c r="G1477" s="2">
        <v>37686.230000000003</v>
      </c>
      <c r="H1477" s="2">
        <v>18783.400000000001</v>
      </c>
      <c r="I1477" s="2" t="s">
        <v>6867</v>
      </c>
      <c r="J1477" s="2" t="s">
        <v>6724</v>
      </c>
      <c r="K1477" s="2" t="s">
        <v>80</v>
      </c>
      <c r="L1477" s="2" t="s">
        <v>43</v>
      </c>
      <c r="M1477" s="2">
        <v>5</v>
      </c>
      <c r="N1477" s="2" t="s">
        <v>33</v>
      </c>
      <c r="O1477" s="2" t="s">
        <v>25</v>
      </c>
      <c r="P1477" s="2" t="s">
        <v>26</v>
      </c>
    </row>
    <row r="1478" spans="1:16" x14ac:dyDescent="0.25">
      <c r="A1478" s="2" t="s">
        <v>3553</v>
      </c>
      <c r="B1478" s="2" t="s">
        <v>8419</v>
      </c>
      <c r="C1478" s="2">
        <v>9249</v>
      </c>
      <c r="D1478" s="2" t="s">
        <v>8420</v>
      </c>
      <c r="E1478" s="2" t="s">
        <v>6703</v>
      </c>
      <c r="F1478" s="2" t="s">
        <v>39</v>
      </c>
      <c r="G1478" s="2">
        <v>18277.63</v>
      </c>
      <c r="H1478" s="2">
        <v>9764.27</v>
      </c>
      <c r="I1478" s="2" t="s">
        <v>6867</v>
      </c>
      <c r="J1478" s="2" t="s">
        <v>6802</v>
      </c>
      <c r="K1478" s="2" t="s">
        <v>32</v>
      </c>
      <c r="L1478" s="2" t="s">
        <v>48</v>
      </c>
      <c r="M1478" s="2">
        <v>5</v>
      </c>
      <c r="N1478" s="2" t="s">
        <v>69</v>
      </c>
      <c r="O1478" s="2" t="s">
        <v>25</v>
      </c>
      <c r="P1478" s="2" t="s">
        <v>26</v>
      </c>
    </row>
    <row r="1479" spans="1:16" x14ac:dyDescent="0.25">
      <c r="A1479" s="2" t="s">
        <v>3556</v>
      </c>
      <c r="B1479" s="2" t="s">
        <v>1487</v>
      </c>
      <c r="C1479" s="2">
        <v>4018</v>
      </c>
      <c r="D1479" s="2" t="s">
        <v>8421</v>
      </c>
      <c r="E1479" s="2" t="s">
        <v>38</v>
      </c>
      <c r="F1479" s="2" t="s">
        <v>58</v>
      </c>
      <c r="G1479" s="2">
        <v>26843.54</v>
      </c>
      <c r="H1479" s="2">
        <v>16794.22</v>
      </c>
      <c r="I1479" s="2" t="s">
        <v>59</v>
      </c>
      <c r="J1479" s="2" t="s">
        <v>41</v>
      </c>
      <c r="K1479" s="2" t="s">
        <v>42</v>
      </c>
      <c r="L1479" s="2" t="s">
        <v>64</v>
      </c>
      <c r="M1479" s="2">
        <v>4</v>
      </c>
      <c r="N1479" s="2" t="s">
        <v>69</v>
      </c>
      <c r="O1479" s="2" t="s">
        <v>70</v>
      </c>
      <c r="P1479" s="2" t="s">
        <v>26</v>
      </c>
    </row>
    <row r="1480" spans="1:16" x14ac:dyDescent="0.25">
      <c r="A1480" s="2" t="s">
        <v>3558</v>
      </c>
      <c r="B1480" s="2" t="s">
        <v>8422</v>
      </c>
      <c r="C1480" s="2">
        <v>7474</v>
      </c>
      <c r="D1480" s="2" t="s">
        <v>8423</v>
      </c>
      <c r="E1480" s="2" t="s">
        <v>6703</v>
      </c>
      <c r="F1480" s="2" t="s">
        <v>58</v>
      </c>
      <c r="G1480" s="2">
        <v>27322.11</v>
      </c>
      <c r="H1480" s="2">
        <v>13721.82</v>
      </c>
      <c r="I1480" s="2" t="s">
        <v>40</v>
      </c>
      <c r="J1480" s="2" t="s">
        <v>6793</v>
      </c>
      <c r="K1480" s="2" t="s">
        <v>42</v>
      </c>
      <c r="L1480" s="2" t="s">
        <v>55</v>
      </c>
      <c r="M1480" s="2">
        <v>2</v>
      </c>
      <c r="N1480" s="2" t="s">
        <v>24</v>
      </c>
      <c r="O1480" s="2" t="s">
        <v>25</v>
      </c>
      <c r="P1480" s="2" t="s">
        <v>34</v>
      </c>
    </row>
    <row r="1481" spans="1:16" x14ac:dyDescent="0.25">
      <c r="A1481" s="2" t="s">
        <v>3560</v>
      </c>
      <c r="B1481" s="2" t="s">
        <v>3107</v>
      </c>
      <c r="C1481" s="2">
        <v>1755</v>
      </c>
      <c r="D1481" s="2" t="s">
        <v>7595</v>
      </c>
      <c r="E1481" s="2" t="s">
        <v>38</v>
      </c>
      <c r="F1481" s="2" t="s">
        <v>30</v>
      </c>
      <c r="G1481" s="2">
        <v>86651.22</v>
      </c>
      <c r="H1481" s="2">
        <v>44293.57</v>
      </c>
      <c r="I1481" s="2" t="s">
        <v>53</v>
      </c>
      <c r="J1481" s="2" t="s">
        <v>54</v>
      </c>
      <c r="K1481" s="2" t="s">
        <v>80</v>
      </c>
      <c r="L1481" s="2" t="s">
        <v>23</v>
      </c>
      <c r="M1481" s="2">
        <v>3</v>
      </c>
      <c r="N1481" s="2" t="s">
        <v>69</v>
      </c>
      <c r="O1481" s="2" t="s">
        <v>25</v>
      </c>
      <c r="P1481" s="2" t="s">
        <v>49</v>
      </c>
    </row>
    <row r="1482" spans="1:16" x14ac:dyDescent="0.25">
      <c r="A1482" s="2" t="s">
        <v>3563</v>
      </c>
      <c r="B1482" s="2" t="s">
        <v>8424</v>
      </c>
      <c r="C1482" s="2">
        <v>2522</v>
      </c>
      <c r="D1482" s="2" t="s">
        <v>8425</v>
      </c>
      <c r="E1482" s="2" t="s">
        <v>38</v>
      </c>
      <c r="F1482" s="2" t="s">
        <v>58</v>
      </c>
      <c r="G1482" s="2">
        <v>19679.68</v>
      </c>
      <c r="H1482" s="2">
        <v>9109.2199999999993</v>
      </c>
      <c r="I1482" s="2" t="s">
        <v>6761</v>
      </c>
      <c r="J1482" s="2" t="s">
        <v>6713</v>
      </c>
      <c r="K1482" s="2" t="s">
        <v>32</v>
      </c>
      <c r="L1482" s="2" t="s">
        <v>23</v>
      </c>
      <c r="M1482" s="2">
        <v>5</v>
      </c>
      <c r="N1482" s="2" t="s">
        <v>24</v>
      </c>
      <c r="O1482" s="2" t="s">
        <v>70</v>
      </c>
      <c r="P1482" s="2" t="s">
        <v>34</v>
      </c>
    </row>
    <row r="1483" spans="1:16" x14ac:dyDescent="0.25">
      <c r="A1483" s="2" t="s">
        <v>3565</v>
      </c>
      <c r="B1483" s="2" t="s">
        <v>236</v>
      </c>
      <c r="C1483" s="2">
        <v>3812</v>
      </c>
      <c r="D1483" s="2" t="s">
        <v>8426</v>
      </c>
      <c r="E1483" s="2" t="s">
        <v>6756</v>
      </c>
      <c r="F1483" s="2" t="s">
        <v>19</v>
      </c>
      <c r="G1483" s="2">
        <v>14440.28</v>
      </c>
      <c r="H1483" s="2">
        <v>9227.6200000000008</v>
      </c>
      <c r="I1483" s="2" t="s">
        <v>6808</v>
      </c>
      <c r="J1483" s="2" t="s">
        <v>6729</v>
      </c>
      <c r="K1483" s="2" t="s">
        <v>22</v>
      </c>
      <c r="L1483" s="2" t="s">
        <v>48</v>
      </c>
      <c r="M1483" s="2">
        <v>5</v>
      </c>
      <c r="N1483" s="2" t="s">
        <v>24</v>
      </c>
      <c r="O1483" s="2" t="s">
        <v>70</v>
      </c>
      <c r="P1483" s="2" t="s">
        <v>49</v>
      </c>
    </row>
    <row r="1484" spans="1:16" x14ac:dyDescent="0.25">
      <c r="A1484" s="2" t="s">
        <v>3567</v>
      </c>
      <c r="B1484" s="2" t="s">
        <v>8427</v>
      </c>
      <c r="C1484" s="2">
        <v>2636</v>
      </c>
      <c r="D1484" s="2" t="s">
        <v>8428</v>
      </c>
      <c r="E1484" s="2" t="s">
        <v>6708</v>
      </c>
      <c r="F1484" s="2" t="s">
        <v>39</v>
      </c>
      <c r="G1484" s="2">
        <v>20720.310000000001</v>
      </c>
      <c r="H1484" s="2">
        <v>10021.15</v>
      </c>
      <c r="I1484" s="2" t="s">
        <v>120</v>
      </c>
      <c r="J1484" s="2" t="s">
        <v>21</v>
      </c>
      <c r="K1484" s="2" t="s">
        <v>42</v>
      </c>
      <c r="L1484" s="2" t="s">
        <v>23</v>
      </c>
      <c r="M1484" s="2">
        <v>1</v>
      </c>
      <c r="N1484" s="2" t="s">
        <v>33</v>
      </c>
      <c r="O1484" s="2" t="s">
        <v>25</v>
      </c>
      <c r="P1484" s="2" t="s">
        <v>34</v>
      </c>
    </row>
    <row r="1485" spans="1:16" x14ac:dyDescent="0.25">
      <c r="A1485" s="2" t="s">
        <v>3569</v>
      </c>
      <c r="B1485" s="2" t="s">
        <v>5961</v>
      </c>
      <c r="C1485" s="2">
        <v>5488</v>
      </c>
      <c r="D1485" s="2" t="s">
        <v>913</v>
      </c>
      <c r="E1485" s="2" t="s">
        <v>18</v>
      </c>
      <c r="F1485" s="2" t="s">
        <v>30</v>
      </c>
      <c r="G1485" s="2">
        <v>42544.7</v>
      </c>
      <c r="H1485" s="2">
        <v>24045.91</v>
      </c>
      <c r="I1485" s="2" t="s">
        <v>31</v>
      </c>
      <c r="J1485" s="2" t="s">
        <v>21</v>
      </c>
      <c r="K1485" s="2" t="s">
        <v>22</v>
      </c>
      <c r="L1485" s="2" t="s">
        <v>88</v>
      </c>
      <c r="M1485" s="2">
        <v>4</v>
      </c>
      <c r="N1485" s="2" t="s">
        <v>33</v>
      </c>
      <c r="O1485" s="2" t="s">
        <v>70</v>
      </c>
      <c r="P1485" s="2" t="s">
        <v>49</v>
      </c>
    </row>
    <row r="1486" spans="1:16" x14ac:dyDescent="0.25">
      <c r="A1486" s="2" t="s">
        <v>3572</v>
      </c>
      <c r="B1486" s="2" t="s">
        <v>8429</v>
      </c>
      <c r="C1486" s="2">
        <v>5916</v>
      </c>
      <c r="D1486" s="2" t="s">
        <v>8430</v>
      </c>
      <c r="E1486" s="2" t="s">
        <v>6708</v>
      </c>
      <c r="F1486" s="2" t="s">
        <v>58</v>
      </c>
      <c r="G1486" s="2">
        <v>33475.78</v>
      </c>
      <c r="H1486" s="2">
        <v>19646.11</v>
      </c>
      <c r="I1486" s="2" t="s">
        <v>6681</v>
      </c>
      <c r="J1486" s="2" t="s">
        <v>6705</v>
      </c>
      <c r="K1486" s="2" t="s">
        <v>22</v>
      </c>
      <c r="L1486" s="2" t="s">
        <v>43</v>
      </c>
      <c r="M1486" s="2">
        <v>2</v>
      </c>
      <c r="N1486" s="2" t="s">
        <v>33</v>
      </c>
      <c r="O1486" s="2" t="s">
        <v>25</v>
      </c>
      <c r="P1486" s="2" t="s">
        <v>26</v>
      </c>
    </row>
    <row r="1487" spans="1:16" x14ac:dyDescent="0.25">
      <c r="A1487" s="2" t="s">
        <v>3575</v>
      </c>
      <c r="B1487" s="2" t="s">
        <v>8431</v>
      </c>
      <c r="C1487" s="2">
        <v>8868</v>
      </c>
      <c r="D1487" s="2" t="s">
        <v>7150</v>
      </c>
      <c r="E1487" s="2" t="s">
        <v>6680</v>
      </c>
      <c r="F1487" s="2" t="s">
        <v>47</v>
      </c>
      <c r="G1487" s="2">
        <v>8541.7999999999993</v>
      </c>
      <c r="H1487" s="2">
        <v>4583.16</v>
      </c>
      <c r="I1487" s="2" t="s">
        <v>6695</v>
      </c>
      <c r="J1487" s="2" t="s">
        <v>21</v>
      </c>
      <c r="K1487" s="2" t="s">
        <v>80</v>
      </c>
      <c r="L1487" s="2" t="s">
        <v>43</v>
      </c>
      <c r="M1487" s="2">
        <v>2</v>
      </c>
      <c r="N1487" s="2" t="s">
        <v>24</v>
      </c>
      <c r="O1487" s="2" t="s">
        <v>25</v>
      </c>
      <c r="P1487" s="2" t="s">
        <v>26</v>
      </c>
    </row>
    <row r="1488" spans="1:16" x14ac:dyDescent="0.25">
      <c r="A1488" s="2" t="s">
        <v>3576</v>
      </c>
      <c r="B1488" s="2" t="s">
        <v>8432</v>
      </c>
      <c r="C1488" s="2">
        <v>1266</v>
      </c>
      <c r="D1488" s="2" t="s">
        <v>8433</v>
      </c>
      <c r="E1488" s="2" t="s">
        <v>6743</v>
      </c>
      <c r="F1488" s="2" t="s">
        <v>47</v>
      </c>
      <c r="G1488" s="2">
        <v>11524.71</v>
      </c>
      <c r="H1488" s="2">
        <v>5890.38</v>
      </c>
      <c r="I1488" s="2" t="s">
        <v>6712</v>
      </c>
      <c r="J1488" s="2" t="s">
        <v>6705</v>
      </c>
      <c r="K1488" s="2" t="s">
        <v>42</v>
      </c>
      <c r="L1488" s="2" t="s">
        <v>48</v>
      </c>
      <c r="M1488" s="2">
        <v>2</v>
      </c>
      <c r="N1488" s="2" t="s">
        <v>33</v>
      </c>
      <c r="O1488" s="2" t="s">
        <v>25</v>
      </c>
      <c r="P1488" s="2" t="s">
        <v>49</v>
      </c>
    </row>
    <row r="1489" spans="1:16" x14ac:dyDescent="0.25">
      <c r="A1489" s="2" t="s">
        <v>3578</v>
      </c>
      <c r="B1489" s="2" t="s">
        <v>2726</v>
      </c>
      <c r="C1489" s="2">
        <v>5216</v>
      </c>
      <c r="D1489" s="2" t="s">
        <v>8434</v>
      </c>
      <c r="E1489" s="2" t="s">
        <v>18</v>
      </c>
      <c r="F1489" s="2" t="s">
        <v>19</v>
      </c>
      <c r="G1489" s="2">
        <v>14287.52</v>
      </c>
      <c r="H1489" s="2">
        <v>6722.36</v>
      </c>
      <c r="I1489" s="2" t="s">
        <v>53</v>
      </c>
      <c r="J1489" s="2" t="s">
        <v>54</v>
      </c>
      <c r="K1489" s="2" t="s">
        <v>80</v>
      </c>
      <c r="L1489" s="2" t="s">
        <v>64</v>
      </c>
      <c r="M1489" s="2">
        <v>5</v>
      </c>
      <c r="N1489" s="2" t="s">
        <v>33</v>
      </c>
      <c r="O1489" s="2" t="s">
        <v>25</v>
      </c>
      <c r="P1489" s="2" t="s">
        <v>34</v>
      </c>
    </row>
    <row r="1490" spans="1:16" x14ac:dyDescent="0.25">
      <c r="A1490" s="2" t="s">
        <v>3580</v>
      </c>
      <c r="B1490" s="2" t="s">
        <v>7471</v>
      </c>
      <c r="C1490" s="2">
        <v>7286</v>
      </c>
      <c r="D1490" s="2" t="s">
        <v>8435</v>
      </c>
      <c r="E1490" s="2" t="s">
        <v>18</v>
      </c>
      <c r="F1490" s="2" t="s">
        <v>58</v>
      </c>
      <c r="G1490" s="2">
        <v>29086.27</v>
      </c>
      <c r="H1490" s="2">
        <v>15087.2</v>
      </c>
      <c r="I1490" s="2" t="s">
        <v>53</v>
      </c>
      <c r="J1490" s="2" t="s">
        <v>54</v>
      </c>
      <c r="K1490" s="2" t="s">
        <v>80</v>
      </c>
      <c r="L1490" s="2" t="s">
        <v>88</v>
      </c>
      <c r="M1490" s="2">
        <v>2</v>
      </c>
      <c r="N1490" s="2" t="s">
        <v>33</v>
      </c>
      <c r="O1490" s="2" t="s">
        <v>70</v>
      </c>
      <c r="P1490" s="2" t="s">
        <v>49</v>
      </c>
    </row>
    <row r="1491" spans="1:16" x14ac:dyDescent="0.25">
      <c r="A1491" s="2" t="s">
        <v>3582</v>
      </c>
      <c r="B1491" s="2" t="s">
        <v>8078</v>
      </c>
      <c r="C1491" s="2">
        <v>5456</v>
      </c>
      <c r="D1491" s="2" t="s">
        <v>8436</v>
      </c>
      <c r="E1491" s="2" t="s">
        <v>6680</v>
      </c>
      <c r="F1491" s="2" t="s">
        <v>19</v>
      </c>
      <c r="G1491" s="2">
        <v>23596.73</v>
      </c>
      <c r="H1491" s="2">
        <v>14703.73</v>
      </c>
      <c r="I1491" s="2" t="s">
        <v>84</v>
      </c>
      <c r="J1491" s="2" t="s">
        <v>6753</v>
      </c>
      <c r="K1491" s="2" t="s">
        <v>32</v>
      </c>
      <c r="L1491" s="2" t="s">
        <v>43</v>
      </c>
      <c r="M1491" s="2">
        <v>4</v>
      </c>
      <c r="N1491" s="2" t="s">
        <v>69</v>
      </c>
      <c r="O1491" s="2" t="s">
        <v>70</v>
      </c>
      <c r="P1491" s="2" t="s">
        <v>34</v>
      </c>
    </row>
    <row r="1492" spans="1:16" x14ac:dyDescent="0.25">
      <c r="A1492" s="2" t="s">
        <v>3584</v>
      </c>
      <c r="B1492" s="2" t="s">
        <v>8437</v>
      </c>
      <c r="C1492" s="2">
        <v>4299</v>
      </c>
      <c r="D1492" s="2" t="s">
        <v>8438</v>
      </c>
      <c r="E1492" s="2" t="s">
        <v>18</v>
      </c>
      <c r="F1492" s="2" t="s">
        <v>39</v>
      </c>
      <c r="G1492" s="2">
        <v>8406.81</v>
      </c>
      <c r="H1492" s="2">
        <v>4778.29</v>
      </c>
      <c r="I1492" s="2" t="s">
        <v>63</v>
      </c>
      <c r="J1492" s="2" t="s">
        <v>54</v>
      </c>
      <c r="K1492" s="2" t="s">
        <v>42</v>
      </c>
      <c r="L1492" s="2" t="s">
        <v>88</v>
      </c>
      <c r="M1492" s="2">
        <v>2</v>
      </c>
      <c r="N1492" s="2" t="s">
        <v>24</v>
      </c>
      <c r="O1492" s="2" t="s">
        <v>70</v>
      </c>
      <c r="P1492" s="2" t="s">
        <v>26</v>
      </c>
    </row>
    <row r="1493" spans="1:16" x14ac:dyDescent="0.25">
      <c r="A1493" s="2" t="s">
        <v>3585</v>
      </c>
      <c r="B1493" s="2" t="s">
        <v>2671</v>
      </c>
      <c r="C1493" s="2">
        <v>9459</v>
      </c>
      <c r="D1493" s="2" t="s">
        <v>8439</v>
      </c>
      <c r="E1493" s="2" t="s">
        <v>38</v>
      </c>
      <c r="F1493" s="2" t="s">
        <v>19</v>
      </c>
      <c r="G1493" s="2">
        <v>8392.68</v>
      </c>
      <c r="H1493" s="2">
        <v>4765.4399999999996</v>
      </c>
      <c r="I1493" s="2" t="s">
        <v>40</v>
      </c>
      <c r="J1493" s="2" t="s">
        <v>41</v>
      </c>
      <c r="K1493" s="2" t="s">
        <v>42</v>
      </c>
      <c r="L1493" s="2" t="s">
        <v>64</v>
      </c>
      <c r="M1493" s="2">
        <v>1</v>
      </c>
      <c r="N1493" s="2" t="s">
        <v>33</v>
      </c>
      <c r="O1493" s="2" t="s">
        <v>25</v>
      </c>
      <c r="P1493" s="2" t="s">
        <v>49</v>
      </c>
    </row>
    <row r="1494" spans="1:16" x14ac:dyDescent="0.25">
      <c r="A1494" s="2" t="s">
        <v>3587</v>
      </c>
      <c r="B1494" s="2" t="s">
        <v>8440</v>
      </c>
      <c r="C1494" s="2">
        <v>8214</v>
      </c>
      <c r="D1494" s="2" t="s">
        <v>8441</v>
      </c>
      <c r="E1494" s="2" t="s">
        <v>6743</v>
      </c>
      <c r="F1494" s="2" t="s">
        <v>30</v>
      </c>
      <c r="G1494" s="2">
        <v>13423.45</v>
      </c>
      <c r="H1494" s="2">
        <v>8626.91</v>
      </c>
      <c r="I1494" s="2" t="s">
        <v>6794</v>
      </c>
      <c r="J1494" s="2" t="s">
        <v>6724</v>
      </c>
      <c r="K1494" s="2" t="s">
        <v>32</v>
      </c>
      <c r="L1494" s="2" t="s">
        <v>43</v>
      </c>
      <c r="M1494" s="2">
        <v>3</v>
      </c>
      <c r="N1494" s="2" t="s">
        <v>24</v>
      </c>
      <c r="O1494" s="2" t="s">
        <v>70</v>
      </c>
      <c r="P1494" s="2" t="s">
        <v>34</v>
      </c>
    </row>
    <row r="1495" spans="1:16" x14ac:dyDescent="0.25">
      <c r="A1495" s="2" t="s">
        <v>3589</v>
      </c>
      <c r="B1495" s="2" t="s">
        <v>7558</v>
      </c>
      <c r="C1495" s="2">
        <v>1327</v>
      </c>
      <c r="D1495" s="2" t="s">
        <v>8442</v>
      </c>
      <c r="E1495" s="2" t="s">
        <v>18</v>
      </c>
      <c r="F1495" s="2" t="s">
        <v>19</v>
      </c>
      <c r="G1495" s="2">
        <v>6804.91</v>
      </c>
      <c r="H1495" s="2">
        <v>3963.43</v>
      </c>
      <c r="I1495" s="2" t="s">
        <v>20</v>
      </c>
      <c r="J1495" s="2" t="s">
        <v>21</v>
      </c>
      <c r="K1495" s="2" t="s">
        <v>42</v>
      </c>
      <c r="L1495" s="2" t="s">
        <v>43</v>
      </c>
      <c r="M1495" s="2">
        <v>2</v>
      </c>
      <c r="N1495" s="2" t="s">
        <v>33</v>
      </c>
      <c r="O1495" s="2" t="s">
        <v>70</v>
      </c>
      <c r="P1495" s="2" t="s">
        <v>34</v>
      </c>
    </row>
    <row r="1496" spans="1:16" x14ac:dyDescent="0.25">
      <c r="A1496" s="2" t="s">
        <v>3590</v>
      </c>
      <c r="B1496" s="2" t="s">
        <v>3547</v>
      </c>
      <c r="C1496" s="2">
        <v>1272</v>
      </c>
      <c r="D1496" s="2" t="s">
        <v>8443</v>
      </c>
      <c r="E1496" s="2" t="s">
        <v>38</v>
      </c>
      <c r="F1496" s="2" t="s">
        <v>30</v>
      </c>
      <c r="G1496" s="2">
        <v>69052.41</v>
      </c>
      <c r="H1496" s="2">
        <v>36715.56</v>
      </c>
      <c r="I1496" s="2" t="s">
        <v>120</v>
      </c>
      <c r="J1496" s="2" t="s">
        <v>21</v>
      </c>
      <c r="K1496" s="2" t="s">
        <v>32</v>
      </c>
      <c r="L1496" s="2" t="s">
        <v>64</v>
      </c>
      <c r="M1496" s="2">
        <v>3</v>
      </c>
      <c r="N1496" s="2" t="s">
        <v>33</v>
      </c>
      <c r="O1496" s="2" t="s">
        <v>25</v>
      </c>
      <c r="P1496" s="2" t="s">
        <v>49</v>
      </c>
    </row>
    <row r="1497" spans="1:16" x14ac:dyDescent="0.25">
      <c r="A1497" s="2" t="s">
        <v>3592</v>
      </c>
      <c r="B1497" s="2" t="s">
        <v>322</v>
      </c>
      <c r="C1497" s="2">
        <v>3749</v>
      </c>
      <c r="D1497" s="2" t="s">
        <v>8444</v>
      </c>
      <c r="E1497" s="2" t="s">
        <v>38</v>
      </c>
      <c r="F1497" s="2" t="s">
        <v>19</v>
      </c>
      <c r="G1497" s="2">
        <v>18146.75</v>
      </c>
      <c r="H1497" s="2">
        <v>8617.43</v>
      </c>
      <c r="I1497" s="2" t="s">
        <v>63</v>
      </c>
      <c r="J1497" s="2" t="s">
        <v>54</v>
      </c>
      <c r="K1497" s="2" t="s">
        <v>22</v>
      </c>
      <c r="L1497" s="2" t="s">
        <v>23</v>
      </c>
      <c r="M1497" s="2">
        <v>3</v>
      </c>
      <c r="N1497" s="2" t="s">
        <v>33</v>
      </c>
      <c r="O1497" s="2" t="s">
        <v>70</v>
      </c>
      <c r="P1497" s="2" t="s">
        <v>26</v>
      </c>
    </row>
    <row r="1498" spans="1:16" x14ac:dyDescent="0.25">
      <c r="A1498" s="2" t="s">
        <v>3593</v>
      </c>
      <c r="B1498" s="2" t="s">
        <v>5290</v>
      </c>
      <c r="C1498" s="2">
        <v>9424</v>
      </c>
      <c r="D1498" s="2" t="s">
        <v>8445</v>
      </c>
      <c r="E1498" s="2" t="s">
        <v>18</v>
      </c>
      <c r="F1498" s="2" t="s">
        <v>30</v>
      </c>
      <c r="G1498" s="2">
        <v>36930.699999999997</v>
      </c>
      <c r="H1498" s="2">
        <v>22236.65</v>
      </c>
      <c r="I1498" s="2" t="s">
        <v>59</v>
      </c>
      <c r="J1498" s="2" t="s">
        <v>41</v>
      </c>
      <c r="K1498" s="2" t="s">
        <v>32</v>
      </c>
      <c r="L1498" s="2" t="s">
        <v>43</v>
      </c>
      <c r="M1498" s="2">
        <v>3</v>
      </c>
      <c r="N1498" s="2" t="s">
        <v>24</v>
      </c>
      <c r="O1498" s="2" t="s">
        <v>70</v>
      </c>
      <c r="P1498" s="2" t="s">
        <v>34</v>
      </c>
    </row>
    <row r="1499" spans="1:16" x14ac:dyDescent="0.25">
      <c r="A1499" s="2" t="s">
        <v>3595</v>
      </c>
      <c r="B1499" s="2" t="s">
        <v>923</v>
      </c>
      <c r="C1499" s="2">
        <v>1310</v>
      </c>
      <c r="D1499" s="2" t="s">
        <v>2900</v>
      </c>
      <c r="E1499" s="2" t="s">
        <v>18</v>
      </c>
      <c r="F1499" s="2" t="s">
        <v>39</v>
      </c>
      <c r="G1499" s="2">
        <v>5787.96</v>
      </c>
      <c r="H1499" s="2">
        <v>2696.57</v>
      </c>
      <c r="I1499" s="2" t="s">
        <v>40</v>
      </c>
      <c r="J1499" s="2" t="s">
        <v>41</v>
      </c>
      <c r="K1499" s="2" t="s">
        <v>32</v>
      </c>
      <c r="L1499" s="2" t="s">
        <v>64</v>
      </c>
      <c r="M1499" s="2">
        <v>5</v>
      </c>
      <c r="N1499" s="2" t="s">
        <v>24</v>
      </c>
      <c r="O1499" s="2" t="s">
        <v>70</v>
      </c>
      <c r="P1499" s="2" t="s">
        <v>26</v>
      </c>
    </row>
    <row r="1500" spans="1:16" x14ac:dyDescent="0.25">
      <c r="A1500" s="2" t="s">
        <v>3598</v>
      </c>
      <c r="B1500" s="2" t="s">
        <v>1620</v>
      </c>
      <c r="C1500" s="2">
        <v>3415</v>
      </c>
      <c r="D1500" s="2" t="s">
        <v>8446</v>
      </c>
      <c r="E1500" s="2" t="s">
        <v>38</v>
      </c>
      <c r="F1500" s="2" t="s">
        <v>58</v>
      </c>
      <c r="G1500" s="2">
        <v>25007.66</v>
      </c>
      <c r="H1500" s="2">
        <v>13875.15</v>
      </c>
      <c r="I1500" s="2" t="s">
        <v>20</v>
      </c>
      <c r="J1500" s="2" t="s">
        <v>21</v>
      </c>
      <c r="K1500" s="2" t="s">
        <v>80</v>
      </c>
      <c r="L1500" s="2" t="s">
        <v>55</v>
      </c>
      <c r="M1500" s="2">
        <v>2</v>
      </c>
      <c r="N1500" s="2" t="s">
        <v>33</v>
      </c>
      <c r="O1500" s="2" t="s">
        <v>25</v>
      </c>
      <c r="P1500" s="2" t="s">
        <v>26</v>
      </c>
    </row>
    <row r="1501" spans="1:16" x14ac:dyDescent="0.25">
      <c r="A1501" s="2" t="s">
        <v>3600</v>
      </c>
      <c r="B1501" s="2" t="s">
        <v>8447</v>
      </c>
      <c r="C1501" s="2">
        <v>5229</v>
      </c>
      <c r="D1501" s="2" t="s">
        <v>8448</v>
      </c>
      <c r="E1501" s="2" t="s">
        <v>6748</v>
      </c>
      <c r="F1501" s="2" t="s">
        <v>39</v>
      </c>
      <c r="G1501" s="2">
        <v>27354.03</v>
      </c>
      <c r="H1501" s="2">
        <v>15579.48</v>
      </c>
      <c r="I1501" s="2" t="s">
        <v>6723</v>
      </c>
      <c r="J1501" s="2" t="s">
        <v>21</v>
      </c>
      <c r="K1501" s="2" t="s">
        <v>32</v>
      </c>
      <c r="L1501" s="2" t="s">
        <v>23</v>
      </c>
      <c r="M1501" s="2">
        <v>1</v>
      </c>
      <c r="N1501" s="2" t="s">
        <v>24</v>
      </c>
      <c r="O1501" s="2" t="s">
        <v>70</v>
      </c>
      <c r="P1501" s="2" t="s">
        <v>26</v>
      </c>
    </row>
    <row r="1502" spans="1:16" x14ac:dyDescent="0.25">
      <c r="A1502" s="2" t="s">
        <v>3602</v>
      </c>
      <c r="B1502" s="2" t="s">
        <v>8449</v>
      </c>
      <c r="C1502" s="2">
        <v>8315</v>
      </c>
      <c r="D1502" s="2" t="s">
        <v>8450</v>
      </c>
      <c r="E1502" s="2" t="s">
        <v>6680</v>
      </c>
      <c r="F1502" s="2" t="s">
        <v>47</v>
      </c>
      <c r="G1502" s="2">
        <v>5999.26</v>
      </c>
      <c r="H1502" s="2">
        <v>3128.41</v>
      </c>
      <c r="I1502" s="2" t="s">
        <v>6695</v>
      </c>
      <c r="J1502" s="2" t="s">
        <v>6795</v>
      </c>
      <c r="K1502" s="2" t="s">
        <v>80</v>
      </c>
      <c r="L1502" s="2" t="s">
        <v>64</v>
      </c>
      <c r="M1502" s="2">
        <v>2</v>
      </c>
      <c r="N1502" s="2" t="s">
        <v>24</v>
      </c>
      <c r="O1502" s="2" t="s">
        <v>70</v>
      </c>
      <c r="P1502" s="2" t="s">
        <v>34</v>
      </c>
    </row>
    <row r="1503" spans="1:16" x14ac:dyDescent="0.25">
      <c r="A1503" s="2" t="s">
        <v>3604</v>
      </c>
      <c r="B1503" s="2" t="s">
        <v>367</v>
      </c>
      <c r="C1503" s="2">
        <v>9124</v>
      </c>
      <c r="D1503" s="2" t="s">
        <v>8451</v>
      </c>
      <c r="E1503" s="2" t="s">
        <v>38</v>
      </c>
      <c r="F1503" s="2" t="s">
        <v>47</v>
      </c>
      <c r="G1503" s="2">
        <v>16966.349999999999</v>
      </c>
      <c r="H1503" s="2">
        <v>10913.4</v>
      </c>
      <c r="I1503" s="2" t="s">
        <v>84</v>
      </c>
      <c r="J1503" s="2" t="s">
        <v>54</v>
      </c>
      <c r="K1503" s="2" t="s">
        <v>42</v>
      </c>
      <c r="L1503" s="2" t="s">
        <v>43</v>
      </c>
      <c r="M1503" s="2">
        <v>3</v>
      </c>
      <c r="N1503" s="2" t="s">
        <v>24</v>
      </c>
      <c r="O1503" s="2" t="s">
        <v>70</v>
      </c>
      <c r="P1503" s="2" t="s">
        <v>34</v>
      </c>
    </row>
    <row r="1504" spans="1:16" x14ac:dyDescent="0.25">
      <c r="A1504" s="2" t="s">
        <v>3606</v>
      </c>
      <c r="B1504" s="2" t="s">
        <v>8452</v>
      </c>
      <c r="C1504" s="2">
        <v>5157</v>
      </c>
      <c r="D1504" s="2" t="s">
        <v>8453</v>
      </c>
      <c r="E1504" s="2" t="s">
        <v>32</v>
      </c>
      <c r="F1504" s="2" t="s">
        <v>30</v>
      </c>
      <c r="G1504" s="2">
        <v>102810.16</v>
      </c>
      <c r="H1504" s="2">
        <v>62385.37</v>
      </c>
      <c r="I1504" s="2" t="s">
        <v>6723</v>
      </c>
      <c r="J1504" s="2" t="s">
        <v>6724</v>
      </c>
      <c r="K1504" s="2" t="s">
        <v>80</v>
      </c>
      <c r="L1504" s="2" t="s">
        <v>64</v>
      </c>
      <c r="M1504" s="2">
        <v>4</v>
      </c>
      <c r="N1504" s="2" t="s">
        <v>33</v>
      </c>
      <c r="O1504" s="2" t="s">
        <v>25</v>
      </c>
      <c r="P1504" s="2" t="s">
        <v>26</v>
      </c>
    </row>
    <row r="1505" spans="1:16" x14ac:dyDescent="0.25">
      <c r="A1505" s="2" t="s">
        <v>3608</v>
      </c>
      <c r="B1505" s="2" t="s">
        <v>1212</v>
      </c>
      <c r="C1505" s="2">
        <v>2245</v>
      </c>
      <c r="D1505" s="2" t="s">
        <v>5971</v>
      </c>
      <c r="E1505" s="2" t="s">
        <v>38</v>
      </c>
      <c r="F1505" s="2" t="s">
        <v>30</v>
      </c>
      <c r="G1505" s="2">
        <v>80483.789999999994</v>
      </c>
      <c r="H1505" s="2">
        <v>48556.37</v>
      </c>
      <c r="I1505" s="2" t="s">
        <v>53</v>
      </c>
      <c r="J1505" s="2" t="s">
        <v>54</v>
      </c>
      <c r="K1505" s="2" t="s">
        <v>32</v>
      </c>
      <c r="L1505" s="2" t="s">
        <v>55</v>
      </c>
      <c r="M1505" s="2">
        <v>5</v>
      </c>
      <c r="N1505" s="2" t="s">
        <v>24</v>
      </c>
      <c r="O1505" s="2" t="s">
        <v>70</v>
      </c>
      <c r="P1505" s="2" t="s">
        <v>49</v>
      </c>
    </row>
    <row r="1506" spans="1:16" x14ac:dyDescent="0.25">
      <c r="A1506" s="2" t="s">
        <v>3611</v>
      </c>
      <c r="B1506" s="2" t="s">
        <v>2361</v>
      </c>
      <c r="C1506" s="2">
        <v>6850</v>
      </c>
      <c r="D1506" s="2" t="s">
        <v>8454</v>
      </c>
      <c r="E1506" s="2" t="s">
        <v>18</v>
      </c>
      <c r="F1506" s="2" t="s">
        <v>19</v>
      </c>
      <c r="G1506" s="2">
        <v>8764.2999999999993</v>
      </c>
      <c r="H1506" s="2">
        <v>4453.1499999999996</v>
      </c>
      <c r="I1506" s="2" t="s">
        <v>120</v>
      </c>
      <c r="J1506" s="2" t="s">
        <v>21</v>
      </c>
      <c r="K1506" s="2" t="s">
        <v>42</v>
      </c>
      <c r="L1506" s="2" t="s">
        <v>88</v>
      </c>
      <c r="M1506" s="2">
        <v>2</v>
      </c>
      <c r="N1506" s="2" t="s">
        <v>24</v>
      </c>
      <c r="O1506" s="2" t="s">
        <v>70</v>
      </c>
      <c r="P1506" s="2" t="s">
        <v>34</v>
      </c>
    </row>
    <row r="1507" spans="1:16" x14ac:dyDescent="0.25">
      <c r="A1507" s="2" t="s">
        <v>3613</v>
      </c>
      <c r="B1507" s="2" t="s">
        <v>6815</v>
      </c>
      <c r="C1507" s="2">
        <v>3132</v>
      </c>
      <c r="D1507" s="2" t="s">
        <v>8455</v>
      </c>
      <c r="E1507" s="2" t="s">
        <v>38</v>
      </c>
      <c r="F1507" s="2" t="s">
        <v>39</v>
      </c>
      <c r="G1507" s="2">
        <v>21608.32</v>
      </c>
      <c r="H1507" s="2">
        <v>9861.57</v>
      </c>
      <c r="I1507" s="2" t="s">
        <v>63</v>
      </c>
      <c r="J1507" s="2" t="s">
        <v>54</v>
      </c>
      <c r="K1507" s="2" t="s">
        <v>22</v>
      </c>
      <c r="L1507" s="2" t="s">
        <v>55</v>
      </c>
      <c r="M1507" s="2">
        <v>3</v>
      </c>
      <c r="N1507" s="2" t="s">
        <v>24</v>
      </c>
      <c r="O1507" s="2" t="s">
        <v>70</v>
      </c>
      <c r="P1507" s="2" t="s">
        <v>49</v>
      </c>
    </row>
    <row r="1508" spans="1:16" x14ac:dyDescent="0.25">
      <c r="A1508" s="2" t="s">
        <v>3614</v>
      </c>
      <c r="B1508" s="2" t="s">
        <v>1537</v>
      </c>
      <c r="C1508" s="2">
        <v>7904</v>
      </c>
      <c r="D1508" s="2" t="s">
        <v>8456</v>
      </c>
      <c r="E1508" s="2" t="s">
        <v>18</v>
      </c>
      <c r="F1508" s="2" t="s">
        <v>39</v>
      </c>
      <c r="G1508" s="2">
        <v>11515.11</v>
      </c>
      <c r="H1508" s="2">
        <v>6769.58</v>
      </c>
      <c r="I1508" s="2" t="s">
        <v>84</v>
      </c>
      <c r="J1508" s="2" t="s">
        <v>54</v>
      </c>
      <c r="K1508" s="2" t="s">
        <v>80</v>
      </c>
      <c r="L1508" s="2" t="s">
        <v>88</v>
      </c>
      <c r="M1508" s="2">
        <v>1</v>
      </c>
      <c r="N1508" s="2" t="s">
        <v>33</v>
      </c>
      <c r="O1508" s="2" t="s">
        <v>25</v>
      </c>
      <c r="P1508" s="2" t="s">
        <v>34</v>
      </c>
    </row>
    <row r="1509" spans="1:16" x14ac:dyDescent="0.25">
      <c r="A1509" s="2" t="s">
        <v>3617</v>
      </c>
      <c r="B1509" s="2" t="s">
        <v>504</v>
      </c>
      <c r="C1509" s="2">
        <v>6111</v>
      </c>
      <c r="D1509" s="2" t="s">
        <v>4227</v>
      </c>
      <c r="E1509" s="2" t="s">
        <v>38</v>
      </c>
      <c r="F1509" s="2" t="s">
        <v>19</v>
      </c>
      <c r="G1509" s="2">
        <v>10320.57</v>
      </c>
      <c r="H1509" s="2">
        <v>5521.61</v>
      </c>
      <c r="I1509" s="2" t="s">
        <v>120</v>
      </c>
      <c r="J1509" s="2" t="s">
        <v>21</v>
      </c>
      <c r="K1509" s="2" t="s">
        <v>22</v>
      </c>
      <c r="L1509" s="2" t="s">
        <v>43</v>
      </c>
      <c r="M1509" s="2">
        <v>4</v>
      </c>
      <c r="N1509" s="2" t="s">
        <v>24</v>
      </c>
      <c r="O1509" s="2" t="s">
        <v>70</v>
      </c>
      <c r="P1509" s="2" t="s">
        <v>34</v>
      </c>
    </row>
    <row r="1510" spans="1:16" x14ac:dyDescent="0.25">
      <c r="A1510" s="2" t="s">
        <v>3619</v>
      </c>
      <c r="B1510" s="2" t="s">
        <v>3721</v>
      </c>
      <c r="C1510" s="2">
        <v>3412</v>
      </c>
      <c r="D1510" s="2" t="s">
        <v>8457</v>
      </c>
      <c r="E1510" s="2" t="s">
        <v>18</v>
      </c>
      <c r="F1510" s="2" t="s">
        <v>39</v>
      </c>
      <c r="G1510" s="2">
        <v>36147.199999999997</v>
      </c>
      <c r="H1510" s="2">
        <v>21413.71</v>
      </c>
      <c r="I1510" s="2" t="s">
        <v>120</v>
      </c>
      <c r="J1510" s="2" t="s">
        <v>21</v>
      </c>
      <c r="K1510" s="2" t="s">
        <v>42</v>
      </c>
      <c r="L1510" s="2" t="s">
        <v>64</v>
      </c>
      <c r="M1510" s="2">
        <v>3</v>
      </c>
      <c r="N1510" s="2" t="s">
        <v>69</v>
      </c>
      <c r="O1510" s="2" t="s">
        <v>25</v>
      </c>
      <c r="P1510" s="2" t="s">
        <v>26</v>
      </c>
    </row>
    <row r="1511" spans="1:16" x14ac:dyDescent="0.25">
      <c r="A1511" s="2" t="s">
        <v>3622</v>
      </c>
      <c r="B1511" s="2" t="s">
        <v>8458</v>
      </c>
      <c r="C1511" s="2">
        <v>1059</v>
      </c>
      <c r="D1511" s="2" t="s">
        <v>8459</v>
      </c>
      <c r="E1511" s="2" t="s">
        <v>6703</v>
      </c>
      <c r="F1511" s="2" t="s">
        <v>19</v>
      </c>
      <c r="G1511" s="2">
        <v>14783.31</v>
      </c>
      <c r="H1511" s="2">
        <v>7202.24</v>
      </c>
      <c r="I1511" s="2" t="s">
        <v>6726</v>
      </c>
      <c r="J1511" s="2" t="s">
        <v>21</v>
      </c>
      <c r="K1511" s="2" t="s">
        <v>80</v>
      </c>
      <c r="L1511" s="2" t="s">
        <v>88</v>
      </c>
      <c r="M1511" s="2">
        <v>1</v>
      </c>
      <c r="N1511" s="2" t="s">
        <v>33</v>
      </c>
      <c r="O1511" s="2" t="s">
        <v>70</v>
      </c>
      <c r="P1511" s="2" t="s">
        <v>49</v>
      </c>
    </row>
    <row r="1512" spans="1:16" x14ac:dyDescent="0.25">
      <c r="A1512" s="2" t="s">
        <v>3624</v>
      </c>
      <c r="B1512" s="2" t="s">
        <v>1389</v>
      </c>
      <c r="C1512" s="2">
        <v>7161</v>
      </c>
      <c r="D1512" s="2" t="s">
        <v>3916</v>
      </c>
      <c r="E1512" s="2" t="s">
        <v>18</v>
      </c>
      <c r="F1512" s="2" t="s">
        <v>58</v>
      </c>
      <c r="G1512" s="2">
        <v>29112.15</v>
      </c>
      <c r="H1512" s="2">
        <v>14891.03</v>
      </c>
      <c r="I1512" s="2" t="s">
        <v>53</v>
      </c>
      <c r="J1512" s="2" t="s">
        <v>54</v>
      </c>
      <c r="K1512" s="2" t="s">
        <v>32</v>
      </c>
      <c r="L1512" s="2" t="s">
        <v>23</v>
      </c>
      <c r="M1512" s="2">
        <v>5</v>
      </c>
      <c r="N1512" s="2" t="s">
        <v>24</v>
      </c>
      <c r="O1512" s="2" t="s">
        <v>25</v>
      </c>
      <c r="P1512" s="2" t="s">
        <v>34</v>
      </c>
    </row>
    <row r="1513" spans="1:16" x14ac:dyDescent="0.25">
      <c r="A1513" s="2" t="s">
        <v>3627</v>
      </c>
      <c r="B1513" s="2" t="s">
        <v>325</v>
      </c>
      <c r="C1513" s="2">
        <v>1043</v>
      </c>
      <c r="D1513" s="2" t="s">
        <v>2145</v>
      </c>
      <c r="E1513" s="2" t="s">
        <v>6703</v>
      </c>
      <c r="F1513" s="2" t="s">
        <v>39</v>
      </c>
      <c r="G1513" s="2">
        <v>17801.37</v>
      </c>
      <c r="H1513" s="2">
        <v>8945.0300000000007</v>
      </c>
      <c r="I1513" s="2" t="s">
        <v>6915</v>
      </c>
      <c r="J1513" s="2" t="s">
        <v>21</v>
      </c>
      <c r="K1513" s="2" t="s">
        <v>22</v>
      </c>
      <c r="L1513" s="2" t="s">
        <v>55</v>
      </c>
      <c r="M1513" s="2">
        <v>2</v>
      </c>
      <c r="N1513" s="2" t="s">
        <v>69</v>
      </c>
      <c r="O1513" s="2" t="s">
        <v>25</v>
      </c>
      <c r="P1513" s="2" t="s">
        <v>49</v>
      </c>
    </row>
    <row r="1514" spans="1:16" x14ac:dyDescent="0.25">
      <c r="A1514" s="2" t="s">
        <v>3629</v>
      </c>
      <c r="B1514" s="2" t="s">
        <v>8460</v>
      </c>
      <c r="C1514" s="2">
        <v>6080</v>
      </c>
      <c r="D1514" s="2" t="s">
        <v>8461</v>
      </c>
      <c r="E1514" s="2" t="s">
        <v>6719</v>
      </c>
      <c r="F1514" s="2" t="s">
        <v>19</v>
      </c>
      <c r="G1514" s="2">
        <v>13058.07</v>
      </c>
      <c r="H1514" s="2">
        <v>6125.57</v>
      </c>
      <c r="I1514" s="2" t="s">
        <v>6695</v>
      </c>
      <c r="J1514" s="2" t="s">
        <v>6724</v>
      </c>
      <c r="K1514" s="2" t="s">
        <v>22</v>
      </c>
      <c r="L1514" s="2" t="s">
        <v>23</v>
      </c>
      <c r="M1514" s="2">
        <v>3</v>
      </c>
      <c r="N1514" s="2" t="s">
        <v>33</v>
      </c>
      <c r="O1514" s="2" t="s">
        <v>70</v>
      </c>
      <c r="P1514" s="2" t="s">
        <v>26</v>
      </c>
    </row>
    <row r="1515" spans="1:16" x14ac:dyDescent="0.25">
      <c r="A1515" s="2" t="s">
        <v>3631</v>
      </c>
      <c r="B1515" s="2" t="s">
        <v>8462</v>
      </c>
      <c r="C1515" s="2">
        <v>9814</v>
      </c>
      <c r="D1515" s="2" t="s">
        <v>8463</v>
      </c>
      <c r="E1515" s="2" t="s">
        <v>6698</v>
      </c>
      <c r="F1515" s="2" t="s">
        <v>47</v>
      </c>
      <c r="G1515" s="2">
        <v>10471.19</v>
      </c>
      <c r="H1515" s="2">
        <v>6164.95</v>
      </c>
      <c r="I1515" s="2" t="s">
        <v>31</v>
      </c>
      <c r="J1515" s="2" t="s">
        <v>6802</v>
      </c>
      <c r="K1515" s="2" t="s">
        <v>80</v>
      </c>
      <c r="L1515" s="2" t="s">
        <v>43</v>
      </c>
      <c r="M1515" s="2">
        <v>5</v>
      </c>
      <c r="N1515" s="2" t="s">
        <v>33</v>
      </c>
      <c r="O1515" s="2" t="s">
        <v>70</v>
      </c>
      <c r="P1515" s="2" t="s">
        <v>49</v>
      </c>
    </row>
    <row r="1516" spans="1:16" x14ac:dyDescent="0.25">
      <c r="A1516" s="2" t="s">
        <v>3634</v>
      </c>
      <c r="B1516" s="2" t="s">
        <v>8464</v>
      </c>
      <c r="C1516" s="2">
        <v>7173</v>
      </c>
      <c r="D1516" s="2" t="s">
        <v>5606</v>
      </c>
      <c r="E1516" s="2" t="s">
        <v>38</v>
      </c>
      <c r="F1516" s="2" t="s">
        <v>47</v>
      </c>
      <c r="G1516" s="2">
        <v>5110.8900000000003</v>
      </c>
      <c r="H1516" s="2">
        <v>2934.5</v>
      </c>
      <c r="I1516" s="2" t="s">
        <v>40</v>
      </c>
      <c r="J1516" s="2" t="s">
        <v>6713</v>
      </c>
      <c r="K1516" s="2" t="s">
        <v>32</v>
      </c>
      <c r="L1516" s="2" t="s">
        <v>43</v>
      </c>
      <c r="M1516" s="2">
        <v>2</v>
      </c>
      <c r="N1516" s="2" t="s">
        <v>69</v>
      </c>
      <c r="O1516" s="2" t="s">
        <v>25</v>
      </c>
      <c r="P1516" s="2" t="s">
        <v>26</v>
      </c>
    </row>
    <row r="1517" spans="1:16" x14ac:dyDescent="0.25">
      <c r="A1517" s="2" t="s">
        <v>3637</v>
      </c>
      <c r="B1517" s="2" t="s">
        <v>4931</v>
      </c>
      <c r="C1517" s="2">
        <v>4097</v>
      </c>
      <c r="D1517" s="2" t="s">
        <v>8465</v>
      </c>
      <c r="E1517" s="2" t="s">
        <v>38</v>
      </c>
      <c r="F1517" s="2" t="s">
        <v>47</v>
      </c>
      <c r="G1517" s="2">
        <v>3680.27</v>
      </c>
      <c r="H1517" s="2">
        <v>2102.69</v>
      </c>
      <c r="I1517" s="2" t="s">
        <v>63</v>
      </c>
      <c r="J1517" s="2" t="s">
        <v>54</v>
      </c>
      <c r="K1517" s="2" t="s">
        <v>32</v>
      </c>
      <c r="L1517" s="2" t="s">
        <v>88</v>
      </c>
      <c r="M1517" s="2">
        <v>2</v>
      </c>
      <c r="N1517" s="2" t="s">
        <v>33</v>
      </c>
      <c r="O1517" s="2" t="s">
        <v>70</v>
      </c>
      <c r="P1517" s="2" t="s">
        <v>34</v>
      </c>
    </row>
    <row r="1518" spans="1:16" x14ac:dyDescent="0.25">
      <c r="A1518" s="2" t="s">
        <v>3640</v>
      </c>
      <c r="B1518" s="2" t="s">
        <v>8466</v>
      </c>
      <c r="C1518" s="2">
        <v>3840</v>
      </c>
      <c r="D1518" s="2" t="s">
        <v>8467</v>
      </c>
      <c r="E1518" s="2" t="s">
        <v>6743</v>
      </c>
      <c r="F1518" s="2" t="s">
        <v>47</v>
      </c>
      <c r="G1518" s="2">
        <v>11172.04</v>
      </c>
      <c r="H1518" s="2">
        <v>5373.17</v>
      </c>
      <c r="I1518" s="2" t="s">
        <v>6915</v>
      </c>
      <c r="J1518" s="2" t="s">
        <v>6696</v>
      </c>
      <c r="K1518" s="2" t="s">
        <v>32</v>
      </c>
      <c r="L1518" s="2" t="s">
        <v>88</v>
      </c>
      <c r="M1518" s="2">
        <v>1</v>
      </c>
      <c r="N1518" s="2" t="s">
        <v>69</v>
      </c>
      <c r="O1518" s="2" t="s">
        <v>25</v>
      </c>
      <c r="P1518" s="2" t="s">
        <v>34</v>
      </c>
    </row>
    <row r="1519" spans="1:16" x14ac:dyDescent="0.25">
      <c r="A1519" s="2" t="s">
        <v>3643</v>
      </c>
      <c r="B1519" s="2" t="s">
        <v>3704</v>
      </c>
      <c r="C1519" s="2">
        <v>1964</v>
      </c>
      <c r="D1519" s="2" t="s">
        <v>7575</v>
      </c>
      <c r="E1519" s="2" t="s">
        <v>6680</v>
      </c>
      <c r="F1519" s="2" t="s">
        <v>47</v>
      </c>
      <c r="G1519" s="2">
        <v>7452.49</v>
      </c>
      <c r="H1519" s="2">
        <v>4024.02</v>
      </c>
      <c r="I1519" s="2" t="s">
        <v>6736</v>
      </c>
      <c r="J1519" s="2" t="s">
        <v>6700</v>
      </c>
      <c r="K1519" s="2" t="s">
        <v>22</v>
      </c>
      <c r="L1519" s="2" t="s">
        <v>48</v>
      </c>
      <c r="M1519" s="2">
        <v>1</v>
      </c>
      <c r="N1519" s="2" t="s">
        <v>69</v>
      </c>
      <c r="O1519" s="2" t="s">
        <v>70</v>
      </c>
      <c r="P1519" s="2" t="s">
        <v>49</v>
      </c>
    </row>
    <row r="1520" spans="1:16" x14ac:dyDescent="0.25">
      <c r="A1520" s="2" t="s">
        <v>3645</v>
      </c>
      <c r="B1520" s="2" t="s">
        <v>2017</v>
      </c>
      <c r="C1520" s="2">
        <v>4889</v>
      </c>
      <c r="D1520" s="2" t="s">
        <v>4252</v>
      </c>
      <c r="E1520" s="2" t="s">
        <v>38</v>
      </c>
      <c r="F1520" s="2" t="s">
        <v>39</v>
      </c>
      <c r="G1520" s="2">
        <v>17742.7</v>
      </c>
      <c r="H1520" s="2">
        <v>11129.45</v>
      </c>
      <c r="I1520" s="2" t="s">
        <v>120</v>
      </c>
      <c r="J1520" s="2" t="s">
        <v>21</v>
      </c>
      <c r="K1520" s="2" t="s">
        <v>22</v>
      </c>
      <c r="L1520" s="2" t="s">
        <v>43</v>
      </c>
      <c r="M1520" s="2">
        <v>2</v>
      </c>
      <c r="N1520" s="2" t="s">
        <v>24</v>
      </c>
      <c r="O1520" s="2" t="s">
        <v>25</v>
      </c>
      <c r="P1520" s="2" t="s">
        <v>34</v>
      </c>
    </row>
    <row r="1521" spans="1:16" x14ac:dyDescent="0.25">
      <c r="A1521" s="2" t="s">
        <v>3647</v>
      </c>
      <c r="B1521" s="2" t="s">
        <v>4254</v>
      </c>
      <c r="C1521" s="2">
        <v>2344</v>
      </c>
      <c r="D1521" s="2" t="s">
        <v>418</v>
      </c>
      <c r="E1521" s="2" t="s">
        <v>18</v>
      </c>
      <c r="F1521" s="2" t="s">
        <v>39</v>
      </c>
      <c r="G1521" s="2">
        <v>4944.42</v>
      </c>
      <c r="H1521" s="2">
        <v>3185.89</v>
      </c>
      <c r="I1521" s="2" t="s">
        <v>40</v>
      </c>
      <c r="J1521" s="2" t="s">
        <v>41</v>
      </c>
      <c r="K1521" s="2" t="s">
        <v>80</v>
      </c>
      <c r="L1521" s="2" t="s">
        <v>48</v>
      </c>
      <c r="M1521" s="2">
        <v>4</v>
      </c>
      <c r="N1521" s="2" t="s">
        <v>24</v>
      </c>
      <c r="O1521" s="2" t="s">
        <v>25</v>
      </c>
      <c r="P1521" s="2" t="s">
        <v>26</v>
      </c>
    </row>
    <row r="1522" spans="1:16" x14ac:dyDescent="0.25">
      <c r="A1522" s="2" t="s">
        <v>3650</v>
      </c>
      <c r="B1522" s="2" t="s">
        <v>4256</v>
      </c>
      <c r="C1522" s="2">
        <v>5096</v>
      </c>
      <c r="D1522" s="2" t="s">
        <v>4257</v>
      </c>
      <c r="E1522" s="2" t="s">
        <v>18</v>
      </c>
      <c r="F1522" s="2" t="s">
        <v>19</v>
      </c>
      <c r="G1522" s="2">
        <v>13024.52</v>
      </c>
      <c r="H1522" s="2">
        <v>6182.73</v>
      </c>
      <c r="I1522" s="2" t="s">
        <v>40</v>
      </c>
      <c r="J1522" s="2" t="s">
        <v>41</v>
      </c>
      <c r="K1522" s="2" t="s">
        <v>32</v>
      </c>
      <c r="L1522" s="2" t="s">
        <v>64</v>
      </c>
      <c r="M1522" s="2">
        <v>5</v>
      </c>
      <c r="N1522" s="2" t="s">
        <v>69</v>
      </c>
      <c r="O1522" s="2" t="s">
        <v>25</v>
      </c>
      <c r="P1522" s="2" t="s">
        <v>26</v>
      </c>
    </row>
    <row r="1523" spans="1:16" x14ac:dyDescent="0.25">
      <c r="A1523" s="2" t="s">
        <v>3653</v>
      </c>
      <c r="B1523" s="2" t="s">
        <v>8468</v>
      </c>
      <c r="C1523" s="2">
        <v>7249</v>
      </c>
      <c r="D1523" s="2" t="s">
        <v>8469</v>
      </c>
      <c r="E1523" s="2" t="s">
        <v>6703</v>
      </c>
      <c r="F1523" s="2" t="s">
        <v>39</v>
      </c>
      <c r="G1523" s="2">
        <v>9206.6</v>
      </c>
      <c r="H1523" s="2">
        <v>4499.3599999999997</v>
      </c>
      <c r="I1523" s="2" t="s">
        <v>6695</v>
      </c>
      <c r="J1523" s="2" t="s">
        <v>6724</v>
      </c>
      <c r="K1523" s="2" t="s">
        <v>42</v>
      </c>
      <c r="L1523" s="2" t="s">
        <v>64</v>
      </c>
      <c r="M1523" s="2">
        <v>5</v>
      </c>
      <c r="N1523" s="2" t="s">
        <v>24</v>
      </c>
      <c r="O1523" s="2" t="s">
        <v>70</v>
      </c>
      <c r="P1523" s="2" t="s">
        <v>49</v>
      </c>
    </row>
    <row r="1524" spans="1:16" x14ac:dyDescent="0.25">
      <c r="A1524" s="2" t="s">
        <v>3655</v>
      </c>
      <c r="B1524" s="2" t="s">
        <v>8470</v>
      </c>
      <c r="C1524" s="2">
        <v>3587</v>
      </c>
      <c r="D1524" s="2" t="s">
        <v>8471</v>
      </c>
      <c r="E1524" s="2" t="s">
        <v>32</v>
      </c>
      <c r="F1524" s="2" t="s">
        <v>30</v>
      </c>
      <c r="G1524" s="2">
        <v>19633.13</v>
      </c>
      <c r="H1524" s="2">
        <v>12605.11</v>
      </c>
      <c r="I1524" s="2" t="s">
        <v>63</v>
      </c>
      <c r="J1524" s="2" t="s">
        <v>6729</v>
      </c>
      <c r="K1524" s="2" t="s">
        <v>80</v>
      </c>
      <c r="L1524" s="2" t="s">
        <v>88</v>
      </c>
      <c r="M1524" s="2">
        <v>5</v>
      </c>
      <c r="N1524" s="2" t="s">
        <v>33</v>
      </c>
      <c r="O1524" s="2" t="s">
        <v>25</v>
      </c>
      <c r="P1524" s="2" t="s">
        <v>26</v>
      </c>
    </row>
    <row r="1525" spans="1:16" x14ac:dyDescent="0.25">
      <c r="A1525" s="2" t="s">
        <v>3657</v>
      </c>
      <c r="B1525" s="2" t="s">
        <v>2586</v>
      </c>
      <c r="C1525" s="2">
        <v>9384</v>
      </c>
      <c r="D1525" s="2" t="s">
        <v>8472</v>
      </c>
      <c r="E1525" s="2" t="s">
        <v>18</v>
      </c>
      <c r="F1525" s="2" t="s">
        <v>39</v>
      </c>
      <c r="G1525" s="2">
        <v>25767.24</v>
      </c>
      <c r="H1525" s="2">
        <v>12354.98</v>
      </c>
      <c r="I1525" s="2" t="s">
        <v>20</v>
      </c>
      <c r="J1525" s="2" t="s">
        <v>21</v>
      </c>
      <c r="K1525" s="2" t="s">
        <v>80</v>
      </c>
      <c r="L1525" s="2" t="s">
        <v>55</v>
      </c>
      <c r="M1525" s="2">
        <v>4</v>
      </c>
      <c r="N1525" s="2" t="s">
        <v>33</v>
      </c>
      <c r="O1525" s="2" t="s">
        <v>25</v>
      </c>
      <c r="P1525" s="2" t="s">
        <v>26</v>
      </c>
    </row>
    <row r="1526" spans="1:16" x14ac:dyDescent="0.25">
      <c r="A1526" s="2" t="s">
        <v>3660</v>
      </c>
      <c r="B1526" s="2" t="s">
        <v>4299</v>
      </c>
      <c r="C1526" s="2">
        <v>5317</v>
      </c>
      <c r="D1526" s="2" t="s">
        <v>8473</v>
      </c>
      <c r="E1526" s="2" t="s">
        <v>38</v>
      </c>
      <c r="F1526" s="2" t="s">
        <v>58</v>
      </c>
      <c r="G1526" s="2">
        <v>40613.360000000001</v>
      </c>
      <c r="H1526" s="2">
        <v>21518.09</v>
      </c>
      <c r="I1526" s="2" t="s">
        <v>59</v>
      </c>
      <c r="J1526" s="2" t="s">
        <v>41</v>
      </c>
      <c r="K1526" s="2" t="s">
        <v>42</v>
      </c>
      <c r="L1526" s="2" t="s">
        <v>55</v>
      </c>
      <c r="M1526" s="2">
        <v>5</v>
      </c>
      <c r="N1526" s="2" t="s">
        <v>33</v>
      </c>
      <c r="O1526" s="2" t="s">
        <v>70</v>
      </c>
      <c r="P1526" s="2" t="s">
        <v>49</v>
      </c>
    </row>
    <row r="1527" spans="1:16" x14ac:dyDescent="0.25">
      <c r="A1527" s="2" t="s">
        <v>3662</v>
      </c>
      <c r="B1527" s="2" t="s">
        <v>2574</v>
      </c>
      <c r="C1527" s="2">
        <v>4346</v>
      </c>
      <c r="D1527" s="2" t="s">
        <v>8099</v>
      </c>
      <c r="E1527" s="2" t="s">
        <v>18</v>
      </c>
      <c r="F1527" s="2" t="s">
        <v>39</v>
      </c>
      <c r="G1527" s="2">
        <v>10094.36</v>
      </c>
      <c r="H1527" s="2">
        <v>5327.66</v>
      </c>
      <c r="I1527" s="2" t="s">
        <v>31</v>
      </c>
      <c r="J1527" s="2" t="s">
        <v>21</v>
      </c>
      <c r="K1527" s="2" t="s">
        <v>42</v>
      </c>
      <c r="L1527" s="2" t="s">
        <v>64</v>
      </c>
      <c r="M1527" s="2">
        <v>2</v>
      </c>
      <c r="N1527" s="2" t="s">
        <v>33</v>
      </c>
      <c r="O1527" s="2" t="s">
        <v>25</v>
      </c>
      <c r="P1527" s="2" t="s">
        <v>49</v>
      </c>
    </row>
    <row r="1528" spans="1:16" x14ac:dyDescent="0.25">
      <c r="A1528" s="2" t="s">
        <v>3665</v>
      </c>
      <c r="B1528" s="2" t="s">
        <v>1085</v>
      </c>
      <c r="C1528" s="2">
        <v>4893</v>
      </c>
      <c r="D1528" s="2" t="s">
        <v>8474</v>
      </c>
      <c r="E1528" s="2" t="s">
        <v>6756</v>
      </c>
      <c r="F1528" s="2" t="s">
        <v>47</v>
      </c>
      <c r="G1528" s="2">
        <v>5075.04</v>
      </c>
      <c r="H1528" s="2">
        <v>2952.66</v>
      </c>
      <c r="I1528" s="2" t="s">
        <v>6771</v>
      </c>
      <c r="J1528" s="2" t="s">
        <v>21</v>
      </c>
      <c r="K1528" s="2" t="s">
        <v>22</v>
      </c>
      <c r="L1528" s="2" t="s">
        <v>64</v>
      </c>
      <c r="M1528" s="2">
        <v>2</v>
      </c>
      <c r="N1528" s="2" t="s">
        <v>69</v>
      </c>
      <c r="O1528" s="2" t="s">
        <v>25</v>
      </c>
      <c r="P1528" s="2" t="s">
        <v>49</v>
      </c>
    </row>
    <row r="1529" spans="1:16" x14ac:dyDescent="0.25">
      <c r="A1529" s="2" t="s">
        <v>3667</v>
      </c>
      <c r="B1529" s="2" t="s">
        <v>1065</v>
      </c>
      <c r="C1529" s="2">
        <v>1252</v>
      </c>
      <c r="D1529" s="2" t="s">
        <v>8475</v>
      </c>
      <c r="E1529" s="2" t="s">
        <v>18</v>
      </c>
      <c r="F1529" s="2" t="s">
        <v>47</v>
      </c>
      <c r="G1529" s="2">
        <v>6646.31</v>
      </c>
      <c r="H1529" s="2">
        <v>3266.41</v>
      </c>
      <c r="I1529" s="2" t="s">
        <v>59</v>
      </c>
      <c r="J1529" s="2" t="s">
        <v>41</v>
      </c>
      <c r="K1529" s="2" t="s">
        <v>22</v>
      </c>
      <c r="L1529" s="2" t="s">
        <v>48</v>
      </c>
      <c r="M1529" s="2">
        <v>3</v>
      </c>
      <c r="N1529" s="2" t="s">
        <v>69</v>
      </c>
      <c r="O1529" s="2" t="s">
        <v>25</v>
      </c>
      <c r="P1529" s="2" t="s">
        <v>34</v>
      </c>
    </row>
    <row r="1530" spans="1:16" x14ac:dyDescent="0.25">
      <c r="A1530" s="2" t="s">
        <v>3670</v>
      </c>
      <c r="B1530" s="2" t="s">
        <v>2945</v>
      </c>
      <c r="C1530" s="2">
        <v>5253</v>
      </c>
      <c r="D1530" s="2" t="s">
        <v>8476</v>
      </c>
      <c r="E1530" s="2" t="s">
        <v>6748</v>
      </c>
      <c r="F1530" s="2" t="s">
        <v>30</v>
      </c>
      <c r="G1530" s="2">
        <v>71048.17</v>
      </c>
      <c r="H1530" s="2">
        <v>42360.01</v>
      </c>
      <c r="I1530" s="2" t="s">
        <v>6771</v>
      </c>
      <c r="J1530" s="2" t="s">
        <v>6724</v>
      </c>
      <c r="K1530" s="2" t="s">
        <v>42</v>
      </c>
      <c r="L1530" s="2" t="s">
        <v>23</v>
      </c>
      <c r="M1530" s="2">
        <v>3</v>
      </c>
      <c r="N1530" s="2" t="s">
        <v>33</v>
      </c>
      <c r="O1530" s="2" t="s">
        <v>25</v>
      </c>
      <c r="P1530" s="2" t="s">
        <v>49</v>
      </c>
    </row>
    <row r="1531" spans="1:16" x14ac:dyDescent="0.25">
      <c r="A1531" s="2" t="s">
        <v>3672</v>
      </c>
      <c r="B1531" s="2" t="s">
        <v>8477</v>
      </c>
      <c r="C1531" s="2">
        <v>7452</v>
      </c>
      <c r="D1531" s="2" t="s">
        <v>7504</v>
      </c>
      <c r="E1531" s="2" t="s">
        <v>6719</v>
      </c>
      <c r="F1531" s="2" t="s">
        <v>47</v>
      </c>
      <c r="G1531" s="2">
        <v>3117.4</v>
      </c>
      <c r="H1531" s="2">
        <v>1749.85</v>
      </c>
      <c r="I1531" s="2" t="s">
        <v>6736</v>
      </c>
      <c r="J1531" s="2" t="s">
        <v>6729</v>
      </c>
      <c r="K1531" s="2" t="s">
        <v>80</v>
      </c>
      <c r="L1531" s="2" t="s">
        <v>48</v>
      </c>
      <c r="M1531" s="2">
        <v>5</v>
      </c>
      <c r="N1531" s="2" t="s">
        <v>24</v>
      </c>
      <c r="O1531" s="2" t="s">
        <v>25</v>
      </c>
      <c r="P1531" s="2" t="s">
        <v>34</v>
      </c>
    </row>
    <row r="1532" spans="1:16" x14ac:dyDescent="0.25">
      <c r="A1532" s="2" t="s">
        <v>3673</v>
      </c>
      <c r="B1532" s="2" t="s">
        <v>1217</v>
      </c>
      <c r="C1532" s="2">
        <v>9610</v>
      </c>
      <c r="D1532" s="2" t="s">
        <v>4280</v>
      </c>
      <c r="E1532" s="2" t="s">
        <v>6694</v>
      </c>
      <c r="F1532" s="2" t="s">
        <v>47</v>
      </c>
      <c r="G1532" s="2">
        <v>15816.6</v>
      </c>
      <c r="H1532" s="2">
        <v>9967.84</v>
      </c>
      <c r="I1532" s="2" t="s">
        <v>6739</v>
      </c>
      <c r="J1532" s="2" t="s">
        <v>6753</v>
      </c>
      <c r="K1532" s="2" t="s">
        <v>22</v>
      </c>
      <c r="L1532" s="2" t="s">
        <v>43</v>
      </c>
      <c r="M1532" s="2">
        <v>2</v>
      </c>
      <c r="N1532" s="2" t="s">
        <v>33</v>
      </c>
      <c r="O1532" s="2" t="s">
        <v>25</v>
      </c>
      <c r="P1532" s="2" t="s">
        <v>26</v>
      </c>
    </row>
    <row r="1533" spans="1:16" x14ac:dyDescent="0.25">
      <c r="A1533" s="2" t="s">
        <v>3675</v>
      </c>
      <c r="B1533" s="2" t="s">
        <v>3093</v>
      </c>
      <c r="C1533" s="2">
        <v>9113</v>
      </c>
      <c r="D1533" s="2" t="s">
        <v>8478</v>
      </c>
      <c r="E1533" s="2" t="s">
        <v>18</v>
      </c>
      <c r="F1533" s="2" t="s">
        <v>19</v>
      </c>
      <c r="G1533" s="2">
        <v>15445.96</v>
      </c>
      <c r="H1533" s="2">
        <v>8183.96</v>
      </c>
      <c r="I1533" s="2" t="s">
        <v>120</v>
      </c>
      <c r="J1533" s="2" t="s">
        <v>21</v>
      </c>
      <c r="K1533" s="2" t="s">
        <v>42</v>
      </c>
      <c r="L1533" s="2" t="s">
        <v>43</v>
      </c>
      <c r="M1533" s="2">
        <v>2</v>
      </c>
      <c r="N1533" s="2" t="s">
        <v>24</v>
      </c>
      <c r="O1533" s="2" t="s">
        <v>25</v>
      </c>
      <c r="P1533" s="2" t="s">
        <v>34</v>
      </c>
    </row>
    <row r="1534" spans="1:16" x14ac:dyDescent="0.25">
      <c r="A1534" s="2" t="s">
        <v>3677</v>
      </c>
      <c r="B1534" s="2" t="s">
        <v>8479</v>
      </c>
      <c r="C1534" s="2">
        <v>4287</v>
      </c>
      <c r="D1534" s="2" t="s">
        <v>8480</v>
      </c>
      <c r="E1534" s="2" t="s">
        <v>18</v>
      </c>
      <c r="F1534" s="2" t="s">
        <v>39</v>
      </c>
      <c r="G1534" s="2">
        <v>21342.22</v>
      </c>
      <c r="H1534" s="2">
        <v>10980.05</v>
      </c>
      <c r="I1534" s="2" t="s">
        <v>59</v>
      </c>
      <c r="J1534" s="2" t="s">
        <v>41</v>
      </c>
      <c r="K1534" s="2" t="s">
        <v>42</v>
      </c>
      <c r="L1534" s="2" t="s">
        <v>48</v>
      </c>
      <c r="M1534" s="2">
        <v>3</v>
      </c>
      <c r="N1534" s="2" t="s">
        <v>24</v>
      </c>
      <c r="O1534" s="2" t="s">
        <v>25</v>
      </c>
      <c r="P1534" s="2" t="s">
        <v>49</v>
      </c>
    </row>
    <row r="1535" spans="1:16" x14ac:dyDescent="0.25">
      <c r="A1535" s="2" t="s">
        <v>3679</v>
      </c>
      <c r="B1535" s="2" t="s">
        <v>547</v>
      </c>
      <c r="C1535" s="2">
        <v>2054</v>
      </c>
      <c r="D1535" s="2" t="s">
        <v>6288</v>
      </c>
      <c r="E1535" s="2" t="s">
        <v>38</v>
      </c>
      <c r="F1535" s="2" t="s">
        <v>19</v>
      </c>
      <c r="G1535" s="2">
        <v>21969.53</v>
      </c>
      <c r="H1535" s="2">
        <v>11581.33</v>
      </c>
      <c r="I1535" s="2" t="s">
        <v>31</v>
      </c>
      <c r="J1535" s="2" t="s">
        <v>21</v>
      </c>
      <c r="K1535" s="2" t="s">
        <v>32</v>
      </c>
      <c r="L1535" s="2" t="s">
        <v>64</v>
      </c>
      <c r="M1535" s="2">
        <v>4</v>
      </c>
      <c r="N1535" s="2" t="s">
        <v>33</v>
      </c>
      <c r="O1535" s="2" t="s">
        <v>25</v>
      </c>
      <c r="P1535" s="2" t="s">
        <v>49</v>
      </c>
    </row>
    <row r="1536" spans="1:16" x14ac:dyDescent="0.25">
      <c r="A1536" s="2" t="s">
        <v>3681</v>
      </c>
      <c r="B1536" s="2" t="s">
        <v>2077</v>
      </c>
      <c r="C1536" s="2">
        <v>7656</v>
      </c>
      <c r="D1536" s="2" t="s">
        <v>8481</v>
      </c>
      <c r="E1536" s="2" t="s">
        <v>6680</v>
      </c>
      <c r="F1536" s="2" t="s">
        <v>30</v>
      </c>
      <c r="G1536" s="2">
        <v>69460.52</v>
      </c>
      <c r="H1536" s="2">
        <v>32256.65</v>
      </c>
      <c r="I1536" s="2" t="s">
        <v>6771</v>
      </c>
      <c r="J1536" s="2" t="s">
        <v>6802</v>
      </c>
      <c r="K1536" s="2" t="s">
        <v>42</v>
      </c>
      <c r="L1536" s="2" t="s">
        <v>48</v>
      </c>
      <c r="M1536" s="2">
        <v>4</v>
      </c>
      <c r="N1536" s="2" t="s">
        <v>33</v>
      </c>
      <c r="O1536" s="2" t="s">
        <v>25</v>
      </c>
      <c r="P1536" s="2" t="s">
        <v>34</v>
      </c>
    </row>
    <row r="1537" spans="1:16" x14ac:dyDescent="0.25">
      <c r="A1537" s="2" t="s">
        <v>3683</v>
      </c>
      <c r="B1537" s="2" t="s">
        <v>781</v>
      </c>
      <c r="C1537" s="2">
        <v>9262</v>
      </c>
      <c r="D1537" s="2" t="s">
        <v>8482</v>
      </c>
      <c r="E1537" s="2" t="s">
        <v>18</v>
      </c>
      <c r="F1537" s="2" t="s">
        <v>47</v>
      </c>
      <c r="G1537" s="2">
        <v>1835.34</v>
      </c>
      <c r="H1537" s="2">
        <v>866.37</v>
      </c>
      <c r="I1537" s="2" t="s">
        <v>68</v>
      </c>
      <c r="J1537" s="2" t="s">
        <v>41</v>
      </c>
      <c r="K1537" s="2" t="s">
        <v>32</v>
      </c>
      <c r="L1537" s="2" t="s">
        <v>55</v>
      </c>
      <c r="M1537" s="2">
        <v>1</v>
      </c>
      <c r="N1537" s="2" t="s">
        <v>24</v>
      </c>
      <c r="O1537" s="2" t="s">
        <v>25</v>
      </c>
      <c r="P1537" s="2" t="s">
        <v>34</v>
      </c>
    </row>
    <row r="1538" spans="1:16" x14ac:dyDescent="0.25">
      <c r="A1538" s="2" t="s">
        <v>3686</v>
      </c>
      <c r="B1538" s="2" t="s">
        <v>2270</v>
      </c>
      <c r="C1538" s="2">
        <v>6002</v>
      </c>
      <c r="D1538" s="2" t="s">
        <v>8483</v>
      </c>
      <c r="E1538" s="2" t="s">
        <v>6694</v>
      </c>
      <c r="F1538" s="2" t="s">
        <v>58</v>
      </c>
      <c r="G1538" s="2">
        <v>35528.239999999998</v>
      </c>
      <c r="H1538" s="2">
        <v>18902.509999999998</v>
      </c>
      <c r="I1538" s="2" t="s">
        <v>6812</v>
      </c>
      <c r="J1538" s="2" t="s">
        <v>54</v>
      </c>
      <c r="K1538" s="2" t="s">
        <v>22</v>
      </c>
      <c r="L1538" s="2" t="s">
        <v>43</v>
      </c>
      <c r="M1538" s="2">
        <v>5</v>
      </c>
      <c r="N1538" s="2" t="s">
        <v>24</v>
      </c>
      <c r="O1538" s="2" t="s">
        <v>25</v>
      </c>
      <c r="P1538" s="2" t="s">
        <v>49</v>
      </c>
    </row>
    <row r="1539" spans="1:16" x14ac:dyDescent="0.25">
      <c r="A1539" s="2" t="s">
        <v>3688</v>
      </c>
      <c r="B1539" s="2" t="s">
        <v>553</v>
      </c>
      <c r="C1539" s="2">
        <v>4590</v>
      </c>
      <c r="D1539" s="2" t="s">
        <v>8484</v>
      </c>
      <c r="E1539" s="2" t="s">
        <v>6719</v>
      </c>
      <c r="F1539" s="2" t="s">
        <v>47</v>
      </c>
      <c r="G1539" s="2">
        <v>13623.92</v>
      </c>
      <c r="H1539" s="2">
        <v>7151.82</v>
      </c>
      <c r="I1539" s="2" t="s">
        <v>6910</v>
      </c>
      <c r="J1539" s="2" t="s">
        <v>6802</v>
      </c>
      <c r="K1539" s="2" t="s">
        <v>80</v>
      </c>
      <c r="L1539" s="2" t="s">
        <v>64</v>
      </c>
      <c r="M1539" s="2">
        <v>4</v>
      </c>
      <c r="N1539" s="2" t="s">
        <v>33</v>
      </c>
      <c r="O1539" s="2" t="s">
        <v>25</v>
      </c>
      <c r="P1539" s="2" t="s">
        <v>34</v>
      </c>
    </row>
    <row r="1540" spans="1:16" x14ac:dyDescent="0.25">
      <c r="A1540" s="2" t="s">
        <v>3690</v>
      </c>
      <c r="B1540" s="2" t="s">
        <v>2870</v>
      </c>
      <c r="C1540" s="2">
        <v>3257</v>
      </c>
      <c r="D1540" s="2" t="s">
        <v>8485</v>
      </c>
      <c r="E1540" s="2" t="s">
        <v>38</v>
      </c>
      <c r="F1540" s="2" t="s">
        <v>30</v>
      </c>
      <c r="G1540" s="2">
        <v>16447.810000000001</v>
      </c>
      <c r="H1540" s="2">
        <v>9471.06</v>
      </c>
      <c r="I1540" s="2" t="s">
        <v>68</v>
      </c>
      <c r="J1540" s="2" t="s">
        <v>41</v>
      </c>
      <c r="K1540" s="2" t="s">
        <v>32</v>
      </c>
      <c r="L1540" s="2" t="s">
        <v>64</v>
      </c>
      <c r="M1540" s="2">
        <v>3</v>
      </c>
      <c r="N1540" s="2" t="s">
        <v>24</v>
      </c>
      <c r="O1540" s="2" t="s">
        <v>25</v>
      </c>
      <c r="P1540" s="2" t="s">
        <v>49</v>
      </c>
    </row>
    <row r="1541" spans="1:16" x14ac:dyDescent="0.25">
      <c r="A1541" s="2" t="s">
        <v>3692</v>
      </c>
      <c r="B1541" s="2" t="s">
        <v>2306</v>
      </c>
      <c r="C1541" s="2">
        <v>9213</v>
      </c>
      <c r="D1541" s="2" t="s">
        <v>8486</v>
      </c>
      <c r="E1541" s="2" t="s">
        <v>38</v>
      </c>
      <c r="F1541" s="2" t="s">
        <v>39</v>
      </c>
      <c r="G1541" s="2">
        <v>39186.85</v>
      </c>
      <c r="H1541" s="2">
        <v>18972.02</v>
      </c>
      <c r="I1541" s="2" t="s">
        <v>120</v>
      </c>
      <c r="J1541" s="2" t="s">
        <v>21</v>
      </c>
      <c r="K1541" s="2" t="s">
        <v>22</v>
      </c>
      <c r="L1541" s="2" t="s">
        <v>88</v>
      </c>
      <c r="M1541" s="2">
        <v>3</v>
      </c>
      <c r="N1541" s="2" t="s">
        <v>24</v>
      </c>
      <c r="O1541" s="2" t="s">
        <v>70</v>
      </c>
      <c r="P1541" s="2" t="s">
        <v>49</v>
      </c>
    </row>
    <row r="1542" spans="1:16" x14ac:dyDescent="0.25">
      <c r="A1542" s="2" t="s">
        <v>3694</v>
      </c>
      <c r="B1542" s="2" t="s">
        <v>420</v>
      </c>
      <c r="C1542" s="2">
        <v>6243</v>
      </c>
      <c r="D1542" s="2" t="s">
        <v>8487</v>
      </c>
      <c r="E1542" s="2" t="s">
        <v>6694</v>
      </c>
      <c r="F1542" s="2" t="s">
        <v>47</v>
      </c>
      <c r="G1542" s="2">
        <v>4991.13</v>
      </c>
      <c r="H1542" s="2">
        <v>2404.44</v>
      </c>
      <c r="I1542" s="2" t="s">
        <v>6720</v>
      </c>
      <c r="J1542" s="2" t="s">
        <v>6700</v>
      </c>
      <c r="K1542" s="2" t="s">
        <v>32</v>
      </c>
      <c r="L1542" s="2" t="s">
        <v>64</v>
      </c>
      <c r="M1542" s="2">
        <v>3</v>
      </c>
      <c r="N1542" s="2" t="s">
        <v>33</v>
      </c>
      <c r="O1542" s="2" t="s">
        <v>70</v>
      </c>
      <c r="P1542" s="2" t="s">
        <v>34</v>
      </c>
    </row>
    <row r="1543" spans="1:16" x14ac:dyDescent="0.25">
      <c r="A1543" s="2" t="s">
        <v>3697</v>
      </c>
      <c r="B1543" s="2" t="s">
        <v>8488</v>
      </c>
      <c r="C1543" s="2">
        <v>6626</v>
      </c>
      <c r="D1543" s="2" t="s">
        <v>8489</v>
      </c>
      <c r="E1543" s="2" t="s">
        <v>6756</v>
      </c>
      <c r="F1543" s="2" t="s">
        <v>30</v>
      </c>
      <c r="G1543" s="2">
        <v>69736.2</v>
      </c>
      <c r="H1543" s="2">
        <v>43846.09</v>
      </c>
      <c r="I1543" s="2" t="s">
        <v>6915</v>
      </c>
      <c r="J1543" s="2" t="s">
        <v>6696</v>
      </c>
      <c r="K1543" s="2" t="s">
        <v>22</v>
      </c>
      <c r="L1543" s="2" t="s">
        <v>43</v>
      </c>
      <c r="M1543" s="2">
        <v>5</v>
      </c>
      <c r="N1543" s="2" t="s">
        <v>33</v>
      </c>
      <c r="O1543" s="2" t="s">
        <v>25</v>
      </c>
      <c r="P1543" s="2" t="s">
        <v>34</v>
      </c>
    </row>
    <row r="1544" spans="1:16" x14ac:dyDescent="0.25">
      <c r="A1544" s="2" t="s">
        <v>3700</v>
      </c>
      <c r="B1544" s="2" t="s">
        <v>1930</v>
      </c>
      <c r="C1544" s="2">
        <v>2643</v>
      </c>
      <c r="D1544" s="2" t="s">
        <v>8490</v>
      </c>
      <c r="E1544" s="2" t="s">
        <v>38</v>
      </c>
      <c r="F1544" s="2" t="s">
        <v>30</v>
      </c>
      <c r="G1544" s="2">
        <v>80568.429999999993</v>
      </c>
      <c r="H1544" s="2">
        <v>46244.87</v>
      </c>
      <c r="I1544" s="2" t="s">
        <v>53</v>
      </c>
      <c r="J1544" s="2" t="s">
        <v>54</v>
      </c>
      <c r="K1544" s="2" t="s">
        <v>32</v>
      </c>
      <c r="L1544" s="2" t="s">
        <v>43</v>
      </c>
      <c r="M1544" s="2">
        <v>2</v>
      </c>
      <c r="N1544" s="2" t="s">
        <v>24</v>
      </c>
      <c r="O1544" s="2" t="s">
        <v>70</v>
      </c>
      <c r="P1544" s="2" t="s">
        <v>49</v>
      </c>
    </row>
    <row r="1545" spans="1:16" x14ac:dyDescent="0.25">
      <c r="A1545" s="2" t="s">
        <v>3701</v>
      </c>
      <c r="B1545" s="2" t="s">
        <v>2942</v>
      </c>
      <c r="C1545" s="2">
        <v>1601</v>
      </c>
      <c r="D1545" s="2" t="s">
        <v>8491</v>
      </c>
      <c r="E1545" s="2" t="s">
        <v>38</v>
      </c>
      <c r="F1545" s="2" t="s">
        <v>30</v>
      </c>
      <c r="G1545" s="2">
        <v>16041.8</v>
      </c>
      <c r="H1545" s="2">
        <v>8265.2000000000007</v>
      </c>
      <c r="I1545" s="2" t="s">
        <v>53</v>
      </c>
      <c r="J1545" s="2" t="s">
        <v>54</v>
      </c>
      <c r="K1545" s="2" t="s">
        <v>42</v>
      </c>
      <c r="L1545" s="2" t="s">
        <v>48</v>
      </c>
      <c r="M1545" s="2">
        <v>2</v>
      </c>
      <c r="N1545" s="2" t="s">
        <v>24</v>
      </c>
      <c r="O1545" s="2" t="s">
        <v>25</v>
      </c>
      <c r="P1545" s="2" t="s">
        <v>34</v>
      </c>
    </row>
    <row r="1546" spans="1:16" x14ac:dyDescent="0.25">
      <c r="A1546" s="2" t="s">
        <v>3703</v>
      </c>
      <c r="B1546" s="2" t="s">
        <v>3483</v>
      </c>
      <c r="C1546" s="2">
        <v>3307</v>
      </c>
      <c r="D1546" s="2" t="s">
        <v>4233</v>
      </c>
      <c r="E1546" s="2" t="s">
        <v>18</v>
      </c>
      <c r="F1546" s="2" t="s">
        <v>39</v>
      </c>
      <c r="G1546" s="2">
        <v>34392.26</v>
      </c>
      <c r="H1546" s="2">
        <v>17303.650000000001</v>
      </c>
      <c r="I1546" s="2" t="s">
        <v>20</v>
      </c>
      <c r="J1546" s="2" t="s">
        <v>21</v>
      </c>
      <c r="K1546" s="2" t="s">
        <v>22</v>
      </c>
      <c r="L1546" s="2" t="s">
        <v>64</v>
      </c>
      <c r="M1546" s="2">
        <v>4</v>
      </c>
      <c r="N1546" s="2" t="s">
        <v>69</v>
      </c>
      <c r="O1546" s="2" t="s">
        <v>70</v>
      </c>
      <c r="P1546" s="2" t="s">
        <v>34</v>
      </c>
    </row>
    <row r="1547" spans="1:16" x14ac:dyDescent="0.25">
      <c r="A1547" s="2" t="s">
        <v>3706</v>
      </c>
      <c r="B1547" s="2" t="s">
        <v>1722</v>
      </c>
      <c r="C1547" s="2">
        <v>1782</v>
      </c>
      <c r="D1547" s="2" t="s">
        <v>8492</v>
      </c>
      <c r="E1547" s="2" t="s">
        <v>18</v>
      </c>
      <c r="F1547" s="2" t="s">
        <v>30</v>
      </c>
      <c r="G1547" s="2">
        <v>28958.01</v>
      </c>
      <c r="H1547" s="2">
        <v>14959.86</v>
      </c>
      <c r="I1547" s="2" t="s">
        <v>53</v>
      </c>
      <c r="J1547" s="2" t="s">
        <v>54</v>
      </c>
      <c r="K1547" s="2" t="s">
        <v>42</v>
      </c>
      <c r="L1547" s="2" t="s">
        <v>64</v>
      </c>
      <c r="M1547" s="2">
        <v>4</v>
      </c>
      <c r="N1547" s="2" t="s">
        <v>69</v>
      </c>
      <c r="O1547" s="2" t="s">
        <v>70</v>
      </c>
      <c r="P1547" s="2" t="s">
        <v>49</v>
      </c>
    </row>
    <row r="1548" spans="1:16" x14ac:dyDescent="0.25">
      <c r="A1548" s="2" t="s">
        <v>3708</v>
      </c>
      <c r="B1548" s="2" t="s">
        <v>8493</v>
      </c>
      <c r="C1548" s="2">
        <v>8925</v>
      </c>
      <c r="D1548" s="2" t="s">
        <v>8494</v>
      </c>
      <c r="E1548" s="2" t="s">
        <v>32</v>
      </c>
      <c r="F1548" s="2" t="s">
        <v>47</v>
      </c>
      <c r="G1548" s="2">
        <v>6433.37</v>
      </c>
      <c r="H1548" s="2">
        <v>4107.82</v>
      </c>
      <c r="I1548" s="2" t="s">
        <v>6720</v>
      </c>
      <c r="J1548" s="2" t="s">
        <v>54</v>
      </c>
      <c r="K1548" s="2" t="s">
        <v>80</v>
      </c>
      <c r="L1548" s="2" t="s">
        <v>43</v>
      </c>
      <c r="M1548" s="2">
        <v>3</v>
      </c>
      <c r="N1548" s="2" t="s">
        <v>33</v>
      </c>
      <c r="O1548" s="2" t="s">
        <v>25</v>
      </c>
      <c r="P1548" s="2" t="s">
        <v>34</v>
      </c>
    </row>
    <row r="1549" spans="1:16" x14ac:dyDescent="0.25">
      <c r="A1549" s="2" t="s">
        <v>3710</v>
      </c>
      <c r="B1549" s="2" t="s">
        <v>2499</v>
      </c>
      <c r="C1549" s="2">
        <v>6145</v>
      </c>
      <c r="D1549" s="2" t="s">
        <v>8495</v>
      </c>
      <c r="E1549" s="2" t="s">
        <v>18</v>
      </c>
      <c r="F1549" s="2" t="s">
        <v>47</v>
      </c>
      <c r="G1549" s="2">
        <v>6566.81</v>
      </c>
      <c r="H1549" s="2">
        <v>3144.93</v>
      </c>
      <c r="I1549" s="2" t="s">
        <v>53</v>
      </c>
      <c r="J1549" s="2" t="s">
        <v>54</v>
      </c>
      <c r="K1549" s="2" t="s">
        <v>42</v>
      </c>
      <c r="L1549" s="2" t="s">
        <v>88</v>
      </c>
      <c r="M1549" s="2">
        <v>3</v>
      </c>
      <c r="N1549" s="2" t="s">
        <v>24</v>
      </c>
      <c r="O1549" s="2" t="s">
        <v>70</v>
      </c>
      <c r="P1549" s="2" t="s">
        <v>49</v>
      </c>
    </row>
    <row r="1550" spans="1:16" x14ac:dyDescent="0.25">
      <c r="A1550" s="2" t="s">
        <v>3712</v>
      </c>
      <c r="B1550" s="2" t="s">
        <v>849</v>
      </c>
      <c r="C1550" s="2">
        <v>9217</v>
      </c>
      <c r="D1550" s="2" t="s">
        <v>8496</v>
      </c>
      <c r="E1550" s="2" t="s">
        <v>6703</v>
      </c>
      <c r="F1550" s="2" t="s">
        <v>30</v>
      </c>
      <c r="G1550" s="2">
        <v>68671.490000000005</v>
      </c>
      <c r="H1550" s="2">
        <v>36429.57</v>
      </c>
      <c r="I1550" s="2" t="s">
        <v>6726</v>
      </c>
      <c r="J1550" s="2" t="s">
        <v>6795</v>
      </c>
      <c r="K1550" s="2" t="s">
        <v>32</v>
      </c>
      <c r="L1550" s="2" t="s">
        <v>43</v>
      </c>
      <c r="M1550" s="2">
        <v>3</v>
      </c>
      <c r="N1550" s="2" t="s">
        <v>24</v>
      </c>
      <c r="O1550" s="2" t="s">
        <v>25</v>
      </c>
      <c r="P1550" s="2" t="s">
        <v>26</v>
      </c>
    </row>
    <row r="1551" spans="1:16" x14ac:dyDescent="0.25">
      <c r="A1551" s="2" t="s">
        <v>3714</v>
      </c>
      <c r="B1551" s="2" t="s">
        <v>1753</v>
      </c>
      <c r="C1551" s="2">
        <v>2667</v>
      </c>
      <c r="D1551" s="2" t="s">
        <v>8497</v>
      </c>
      <c r="E1551" s="2" t="s">
        <v>38</v>
      </c>
      <c r="F1551" s="2" t="s">
        <v>39</v>
      </c>
      <c r="G1551" s="2">
        <v>15161.07</v>
      </c>
      <c r="H1551" s="2">
        <v>8620.2900000000009</v>
      </c>
      <c r="I1551" s="2" t="s">
        <v>31</v>
      </c>
      <c r="J1551" s="2" t="s">
        <v>21</v>
      </c>
      <c r="K1551" s="2" t="s">
        <v>80</v>
      </c>
      <c r="L1551" s="2" t="s">
        <v>48</v>
      </c>
      <c r="M1551" s="2">
        <v>1</v>
      </c>
      <c r="N1551" s="2" t="s">
        <v>33</v>
      </c>
      <c r="O1551" s="2" t="s">
        <v>70</v>
      </c>
      <c r="P1551" s="2" t="s">
        <v>49</v>
      </c>
    </row>
    <row r="1552" spans="1:16" x14ac:dyDescent="0.25">
      <c r="A1552" s="2" t="s">
        <v>3716</v>
      </c>
      <c r="B1552" s="2" t="s">
        <v>2846</v>
      </c>
      <c r="C1552" s="2">
        <v>6232</v>
      </c>
      <c r="D1552" s="2" t="s">
        <v>8498</v>
      </c>
      <c r="E1552" s="2" t="s">
        <v>6680</v>
      </c>
      <c r="F1552" s="2" t="s">
        <v>39</v>
      </c>
      <c r="G1552" s="2">
        <v>39824.9</v>
      </c>
      <c r="H1552" s="2">
        <v>22048.67</v>
      </c>
      <c r="I1552" s="2" t="s">
        <v>6771</v>
      </c>
      <c r="J1552" s="2" t="s">
        <v>21</v>
      </c>
      <c r="K1552" s="2" t="s">
        <v>32</v>
      </c>
      <c r="L1552" s="2" t="s">
        <v>64</v>
      </c>
      <c r="M1552" s="2">
        <v>3</v>
      </c>
      <c r="N1552" s="2" t="s">
        <v>33</v>
      </c>
      <c r="O1552" s="2" t="s">
        <v>70</v>
      </c>
      <c r="P1552" s="2" t="s">
        <v>26</v>
      </c>
    </row>
    <row r="1553" spans="1:16" x14ac:dyDescent="0.25">
      <c r="A1553" s="2" t="s">
        <v>3718</v>
      </c>
      <c r="B1553" s="2" t="s">
        <v>5044</v>
      </c>
      <c r="C1553" s="2">
        <v>2718</v>
      </c>
      <c r="D1553" s="2" t="s">
        <v>5226</v>
      </c>
      <c r="E1553" s="2" t="s">
        <v>38</v>
      </c>
      <c r="F1553" s="2" t="s">
        <v>39</v>
      </c>
      <c r="G1553" s="2">
        <v>43801.55</v>
      </c>
      <c r="H1553" s="2">
        <v>27946.42</v>
      </c>
      <c r="I1553" s="2" t="s">
        <v>53</v>
      </c>
      <c r="J1553" s="2" t="s">
        <v>54</v>
      </c>
      <c r="K1553" s="2" t="s">
        <v>80</v>
      </c>
      <c r="L1553" s="2" t="s">
        <v>43</v>
      </c>
      <c r="M1553" s="2">
        <v>3</v>
      </c>
      <c r="N1553" s="2" t="s">
        <v>24</v>
      </c>
      <c r="O1553" s="2" t="s">
        <v>25</v>
      </c>
      <c r="P1553" s="2" t="s">
        <v>34</v>
      </c>
    </row>
    <row r="1554" spans="1:16" x14ac:dyDescent="0.25">
      <c r="A1554" s="2" t="s">
        <v>3720</v>
      </c>
      <c r="B1554" s="2" t="s">
        <v>905</v>
      </c>
      <c r="C1554" s="2">
        <v>2799</v>
      </c>
      <c r="D1554" s="2" t="s">
        <v>8499</v>
      </c>
      <c r="E1554" s="2" t="s">
        <v>38</v>
      </c>
      <c r="F1554" s="2" t="s">
        <v>39</v>
      </c>
      <c r="G1554" s="2">
        <v>35995.82</v>
      </c>
      <c r="H1554" s="2">
        <v>21817.74</v>
      </c>
      <c r="I1554" s="2" t="s">
        <v>84</v>
      </c>
      <c r="J1554" s="2" t="s">
        <v>54</v>
      </c>
      <c r="K1554" s="2" t="s">
        <v>80</v>
      </c>
      <c r="L1554" s="2" t="s">
        <v>64</v>
      </c>
      <c r="M1554" s="2">
        <v>4</v>
      </c>
      <c r="N1554" s="2" t="s">
        <v>24</v>
      </c>
      <c r="O1554" s="2" t="s">
        <v>25</v>
      </c>
      <c r="P1554" s="2" t="s">
        <v>26</v>
      </c>
    </row>
    <row r="1555" spans="1:16" x14ac:dyDescent="0.25">
      <c r="A1555" s="2" t="s">
        <v>3723</v>
      </c>
      <c r="B1555" s="2" t="s">
        <v>8500</v>
      </c>
      <c r="C1555" s="2">
        <v>7676</v>
      </c>
      <c r="D1555" s="2" t="s">
        <v>8501</v>
      </c>
      <c r="E1555" s="2" t="s">
        <v>6703</v>
      </c>
      <c r="F1555" s="2" t="s">
        <v>39</v>
      </c>
      <c r="G1555" s="2">
        <v>26609.439999999999</v>
      </c>
      <c r="H1555" s="2">
        <v>14392.8</v>
      </c>
      <c r="I1555" s="2" t="s">
        <v>6910</v>
      </c>
      <c r="J1555" s="2" t="s">
        <v>21</v>
      </c>
      <c r="K1555" s="2" t="s">
        <v>32</v>
      </c>
      <c r="L1555" s="2" t="s">
        <v>43</v>
      </c>
      <c r="M1555" s="2">
        <v>5</v>
      </c>
      <c r="N1555" s="2" t="s">
        <v>33</v>
      </c>
      <c r="O1555" s="2" t="s">
        <v>70</v>
      </c>
      <c r="P1555" s="2" t="s">
        <v>26</v>
      </c>
    </row>
    <row r="1556" spans="1:16" x14ac:dyDescent="0.25">
      <c r="A1556" s="2" t="s">
        <v>3725</v>
      </c>
      <c r="B1556" s="2" t="s">
        <v>1451</v>
      </c>
      <c r="C1556" s="2">
        <v>9069</v>
      </c>
      <c r="D1556" s="2" t="s">
        <v>8502</v>
      </c>
      <c r="E1556" s="2" t="s">
        <v>38</v>
      </c>
      <c r="F1556" s="2" t="s">
        <v>58</v>
      </c>
      <c r="G1556" s="2">
        <v>60853.15</v>
      </c>
      <c r="H1556" s="2">
        <v>30143.13</v>
      </c>
      <c r="I1556" s="2" t="s">
        <v>63</v>
      </c>
      <c r="J1556" s="2" t="s">
        <v>54</v>
      </c>
      <c r="K1556" s="2" t="s">
        <v>80</v>
      </c>
      <c r="L1556" s="2" t="s">
        <v>48</v>
      </c>
      <c r="M1556" s="2">
        <v>2</v>
      </c>
      <c r="N1556" s="2" t="s">
        <v>33</v>
      </c>
      <c r="O1556" s="2" t="s">
        <v>70</v>
      </c>
      <c r="P1556" s="2" t="s">
        <v>49</v>
      </c>
    </row>
    <row r="1557" spans="1:16" x14ac:dyDescent="0.25">
      <c r="A1557" s="2" t="s">
        <v>3727</v>
      </c>
      <c r="B1557" s="2" t="s">
        <v>2027</v>
      </c>
      <c r="C1557" s="2">
        <v>1180</v>
      </c>
      <c r="D1557" s="2" t="s">
        <v>8503</v>
      </c>
      <c r="E1557" s="2" t="s">
        <v>6694</v>
      </c>
      <c r="F1557" s="2" t="s">
        <v>47</v>
      </c>
      <c r="G1557" s="2">
        <v>16712.59</v>
      </c>
      <c r="H1557" s="2">
        <v>9772</v>
      </c>
      <c r="I1557" s="2" t="s">
        <v>6808</v>
      </c>
      <c r="J1557" s="2" t="s">
        <v>6700</v>
      </c>
      <c r="K1557" s="2" t="s">
        <v>32</v>
      </c>
      <c r="L1557" s="2" t="s">
        <v>88</v>
      </c>
      <c r="M1557" s="2">
        <v>4</v>
      </c>
      <c r="N1557" s="2" t="s">
        <v>69</v>
      </c>
      <c r="O1557" s="2" t="s">
        <v>25</v>
      </c>
      <c r="P1557" s="2" t="s">
        <v>26</v>
      </c>
    </row>
    <row r="1558" spans="1:16" x14ac:dyDescent="0.25">
      <c r="A1558" s="2" t="s">
        <v>3728</v>
      </c>
      <c r="B1558" s="2" t="s">
        <v>8504</v>
      </c>
      <c r="C1558" s="2">
        <v>5332</v>
      </c>
      <c r="D1558" s="2" t="s">
        <v>8505</v>
      </c>
      <c r="E1558" s="2" t="s">
        <v>18</v>
      </c>
      <c r="F1558" s="2" t="s">
        <v>39</v>
      </c>
      <c r="G1558" s="2">
        <v>17503.78</v>
      </c>
      <c r="H1558" s="2">
        <v>9650.11</v>
      </c>
      <c r="I1558" s="2" t="s">
        <v>6739</v>
      </c>
      <c r="J1558" s="2" t="s">
        <v>6686</v>
      </c>
      <c r="K1558" s="2" t="s">
        <v>80</v>
      </c>
      <c r="L1558" s="2" t="s">
        <v>64</v>
      </c>
      <c r="M1558" s="2">
        <v>5</v>
      </c>
      <c r="N1558" s="2" t="s">
        <v>33</v>
      </c>
      <c r="O1558" s="2" t="s">
        <v>70</v>
      </c>
      <c r="P1558" s="2" t="s">
        <v>49</v>
      </c>
    </row>
    <row r="1559" spans="1:16" x14ac:dyDescent="0.25">
      <c r="A1559" s="2" t="s">
        <v>3730</v>
      </c>
      <c r="B1559" s="2" t="s">
        <v>8506</v>
      </c>
      <c r="C1559" s="2">
        <v>9015</v>
      </c>
      <c r="D1559" s="2" t="s">
        <v>8507</v>
      </c>
      <c r="E1559" s="2" t="s">
        <v>6703</v>
      </c>
      <c r="F1559" s="2" t="s">
        <v>47</v>
      </c>
      <c r="G1559" s="2">
        <v>16295.34</v>
      </c>
      <c r="H1559" s="2">
        <v>9972.7900000000009</v>
      </c>
      <c r="I1559" s="2" t="s">
        <v>6726</v>
      </c>
      <c r="J1559" s="2" t="s">
        <v>6696</v>
      </c>
      <c r="K1559" s="2" t="s">
        <v>42</v>
      </c>
      <c r="L1559" s="2" t="s">
        <v>64</v>
      </c>
      <c r="M1559" s="2">
        <v>3</v>
      </c>
      <c r="N1559" s="2" t="s">
        <v>24</v>
      </c>
      <c r="O1559" s="2" t="s">
        <v>25</v>
      </c>
      <c r="P1559" s="2" t="s">
        <v>49</v>
      </c>
    </row>
    <row r="1560" spans="1:16" x14ac:dyDescent="0.25">
      <c r="A1560" s="2" t="s">
        <v>3732</v>
      </c>
      <c r="B1560" s="2" t="s">
        <v>8508</v>
      </c>
      <c r="C1560" s="2">
        <v>2598</v>
      </c>
      <c r="D1560" s="2" t="s">
        <v>8509</v>
      </c>
      <c r="E1560" s="2" t="s">
        <v>6748</v>
      </c>
      <c r="F1560" s="2" t="s">
        <v>39</v>
      </c>
      <c r="G1560" s="2">
        <v>12269.78</v>
      </c>
      <c r="H1560" s="2">
        <v>6458.93</v>
      </c>
      <c r="I1560" s="2" t="s">
        <v>6726</v>
      </c>
      <c r="J1560" s="2" t="s">
        <v>6724</v>
      </c>
      <c r="K1560" s="2" t="s">
        <v>80</v>
      </c>
      <c r="L1560" s="2" t="s">
        <v>23</v>
      </c>
      <c r="M1560" s="2">
        <v>5</v>
      </c>
      <c r="N1560" s="2" t="s">
        <v>69</v>
      </c>
      <c r="O1560" s="2" t="s">
        <v>70</v>
      </c>
      <c r="P1560" s="2" t="s">
        <v>26</v>
      </c>
    </row>
    <row r="1561" spans="1:16" x14ac:dyDescent="0.25">
      <c r="A1561" s="2" t="s">
        <v>3734</v>
      </c>
      <c r="B1561" s="2" t="s">
        <v>8510</v>
      </c>
      <c r="C1561" s="2">
        <v>5578</v>
      </c>
      <c r="D1561" s="2" t="s">
        <v>8511</v>
      </c>
      <c r="E1561" s="2" t="s">
        <v>6698</v>
      </c>
      <c r="F1561" s="2" t="s">
        <v>30</v>
      </c>
      <c r="G1561" s="2">
        <v>60415.7</v>
      </c>
      <c r="H1561" s="2">
        <v>30330.74</v>
      </c>
      <c r="I1561" s="2" t="s">
        <v>40</v>
      </c>
      <c r="J1561" s="2" t="s">
        <v>41</v>
      </c>
      <c r="K1561" s="2" t="s">
        <v>32</v>
      </c>
      <c r="L1561" s="2" t="s">
        <v>23</v>
      </c>
      <c r="M1561" s="2">
        <v>1</v>
      </c>
      <c r="N1561" s="2" t="s">
        <v>69</v>
      </c>
      <c r="O1561" s="2" t="s">
        <v>25</v>
      </c>
      <c r="P1561" s="2" t="s">
        <v>49</v>
      </c>
    </row>
    <row r="1562" spans="1:16" x14ac:dyDescent="0.25">
      <c r="A1562" s="2" t="s">
        <v>3736</v>
      </c>
      <c r="B1562" s="2" t="s">
        <v>8512</v>
      </c>
      <c r="C1562" s="2">
        <v>4204</v>
      </c>
      <c r="D1562" s="2" t="s">
        <v>8513</v>
      </c>
      <c r="E1562" s="2" t="s">
        <v>6756</v>
      </c>
      <c r="F1562" s="2" t="s">
        <v>58</v>
      </c>
      <c r="G1562" s="2">
        <v>27337.89</v>
      </c>
      <c r="H1562" s="2">
        <v>17105.04</v>
      </c>
      <c r="I1562" s="2" t="s">
        <v>53</v>
      </c>
      <c r="J1562" s="2" t="s">
        <v>6691</v>
      </c>
      <c r="K1562" s="2" t="s">
        <v>80</v>
      </c>
      <c r="L1562" s="2" t="s">
        <v>88</v>
      </c>
      <c r="M1562" s="2">
        <v>4</v>
      </c>
      <c r="N1562" s="2" t="s">
        <v>69</v>
      </c>
      <c r="O1562" s="2" t="s">
        <v>25</v>
      </c>
      <c r="P1562" s="2" t="s">
        <v>49</v>
      </c>
    </row>
    <row r="1563" spans="1:16" x14ac:dyDescent="0.25">
      <c r="A1563" s="2" t="s">
        <v>3738</v>
      </c>
      <c r="B1563" s="2" t="s">
        <v>8514</v>
      </c>
      <c r="C1563" s="2">
        <v>8916</v>
      </c>
      <c r="D1563" s="2" t="s">
        <v>8515</v>
      </c>
      <c r="E1563" s="2" t="s">
        <v>6680</v>
      </c>
      <c r="F1563" s="2" t="s">
        <v>39</v>
      </c>
      <c r="G1563" s="2">
        <v>42883.18</v>
      </c>
      <c r="H1563" s="2">
        <v>25207.1</v>
      </c>
      <c r="I1563" s="2" t="s">
        <v>53</v>
      </c>
      <c r="J1563" s="2" t="s">
        <v>6686</v>
      </c>
      <c r="K1563" s="2" t="s">
        <v>22</v>
      </c>
      <c r="L1563" s="2" t="s">
        <v>48</v>
      </c>
      <c r="M1563" s="2">
        <v>4</v>
      </c>
      <c r="N1563" s="2" t="s">
        <v>33</v>
      </c>
      <c r="O1563" s="2" t="s">
        <v>25</v>
      </c>
      <c r="P1563" s="2" t="s">
        <v>26</v>
      </c>
    </row>
    <row r="1564" spans="1:16" x14ac:dyDescent="0.25">
      <c r="A1564" s="2" t="s">
        <v>3740</v>
      </c>
      <c r="B1564" s="2" t="s">
        <v>8355</v>
      </c>
      <c r="C1564" s="2">
        <v>3651</v>
      </c>
      <c r="D1564" s="2" t="s">
        <v>8516</v>
      </c>
      <c r="E1564" s="2" t="s">
        <v>38</v>
      </c>
      <c r="F1564" s="2" t="s">
        <v>39</v>
      </c>
      <c r="G1564" s="2">
        <v>48139.05</v>
      </c>
      <c r="H1564" s="2">
        <v>27962.45</v>
      </c>
      <c r="I1564" s="2" t="s">
        <v>84</v>
      </c>
      <c r="J1564" s="2" t="s">
        <v>54</v>
      </c>
      <c r="K1564" s="2" t="s">
        <v>80</v>
      </c>
      <c r="L1564" s="2" t="s">
        <v>88</v>
      </c>
      <c r="M1564" s="2">
        <v>5</v>
      </c>
      <c r="N1564" s="2" t="s">
        <v>33</v>
      </c>
      <c r="O1564" s="2" t="s">
        <v>25</v>
      </c>
      <c r="P1564" s="2" t="s">
        <v>49</v>
      </c>
    </row>
    <row r="1565" spans="1:16" x14ac:dyDescent="0.25">
      <c r="A1565" s="2" t="s">
        <v>3742</v>
      </c>
      <c r="B1565" s="2" t="s">
        <v>8517</v>
      </c>
      <c r="C1565" s="2">
        <v>1334</v>
      </c>
      <c r="D1565" s="2" t="s">
        <v>4357</v>
      </c>
      <c r="E1565" s="2" t="s">
        <v>38</v>
      </c>
      <c r="F1565" s="2" t="s">
        <v>19</v>
      </c>
      <c r="G1565" s="2">
        <v>20530.400000000001</v>
      </c>
      <c r="H1565" s="2">
        <v>10265.91</v>
      </c>
      <c r="I1565" s="2" t="s">
        <v>6759</v>
      </c>
      <c r="J1565" s="2" t="s">
        <v>6686</v>
      </c>
      <c r="K1565" s="2" t="s">
        <v>22</v>
      </c>
      <c r="L1565" s="2" t="s">
        <v>43</v>
      </c>
      <c r="M1565" s="2">
        <v>4</v>
      </c>
      <c r="N1565" s="2" t="s">
        <v>24</v>
      </c>
      <c r="O1565" s="2" t="s">
        <v>25</v>
      </c>
      <c r="P1565" s="2" t="s">
        <v>26</v>
      </c>
    </row>
    <row r="1566" spans="1:16" x14ac:dyDescent="0.25">
      <c r="A1566" s="2" t="s">
        <v>3745</v>
      </c>
      <c r="B1566" s="2" t="s">
        <v>1406</v>
      </c>
      <c r="C1566" s="2">
        <v>2635</v>
      </c>
      <c r="D1566" s="2" t="s">
        <v>8518</v>
      </c>
      <c r="E1566" s="2" t="s">
        <v>18</v>
      </c>
      <c r="F1566" s="2" t="s">
        <v>58</v>
      </c>
      <c r="G1566" s="2">
        <v>34039.39</v>
      </c>
      <c r="H1566" s="2">
        <v>19026.86</v>
      </c>
      <c r="I1566" s="2" t="s">
        <v>84</v>
      </c>
      <c r="J1566" s="2" t="s">
        <v>54</v>
      </c>
      <c r="K1566" s="2" t="s">
        <v>80</v>
      </c>
      <c r="L1566" s="2" t="s">
        <v>64</v>
      </c>
      <c r="M1566" s="2">
        <v>1</v>
      </c>
      <c r="N1566" s="2" t="s">
        <v>24</v>
      </c>
      <c r="O1566" s="2" t="s">
        <v>25</v>
      </c>
      <c r="P1566" s="2" t="s">
        <v>34</v>
      </c>
    </row>
    <row r="1567" spans="1:16" x14ac:dyDescent="0.25">
      <c r="A1567" s="2" t="s">
        <v>3747</v>
      </c>
      <c r="B1567" s="2" t="s">
        <v>7726</v>
      </c>
      <c r="C1567" s="2">
        <v>3815</v>
      </c>
      <c r="D1567" s="2" t="s">
        <v>8519</v>
      </c>
      <c r="E1567" s="2" t="s">
        <v>38</v>
      </c>
      <c r="F1567" s="2" t="s">
        <v>19</v>
      </c>
      <c r="G1567" s="2">
        <v>18048.490000000002</v>
      </c>
      <c r="H1567" s="2">
        <v>8629.33</v>
      </c>
      <c r="I1567" s="2" t="s">
        <v>63</v>
      </c>
      <c r="J1567" s="2" t="s">
        <v>54</v>
      </c>
      <c r="K1567" s="2" t="s">
        <v>22</v>
      </c>
      <c r="L1567" s="2" t="s">
        <v>64</v>
      </c>
      <c r="M1567" s="2">
        <v>5</v>
      </c>
      <c r="N1567" s="2" t="s">
        <v>24</v>
      </c>
      <c r="O1567" s="2" t="s">
        <v>70</v>
      </c>
      <c r="P1567" s="2" t="s">
        <v>49</v>
      </c>
    </row>
    <row r="1568" spans="1:16" x14ac:dyDescent="0.25">
      <c r="A1568" s="2" t="s">
        <v>3749</v>
      </c>
      <c r="B1568" s="2" t="s">
        <v>2628</v>
      </c>
      <c r="C1568" s="2">
        <v>4260</v>
      </c>
      <c r="D1568" s="2" t="s">
        <v>8520</v>
      </c>
      <c r="E1568" s="2" t="s">
        <v>6698</v>
      </c>
      <c r="F1568" s="2" t="s">
        <v>30</v>
      </c>
      <c r="G1568" s="2">
        <v>44031.92</v>
      </c>
      <c r="H1568" s="2">
        <v>26472.04</v>
      </c>
      <c r="I1568" s="2" t="s">
        <v>120</v>
      </c>
      <c r="J1568" s="2" t="s">
        <v>6724</v>
      </c>
      <c r="K1568" s="2" t="s">
        <v>42</v>
      </c>
      <c r="L1568" s="2" t="s">
        <v>23</v>
      </c>
      <c r="M1568" s="2">
        <v>5</v>
      </c>
      <c r="N1568" s="2" t="s">
        <v>24</v>
      </c>
      <c r="O1568" s="2" t="s">
        <v>25</v>
      </c>
      <c r="P1568" s="2" t="s">
        <v>34</v>
      </c>
    </row>
    <row r="1569" spans="1:16" x14ac:dyDescent="0.25">
      <c r="A1569" s="2" t="s">
        <v>3751</v>
      </c>
      <c r="B1569" s="2" t="s">
        <v>8521</v>
      </c>
      <c r="C1569" s="2">
        <v>3000</v>
      </c>
      <c r="D1569" s="2" t="s">
        <v>8522</v>
      </c>
      <c r="E1569" s="2" t="s">
        <v>6694</v>
      </c>
      <c r="F1569" s="2" t="s">
        <v>39</v>
      </c>
      <c r="G1569" s="2">
        <v>36628.910000000003</v>
      </c>
      <c r="H1569" s="2">
        <v>21863.1</v>
      </c>
      <c r="I1569" s="2" t="s">
        <v>6759</v>
      </c>
      <c r="J1569" s="2" t="s">
        <v>6691</v>
      </c>
      <c r="K1569" s="2" t="s">
        <v>42</v>
      </c>
      <c r="L1569" s="2" t="s">
        <v>55</v>
      </c>
      <c r="M1569" s="2">
        <v>1</v>
      </c>
      <c r="N1569" s="2" t="s">
        <v>33</v>
      </c>
      <c r="O1569" s="2" t="s">
        <v>25</v>
      </c>
      <c r="P1569" s="2" t="s">
        <v>26</v>
      </c>
    </row>
    <row r="1570" spans="1:16" x14ac:dyDescent="0.25">
      <c r="A1570" s="2" t="s">
        <v>3752</v>
      </c>
      <c r="B1570" s="2" t="s">
        <v>586</v>
      </c>
      <c r="C1570" s="2">
        <v>2637</v>
      </c>
      <c r="D1570" s="2" t="s">
        <v>8523</v>
      </c>
      <c r="E1570" s="2" t="s">
        <v>38</v>
      </c>
      <c r="F1570" s="2" t="s">
        <v>39</v>
      </c>
      <c r="G1570" s="2">
        <v>47069.07</v>
      </c>
      <c r="H1570" s="2">
        <v>21947.8</v>
      </c>
      <c r="I1570" s="2" t="s">
        <v>6910</v>
      </c>
      <c r="J1570" s="2" t="s">
        <v>6696</v>
      </c>
      <c r="K1570" s="2" t="s">
        <v>80</v>
      </c>
      <c r="L1570" s="2" t="s">
        <v>48</v>
      </c>
      <c r="M1570" s="2">
        <v>1</v>
      </c>
      <c r="N1570" s="2" t="s">
        <v>33</v>
      </c>
      <c r="O1570" s="2" t="s">
        <v>25</v>
      </c>
      <c r="P1570" s="2" t="s">
        <v>49</v>
      </c>
    </row>
    <row r="1571" spans="1:16" x14ac:dyDescent="0.25">
      <c r="A1571" s="2" t="s">
        <v>3755</v>
      </c>
      <c r="B1571" s="2" t="s">
        <v>1955</v>
      </c>
      <c r="C1571" s="2">
        <v>2527</v>
      </c>
      <c r="D1571" s="2" t="s">
        <v>8097</v>
      </c>
      <c r="E1571" s="2" t="s">
        <v>38</v>
      </c>
      <c r="F1571" s="2" t="s">
        <v>47</v>
      </c>
      <c r="G1571" s="2">
        <v>7820.63</v>
      </c>
      <c r="H1571" s="2">
        <v>4784.8999999999996</v>
      </c>
      <c r="I1571" s="2" t="s">
        <v>53</v>
      </c>
      <c r="J1571" s="2" t="s">
        <v>54</v>
      </c>
      <c r="K1571" s="2" t="s">
        <v>42</v>
      </c>
      <c r="L1571" s="2" t="s">
        <v>23</v>
      </c>
      <c r="M1571" s="2">
        <v>2</v>
      </c>
      <c r="N1571" s="2" t="s">
        <v>33</v>
      </c>
      <c r="O1571" s="2" t="s">
        <v>25</v>
      </c>
      <c r="P1571" s="2" t="s">
        <v>26</v>
      </c>
    </row>
    <row r="1572" spans="1:16" x14ac:dyDescent="0.25">
      <c r="A1572" s="2" t="s">
        <v>3757</v>
      </c>
      <c r="B1572" s="2" t="s">
        <v>339</v>
      </c>
      <c r="C1572" s="2">
        <v>1153</v>
      </c>
      <c r="D1572" s="2" t="s">
        <v>8524</v>
      </c>
      <c r="E1572" s="2" t="s">
        <v>38</v>
      </c>
      <c r="F1572" s="2" t="s">
        <v>30</v>
      </c>
      <c r="G1572" s="2">
        <v>40533.15</v>
      </c>
      <c r="H1572" s="2">
        <v>20754.3</v>
      </c>
      <c r="I1572" s="2" t="s">
        <v>120</v>
      </c>
      <c r="J1572" s="2" t="s">
        <v>21</v>
      </c>
      <c r="K1572" s="2" t="s">
        <v>80</v>
      </c>
      <c r="L1572" s="2" t="s">
        <v>48</v>
      </c>
      <c r="M1572" s="2">
        <v>2</v>
      </c>
      <c r="N1572" s="2" t="s">
        <v>69</v>
      </c>
      <c r="O1572" s="2" t="s">
        <v>70</v>
      </c>
      <c r="P1572" s="2" t="s">
        <v>34</v>
      </c>
    </row>
    <row r="1573" spans="1:16" x14ac:dyDescent="0.25">
      <c r="A1573" s="2" t="s">
        <v>3759</v>
      </c>
      <c r="B1573" s="2" t="s">
        <v>4012</v>
      </c>
      <c r="C1573" s="2">
        <v>6461</v>
      </c>
      <c r="D1573" s="2" t="s">
        <v>2395</v>
      </c>
      <c r="E1573" s="2" t="s">
        <v>38</v>
      </c>
      <c r="F1573" s="2" t="s">
        <v>58</v>
      </c>
      <c r="G1573" s="2">
        <v>56796.75</v>
      </c>
      <c r="H1573" s="2">
        <v>28557.72</v>
      </c>
      <c r="I1573" s="2" t="s">
        <v>63</v>
      </c>
      <c r="J1573" s="2" t="s">
        <v>54</v>
      </c>
      <c r="K1573" s="2" t="s">
        <v>42</v>
      </c>
      <c r="L1573" s="2" t="s">
        <v>55</v>
      </c>
      <c r="M1573" s="2">
        <v>1</v>
      </c>
      <c r="N1573" s="2" t="s">
        <v>33</v>
      </c>
      <c r="O1573" s="2" t="s">
        <v>25</v>
      </c>
      <c r="P1573" s="2" t="s">
        <v>49</v>
      </c>
    </row>
    <row r="1574" spans="1:16" x14ac:dyDescent="0.25">
      <c r="A1574" s="2" t="s">
        <v>3762</v>
      </c>
      <c r="B1574" s="2" t="s">
        <v>7992</v>
      </c>
      <c r="C1574" s="2">
        <v>9870</v>
      </c>
      <c r="D1574" s="2" t="s">
        <v>8525</v>
      </c>
      <c r="E1574" s="2" t="s">
        <v>18</v>
      </c>
      <c r="F1574" s="2" t="s">
        <v>47</v>
      </c>
      <c r="G1574" s="2">
        <v>14885.34</v>
      </c>
      <c r="H1574" s="2">
        <v>7850.58</v>
      </c>
      <c r="I1574" s="2" t="s">
        <v>31</v>
      </c>
      <c r="J1574" s="2" t="s">
        <v>21</v>
      </c>
      <c r="K1574" s="2" t="s">
        <v>42</v>
      </c>
      <c r="L1574" s="2" t="s">
        <v>88</v>
      </c>
      <c r="M1574" s="2">
        <v>2</v>
      </c>
      <c r="N1574" s="2" t="s">
        <v>24</v>
      </c>
      <c r="O1574" s="2" t="s">
        <v>25</v>
      </c>
      <c r="P1574" s="2" t="s">
        <v>49</v>
      </c>
    </row>
    <row r="1575" spans="1:16" x14ac:dyDescent="0.25">
      <c r="A1575" s="2" t="s">
        <v>3765</v>
      </c>
      <c r="B1575" s="2" t="s">
        <v>679</v>
      </c>
      <c r="C1575" s="2">
        <v>2922</v>
      </c>
      <c r="D1575" s="2" t="s">
        <v>8526</v>
      </c>
      <c r="E1575" s="2" t="s">
        <v>18</v>
      </c>
      <c r="F1575" s="2" t="s">
        <v>19</v>
      </c>
      <c r="G1575" s="2">
        <v>6070.54</v>
      </c>
      <c r="H1575" s="2">
        <v>3319.51</v>
      </c>
      <c r="I1575" s="2" t="s">
        <v>84</v>
      </c>
      <c r="J1575" s="2" t="s">
        <v>54</v>
      </c>
      <c r="K1575" s="2" t="s">
        <v>80</v>
      </c>
      <c r="L1575" s="2" t="s">
        <v>64</v>
      </c>
      <c r="M1575" s="2">
        <v>3</v>
      </c>
      <c r="N1575" s="2" t="s">
        <v>69</v>
      </c>
      <c r="O1575" s="2" t="s">
        <v>25</v>
      </c>
      <c r="P1575" s="2" t="s">
        <v>49</v>
      </c>
    </row>
    <row r="1576" spans="1:16" x14ac:dyDescent="0.25">
      <c r="A1576" s="2" t="s">
        <v>3767</v>
      </c>
      <c r="B1576" s="2" t="s">
        <v>2723</v>
      </c>
      <c r="C1576" s="2">
        <v>3726</v>
      </c>
      <c r="D1576" s="2" t="s">
        <v>8527</v>
      </c>
      <c r="E1576" s="2" t="s">
        <v>38</v>
      </c>
      <c r="F1576" s="2" t="s">
        <v>58</v>
      </c>
      <c r="G1576" s="2">
        <v>45920.28</v>
      </c>
      <c r="H1576" s="2">
        <v>22593.59</v>
      </c>
      <c r="I1576" s="2" t="s">
        <v>53</v>
      </c>
      <c r="J1576" s="2" t="s">
        <v>54</v>
      </c>
      <c r="K1576" s="2" t="s">
        <v>42</v>
      </c>
      <c r="L1576" s="2" t="s">
        <v>88</v>
      </c>
      <c r="M1576" s="2">
        <v>1</v>
      </c>
      <c r="N1576" s="2" t="s">
        <v>24</v>
      </c>
      <c r="O1576" s="2" t="s">
        <v>25</v>
      </c>
      <c r="P1576" s="2" t="s">
        <v>49</v>
      </c>
    </row>
    <row r="1577" spans="1:16" x14ac:dyDescent="0.25">
      <c r="A1577" s="2" t="s">
        <v>3769</v>
      </c>
      <c r="B1577" s="2" t="s">
        <v>741</v>
      </c>
      <c r="C1577" s="2">
        <v>8108</v>
      </c>
      <c r="D1577" s="2" t="s">
        <v>620</v>
      </c>
      <c r="E1577" s="2" t="s">
        <v>38</v>
      </c>
      <c r="F1577" s="2" t="s">
        <v>30</v>
      </c>
      <c r="G1577" s="2">
        <v>48615.18</v>
      </c>
      <c r="H1577" s="2">
        <v>28964.09</v>
      </c>
      <c r="I1577" s="2" t="s">
        <v>59</v>
      </c>
      <c r="J1577" s="2" t="s">
        <v>41</v>
      </c>
      <c r="K1577" s="2" t="s">
        <v>32</v>
      </c>
      <c r="L1577" s="2" t="s">
        <v>48</v>
      </c>
      <c r="M1577" s="2">
        <v>4</v>
      </c>
      <c r="N1577" s="2" t="s">
        <v>33</v>
      </c>
      <c r="O1577" s="2" t="s">
        <v>25</v>
      </c>
      <c r="P1577" s="2" t="s">
        <v>34</v>
      </c>
    </row>
    <row r="1578" spans="1:16" x14ac:dyDescent="0.25">
      <c r="A1578" s="2" t="s">
        <v>3771</v>
      </c>
      <c r="B1578" s="2" t="s">
        <v>8528</v>
      </c>
      <c r="C1578" s="2">
        <v>8193</v>
      </c>
      <c r="D1578" s="2" t="s">
        <v>8529</v>
      </c>
      <c r="E1578" s="2" t="s">
        <v>6719</v>
      </c>
      <c r="F1578" s="2" t="s">
        <v>19</v>
      </c>
      <c r="G1578" s="2">
        <v>10291.620000000001</v>
      </c>
      <c r="H1578" s="2">
        <v>6189.11</v>
      </c>
      <c r="I1578" s="2" t="s">
        <v>6771</v>
      </c>
      <c r="J1578" s="2" t="s">
        <v>21</v>
      </c>
      <c r="K1578" s="2" t="s">
        <v>32</v>
      </c>
      <c r="L1578" s="2" t="s">
        <v>43</v>
      </c>
      <c r="M1578" s="2">
        <v>5</v>
      </c>
      <c r="N1578" s="2" t="s">
        <v>69</v>
      </c>
      <c r="O1578" s="2" t="s">
        <v>25</v>
      </c>
      <c r="P1578" s="2" t="s">
        <v>34</v>
      </c>
    </row>
    <row r="1579" spans="1:16" x14ac:dyDescent="0.25">
      <c r="A1579" s="2" t="s">
        <v>3773</v>
      </c>
      <c r="B1579" s="2" t="s">
        <v>2226</v>
      </c>
      <c r="C1579" s="2">
        <v>3018</v>
      </c>
      <c r="D1579" s="2" t="s">
        <v>1810</v>
      </c>
      <c r="E1579" s="2" t="s">
        <v>18</v>
      </c>
      <c r="F1579" s="2" t="s">
        <v>58</v>
      </c>
      <c r="G1579" s="2">
        <v>28494.25</v>
      </c>
      <c r="H1579" s="2">
        <v>15212.76</v>
      </c>
      <c r="I1579" s="2" t="s">
        <v>20</v>
      </c>
      <c r="J1579" s="2" t="s">
        <v>21</v>
      </c>
      <c r="K1579" s="2" t="s">
        <v>32</v>
      </c>
      <c r="L1579" s="2" t="s">
        <v>48</v>
      </c>
      <c r="M1579" s="2">
        <v>1</v>
      </c>
      <c r="N1579" s="2" t="s">
        <v>33</v>
      </c>
      <c r="O1579" s="2" t="s">
        <v>70</v>
      </c>
      <c r="P1579" s="2" t="s">
        <v>49</v>
      </c>
    </row>
    <row r="1580" spans="1:16" x14ac:dyDescent="0.25">
      <c r="A1580" s="2" t="s">
        <v>3775</v>
      </c>
      <c r="B1580" s="2" t="s">
        <v>1110</v>
      </c>
      <c r="C1580" s="2">
        <v>3344</v>
      </c>
      <c r="D1580" s="2" t="s">
        <v>8530</v>
      </c>
      <c r="E1580" s="2" t="s">
        <v>18</v>
      </c>
      <c r="F1580" s="2" t="s">
        <v>39</v>
      </c>
      <c r="G1580" s="2">
        <v>37748.28</v>
      </c>
      <c r="H1580" s="2">
        <v>24000.91</v>
      </c>
      <c r="I1580" s="2" t="s">
        <v>63</v>
      </c>
      <c r="J1580" s="2" t="s">
        <v>54</v>
      </c>
      <c r="K1580" s="2" t="s">
        <v>42</v>
      </c>
      <c r="L1580" s="2" t="s">
        <v>88</v>
      </c>
      <c r="M1580" s="2">
        <v>4</v>
      </c>
      <c r="N1580" s="2" t="s">
        <v>33</v>
      </c>
      <c r="O1580" s="2" t="s">
        <v>25</v>
      </c>
      <c r="P1580" s="2" t="s">
        <v>49</v>
      </c>
    </row>
    <row r="1581" spans="1:16" x14ac:dyDescent="0.25">
      <c r="A1581" s="2" t="s">
        <v>3777</v>
      </c>
      <c r="B1581" s="2" t="s">
        <v>2517</v>
      </c>
      <c r="C1581" s="2">
        <v>1037</v>
      </c>
      <c r="D1581" s="2" t="s">
        <v>8531</v>
      </c>
      <c r="E1581" s="2" t="s">
        <v>38</v>
      </c>
      <c r="F1581" s="2" t="s">
        <v>30</v>
      </c>
      <c r="G1581" s="2">
        <v>53131.839999999997</v>
      </c>
      <c r="H1581" s="2">
        <v>30862.86</v>
      </c>
      <c r="I1581" s="2" t="s">
        <v>59</v>
      </c>
      <c r="J1581" s="2" t="s">
        <v>41</v>
      </c>
      <c r="K1581" s="2" t="s">
        <v>32</v>
      </c>
      <c r="L1581" s="2" t="s">
        <v>88</v>
      </c>
      <c r="M1581" s="2">
        <v>4</v>
      </c>
      <c r="N1581" s="2" t="s">
        <v>24</v>
      </c>
      <c r="O1581" s="2" t="s">
        <v>25</v>
      </c>
      <c r="P1581" s="2" t="s">
        <v>26</v>
      </c>
    </row>
    <row r="1582" spans="1:16" x14ac:dyDescent="0.25">
      <c r="A1582" s="2" t="s">
        <v>3779</v>
      </c>
      <c r="B1582" s="2" t="s">
        <v>8532</v>
      </c>
      <c r="C1582" s="2">
        <v>7267</v>
      </c>
      <c r="D1582" s="2" t="s">
        <v>8533</v>
      </c>
      <c r="E1582" s="2" t="s">
        <v>6680</v>
      </c>
      <c r="F1582" s="2" t="s">
        <v>39</v>
      </c>
      <c r="G1582" s="2">
        <v>21218.43</v>
      </c>
      <c r="H1582" s="2">
        <v>13307.27</v>
      </c>
      <c r="I1582" s="2" t="s">
        <v>84</v>
      </c>
      <c r="J1582" s="2" t="s">
        <v>6700</v>
      </c>
      <c r="K1582" s="2" t="s">
        <v>42</v>
      </c>
      <c r="L1582" s="2" t="s">
        <v>88</v>
      </c>
      <c r="M1582" s="2">
        <v>5</v>
      </c>
      <c r="N1582" s="2" t="s">
        <v>24</v>
      </c>
      <c r="O1582" s="2" t="s">
        <v>70</v>
      </c>
      <c r="P1582" s="2" t="s">
        <v>26</v>
      </c>
    </row>
    <row r="1583" spans="1:16" x14ac:dyDescent="0.25">
      <c r="A1583" s="2" t="s">
        <v>3781</v>
      </c>
      <c r="B1583" s="2" t="s">
        <v>5172</v>
      </c>
      <c r="C1583" s="2">
        <v>6308</v>
      </c>
      <c r="D1583" s="2" t="s">
        <v>8534</v>
      </c>
      <c r="E1583" s="2" t="s">
        <v>18</v>
      </c>
      <c r="F1583" s="2" t="s">
        <v>47</v>
      </c>
      <c r="G1583" s="2">
        <v>22020.5</v>
      </c>
      <c r="H1583" s="2">
        <v>11715.77</v>
      </c>
      <c r="I1583" s="2" t="s">
        <v>53</v>
      </c>
      <c r="J1583" s="2" t="s">
        <v>54</v>
      </c>
      <c r="K1583" s="2" t="s">
        <v>42</v>
      </c>
      <c r="L1583" s="2" t="s">
        <v>23</v>
      </c>
      <c r="M1583" s="2">
        <v>3</v>
      </c>
      <c r="N1583" s="2" t="s">
        <v>33</v>
      </c>
      <c r="O1583" s="2" t="s">
        <v>25</v>
      </c>
      <c r="P1583" s="2" t="s">
        <v>49</v>
      </c>
    </row>
    <row r="1584" spans="1:16" x14ac:dyDescent="0.25">
      <c r="A1584" s="2" t="s">
        <v>3783</v>
      </c>
      <c r="B1584" s="2" t="s">
        <v>3760</v>
      </c>
      <c r="C1584" s="2">
        <v>1449</v>
      </c>
      <c r="D1584" s="2" t="s">
        <v>8535</v>
      </c>
      <c r="E1584" s="2" t="s">
        <v>6756</v>
      </c>
      <c r="F1584" s="2" t="s">
        <v>30</v>
      </c>
      <c r="G1584" s="2">
        <v>14127.33</v>
      </c>
      <c r="H1584" s="2">
        <v>8397.59</v>
      </c>
      <c r="I1584" s="2" t="s">
        <v>6712</v>
      </c>
      <c r="J1584" s="2" t="s">
        <v>6732</v>
      </c>
      <c r="K1584" s="2" t="s">
        <v>32</v>
      </c>
      <c r="L1584" s="2" t="s">
        <v>23</v>
      </c>
      <c r="M1584" s="2">
        <v>1</v>
      </c>
      <c r="N1584" s="2" t="s">
        <v>33</v>
      </c>
      <c r="O1584" s="2" t="s">
        <v>25</v>
      </c>
      <c r="P1584" s="2" t="s">
        <v>34</v>
      </c>
    </row>
    <row r="1585" spans="1:16" x14ac:dyDescent="0.25">
      <c r="A1585" s="2" t="s">
        <v>3785</v>
      </c>
      <c r="B1585" s="2" t="s">
        <v>92</v>
      </c>
      <c r="C1585" s="2">
        <v>9593</v>
      </c>
      <c r="D1585" s="2" t="s">
        <v>8536</v>
      </c>
      <c r="E1585" s="2" t="s">
        <v>38</v>
      </c>
      <c r="F1585" s="2" t="s">
        <v>19</v>
      </c>
      <c r="G1585" s="2">
        <v>5013.24</v>
      </c>
      <c r="H1585" s="2">
        <v>3143.85</v>
      </c>
      <c r="I1585" s="2" t="s">
        <v>40</v>
      </c>
      <c r="J1585" s="2" t="s">
        <v>41</v>
      </c>
      <c r="K1585" s="2" t="s">
        <v>80</v>
      </c>
      <c r="L1585" s="2" t="s">
        <v>23</v>
      </c>
      <c r="M1585" s="2">
        <v>1</v>
      </c>
      <c r="N1585" s="2" t="s">
        <v>33</v>
      </c>
      <c r="O1585" s="2" t="s">
        <v>25</v>
      </c>
      <c r="P1585" s="2" t="s">
        <v>34</v>
      </c>
    </row>
    <row r="1586" spans="1:16" x14ac:dyDescent="0.25">
      <c r="A1586" s="2" t="s">
        <v>3788</v>
      </c>
      <c r="B1586" s="2" t="s">
        <v>8537</v>
      </c>
      <c r="C1586" s="2">
        <v>7427</v>
      </c>
      <c r="D1586" s="2" t="s">
        <v>8538</v>
      </c>
      <c r="E1586" s="2" t="s">
        <v>6748</v>
      </c>
      <c r="F1586" s="2" t="s">
        <v>30</v>
      </c>
      <c r="G1586" s="2" t="s">
        <v>8539</v>
      </c>
      <c r="H1586" s="2">
        <v>15442.04</v>
      </c>
      <c r="I1586" s="2" t="s">
        <v>6910</v>
      </c>
      <c r="J1586" s="2" t="s">
        <v>6724</v>
      </c>
      <c r="K1586" s="2" t="s">
        <v>32</v>
      </c>
      <c r="L1586" s="2" t="s">
        <v>23</v>
      </c>
      <c r="M1586" s="2">
        <v>2</v>
      </c>
      <c r="N1586" s="2" t="s">
        <v>24</v>
      </c>
      <c r="O1586" s="2" t="s">
        <v>25</v>
      </c>
      <c r="P1586" s="2" t="s">
        <v>34</v>
      </c>
    </row>
    <row r="1587" spans="1:16" x14ac:dyDescent="0.25">
      <c r="A1587" s="2" t="s">
        <v>3790</v>
      </c>
      <c r="B1587" s="2" t="s">
        <v>1981</v>
      </c>
      <c r="C1587" s="2">
        <v>3608</v>
      </c>
      <c r="D1587" s="2" t="s">
        <v>8540</v>
      </c>
      <c r="E1587" s="2" t="s">
        <v>18</v>
      </c>
      <c r="F1587" s="2" t="s">
        <v>58</v>
      </c>
      <c r="G1587" s="2">
        <v>16565.93</v>
      </c>
      <c r="H1587" s="2">
        <v>10394.950000000001</v>
      </c>
      <c r="I1587" s="2" t="s">
        <v>84</v>
      </c>
      <c r="J1587" s="2" t="s">
        <v>54</v>
      </c>
      <c r="K1587" s="2" t="s">
        <v>42</v>
      </c>
      <c r="L1587" s="2" t="s">
        <v>88</v>
      </c>
      <c r="M1587" s="2">
        <v>3</v>
      </c>
      <c r="N1587" s="2" t="s">
        <v>69</v>
      </c>
      <c r="O1587" s="2" t="s">
        <v>25</v>
      </c>
      <c r="P1587" s="2" t="s">
        <v>34</v>
      </c>
    </row>
    <row r="1588" spans="1:16" x14ac:dyDescent="0.25">
      <c r="A1588" s="2" t="s">
        <v>3792</v>
      </c>
      <c r="B1588" s="2" t="s">
        <v>4416</v>
      </c>
      <c r="C1588" s="2">
        <v>7800</v>
      </c>
      <c r="D1588" s="2" t="s">
        <v>4417</v>
      </c>
      <c r="E1588" s="2" t="s">
        <v>6743</v>
      </c>
      <c r="F1588" s="2" t="s">
        <v>47</v>
      </c>
      <c r="G1588" s="2">
        <v>10072.93</v>
      </c>
      <c r="H1588" s="2">
        <v>5176.5600000000004</v>
      </c>
      <c r="I1588" s="2" t="s">
        <v>6867</v>
      </c>
      <c r="J1588" s="2" t="s">
        <v>21</v>
      </c>
      <c r="K1588" s="2" t="s">
        <v>22</v>
      </c>
      <c r="L1588" s="2" t="s">
        <v>55</v>
      </c>
      <c r="M1588" s="2">
        <v>3</v>
      </c>
      <c r="N1588" s="2" t="s">
        <v>33</v>
      </c>
      <c r="O1588" s="2" t="s">
        <v>70</v>
      </c>
      <c r="P1588" s="2" t="s">
        <v>49</v>
      </c>
    </row>
    <row r="1589" spans="1:16" x14ac:dyDescent="0.25">
      <c r="A1589" s="2" t="s">
        <v>3794</v>
      </c>
      <c r="B1589" s="2" t="s">
        <v>8541</v>
      </c>
      <c r="C1589" s="2">
        <v>9894</v>
      </c>
      <c r="D1589" s="2" t="s">
        <v>8542</v>
      </c>
      <c r="E1589" s="2" t="s">
        <v>6756</v>
      </c>
      <c r="F1589" s="2" t="s">
        <v>39</v>
      </c>
      <c r="G1589" s="2">
        <v>18843.740000000002</v>
      </c>
      <c r="H1589" s="2">
        <v>10638.67</v>
      </c>
      <c r="I1589" s="2" t="s">
        <v>84</v>
      </c>
      <c r="J1589" s="2" t="s">
        <v>6753</v>
      </c>
      <c r="K1589" s="2" t="s">
        <v>42</v>
      </c>
      <c r="L1589" s="2" t="s">
        <v>43</v>
      </c>
      <c r="M1589" s="2">
        <v>4</v>
      </c>
      <c r="N1589" s="2" t="s">
        <v>33</v>
      </c>
      <c r="O1589" s="2" t="s">
        <v>25</v>
      </c>
      <c r="P1589" s="2" t="s">
        <v>49</v>
      </c>
    </row>
    <row r="1590" spans="1:16" x14ac:dyDescent="0.25">
      <c r="A1590" s="2" t="s">
        <v>3797</v>
      </c>
      <c r="B1590" s="2" t="s">
        <v>8543</v>
      </c>
      <c r="C1590" s="2">
        <v>4753</v>
      </c>
      <c r="D1590" s="2" t="s">
        <v>8486</v>
      </c>
      <c r="E1590" s="2" t="s">
        <v>18</v>
      </c>
      <c r="F1590" s="2" t="s">
        <v>47</v>
      </c>
      <c r="G1590" s="2">
        <v>9020.0400000000009</v>
      </c>
      <c r="H1590" s="2">
        <v>4195.18</v>
      </c>
      <c r="I1590" s="2" t="s">
        <v>6736</v>
      </c>
      <c r="J1590" s="2" t="s">
        <v>6753</v>
      </c>
      <c r="K1590" s="2" t="s">
        <v>42</v>
      </c>
      <c r="L1590" s="2" t="s">
        <v>43</v>
      </c>
      <c r="M1590" s="2">
        <v>1</v>
      </c>
      <c r="N1590" s="2" t="s">
        <v>24</v>
      </c>
      <c r="O1590" s="2" t="s">
        <v>25</v>
      </c>
      <c r="P1590" s="2" t="s">
        <v>26</v>
      </c>
    </row>
    <row r="1591" spans="1:16" x14ac:dyDescent="0.25">
      <c r="A1591" s="2" t="s">
        <v>3799</v>
      </c>
      <c r="B1591" s="2" t="s">
        <v>3354</v>
      </c>
      <c r="C1591" s="2">
        <v>2206</v>
      </c>
      <c r="D1591" s="2" t="s">
        <v>8544</v>
      </c>
      <c r="E1591" s="2" t="s">
        <v>18</v>
      </c>
      <c r="F1591" s="2" t="s">
        <v>19</v>
      </c>
      <c r="G1591" s="2">
        <v>3127.64</v>
      </c>
      <c r="H1591" s="2">
        <v>1938.13</v>
      </c>
      <c r="I1591" s="2" t="s">
        <v>120</v>
      </c>
      <c r="J1591" s="2" t="s">
        <v>21</v>
      </c>
      <c r="K1591" s="2" t="s">
        <v>32</v>
      </c>
      <c r="L1591" s="2" t="s">
        <v>43</v>
      </c>
      <c r="M1591" s="2">
        <v>3</v>
      </c>
      <c r="N1591" s="2" t="s">
        <v>33</v>
      </c>
      <c r="O1591" s="2" t="s">
        <v>25</v>
      </c>
      <c r="P1591" s="2" t="s">
        <v>26</v>
      </c>
    </row>
    <row r="1592" spans="1:16" x14ac:dyDescent="0.25">
      <c r="A1592" s="2" t="s">
        <v>3801</v>
      </c>
      <c r="B1592" s="2" t="s">
        <v>4428</v>
      </c>
      <c r="C1592" s="2">
        <v>6578</v>
      </c>
      <c r="D1592" s="2" t="s">
        <v>4429</v>
      </c>
      <c r="E1592" s="2" t="s">
        <v>18</v>
      </c>
      <c r="F1592" s="2" t="s">
        <v>47</v>
      </c>
      <c r="G1592" s="2">
        <v>13685.97</v>
      </c>
      <c r="H1592" s="2">
        <v>6441</v>
      </c>
      <c r="I1592" s="2" t="s">
        <v>63</v>
      </c>
      <c r="J1592" s="2" t="s">
        <v>54</v>
      </c>
      <c r="K1592" s="2" t="s">
        <v>42</v>
      </c>
      <c r="L1592" s="2" t="s">
        <v>88</v>
      </c>
      <c r="M1592" s="2">
        <v>1</v>
      </c>
      <c r="N1592" s="2" t="s">
        <v>33</v>
      </c>
      <c r="O1592" s="2" t="s">
        <v>70</v>
      </c>
      <c r="P1592" s="2" t="s">
        <v>49</v>
      </c>
    </row>
    <row r="1593" spans="1:16" x14ac:dyDescent="0.25">
      <c r="A1593" s="2" t="s">
        <v>3803</v>
      </c>
      <c r="B1593" s="2" t="s">
        <v>3420</v>
      </c>
      <c r="C1593" s="2">
        <v>8528</v>
      </c>
      <c r="D1593" s="2" t="s">
        <v>8545</v>
      </c>
      <c r="E1593" s="2" t="s">
        <v>38</v>
      </c>
      <c r="F1593" s="2" t="s">
        <v>58</v>
      </c>
      <c r="G1593" s="2">
        <v>30376.51</v>
      </c>
      <c r="H1593" s="2">
        <v>14341.96</v>
      </c>
      <c r="I1593" s="2" t="s">
        <v>84</v>
      </c>
      <c r="J1593" s="2" t="s">
        <v>54</v>
      </c>
      <c r="K1593" s="2" t="s">
        <v>42</v>
      </c>
      <c r="L1593" s="2" t="s">
        <v>23</v>
      </c>
      <c r="M1593" s="2">
        <v>3</v>
      </c>
      <c r="N1593" s="2" t="s">
        <v>24</v>
      </c>
      <c r="O1593" s="2" t="s">
        <v>25</v>
      </c>
      <c r="P1593" s="2" t="s">
        <v>26</v>
      </c>
    </row>
    <row r="1594" spans="1:16" x14ac:dyDescent="0.25">
      <c r="A1594" s="2" t="s">
        <v>3805</v>
      </c>
      <c r="B1594" s="2" t="s">
        <v>4115</v>
      </c>
      <c r="C1594" s="2">
        <v>2148</v>
      </c>
      <c r="D1594" s="2" t="s">
        <v>8546</v>
      </c>
      <c r="E1594" s="2" t="s">
        <v>18</v>
      </c>
      <c r="F1594" s="2" t="s">
        <v>39</v>
      </c>
      <c r="G1594" s="2">
        <v>15221.26</v>
      </c>
      <c r="H1594" s="2">
        <v>8600.33</v>
      </c>
      <c r="I1594" s="2" t="s">
        <v>63</v>
      </c>
      <c r="J1594" s="2" t="s">
        <v>54</v>
      </c>
      <c r="K1594" s="2" t="s">
        <v>80</v>
      </c>
      <c r="L1594" s="2" t="s">
        <v>48</v>
      </c>
      <c r="M1594" s="2">
        <v>4</v>
      </c>
      <c r="N1594" s="2" t="s">
        <v>33</v>
      </c>
      <c r="O1594" s="2" t="s">
        <v>70</v>
      </c>
      <c r="P1594" s="2" t="s">
        <v>34</v>
      </c>
    </row>
    <row r="1595" spans="1:16" x14ac:dyDescent="0.25">
      <c r="A1595" s="2" t="s">
        <v>3806</v>
      </c>
      <c r="B1595" s="2" t="s">
        <v>1797</v>
      </c>
      <c r="C1595" s="2">
        <v>6008</v>
      </c>
      <c r="D1595" s="2" t="s">
        <v>8547</v>
      </c>
      <c r="E1595" s="2" t="s">
        <v>6743</v>
      </c>
      <c r="F1595" s="2" t="s">
        <v>47</v>
      </c>
      <c r="G1595" s="2">
        <v>10370.81</v>
      </c>
      <c r="H1595" s="2">
        <v>5377.49</v>
      </c>
      <c r="I1595" s="2" t="s">
        <v>6723</v>
      </c>
      <c r="J1595" s="2" t="s">
        <v>6795</v>
      </c>
      <c r="K1595" s="2" t="s">
        <v>42</v>
      </c>
      <c r="L1595" s="2" t="s">
        <v>43</v>
      </c>
      <c r="M1595" s="2">
        <v>4</v>
      </c>
      <c r="N1595" s="2" t="s">
        <v>24</v>
      </c>
      <c r="O1595" s="2" t="s">
        <v>25</v>
      </c>
      <c r="P1595" s="2" t="s">
        <v>34</v>
      </c>
    </row>
    <row r="1596" spans="1:16" x14ac:dyDescent="0.25">
      <c r="A1596" s="2" t="s">
        <v>3808</v>
      </c>
      <c r="B1596" s="2" t="s">
        <v>661</v>
      </c>
      <c r="C1596" s="2">
        <v>3567</v>
      </c>
      <c r="D1596" s="2" t="s">
        <v>8548</v>
      </c>
      <c r="E1596" s="2" t="s">
        <v>18</v>
      </c>
      <c r="F1596" s="2" t="s">
        <v>47</v>
      </c>
      <c r="G1596" s="2">
        <v>11283.98</v>
      </c>
      <c r="H1596" s="2">
        <v>5588.72</v>
      </c>
      <c r="I1596" s="2" t="s">
        <v>68</v>
      </c>
      <c r="J1596" s="2" t="s">
        <v>41</v>
      </c>
      <c r="K1596" s="2" t="s">
        <v>22</v>
      </c>
      <c r="L1596" s="2" t="s">
        <v>48</v>
      </c>
      <c r="M1596" s="2">
        <v>3</v>
      </c>
      <c r="N1596" s="2" t="s">
        <v>33</v>
      </c>
      <c r="O1596" s="2" t="s">
        <v>25</v>
      </c>
      <c r="P1596" s="2" t="s">
        <v>34</v>
      </c>
    </row>
    <row r="1597" spans="1:16" x14ac:dyDescent="0.25">
      <c r="A1597" s="2" t="s">
        <v>3810</v>
      </c>
      <c r="B1597" s="2" t="s">
        <v>8186</v>
      </c>
      <c r="C1597" s="2">
        <v>7864</v>
      </c>
      <c r="D1597" s="2" t="s">
        <v>8549</v>
      </c>
      <c r="E1597" s="2" t="s">
        <v>38</v>
      </c>
      <c r="F1597" s="2" t="s">
        <v>58</v>
      </c>
      <c r="G1597" s="2">
        <v>25868.38</v>
      </c>
      <c r="H1597" s="2">
        <v>14113.18</v>
      </c>
      <c r="I1597" s="2" t="s">
        <v>31</v>
      </c>
      <c r="J1597" s="2" t="s">
        <v>21</v>
      </c>
      <c r="K1597" s="2" t="s">
        <v>32</v>
      </c>
      <c r="L1597" s="2" t="s">
        <v>88</v>
      </c>
      <c r="M1597" s="2">
        <v>2</v>
      </c>
      <c r="N1597" s="2" t="s">
        <v>33</v>
      </c>
      <c r="O1597" s="2" t="s">
        <v>70</v>
      </c>
      <c r="P1597" s="2" t="s">
        <v>49</v>
      </c>
    </row>
    <row r="1598" spans="1:16" x14ac:dyDescent="0.25">
      <c r="A1598" s="2" t="s">
        <v>3812</v>
      </c>
      <c r="B1598" s="2" t="s">
        <v>8550</v>
      </c>
      <c r="C1598" s="2">
        <v>4783</v>
      </c>
      <c r="D1598" s="2" t="s">
        <v>8551</v>
      </c>
      <c r="E1598" s="2" t="s">
        <v>18</v>
      </c>
      <c r="F1598" s="2" t="s">
        <v>30</v>
      </c>
      <c r="G1598" s="2">
        <v>83199.89</v>
      </c>
      <c r="H1598" s="2">
        <v>38846.5</v>
      </c>
      <c r="I1598" s="2" t="s">
        <v>53</v>
      </c>
      <c r="J1598" s="2" t="s">
        <v>6753</v>
      </c>
      <c r="K1598" s="2" t="s">
        <v>42</v>
      </c>
      <c r="L1598" s="2" t="s">
        <v>48</v>
      </c>
      <c r="M1598" s="2">
        <v>1</v>
      </c>
      <c r="N1598" s="2" t="s">
        <v>69</v>
      </c>
      <c r="O1598" s="2" t="s">
        <v>70</v>
      </c>
      <c r="P1598" s="2" t="s">
        <v>26</v>
      </c>
    </row>
    <row r="1599" spans="1:16" x14ac:dyDescent="0.25">
      <c r="A1599" s="2" t="s">
        <v>3814</v>
      </c>
      <c r="B1599" s="2" t="s">
        <v>2490</v>
      </c>
      <c r="C1599" s="2">
        <v>6378</v>
      </c>
      <c r="D1599" s="2" t="s">
        <v>8552</v>
      </c>
      <c r="E1599" s="2" t="s">
        <v>38</v>
      </c>
      <c r="F1599" s="2" t="s">
        <v>39</v>
      </c>
      <c r="G1599" s="2">
        <v>38793.11</v>
      </c>
      <c r="H1599" s="2">
        <v>23570.38</v>
      </c>
      <c r="I1599" s="2" t="s">
        <v>63</v>
      </c>
      <c r="J1599" s="2" t="s">
        <v>54</v>
      </c>
      <c r="K1599" s="2" t="s">
        <v>22</v>
      </c>
      <c r="L1599" s="2" t="s">
        <v>48</v>
      </c>
      <c r="M1599" s="2">
        <v>1</v>
      </c>
      <c r="N1599" s="2" t="s">
        <v>24</v>
      </c>
      <c r="O1599" s="2" t="s">
        <v>25</v>
      </c>
      <c r="P1599" s="2" t="s">
        <v>49</v>
      </c>
    </row>
    <row r="1600" spans="1:16" x14ac:dyDescent="0.25">
      <c r="A1600" s="2" t="s">
        <v>3816</v>
      </c>
      <c r="B1600" s="2" t="s">
        <v>5524</v>
      </c>
      <c r="C1600" s="2">
        <v>6016</v>
      </c>
      <c r="D1600" s="2" t="s">
        <v>8553</v>
      </c>
      <c r="E1600" s="2" t="s">
        <v>32</v>
      </c>
      <c r="F1600" s="2" t="s">
        <v>30</v>
      </c>
      <c r="G1600" s="2">
        <v>35291.65</v>
      </c>
      <c r="H1600" s="2">
        <v>19683.59</v>
      </c>
      <c r="I1600" s="2" t="s">
        <v>53</v>
      </c>
      <c r="J1600" s="2" t="s">
        <v>6700</v>
      </c>
      <c r="K1600" s="2" t="s">
        <v>32</v>
      </c>
      <c r="L1600" s="2" t="s">
        <v>48</v>
      </c>
      <c r="M1600" s="2">
        <v>3</v>
      </c>
      <c r="N1600" s="2" t="s">
        <v>24</v>
      </c>
      <c r="O1600" s="2" t="s">
        <v>70</v>
      </c>
      <c r="P1600" s="2" t="s">
        <v>49</v>
      </c>
    </row>
    <row r="1601" spans="1:16" x14ac:dyDescent="0.25">
      <c r="A1601" s="2" t="s">
        <v>3819</v>
      </c>
      <c r="B1601" s="2" t="s">
        <v>128</v>
      </c>
      <c r="C1601" s="2">
        <v>5934</v>
      </c>
      <c r="D1601" s="2" t="s">
        <v>8554</v>
      </c>
      <c r="E1601" s="2" t="s">
        <v>6748</v>
      </c>
      <c r="F1601" s="2" t="s">
        <v>58</v>
      </c>
      <c r="G1601" s="2">
        <v>-35657.14</v>
      </c>
      <c r="H1601" s="2">
        <v>17730.71</v>
      </c>
      <c r="I1601" s="2" t="s">
        <v>6739</v>
      </c>
      <c r="J1601" s="2" t="s">
        <v>6753</v>
      </c>
      <c r="K1601" s="2" t="s">
        <v>42</v>
      </c>
      <c r="L1601" s="2" t="s">
        <v>55</v>
      </c>
      <c r="M1601" s="2">
        <v>1</v>
      </c>
      <c r="N1601" s="2" t="s">
        <v>24</v>
      </c>
      <c r="O1601" s="2" t="s">
        <v>25</v>
      </c>
      <c r="P1601" s="2" t="s">
        <v>49</v>
      </c>
    </row>
    <row r="1602" spans="1:16" x14ac:dyDescent="0.25">
      <c r="A1602" s="2" t="s">
        <v>3821</v>
      </c>
      <c r="B1602" s="2" t="s">
        <v>1314</v>
      </c>
      <c r="C1602" s="2">
        <v>5086</v>
      </c>
      <c r="D1602" s="2" t="s">
        <v>4993</v>
      </c>
      <c r="E1602" s="2" t="s">
        <v>38</v>
      </c>
      <c r="F1602" s="2" t="s">
        <v>39</v>
      </c>
      <c r="G1602" s="2">
        <v>17847.21</v>
      </c>
      <c r="H1602" s="2">
        <v>10382.290000000001</v>
      </c>
      <c r="I1602" s="2" t="s">
        <v>84</v>
      </c>
      <c r="J1602" s="2" t="s">
        <v>54</v>
      </c>
      <c r="K1602" s="2" t="s">
        <v>22</v>
      </c>
      <c r="L1602" s="2" t="s">
        <v>48</v>
      </c>
      <c r="M1602" s="2">
        <v>3</v>
      </c>
      <c r="N1602" s="2" t="s">
        <v>33</v>
      </c>
      <c r="O1602" s="2" t="s">
        <v>25</v>
      </c>
      <c r="P1602" s="2" t="s">
        <v>34</v>
      </c>
    </row>
    <row r="1603" spans="1:16" x14ac:dyDescent="0.25">
      <c r="A1603" s="2" t="s">
        <v>3824</v>
      </c>
      <c r="B1603" s="2" t="s">
        <v>7175</v>
      </c>
      <c r="C1603" s="2">
        <v>6958</v>
      </c>
      <c r="D1603" s="2" t="s">
        <v>8555</v>
      </c>
      <c r="E1603" s="2" t="s">
        <v>6748</v>
      </c>
      <c r="F1603" s="2" t="s">
        <v>19</v>
      </c>
      <c r="G1603" s="2">
        <v>12913.72</v>
      </c>
      <c r="H1603" s="2">
        <v>6391.35</v>
      </c>
      <c r="I1603" s="2" t="s">
        <v>6867</v>
      </c>
      <c r="J1603" s="2" t="s">
        <v>6795</v>
      </c>
      <c r="K1603" s="2" t="s">
        <v>32</v>
      </c>
      <c r="L1603" s="2" t="s">
        <v>88</v>
      </c>
      <c r="M1603" s="2">
        <v>2</v>
      </c>
      <c r="N1603" s="2" t="s">
        <v>24</v>
      </c>
      <c r="O1603" s="2" t="s">
        <v>25</v>
      </c>
      <c r="P1603" s="2" t="s">
        <v>26</v>
      </c>
    </row>
    <row r="1604" spans="1:16" x14ac:dyDescent="0.25">
      <c r="A1604" s="2" t="s">
        <v>3826</v>
      </c>
      <c r="B1604" s="2" t="s">
        <v>8556</v>
      </c>
      <c r="C1604" s="2">
        <v>4246</v>
      </c>
      <c r="D1604" s="2" t="s">
        <v>8557</v>
      </c>
      <c r="E1604" s="2" t="s">
        <v>6756</v>
      </c>
      <c r="F1604" s="2" t="s">
        <v>30</v>
      </c>
      <c r="G1604" s="2">
        <v>99895.7</v>
      </c>
      <c r="H1604" s="2">
        <v>61455.74</v>
      </c>
      <c r="I1604" s="2" t="s">
        <v>6699</v>
      </c>
      <c r="J1604" s="2" t="s">
        <v>54</v>
      </c>
      <c r="K1604" s="2" t="s">
        <v>22</v>
      </c>
      <c r="L1604" s="2" t="s">
        <v>23</v>
      </c>
      <c r="M1604" s="2">
        <v>2</v>
      </c>
      <c r="N1604" s="2" t="s">
        <v>33</v>
      </c>
      <c r="O1604" s="2" t="s">
        <v>25</v>
      </c>
      <c r="P1604" s="2" t="s">
        <v>34</v>
      </c>
    </row>
    <row r="1605" spans="1:16" x14ac:dyDescent="0.25">
      <c r="A1605" s="2" t="s">
        <v>3828</v>
      </c>
      <c r="B1605" s="2" t="s">
        <v>4457</v>
      </c>
      <c r="C1605" s="2">
        <v>5802</v>
      </c>
      <c r="D1605" s="2" t="s">
        <v>8558</v>
      </c>
      <c r="E1605" s="2" t="s">
        <v>38</v>
      </c>
      <c r="F1605" s="2" t="s">
        <v>30</v>
      </c>
      <c r="G1605" s="2">
        <v>81741.31</v>
      </c>
      <c r="H1605" s="2">
        <v>37137.35</v>
      </c>
      <c r="I1605" s="2" t="s">
        <v>6808</v>
      </c>
      <c r="J1605" s="2" t="s">
        <v>6700</v>
      </c>
      <c r="K1605" s="2" t="s">
        <v>42</v>
      </c>
      <c r="L1605" s="2" t="s">
        <v>23</v>
      </c>
      <c r="M1605" s="2">
        <v>4</v>
      </c>
      <c r="N1605" s="2" t="s">
        <v>33</v>
      </c>
      <c r="O1605" s="2" t="s">
        <v>25</v>
      </c>
      <c r="P1605" s="2" t="s">
        <v>34</v>
      </c>
    </row>
    <row r="1606" spans="1:16" x14ac:dyDescent="0.25">
      <c r="A1606" s="2" t="s">
        <v>3830</v>
      </c>
      <c r="B1606" s="2" t="s">
        <v>8479</v>
      </c>
      <c r="C1606" s="2">
        <v>9754</v>
      </c>
      <c r="D1606" s="2" t="s">
        <v>8559</v>
      </c>
      <c r="E1606" s="2" t="s">
        <v>38</v>
      </c>
      <c r="F1606" s="2" t="s">
        <v>30</v>
      </c>
      <c r="G1606" s="2">
        <v>14356.93</v>
      </c>
      <c r="H1606" s="2">
        <v>8148.3</v>
      </c>
      <c r="I1606" s="2" t="s">
        <v>63</v>
      </c>
      <c r="J1606" s="2" t="s">
        <v>54</v>
      </c>
      <c r="K1606" s="2" t="s">
        <v>42</v>
      </c>
      <c r="L1606" s="2" t="s">
        <v>48</v>
      </c>
      <c r="M1606" s="2">
        <v>1</v>
      </c>
      <c r="N1606" s="2" t="s">
        <v>33</v>
      </c>
      <c r="O1606" s="2" t="s">
        <v>25</v>
      </c>
      <c r="P1606" s="2" t="s">
        <v>49</v>
      </c>
    </row>
    <row r="1607" spans="1:16" x14ac:dyDescent="0.25">
      <c r="A1607" s="2" t="s">
        <v>3832</v>
      </c>
      <c r="B1607" s="2" t="s">
        <v>3532</v>
      </c>
      <c r="C1607" s="2">
        <v>3560</v>
      </c>
      <c r="D1607" s="2" t="s">
        <v>6611</v>
      </c>
      <c r="E1607" s="2" t="s">
        <v>38</v>
      </c>
      <c r="F1607" s="2" t="s">
        <v>39</v>
      </c>
      <c r="G1607" s="2">
        <v>25372.05</v>
      </c>
      <c r="H1607" s="2">
        <v>15760.36</v>
      </c>
      <c r="I1607" s="2" t="s">
        <v>120</v>
      </c>
      <c r="J1607" s="2" t="s">
        <v>21</v>
      </c>
      <c r="K1607" s="2" t="s">
        <v>32</v>
      </c>
      <c r="L1607" s="2" t="s">
        <v>88</v>
      </c>
      <c r="M1607" s="2">
        <v>2</v>
      </c>
      <c r="N1607" s="2" t="s">
        <v>24</v>
      </c>
      <c r="O1607" s="2" t="s">
        <v>70</v>
      </c>
      <c r="P1607" s="2" t="s">
        <v>34</v>
      </c>
    </row>
    <row r="1608" spans="1:16" x14ac:dyDescent="0.25">
      <c r="A1608" s="2" t="s">
        <v>3835</v>
      </c>
      <c r="B1608" s="2" t="s">
        <v>2924</v>
      </c>
      <c r="C1608" s="2">
        <v>6722</v>
      </c>
      <c r="D1608" s="2" t="s">
        <v>8560</v>
      </c>
      <c r="E1608" s="2" t="s">
        <v>18</v>
      </c>
      <c r="F1608" s="2" t="s">
        <v>47</v>
      </c>
      <c r="G1608" s="2">
        <v>17422.990000000002</v>
      </c>
      <c r="H1608" s="2">
        <v>8920.7800000000007</v>
      </c>
      <c r="I1608" s="2" t="s">
        <v>63</v>
      </c>
      <c r="J1608" s="2" t="s">
        <v>54</v>
      </c>
      <c r="K1608" s="2" t="s">
        <v>42</v>
      </c>
      <c r="L1608" s="2" t="s">
        <v>55</v>
      </c>
      <c r="M1608" s="2">
        <v>5</v>
      </c>
      <c r="N1608" s="2" t="s">
        <v>24</v>
      </c>
      <c r="O1608" s="2" t="s">
        <v>25</v>
      </c>
      <c r="P1608" s="2" t="s">
        <v>34</v>
      </c>
    </row>
    <row r="1609" spans="1:16" x14ac:dyDescent="0.25">
      <c r="A1609" s="2" t="s">
        <v>3836</v>
      </c>
      <c r="B1609" s="2" t="s">
        <v>8561</v>
      </c>
      <c r="C1609" s="2">
        <v>4778</v>
      </c>
      <c r="D1609" s="2" t="s">
        <v>8562</v>
      </c>
      <c r="E1609" s="2" t="s">
        <v>18</v>
      </c>
      <c r="F1609" s="2" t="s">
        <v>39</v>
      </c>
      <c r="G1609" s="2">
        <v>36225.14</v>
      </c>
      <c r="H1609" s="2">
        <v>20878.75</v>
      </c>
      <c r="I1609" s="2" t="s">
        <v>6799</v>
      </c>
      <c r="J1609" s="2" t="s">
        <v>6713</v>
      </c>
      <c r="K1609" s="2" t="s">
        <v>32</v>
      </c>
      <c r="L1609" s="2" t="s">
        <v>88</v>
      </c>
      <c r="M1609" s="2">
        <v>4</v>
      </c>
      <c r="N1609" s="2" t="s">
        <v>33</v>
      </c>
      <c r="O1609" s="2" t="s">
        <v>70</v>
      </c>
      <c r="P1609" s="2" t="s">
        <v>34</v>
      </c>
    </row>
    <row r="1610" spans="1:16" x14ac:dyDescent="0.25">
      <c r="A1610" s="2" t="s">
        <v>3838</v>
      </c>
      <c r="B1610" s="2" t="s">
        <v>8563</v>
      </c>
      <c r="C1610" s="2">
        <v>6176</v>
      </c>
      <c r="D1610" s="2" t="s">
        <v>4473</v>
      </c>
      <c r="E1610" s="2" t="s">
        <v>6756</v>
      </c>
      <c r="F1610" s="2" t="s">
        <v>39</v>
      </c>
      <c r="G1610" s="2">
        <v>6848.92</v>
      </c>
      <c r="H1610" s="2">
        <v>4149.22</v>
      </c>
      <c r="I1610" s="2" t="s">
        <v>6712</v>
      </c>
      <c r="J1610" s="2" t="s">
        <v>6793</v>
      </c>
      <c r="K1610" s="2" t="s">
        <v>80</v>
      </c>
      <c r="L1610" s="2" t="s">
        <v>64</v>
      </c>
      <c r="M1610" s="2">
        <v>1</v>
      </c>
      <c r="N1610" s="2" t="s">
        <v>33</v>
      </c>
      <c r="O1610" s="2" t="s">
        <v>25</v>
      </c>
      <c r="P1610" s="2" t="s">
        <v>26</v>
      </c>
    </row>
    <row r="1611" spans="1:16" x14ac:dyDescent="0.25">
      <c r="A1611" s="2" t="s">
        <v>3841</v>
      </c>
      <c r="B1611" s="2" t="s">
        <v>2036</v>
      </c>
      <c r="C1611" s="2">
        <v>6014</v>
      </c>
      <c r="D1611" s="2" t="s">
        <v>8564</v>
      </c>
      <c r="E1611" s="2" t="s">
        <v>32</v>
      </c>
      <c r="F1611" s="2" t="s">
        <v>19</v>
      </c>
      <c r="G1611" s="2">
        <v>11596.02</v>
      </c>
      <c r="H1611" s="2">
        <v>6824.79</v>
      </c>
      <c r="I1611" s="2" t="s">
        <v>40</v>
      </c>
      <c r="J1611" s="2" t="s">
        <v>41</v>
      </c>
      <c r="K1611" s="2" t="s">
        <v>80</v>
      </c>
      <c r="L1611" s="2" t="s">
        <v>55</v>
      </c>
      <c r="M1611" s="2">
        <v>5</v>
      </c>
      <c r="N1611" s="2" t="s">
        <v>33</v>
      </c>
      <c r="O1611" s="2" t="s">
        <v>70</v>
      </c>
      <c r="P1611" s="2" t="s">
        <v>26</v>
      </c>
    </row>
    <row r="1612" spans="1:16" x14ac:dyDescent="0.25">
      <c r="A1612" s="2" t="s">
        <v>3843</v>
      </c>
      <c r="B1612" s="2" t="s">
        <v>8565</v>
      </c>
      <c r="C1612" s="2">
        <v>2608</v>
      </c>
      <c r="D1612" s="2" t="s">
        <v>8566</v>
      </c>
      <c r="E1612" s="2" t="s">
        <v>6756</v>
      </c>
      <c r="F1612" s="2" t="s">
        <v>58</v>
      </c>
      <c r="G1612" s="2">
        <v>11769.75</v>
      </c>
      <c r="H1612" s="2">
        <v>7177.78</v>
      </c>
      <c r="I1612" s="2" t="s">
        <v>6695</v>
      </c>
      <c r="J1612" s="2" t="s">
        <v>21</v>
      </c>
      <c r="K1612" s="2" t="s">
        <v>80</v>
      </c>
      <c r="L1612" s="2" t="s">
        <v>48</v>
      </c>
      <c r="M1612" s="2">
        <v>1</v>
      </c>
      <c r="N1612" s="2" t="s">
        <v>33</v>
      </c>
      <c r="O1612" s="2" t="s">
        <v>25</v>
      </c>
      <c r="P1612" s="2" t="s">
        <v>49</v>
      </c>
    </row>
    <row r="1613" spans="1:16" x14ac:dyDescent="0.25">
      <c r="A1613" s="2" t="s">
        <v>3845</v>
      </c>
      <c r="B1613" s="2" t="s">
        <v>8234</v>
      </c>
      <c r="C1613" s="2">
        <v>6742</v>
      </c>
      <c r="D1613" s="2" t="s">
        <v>8567</v>
      </c>
      <c r="E1613" s="2" t="s">
        <v>18</v>
      </c>
      <c r="F1613" s="2" t="s">
        <v>39</v>
      </c>
      <c r="G1613" s="2">
        <v>28807.67</v>
      </c>
      <c r="H1613" s="2">
        <v>15163.26</v>
      </c>
      <c r="I1613" s="2" t="s">
        <v>31</v>
      </c>
      <c r="J1613" s="2" t="s">
        <v>21</v>
      </c>
      <c r="K1613" s="2" t="s">
        <v>80</v>
      </c>
      <c r="L1613" s="2" t="s">
        <v>43</v>
      </c>
      <c r="M1613" s="2">
        <v>5</v>
      </c>
      <c r="N1613" s="2" t="s">
        <v>24</v>
      </c>
      <c r="O1613" s="2" t="s">
        <v>25</v>
      </c>
      <c r="P1613" s="2" t="s">
        <v>26</v>
      </c>
    </row>
    <row r="1614" spans="1:16" x14ac:dyDescent="0.25">
      <c r="A1614" s="2" t="s">
        <v>3847</v>
      </c>
      <c r="B1614" s="2" t="s">
        <v>8568</v>
      </c>
      <c r="C1614" s="2">
        <v>2839</v>
      </c>
      <c r="D1614" s="2" t="s">
        <v>8569</v>
      </c>
      <c r="E1614" s="2" t="s">
        <v>38</v>
      </c>
      <c r="F1614" s="2" t="s">
        <v>19</v>
      </c>
      <c r="G1614" s="2">
        <v>10187.469999999999</v>
      </c>
      <c r="H1614" s="2">
        <v>5872.62</v>
      </c>
      <c r="I1614" s="2" t="s">
        <v>6736</v>
      </c>
      <c r="J1614" s="2" t="s">
        <v>6729</v>
      </c>
      <c r="K1614" s="2" t="s">
        <v>80</v>
      </c>
      <c r="L1614" s="2" t="s">
        <v>23</v>
      </c>
      <c r="M1614" s="2">
        <v>3</v>
      </c>
      <c r="N1614" s="2" t="s">
        <v>33</v>
      </c>
      <c r="O1614" s="2" t="s">
        <v>25</v>
      </c>
      <c r="P1614" s="2" t="s">
        <v>49</v>
      </c>
    </row>
    <row r="1615" spans="1:16" x14ac:dyDescent="0.25">
      <c r="A1615" s="2" t="s">
        <v>3849</v>
      </c>
      <c r="B1615" s="2" t="s">
        <v>7457</v>
      </c>
      <c r="C1615" s="2">
        <v>7082</v>
      </c>
      <c r="D1615" s="2" t="s">
        <v>8570</v>
      </c>
      <c r="E1615" s="2" t="s">
        <v>6694</v>
      </c>
      <c r="F1615" s="2" t="s">
        <v>30</v>
      </c>
      <c r="G1615" s="2">
        <v>88248.98</v>
      </c>
      <c r="H1615" s="2">
        <v>45830.86</v>
      </c>
      <c r="I1615" s="2" t="s">
        <v>53</v>
      </c>
      <c r="J1615" s="2" t="s">
        <v>6753</v>
      </c>
      <c r="K1615" s="2" t="s">
        <v>42</v>
      </c>
      <c r="L1615" s="2" t="s">
        <v>43</v>
      </c>
      <c r="M1615" s="2">
        <v>5</v>
      </c>
      <c r="N1615" s="2" t="s">
        <v>33</v>
      </c>
      <c r="O1615" s="2" t="s">
        <v>25</v>
      </c>
      <c r="P1615" s="2" t="s">
        <v>26</v>
      </c>
    </row>
    <row r="1616" spans="1:16" x14ac:dyDescent="0.25">
      <c r="A1616" s="2" t="s">
        <v>3851</v>
      </c>
      <c r="B1616" s="2" t="s">
        <v>868</v>
      </c>
      <c r="C1616" s="2">
        <v>6531</v>
      </c>
      <c r="D1616" s="2" t="s">
        <v>7059</v>
      </c>
      <c r="E1616" s="2" t="s">
        <v>38</v>
      </c>
      <c r="F1616" s="2" t="s">
        <v>19</v>
      </c>
      <c r="G1616" s="2">
        <v>19741.95</v>
      </c>
      <c r="H1616" s="2">
        <v>9215.5499999999993</v>
      </c>
      <c r="I1616" s="2" t="s">
        <v>84</v>
      </c>
      <c r="J1616" s="2" t="s">
        <v>54</v>
      </c>
      <c r="K1616" s="2" t="s">
        <v>42</v>
      </c>
      <c r="L1616" s="2" t="s">
        <v>88</v>
      </c>
      <c r="M1616" s="2">
        <v>4</v>
      </c>
      <c r="N1616" s="2" t="s">
        <v>33</v>
      </c>
      <c r="O1616" s="2" t="s">
        <v>70</v>
      </c>
      <c r="P1616" s="2" t="s">
        <v>34</v>
      </c>
    </row>
    <row r="1617" spans="1:16" x14ac:dyDescent="0.25">
      <c r="A1617" s="2" t="s">
        <v>3854</v>
      </c>
      <c r="B1617" s="2" t="s">
        <v>8571</v>
      </c>
      <c r="C1617" s="2">
        <v>8190</v>
      </c>
      <c r="D1617" s="2" t="s">
        <v>8572</v>
      </c>
      <c r="E1617" s="2" t="s">
        <v>6703</v>
      </c>
      <c r="F1617" s="2" t="s">
        <v>39</v>
      </c>
      <c r="G1617" s="2">
        <v>39634.28</v>
      </c>
      <c r="H1617" s="2">
        <v>18997.099999999999</v>
      </c>
      <c r="I1617" s="2" t="s">
        <v>6759</v>
      </c>
      <c r="J1617" s="2" t="s">
        <v>6686</v>
      </c>
      <c r="K1617" s="2" t="s">
        <v>22</v>
      </c>
      <c r="L1617" s="2" t="s">
        <v>23</v>
      </c>
      <c r="M1617" s="2">
        <v>3</v>
      </c>
      <c r="N1617" s="2" t="s">
        <v>24</v>
      </c>
      <c r="O1617" s="2" t="s">
        <v>70</v>
      </c>
      <c r="P1617" s="2" t="s">
        <v>34</v>
      </c>
    </row>
    <row r="1618" spans="1:16" x14ac:dyDescent="0.25">
      <c r="A1618" s="2" t="s">
        <v>3857</v>
      </c>
      <c r="B1618" s="2" t="s">
        <v>8573</v>
      </c>
      <c r="C1618" s="2">
        <v>8881</v>
      </c>
      <c r="D1618" s="2" t="s">
        <v>8574</v>
      </c>
      <c r="E1618" s="2" t="s">
        <v>6743</v>
      </c>
      <c r="F1618" s="2" t="s">
        <v>58</v>
      </c>
      <c r="G1618" s="2">
        <v>25415.34</v>
      </c>
      <c r="H1618" s="2">
        <v>12254.71</v>
      </c>
      <c r="I1618" s="2" t="s">
        <v>6918</v>
      </c>
      <c r="J1618" s="2" t="s">
        <v>6696</v>
      </c>
      <c r="K1618" s="2" t="s">
        <v>80</v>
      </c>
      <c r="L1618" s="2" t="s">
        <v>55</v>
      </c>
      <c r="M1618" s="2">
        <v>3</v>
      </c>
      <c r="N1618" s="2" t="s">
        <v>33</v>
      </c>
      <c r="O1618" s="2" t="s">
        <v>25</v>
      </c>
      <c r="P1618" s="2" t="s">
        <v>26</v>
      </c>
    </row>
    <row r="1619" spans="1:16" x14ac:dyDescent="0.25">
      <c r="A1619" s="2" t="s">
        <v>3859</v>
      </c>
      <c r="B1619" s="2" t="s">
        <v>8575</v>
      </c>
      <c r="C1619" s="2">
        <v>5846</v>
      </c>
      <c r="D1619" s="2" t="s">
        <v>8576</v>
      </c>
      <c r="E1619" s="2" t="s">
        <v>18</v>
      </c>
      <c r="F1619" s="2" t="s">
        <v>39</v>
      </c>
      <c r="G1619" s="2">
        <v>13353.9</v>
      </c>
      <c r="H1619" s="2">
        <v>7997.32</v>
      </c>
      <c r="I1619" s="2" t="s">
        <v>59</v>
      </c>
      <c r="J1619" s="2" t="s">
        <v>41</v>
      </c>
      <c r="K1619" s="2" t="s">
        <v>22</v>
      </c>
      <c r="L1619" s="2" t="s">
        <v>48</v>
      </c>
      <c r="M1619" s="2">
        <v>5</v>
      </c>
      <c r="N1619" s="2" t="s">
        <v>24</v>
      </c>
      <c r="O1619" s="2" t="s">
        <v>25</v>
      </c>
      <c r="P1619" s="2" t="s">
        <v>26</v>
      </c>
    </row>
    <row r="1620" spans="1:16" x14ac:dyDescent="0.25">
      <c r="A1620" s="2" t="s">
        <v>3861</v>
      </c>
      <c r="B1620" s="2" t="s">
        <v>8577</v>
      </c>
      <c r="C1620" s="2">
        <v>6076</v>
      </c>
      <c r="D1620" s="2" t="s">
        <v>8578</v>
      </c>
      <c r="E1620" s="2" t="s">
        <v>6698</v>
      </c>
      <c r="F1620" s="2" t="s">
        <v>30</v>
      </c>
      <c r="G1620" s="2">
        <v>21976.45</v>
      </c>
      <c r="H1620" s="2">
        <v>10832.43</v>
      </c>
      <c r="I1620" s="2" t="s">
        <v>6867</v>
      </c>
      <c r="J1620" s="2" t="s">
        <v>6789</v>
      </c>
      <c r="K1620" s="2" t="s">
        <v>32</v>
      </c>
      <c r="L1620" s="2" t="s">
        <v>88</v>
      </c>
      <c r="M1620" s="2">
        <v>2</v>
      </c>
      <c r="N1620" s="2" t="s">
        <v>24</v>
      </c>
      <c r="O1620" s="2" t="s">
        <v>70</v>
      </c>
      <c r="P1620" s="2" t="s">
        <v>26</v>
      </c>
    </row>
    <row r="1621" spans="1:16" x14ac:dyDescent="0.25">
      <c r="A1621" s="2" t="s">
        <v>3863</v>
      </c>
      <c r="B1621" s="2" t="s">
        <v>8579</v>
      </c>
      <c r="C1621" s="2">
        <v>8170</v>
      </c>
      <c r="D1621" s="2" t="s">
        <v>8580</v>
      </c>
      <c r="E1621" s="2" t="s">
        <v>6719</v>
      </c>
      <c r="F1621" s="2" t="s">
        <v>47</v>
      </c>
      <c r="G1621" s="2">
        <v>8868.09</v>
      </c>
      <c r="H1621" s="2">
        <v>4472.12</v>
      </c>
      <c r="I1621" s="2" t="s">
        <v>6808</v>
      </c>
      <c r="J1621" s="2" t="s">
        <v>6700</v>
      </c>
      <c r="K1621" s="2" t="s">
        <v>80</v>
      </c>
      <c r="L1621" s="2" t="s">
        <v>23</v>
      </c>
      <c r="M1621" s="2">
        <v>5</v>
      </c>
      <c r="N1621" s="2" t="s">
        <v>24</v>
      </c>
      <c r="O1621" s="2" t="s">
        <v>70</v>
      </c>
      <c r="P1621" s="2" t="s">
        <v>34</v>
      </c>
    </row>
    <row r="1622" spans="1:16" x14ac:dyDescent="0.25">
      <c r="A1622" s="2" t="s">
        <v>3865</v>
      </c>
      <c r="B1622" s="2" t="s">
        <v>8581</v>
      </c>
      <c r="C1622" s="2">
        <v>5092</v>
      </c>
      <c r="D1622" s="2" t="s">
        <v>8582</v>
      </c>
      <c r="E1622" s="2" t="s">
        <v>6743</v>
      </c>
      <c r="F1622" s="2" t="s">
        <v>19</v>
      </c>
      <c r="G1622" s="2">
        <v>4841.79</v>
      </c>
      <c r="H1622" s="2">
        <v>3047.07</v>
      </c>
      <c r="I1622" s="2" t="s">
        <v>53</v>
      </c>
      <c r="J1622" s="2" t="s">
        <v>6700</v>
      </c>
      <c r="K1622" s="2" t="s">
        <v>42</v>
      </c>
      <c r="L1622" s="2" t="s">
        <v>55</v>
      </c>
      <c r="M1622" s="2">
        <v>3</v>
      </c>
      <c r="N1622" s="2" t="s">
        <v>33</v>
      </c>
      <c r="O1622" s="2" t="s">
        <v>25</v>
      </c>
      <c r="P1622" s="2" t="s">
        <v>26</v>
      </c>
    </row>
    <row r="1623" spans="1:16" x14ac:dyDescent="0.25">
      <c r="A1623" s="2" t="s">
        <v>3867</v>
      </c>
      <c r="B1623" s="2" t="s">
        <v>8583</v>
      </c>
      <c r="C1623" s="2">
        <v>6518</v>
      </c>
      <c r="D1623" s="2" t="s">
        <v>8584</v>
      </c>
      <c r="E1623" s="2" t="s">
        <v>6756</v>
      </c>
      <c r="F1623" s="2" t="s">
        <v>47</v>
      </c>
      <c r="G1623" s="2">
        <v>7813.43</v>
      </c>
      <c r="H1623" s="2">
        <v>4190.12</v>
      </c>
      <c r="I1623" s="2" t="s">
        <v>84</v>
      </c>
      <c r="J1623" s="2" t="s">
        <v>6691</v>
      </c>
      <c r="K1623" s="2" t="s">
        <v>22</v>
      </c>
      <c r="L1623" s="2" t="s">
        <v>23</v>
      </c>
      <c r="M1623" s="2">
        <v>2</v>
      </c>
      <c r="N1623" s="2" t="s">
        <v>24</v>
      </c>
      <c r="O1623" s="2" t="s">
        <v>25</v>
      </c>
      <c r="P1623" s="2" t="s">
        <v>49</v>
      </c>
    </row>
    <row r="1624" spans="1:16" x14ac:dyDescent="0.25">
      <c r="A1624" s="2" t="s">
        <v>3869</v>
      </c>
      <c r="B1624" s="2" t="s">
        <v>1306</v>
      </c>
      <c r="C1624" s="2">
        <v>6291</v>
      </c>
      <c r="D1624" s="2" t="s">
        <v>8141</v>
      </c>
      <c r="E1624" s="2" t="s">
        <v>38</v>
      </c>
      <c r="F1624" s="2" t="s">
        <v>39</v>
      </c>
      <c r="G1624" s="2">
        <v>16990.62</v>
      </c>
      <c r="H1624" s="2">
        <v>8173.48</v>
      </c>
      <c r="I1624" s="2" t="s">
        <v>20</v>
      </c>
      <c r="J1624" s="2" t="s">
        <v>21</v>
      </c>
      <c r="K1624" s="2" t="s">
        <v>32</v>
      </c>
      <c r="L1624" s="2" t="s">
        <v>23</v>
      </c>
      <c r="M1624" s="2">
        <v>3</v>
      </c>
      <c r="N1624" s="2" t="s">
        <v>24</v>
      </c>
      <c r="O1624" s="2" t="s">
        <v>25</v>
      </c>
      <c r="P1624" s="2" t="s">
        <v>49</v>
      </c>
    </row>
    <row r="1625" spans="1:16" x14ac:dyDescent="0.25">
      <c r="A1625" s="2" t="s">
        <v>3871</v>
      </c>
      <c r="B1625" s="2" t="s">
        <v>8585</v>
      </c>
      <c r="C1625" s="2">
        <v>2258</v>
      </c>
      <c r="D1625" s="2" t="s">
        <v>8586</v>
      </c>
      <c r="E1625" s="2" t="s">
        <v>38</v>
      </c>
      <c r="F1625" s="2" t="s">
        <v>58</v>
      </c>
      <c r="G1625" s="2">
        <v>32368.02</v>
      </c>
      <c r="H1625" s="2">
        <v>16031</v>
      </c>
      <c r="I1625" s="2" t="s">
        <v>6739</v>
      </c>
      <c r="J1625" s="2" t="s">
        <v>54</v>
      </c>
      <c r="K1625" s="2" t="s">
        <v>22</v>
      </c>
      <c r="L1625" s="2" t="s">
        <v>55</v>
      </c>
      <c r="M1625" s="2">
        <v>5</v>
      </c>
      <c r="N1625" s="2" t="s">
        <v>33</v>
      </c>
      <c r="O1625" s="2" t="s">
        <v>25</v>
      </c>
      <c r="P1625" s="2" t="s">
        <v>49</v>
      </c>
    </row>
    <row r="1626" spans="1:16" x14ac:dyDescent="0.25">
      <c r="A1626" s="2" t="s">
        <v>3873</v>
      </c>
      <c r="B1626" s="2" t="s">
        <v>8587</v>
      </c>
      <c r="C1626" s="2">
        <v>1401</v>
      </c>
      <c r="D1626" s="2" t="s">
        <v>8588</v>
      </c>
      <c r="E1626" s="2" t="s">
        <v>38</v>
      </c>
      <c r="F1626" s="2" t="s">
        <v>19</v>
      </c>
      <c r="G1626" s="2">
        <v>10085.9</v>
      </c>
      <c r="H1626" s="2">
        <v>6117.12</v>
      </c>
      <c r="I1626" s="2" t="s">
        <v>20</v>
      </c>
      <c r="J1626" s="2" t="s">
        <v>21</v>
      </c>
      <c r="K1626" s="2" t="s">
        <v>22</v>
      </c>
      <c r="L1626" s="2" t="s">
        <v>43</v>
      </c>
      <c r="M1626" s="2">
        <v>5</v>
      </c>
      <c r="N1626" s="2" t="s">
        <v>69</v>
      </c>
      <c r="O1626" s="2" t="s">
        <v>25</v>
      </c>
      <c r="P1626" s="2" t="s">
        <v>26</v>
      </c>
    </row>
    <row r="1627" spans="1:16" x14ac:dyDescent="0.25">
      <c r="A1627" s="2" t="s">
        <v>3876</v>
      </c>
      <c r="B1627" s="2" t="s">
        <v>8589</v>
      </c>
      <c r="C1627" s="2">
        <v>3343</v>
      </c>
      <c r="D1627" s="2" t="s">
        <v>8590</v>
      </c>
      <c r="E1627" s="2" t="s">
        <v>6680</v>
      </c>
      <c r="F1627" s="2" t="s">
        <v>58</v>
      </c>
      <c r="G1627" s="2">
        <v>26154.3</v>
      </c>
      <c r="H1627" s="2">
        <v>13909.94</v>
      </c>
      <c r="I1627" s="2" t="s">
        <v>40</v>
      </c>
      <c r="J1627" s="2" t="s">
        <v>41</v>
      </c>
      <c r="K1627" s="2" t="s">
        <v>32</v>
      </c>
      <c r="L1627" s="2" t="s">
        <v>88</v>
      </c>
      <c r="M1627" s="2">
        <v>1</v>
      </c>
      <c r="N1627" s="2" t="s">
        <v>69</v>
      </c>
      <c r="O1627" s="2" t="s">
        <v>25</v>
      </c>
      <c r="P1627" s="2" t="s">
        <v>26</v>
      </c>
    </row>
    <row r="1628" spans="1:16" x14ac:dyDescent="0.25">
      <c r="A1628" s="2" t="s">
        <v>3878</v>
      </c>
      <c r="B1628" s="2" t="s">
        <v>8591</v>
      </c>
      <c r="C1628" s="2">
        <v>4792</v>
      </c>
      <c r="D1628" s="2" t="s">
        <v>8592</v>
      </c>
      <c r="E1628" s="2" t="s">
        <v>18</v>
      </c>
      <c r="F1628" s="2" t="s">
        <v>19</v>
      </c>
      <c r="G1628" s="2">
        <v>6049.13</v>
      </c>
      <c r="H1628" s="2">
        <v>2862.26</v>
      </c>
      <c r="I1628" s="2" t="s">
        <v>6712</v>
      </c>
      <c r="J1628" s="2" t="s">
        <v>6732</v>
      </c>
      <c r="K1628" s="2" t="s">
        <v>22</v>
      </c>
      <c r="L1628" s="2" t="s">
        <v>88</v>
      </c>
      <c r="M1628" s="2">
        <v>3</v>
      </c>
      <c r="N1628" s="2" t="s">
        <v>24</v>
      </c>
      <c r="O1628" s="2" t="s">
        <v>25</v>
      </c>
      <c r="P1628" s="2" t="s">
        <v>34</v>
      </c>
    </row>
    <row r="1629" spans="1:16" x14ac:dyDescent="0.25">
      <c r="A1629" s="2" t="s">
        <v>3880</v>
      </c>
      <c r="B1629" s="2" t="s">
        <v>3934</v>
      </c>
      <c r="C1629" s="2">
        <v>1356</v>
      </c>
      <c r="D1629" s="2" t="s">
        <v>8593</v>
      </c>
      <c r="E1629" s="2" t="s">
        <v>6756</v>
      </c>
      <c r="F1629" s="2" t="s">
        <v>47</v>
      </c>
      <c r="G1629" s="2">
        <v>5253.77</v>
      </c>
      <c r="H1629" s="2">
        <v>3214.6</v>
      </c>
      <c r="I1629" s="2" t="s">
        <v>6752</v>
      </c>
      <c r="J1629" s="2" t="s">
        <v>6691</v>
      </c>
      <c r="K1629" s="2" t="s">
        <v>42</v>
      </c>
      <c r="L1629" s="2" t="s">
        <v>64</v>
      </c>
      <c r="M1629" s="2">
        <v>3</v>
      </c>
      <c r="N1629" s="2" t="s">
        <v>33</v>
      </c>
      <c r="O1629" s="2" t="s">
        <v>25</v>
      </c>
      <c r="P1629" s="2" t="s">
        <v>26</v>
      </c>
    </row>
    <row r="1630" spans="1:16" x14ac:dyDescent="0.25">
      <c r="A1630" s="2" t="s">
        <v>3882</v>
      </c>
      <c r="B1630" s="2" t="s">
        <v>1107</v>
      </c>
      <c r="C1630" s="2">
        <v>8368</v>
      </c>
      <c r="D1630" s="2" t="s">
        <v>8594</v>
      </c>
      <c r="E1630" s="2" t="s">
        <v>38</v>
      </c>
      <c r="F1630" s="2" t="s">
        <v>30</v>
      </c>
      <c r="G1630" s="2">
        <v>37024.559999999998</v>
      </c>
      <c r="H1630" s="2">
        <v>21306.799999999999</v>
      </c>
      <c r="I1630" s="2" t="s">
        <v>63</v>
      </c>
      <c r="J1630" s="2" t="s">
        <v>54</v>
      </c>
      <c r="K1630" s="2" t="s">
        <v>80</v>
      </c>
      <c r="L1630" s="2" t="s">
        <v>55</v>
      </c>
      <c r="M1630" s="2">
        <v>5</v>
      </c>
      <c r="N1630" s="2" t="s">
        <v>69</v>
      </c>
      <c r="O1630" s="2" t="s">
        <v>25</v>
      </c>
      <c r="P1630" s="2" t="s">
        <v>26</v>
      </c>
    </row>
    <row r="1631" spans="1:16" x14ac:dyDescent="0.25">
      <c r="A1631" s="2" t="s">
        <v>3885</v>
      </c>
      <c r="B1631" s="2" t="s">
        <v>8595</v>
      </c>
      <c r="C1631" s="2">
        <v>5922</v>
      </c>
      <c r="D1631" s="2" t="s">
        <v>8596</v>
      </c>
      <c r="E1631" s="2" t="s">
        <v>18</v>
      </c>
      <c r="F1631" s="2" t="s">
        <v>39</v>
      </c>
      <c r="G1631" s="2">
        <v>7284.97</v>
      </c>
      <c r="H1631" s="2">
        <v>3839.63</v>
      </c>
      <c r="I1631" s="2" t="s">
        <v>84</v>
      </c>
      <c r="J1631" s="2" t="s">
        <v>54</v>
      </c>
      <c r="K1631" s="2" t="s">
        <v>32</v>
      </c>
      <c r="L1631" s="2" t="s">
        <v>23</v>
      </c>
      <c r="M1631" s="2">
        <v>4</v>
      </c>
      <c r="N1631" s="2" t="s">
        <v>24</v>
      </c>
      <c r="O1631" s="2" t="s">
        <v>25</v>
      </c>
      <c r="P1631" s="2" t="s">
        <v>26</v>
      </c>
    </row>
    <row r="1632" spans="1:16" x14ac:dyDescent="0.25">
      <c r="A1632" s="2" t="s">
        <v>3887</v>
      </c>
      <c r="B1632" s="2" t="s">
        <v>8597</v>
      </c>
      <c r="C1632" s="2">
        <v>2435</v>
      </c>
      <c r="D1632" s="2" t="s">
        <v>2644</v>
      </c>
      <c r="E1632" s="2" t="s">
        <v>18</v>
      </c>
      <c r="F1632" s="2" t="s">
        <v>58</v>
      </c>
      <c r="G1632" s="2">
        <v>12655.66</v>
      </c>
      <c r="H1632" s="2">
        <v>8217.2000000000007</v>
      </c>
      <c r="I1632" s="2" t="s">
        <v>6771</v>
      </c>
      <c r="J1632" s="2" t="s">
        <v>6696</v>
      </c>
      <c r="K1632" s="2" t="s">
        <v>80</v>
      </c>
      <c r="L1632" s="2" t="s">
        <v>48</v>
      </c>
      <c r="M1632" s="2">
        <v>3</v>
      </c>
      <c r="N1632" s="2" t="s">
        <v>33</v>
      </c>
      <c r="O1632" s="2" t="s">
        <v>70</v>
      </c>
      <c r="P1632" s="2" t="s">
        <v>26</v>
      </c>
    </row>
    <row r="1633" spans="1:16" x14ac:dyDescent="0.25">
      <c r="A1633" s="2" t="s">
        <v>3889</v>
      </c>
      <c r="B1633" s="2" t="s">
        <v>1279</v>
      </c>
      <c r="C1633" s="2">
        <v>5920</v>
      </c>
      <c r="D1633" s="2" t="s">
        <v>4531</v>
      </c>
      <c r="E1633" s="2" t="s">
        <v>38</v>
      </c>
      <c r="F1633" s="2" t="s">
        <v>30</v>
      </c>
      <c r="G1633" s="2">
        <v>102851.27</v>
      </c>
      <c r="H1633" s="2">
        <v>59368.83</v>
      </c>
      <c r="I1633" s="2" t="s">
        <v>6759</v>
      </c>
      <c r="J1633" s="2" t="s">
        <v>6753</v>
      </c>
      <c r="K1633" s="2" t="s">
        <v>42</v>
      </c>
      <c r="L1633" s="2" t="s">
        <v>43</v>
      </c>
      <c r="M1633" s="2">
        <v>3</v>
      </c>
      <c r="N1633" s="2" t="s">
        <v>24</v>
      </c>
      <c r="O1633" s="2" t="s">
        <v>25</v>
      </c>
      <c r="P1633" s="2" t="s">
        <v>49</v>
      </c>
    </row>
    <row r="1634" spans="1:16" x14ac:dyDescent="0.25">
      <c r="A1634" s="2" t="s">
        <v>3890</v>
      </c>
      <c r="B1634" s="2" t="s">
        <v>8550</v>
      </c>
      <c r="C1634" s="2">
        <v>8872</v>
      </c>
      <c r="D1634" s="2" t="s">
        <v>1631</v>
      </c>
      <c r="E1634" s="2" t="s">
        <v>6680</v>
      </c>
      <c r="F1634" s="2" t="s">
        <v>30</v>
      </c>
      <c r="G1634" s="2">
        <v>80866.36</v>
      </c>
      <c r="H1634" s="2">
        <v>41402.639999999999</v>
      </c>
      <c r="I1634" s="2" t="s">
        <v>6690</v>
      </c>
      <c r="J1634" s="2" t="s">
        <v>54</v>
      </c>
      <c r="K1634" s="2" t="s">
        <v>32</v>
      </c>
      <c r="L1634" s="2" t="s">
        <v>23</v>
      </c>
      <c r="M1634" s="2">
        <v>1</v>
      </c>
      <c r="N1634" s="2" t="s">
        <v>33</v>
      </c>
      <c r="O1634" s="2" t="s">
        <v>25</v>
      </c>
      <c r="P1634" s="2" t="s">
        <v>26</v>
      </c>
    </row>
    <row r="1635" spans="1:16" x14ac:dyDescent="0.25">
      <c r="A1635" s="2" t="s">
        <v>3893</v>
      </c>
      <c r="B1635" s="2" t="s">
        <v>8598</v>
      </c>
      <c r="C1635" s="2">
        <v>5695</v>
      </c>
      <c r="D1635" s="2" t="s">
        <v>8599</v>
      </c>
      <c r="E1635" s="2" t="s">
        <v>6698</v>
      </c>
      <c r="F1635" s="2" t="s">
        <v>30</v>
      </c>
      <c r="G1635" s="2">
        <v>11658.32</v>
      </c>
      <c r="H1635" s="2">
        <v>7512.01</v>
      </c>
      <c r="I1635" s="2" t="s">
        <v>6799</v>
      </c>
      <c r="J1635" s="2" t="s">
        <v>6793</v>
      </c>
      <c r="K1635" s="2" t="s">
        <v>42</v>
      </c>
      <c r="L1635" s="2" t="s">
        <v>88</v>
      </c>
      <c r="M1635" s="2">
        <v>5</v>
      </c>
      <c r="N1635" s="2" t="s">
        <v>33</v>
      </c>
      <c r="O1635" s="2" t="s">
        <v>25</v>
      </c>
      <c r="P1635" s="2" t="s">
        <v>26</v>
      </c>
    </row>
    <row r="1636" spans="1:16" x14ac:dyDescent="0.25">
      <c r="A1636" s="2" t="s">
        <v>3895</v>
      </c>
      <c r="B1636" s="2" t="s">
        <v>8600</v>
      </c>
      <c r="C1636" s="2">
        <v>2784</v>
      </c>
      <c r="D1636" s="2" t="s">
        <v>8601</v>
      </c>
      <c r="E1636" s="2" t="s">
        <v>6680</v>
      </c>
      <c r="F1636" s="2" t="s">
        <v>47</v>
      </c>
      <c r="G1636" s="2">
        <v>12201.94</v>
      </c>
      <c r="H1636" s="2">
        <v>5555.58</v>
      </c>
      <c r="I1636" s="2" t="s">
        <v>6867</v>
      </c>
      <c r="J1636" s="2" t="s">
        <v>6724</v>
      </c>
      <c r="K1636" s="2" t="s">
        <v>32</v>
      </c>
      <c r="L1636" s="2" t="s">
        <v>48</v>
      </c>
      <c r="M1636" s="2">
        <v>2</v>
      </c>
      <c r="N1636" s="2" t="s">
        <v>33</v>
      </c>
      <c r="O1636" s="2" t="s">
        <v>70</v>
      </c>
      <c r="P1636" s="2" t="s">
        <v>26</v>
      </c>
    </row>
    <row r="1637" spans="1:16" x14ac:dyDescent="0.25">
      <c r="A1637" s="2" t="s">
        <v>3898</v>
      </c>
      <c r="B1637" s="2" t="s">
        <v>8602</v>
      </c>
      <c r="C1637" s="2">
        <v>8825</v>
      </c>
      <c r="D1637" s="2" t="s">
        <v>8603</v>
      </c>
      <c r="E1637" s="2" t="s">
        <v>6748</v>
      </c>
      <c r="F1637" s="2" t="s">
        <v>58</v>
      </c>
      <c r="G1637" s="2">
        <v>16708.25</v>
      </c>
      <c r="H1637" s="2">
        <v>10841.82</v>
      </c>
      <c r="I1637" s="2" t="s">
        <v>6726</v>
      </c>
      <c r="J1637" s="2" t="s">
        <v>6802</v>
      </c>
      <c r="K1637" s="2" t="s">
        <v>32</v>
      </c>
      <c r="L1637" s="2" t="s">
        <v>43</v>
      </c>
      <c r="M1637" s="2">
        <v>3</v>
      </c>
      <c r="N1637" s="2" t="s">
        <v>24</v>
      </c>
      <c r="O1637" s="2" t="s">
        <v>70</v>
      </c>
      <c r="P1637" s="2" t="s">
        <v>26</v>
      </c>
    </row>
    <row r="1638" spans="1:16" x14ac:dyDescent="0.25">
      <c r="A1638" s="2" t="s">
        <v>3901</v>
      </c>
      <c r="B1638" s="2" t="s">
        <v>6023</v>
      </c>
      <c r="C1638" s="2">
        <v>4991</v>
      </c>
      <c r="D1638" s="2" t="s">
        <v>8604</v>
      </c>
      <c r="E1638" s="2" t="s">
        <v>18</v>
      </c>
      <c r="F1638" s="2" t="s">
        <v>47</v>
      </c>
      <c r="G1638" s="2">
        <v>16652.45</v>
      </c>
      <c r="H1638" s="2">
        <v>9687.91</v>
      </c>
      <c r="I1638" s="2" t="s">
        <v>31</v>
      </c>
      <c r="J1638" s="2" t="s">
        <v>21</v>
      </c>
      <c r="K1638" s="2" t="s">
        <v>80</v>
      </c>
      <c r="L1638" s="2" t="s">
        <v>43</v>
      </c>
      <c r="M1638" s="2">
        <v>4</v>
      </c>
      <c r="N1638" s="2" t="s">
        <v>24</v>
      </c>
      <c r="O1638" s="2" t="s">
        <v>25</v>
      </c>
      <c r="P1638" s="2" t="s">
        <v>26</v>
      </c>
    </row>
    <row r="1639" spans="1:16" x14ac:dyDescent="0.25">
      <c r="A1639" s="2" t="s">
        <v>3903</v>
      </c>
      <c r="B1639" s="2" t="s">
        <v>8605</v>
      </c>
      <c r="C1639" s="2">
        <v>7398</v>
      </c>
      <c r="D1639" s="2" t="s">
        <v>6785</v>
      </c>
      <c r="E1639" s="2" t="s">
        <v>38</v>
      </c>
      <c r="F1639" s="2" t="s">
        <v>30</v>
      </c>
      <c r="G1639" s="2">
        <v>75391.38</v>
      </c>
      <c r="H1639" s="2">
        <v>40416.129999999997</v>
      </c>
      <c r="I1639" s="2" t="s">
        <v>59</v>
      </c>
      <c r="J1639" s="2" t="s">
        <v>41</v>
      </c>
      <c r="K1639" s="2" t="s">
        <v>42</v>
      </c>
      <c r="L1639" s="2" t="s">
        <v>88</v>
      </c>
      <c r="M1639" s="2">
        <v>5</v>
      </c>
      <c r="N1639" s="2" t="s">
        <v>24</v>
      </c>
      <c r="O1639" s="2" t="s">
        <v>25</v>
      </c>
      <c r="P1639" s="2" t="s">
        <v>26</v>
      </c>
    </row>
    <row r="1640" spans="1:16" x14ac:dyDescent="0.25">
      <c r="A1640" s="2" t="s">
        <v>3906</v>
      </c>
      <c r="B1640" s="2" t="s">
        <v>4046</v>
      </c>
      <c r="C1640" s="2">
        <v>6554</v>
      </c>
      <c r="D1640" s="2" t="s">
        <v>8606</v>
      </c>
      <c r="E1640" s="2" t="s">
        <v>18</v>
      </c>
      <c r="F1640" s="2" t="s">
        <v>58</v>
      </c>
      <c r="G1640" s="2">
        <v>28185.57</v>
      </c>
      <c r="H1640" s="2">
        <v>17257.84</v>
      </c>
      <c r="I1640" s="2" t="s">
        <v>20</v>
      </c>
      <c r="J1640" s="2" t="s">
        <v>21</v>
      </c>
      <c r="K1640" s="2" t="s">
        <v>32</v>
      </c>
      <c r="L1640" s="2" t="s">
        <v>88</v>
      </c>
      <c r="M1640" s="2">
        <v>3</v>
      </c>
      <c r="N1640" s="2" t="s">
        <v>33</v>
      </c>
      <c r="O1640" s="2" t="s">
        <v>25</v>
      </c>
      <c r="P1640" s="2" t="s">
        <v>49</v>
      </c>
    </row>
    <row r="1641" spans="1:16" x14ac:dyDescent="0.25">
      <c r="A1641" s="2" t="s">
        <v>3908</v>
      </c>
      <c r="B1641" s="2" t="s">
        <v>1245</v>
      </c>
      <c r="C1641" s="2">
        <v>6368</v>
      </c>
      <c r="D1641" s="2" t="s">
        <v>8607</v>
      </c>
      <c r="E1641" s="2" t="s">
        <v>38</v>
      </c>
      <c r="F1641" s="2" t="s">
        <v>58</v>
      </c>
      <c r="G1641" s="2">
        <v>25981.91</v>
      </c>
      <c r="H1641" s="2">
        <v>16092.96</v>
      </c>
      <c r="I1641" s="2" t="s">
        <v>20</v>
      </c>
      <c r="J1641" s="2" t="s">
        <v>21</v>
      </c>
      <c r="K1641" s="2" t="s">
        <v>32</v>
      </c>
      <c r="L1641" s="2" t="s">
        <v>43</v>
      </c>
      <c r="M1641" s="2">
        <v>2</v>
      </c>
      <c r="N1641" s="2" t="s">
        <v>33</v>
      </c>
      <c r="O1641" s="2" t="s">
        <v>25</v>
      </c>
      <c r="P1641" s="2" t="s">
        <v>49</v>
      </c>
    </row>
    <row r="1642" spans="1:16" x14ac:dyDescent="0.25">
      <c r="A1642" s="2" t="s">
        <v>3910</v>
      </c>
      <c r="B1642" s="2" t="s">
        <v>8608</v>
      </c>
      <c r="C1642" s="2">
        <v>6932</v>
      </c>
      <c r="D1642" s="2" t="s">
        <v>8609</v>
      </c>
      <c r="E1642" s="2" t="s">
        <v>38</v>
      </c>
      <c r="F1642" s="2" t="s">
        <v>47</v>
      </c>
      <c r="G1642" s="2">
        <v>4892.1499999999996</v>
      </c>
      <c r="H1642" s="2">
        <v>3017.23</v>
      </c>
      <c r="I1642" s="2" t="s">
        <v>84</v>
      </c>
      <c r="J1642" s="2" t="s">
        <v>54</v>
      </c>
      <c r="K1642" s="2" t="s">
        <v>22</v>
      </c>
      <c r="L1642" s="2" t="s">
        <v>88</v>
      </c>
      <c r="M1642" s="2">
        <v>1</v>
      </c>
      <c r="N1642" s="2" t="s">
        <v>24</v>
      </c>
      <c r="O1642" s="2" t="s">
        <v>25</v>
      </c>
      <c r="P1642" s="2" t="s">
        <v>26</v>
      </c>
    </row>
    <row r="1643" spans="1:16" x14ac:dyDescent="0.25">
      <c r="A1643" s="2" t="s">
        <v>3913</v>
      </c>
      <c r="B1643" s="2" t="s">
        <v>8610</v>
      </c>
      <c r="C1643" s="2">
        <v>4154</v>
      </c>
      <c r="D1643" s="2" t="s">
        <v>8453</v>
      </c>
      <c r="E1643" s="2" t="s">
        <v>38</v>
      </c>
      <c r="F1643" s="2" t="s">
        <v>58</v>
      </c>
      <c r="G1643" s="2">
        <v>20895.7</v>
      </c>
      <c r="H1643" s="2">
        <v>13448.23</v>
      </c>
      <c r="I1643" s="2" t="s">
        <v>59</v>
      </c>
      <c r="J1643" s="2" t="s">
        <v>41</v>
      </c>
      <c r="K1643" s="2" t="s">
        <v>22</v>
      </c>
      <c r="L1643" s="2" t="s">
        <v>23</v>
      </c>
      <c r="M1643" s="2">
        <v>1</v>
      </c>
      <c r="N1643" s="2" t="s">
        <v>69</v>
      </c>
      <c r="O1643" s="2" t="s">
        <v>25</v>
      </c>
      <c r="P1643" s="2" t="s">
        <v>49</v>
      </c>
    </row>
    <row r="1644" spans="1:16" x14ac:dyDescent="0.25">
      <c r="A1644" s="2" t="s">
        <v>3915</v>
      </c>
      <c r="B1644" s="2" t="s">
        <v>8611</v>
      </c>
      <c r="C1644" s="2">
        <v>7151</v>
      </c>
      <c r="D1644" s="2" t="s">
        <v>8612</v>
      </c>
      <c r="E1644" s="2" t="s">
        <v>6694</v>
      </c>
      <c r="F1644" s="2" t="s">
        <v>19</v>
      </c>
      <c r="G1644" s="2">
        <v>16767.400000000001</v>
      </c>
      <c r="H1644" s="2">
        <v>9847.82</v>
      </c>
      <c r="I1644" s="2" t="s">
        <v>31</v>
      </c>
      <c r="J1644" s="2" t="s">
        <v>6724</v>
      </c>
      <c r="K1644" s="2" t="s">
        <v>80</v>
      </c>
      <c r="L1644" s="2" t="s">
        <v>64</v>
      </c>
      <c r="M1644" s="2">
        <v>2</v>
      </c>
      <c r="N1644" s="2" t="s">
        <v>33</v>
      </c>
      <c r="O1644" s="2" t="s">
        <v>70</v>
      </c>
      <c r="P1644" s="2" t="s">
        <v>26</v>
      </c>
    </row>
    <row r="1645" spans="1:16" x14ac:dyDescent="0.25">
      <c r="A1645" s="2" t="s">
        <v>3917</v>
      </c>
      <c r="B1645" s="2" t="s">
        <v>2414</v>
      </c>
      <c r="C1645" s="2">
        <v>6193</v>
      </c>
      <c r="D1645" s="2" t="s">
        <v>8613</v>
      </c>
      <c r="E1645" s="2" t="s">
        <v>6748</v>
      </c>
      <c r="F1645" s="2" t="s">
        <v>47</v>
      </c>
      <c r="G1645" s="2">
        <v>2870.95</v>
      </c>
      <c r="H1645" s="2">
        <v>1371.45</v>
      </c>
      <c r="I1645" s="2" t="s">
        <v>6794</v>
      </c>
      <c r="J1645" s="2" t="s">
        <v>6696</v>
      </c>
      <c r="K1645" s="2" t="s">
        <v>22</v>
      </c>
      <c r="L1645" s="2" t="s">
        <v>43</v>
      </c>
      <c r="M1645" s="2">
        <v>5</v>
      </c>
      <c r="N1645" s="2" t="s">
        <v>33</v>
      </c>
      <c r="O1645" s="2" t="s">
        <v>25</v>
      </c>
      <c r="P1645" s="2" t="s">
        <v>34</v>
      </c>
    </row>
    <row r="1646" spans="1:16" x14ac:dyDescent="0.25">
      <c r="A1646" s="2" t="s">
        <v>3919</v>
      </c>
      <c r="B1646" s="2" t="s">
        <v>267</v>
      </c>
      <c r="C1646" s="2">
        <v>3548</v>
      </c>
      <c r="D1646" s="2" t="s">
        <v>8614</v>
      </c>
      <c r="E1646" s="2" t="s">
        <v>18</v>
      </c>
      <c r="F1646" s="2" t="s">
        <v>58</v>
      </c>
      <c r="G1646" s="2">
        <v>32151.27</v>
      </c>
      <c r="H1646" s="2">
        <v>19384.5</v>
      </c>
      <c r="I1646" s="2" t="s">
        <v>53</v>
      </c>
      <c r="J1646" s="2" t="s">
        <v>54</v>
      </c>
      <c r="K1646" s="2" t="s">
        <v>80</v>
      </c>
      <c r="L1646" s="2" t="s">
        <v>43</v>
      </c>
      <c r="M1646" s="2">
        <v>2</v>
      </c>
      <c r="N1646" s="2" t="s">
        <v>33</v>
      </c>
      <c r="O1646" s="2" t="s">
        <v>25</v>
      </c>
      <c r="P1646" s="2" t="s">
        <v>49</v>
      </c>
    </row>
    <row r="1647" spans="1:16" x14ac:dyDescent="0.25">
      <c r="A1647" s="2" t="s">
        <v>3921</v>
      </c>
      <c r="B1647" s="2" t="s">
        <v>4647</v>
      </c>
      <c r="C1647" s="2">
        <v>4691</v>
      </c>
      <c r="D1647" s="2" t="s">
        <v>7283</v>
      </c>
      <c r="E1647" s="2" t="s">
        <v>18</v>
      </c>
      <c r="F1647" s="2" t="s">
        <v>30</v>
      </c>
      <c r="G1647" s="2">
        <v>57645.22</v>
      </c>
      <c r="H1647" s="2">
        <v>34404.660000000003</v>
      </c>
      <c r="I1647" s="2" t="s">
        <v>53</v>
      </c>
      <c r="J1647" s="2" t="s">
        <v>54</v>
      </c>
      <c r="K1647" s="2" t="s">
        <v>32</v>
      </c>
      <c r="L1647" s="2" t="s">
        <v>88</v>
      </c>
      <c r="M1647" s="2">
        <v>2</v>
      </c>
      <c r="N1647" s="2" t="s">
        <v>24</v>
      </c>
      <c r="O1647" s="2" t="s">
        <v>25</v>
      </c>
      <c r="P1647" s="2" t="s">
        <v>49</v>
      </c>
    </row>
    <row r="1648" spans="1:16" x14ac:dyDescent="0.25">
      <c r="A1648" s="2" t="s">
        <v>3922</v>
      </c>
      <c r="B1648" s="2" t="s">
        <v>8615</v>
      </c>
      <c r="C1648" s="2">
        <v>5260</v>
      </c>
      <c r="D1648" s="2" t="s">
        <v>8616</v>
      </c>
      <c r="E1648" s="2" t="s">
        <v>6698</v>
      </c>
      <c r="F1648" s="2" t="s">
        <v>58</v>
      </c>
      <c r="G1648" s="2">
        <v>36833.82</v>
      </c>
      <c r="H1648" s="2">
        <v>17793.8</v>
      </c>
      <c r="I1648" s="2" t="s">
        <v>6822</v>
      </c>
      <c r="J1648" s="2" t="s">
        <v>6713</v>
      </c>
      <c r="K1648" s="2" t="s">
        <v>32</v>
      </c>
      <c r="L1648" s="2" t="s">
        <v>88</v>
      </c>
      <c r="M1648" s="2">
        <v>2</v>
      </c>
      <c r="N1648" s="2" t="s">
        <v>69</v>
      </c>
      <c r="O1648" s="2" t="s">
        <v>25</v>
      </c>
      <c r="P1648" s="2" t="s">
        <v>34</v>
      </c>
    </row>
    <row r="1649" spans="1:16" x14ac:dyDescent="0.25">
      <c r="A1649" s="2" t="s">
        <v>3924</v>
      </c>
      <c r="B1649" s="2" t="s">
        <v>8602</v>
      </c>
      <c r="C1649" s="2">
        <v>2218</v>
      </c>
      <c r="D1649" s="2" t="s">
        <v>245</v>
      </c>
      <c r="E1649" s="2" t="s">
        <v>6708</v>
      </c>
      <c r="F1649" s="2" t="s">
        <v>19</v>
      </c>
      <c r="G1649" s="2">
        <v>14855.73</v>
      </c>
      <c r="H1649" s="2">
        <v>7346.35</v>
      </c>
      <c r="I1649" s="2" t="s">
        <v>31</v>
      </c>
      <c r="J1649" s="2" t="s">
        <v>6696</v>
      </c>
      <c r="K1649" s="2" t="s">
        <v>22</v>
      </c>
      <c r="L1649" s="2" t="s">
        <v>64</v>
      </c>
      <c r="M1649" s="2">
        <v>3</v>
      </c>
      <c r="N1649" s="2" t="s">
        <v>33</v>
      </c>
      <c r="O1649" s="2" t="s">
        <v>70</v>
      </c>
      <c r="P1649" s="2" t="s">
        <v>26</v>
      </c>
    </row>
    <row r="1650" spans="1:16" x14ac:dyDescent="0.25">
      <c r="A1650" s="2" t="s">
        <v>3926</v>
      </c>
      <c r="B1650" s="2" t="s">
        <v>823</v>
      </c>
      <c r="C1650" s="2">
        <v>7367</v>
      </c>
      <c r="D1650" s="2" t="s">
        <v>8617</v>
      </c>
      <c r="E1650" s="2" t="s">
        <v>18</v>
      </c>
      <c r="F1650" s="2" t="s">
        <v>30</v>
      </c>
      <c r="G1650" s="2">
        <v>95137.07</v>
      </c>
      <c r="H1650" s="2">
        <v>52908.51</v>
      </c>
      <c r="I1650" s="2" t="s">
        <v>53</v>
      </c>
      <c r="J1650" s="2" t="s">
        <v>54</v>
      </c>
      <c r="K1650" s="2" t="s">
        <v>22</v>
      </c>
      <c r="L1650" s="2" t="s">
        <v>23</v>
      </c>
      <c r="M1650" s="2">
        <v>3</v>
      </c>
      <c r="N1650" s="2" t="s">
        <v>24</v>
      </c>
      <c r="O1650" s="2" t="s">
        <v>70</v>
      </c>
      <c r="P1650" s="2" t="s">
        <v>26</v>
      </c>
    </row>
    <row r="1651" spans="1:16" x14ac:dyDescent="0.25">
      <c r="A1651" s="2" t="s">
        <v>3929</v>
      </c>
      <c r="B1651" s="2" t="s">
        <v>8618</v>
      </c>
      <c r="C1651" s="2">
        <v>3925</v>
      </c>
      <c r="D1651" s="2" t="s">
        <v>8619</v>
      </c>
      <c r="E1651" s="2" t="s">
        <v>6748</v>
      </c>
      <c r="F1651" s="2" t="s">
        <v>47</v>
      </c>
      <c r="G1651" s="2">
        <v>10268.4</v>
      </c>
      <c r="H1651" s="2">
        <v>4666.96</v>
      </c>
      <c r="I1651" s="2" t="s">
        <v>6759</v>
      </c>
      <c r="J1651" s="2" t="s">
        <v>6753</v>
      </c>
      <c r="K1651" s="2" t="s">
        <v>32</v>
      </c>
      <c r="L1651" s="2" t="s">
        <v>23</v>
      </c>
      <c r="M1651" s="2">
        <v>3</v>
      </c>
      <c r="N1651" s="2" t="s">
        <v>24</v>
      </c>
      <c r="O1651" s="2" t="s">
        <v>25</v>
      </c>
      <c r="P1651" s="2" t="s">
        <v>26</v>
      </c>
    </row>
    <row r="1652" spans="1:16" x14ac:dyDescent="0.25">
      <c r="A1652" s="2" t="s">
        <v>3930</v>
      </c>
      <c r="B1652" s="2" t="s">
        <v>480</v>
      </c>
      <c r="C1652" s="2">
        <v>6881</v>
      </c>
      <c r="D1652" s="2" t="s">
        <v>4577</v>
      </c>
      <c r="E1652" s="2" t="s">
        <v>38</v>
      </c>
      <c r="F1652" s="2" t="s">
        <v>30</v>
      </c>
      <c r="G1652" s="2">
        <v>92810.240000000005</v>
      </c>
      <c r="H1652" s="2">
        <v>47627.38</v>
      </c>
      <c r="I1652" s="2" t="s">
        <v>31</v>
      </c>
      <c r="J1652" s="2" t="s">
        <v>21</v>
      </c>
      <c r="K1652" s="2" t="s">
        <v>42</v>
      </c>
      <c r="L1652" s="2" t="s">
        <v>55</v>
      </c>
      <c r="M1652" s="2">
        <v>5</v>
      </c>
      <c r="N1652" s="2" t="s">
        <v>69</v>
      </c>
      <c r="O1652" s="2" t="s">
        <v>70</v>
      </c>
      <c r="P1652" s="2" t="s">
        <v>34</v>
      </c>
    </row>
    <row r="1653" spans="1:16" x14ac:dyDescent="0.25">
      <c r="A1653" s="2" t="s">
        <v>3933</v>
      </c>
      <c r="B1653" s="2" t="s">
        <v>8620</v>
      </c>
      <c r="C1653" s="2">
        <v>8471</v>
      </c>
      <c r="D1653" s="2" t="s">
        <v>8621</v>
      </c>
      <c r="E1653" s="2" t="s">
        <v>6694</v>
      </c>
      <c r="F1653" s="2" t="s">
        <v>58</v>
      </c>
      <c r="G1653" s="2">
        <v>22192.42</v>
      </c>
      <c r="H1653" s="2">
        <v>12328.8</v>
      </c>
      <c r="I1653" s="2" t="s">
        <v>6720</v>
      </c>
      <c r="J1653" s="2" t="s">
        <v>6686</v>
      </c>
      <c r="K1653" s="2" t="s">
        <v>32</v>
      </c>
      <c r="L1653" s="2" t="s">
        <v>88</v>
      </c>
      <c r="M1653" s="2">
        <v>4</v>
      </c>
      <c r="N1653" s="2" t="s">
        <v>69</v>
      </c>
      <c r="O1653" s="2" t="s">
        <v>25</v>
      </c>
      <c r="P1653" s="2" t="s">
        <v>34</v>
      </c>
    </row>
    <row r="1654" spans="1:16" x14ac:dyDescent="0.25">
      <c r="A1654" s="2" t="s">
        <v>3936</v>
      </c>
      <c r="B1654" s="2" t="s">
        <v>8622</v>
      </c>
      <c r="C1654" s="2">
        <v>6922</v>
      </c>
      <c r="D1654" s="2" t="s">
        <v>8623</v>
      </c>
      <c r="E1654" s="2" t="s">
        <v>6719</v>
      </c>
      <c r="F1654" s="2" t="s">
        <v>58</v>
      </c>
      <c r="G1654" s="2">
        <v>40669.599999999999</v>
      </c>
      <c r="H1654" s="2">
        <v>18562.2</v>
      </c>
      <c r="I1654" s="2" t="s">
        <v>68</v>
      </c>
      <c r="J1654" s="2" t="s">
        <v>41</v>
      </c>
      <c r="K1654" s="2" t="s">
        <v>32</v>
      </c>
      <c r="L1654" s="2" t="s">
        <v>43</v>
      </c>
      <c r="M1654" s="2">
        <v>2</v>
      </c>
      <c r="N1654" s="2" t="s">
        <v>24</v>
      </c>
      <c r="O1654" s="2" t="s">
        <v>70</v>
      </c>
      <c r="P1654" s="2" t="s">
        <v>49</v>
      </c>
    </row>
    <row r="1655" spans="1:16" x14ac:dyDescent="0.25">
      <c r="A1655" s="2" t="s">
        <v>3937</v>
      </c>
      <c r="B1655" s="2" t="s">
        <v>8624</v>
      </c>
      <c r="C1655" s="2">
        <v>8231</v>
      </c>
      <c r="D1655" s="2" t="s">
        <v>7537</v>
      </c>
      <c r="E1655" s="2" t="s">
        <v>18</v>
      </c>
      <c r="F1655" s="2" t="s">
        <v>19</v>
      </c>
      <c r="G1655" s="2">
        <v>11976.59</v>
      </c>
      <c r="H1655" s="2">
        <v>7740.69</v>
      </c>
      <c r="I1655" s="2" t="s">
        <v>6761</v>
      </c>
      <c r="J1655" s="2" t="s">
        <v>6793</v>
      </c>
      <c r="K1655" s="2" t="s">
        <v>42</v>
      </c>
      <c r="L1655" s="2" t="s">
        <v>43</v>
      </c>
      <c r="M1655" s="2">
        <v>3</v>
      </c>
      <c r="N1655" s="2" t="s">
        <v>33</v>
      </c>
      <c r="O1655" s="2" t="s">
        <v>25</v>
      </c>
      <c r="P1655" s="2" t="s">
        <v>26</v>
      </c>
    </row>
    <row r="1656" spans="1:16" x14ac:dyDescent="0.25">
      <c r="A1656" s="2" t="s">
        <v>3939</v>
      </c>
      <c r="B1656" s="2" t="s">
        <v>8625</v>
      </c>
      <c r="C1656" s="2">
        <v>8043</v>
      </c>
      <c r="D1656" s="2" t="s">
        <v>8626</v>
      </c>
      <c r="E1656" s="2" t="s">
        <v>18</v>
      </c>
      <c r="F1656" s="2" t="s">
        <v>58</v>
      </c>
      <c r="G1656" s="2">
        <v>35973.760000000002</v>
      </c>
      <c r="H1656" s="2">
        <v>18535.46</v>
      </c>
      <c r="I1656" s="2" t="s">
        <v>6695</v>
      </c>
      <c r="J1656" s="2" t="s">
        <v>6795</v>
      </c>
      <c r="K1656" s="2" t="s">
        <v>32</v>
      </c>
      <c r="L1656" s="2" t="s">
        <v>43</v>
      </c>
      <c r="M1656" s="2">
        <v>3</v>
      </c>
      <c r="N1656" s="2" t="s">
        <v>33</v>
      </c>
      <c r="O1656" s="2" t="s">
        <v>25</v>
      </c>
      <c r="P1656" s="2" t="s">
        <v>49</v>
      </c>
    </row>
    <row r="1657" spans="1:16" x14ac:dyDescent="0.25">
      <c r="A1657" s="2" t="s">
        <v>3941</v>
      </c>
      <c r="B1657" s="2" t="s">
        <v>8627</v>
      </c>
      <c r="C1657" s="2">
        <v>1780</v>
      </c>
      <c r="D1657" s="2" t="s">
        <v>8628</v>
      </c>
      <c r="E1657" s="2" t="s">
        <v>18</v>
      </c>
      <c r="F1657" s="2" t="s">
        <v>19</v>
      </c>
      <c r="G1657" s="2">
        <v>5560.83</v>
      </c>
      <c r="H1657" s="2">
        <v>2514.31</v>
      </c>
      <c r="I1657" s="2" t="s">
        <v>120</v>
      </c>
      <c r="J1657" s="2" t="s">
        <v>21</v>
      </c>
      <c r="K1657" s="2" t="s">
        <v>80</v>
      </c>
      <c r="L1657" s="2" t="s">
        <v>23</v>
      </c>
      <c r="M1657" s="2">
        <v>2</v>
      </c>
      <c r="N1657" s="2" t="s">
        <v>33</v>
      </c>
      <c r="O1657" s="2" t="s">
        <v>25</v>
      </c>
      <c r="P1657" s="2" t="s">
        <v>49</v>
      </c>
    </row>
    <row r="1658" spans="1:16" x14ac:dyDescent="0.25">
      <c r="A1658" s="2" t="s">
        <v>3943</v>
      </c>
      <c r="B1658" s="2" t="s">
        <v>1691</v>
      </c>
      <c r="C1658" s="2">
        <v>5499</v>
      </c>
      <c r="D1658" s="2" t="s">
        <v>7149</v>
      </c>
      <c r="E1658" s="2" t="s">
        <v>18</v>
      </c>
      <c r="F1658" s="2" t="s">
        <v>47</v>
      </c>
      <c r="G1658" s="2">
        <v>20626.939999999999</v>
      </c>
      <c r="H1658" s="2">
        <v>10647.19</v>
      </c>
      <c r="I1658" s="2" t="s">
        <v>84</v>
      </c>
      <c r="J1658" s="2" t="s">
        <v>54</v>
      </c>
      <c r="K1658" s="2" t="s">
        <v>32</v>
      </c>
      <c r="L1658" s="2" t="s">
        <v>43</v>
      </c>
      <c r="M1658" s="2">
        <v>1</v>
      </c>
      <c r="N1658" s="2" t="s">
        <v>69</v>
      </c>
      <c r="O1658" s="2" t="s">
        <v>70</v>
      </c>
      <c r="P1658" s="2" t="s">
        <v>26</v>
      </c>
    </row>
    <row r="1659" spans="1:16" x14ac:dyDescent="0.25">
      <c r="A1659" s="2" t="s">
        <v>3945</v>
      </c>
      <c r="B1659" s="2" t="s">
        <v>319</v>
      </c>
      <c r="C1659" s="2">
        <v>3031</v>
      </c>
      <c r="D1659" s="2" t="s">
        <v>8629</v>
      </c>
      <c r="E1659" s="2" t="s">
        <v>6698</v>
      </c>
      <c r="F1659" s="2" t="s">
        <v>58</v>
      </c>
      <c r="G1659" s="2">
        <v>39088.65</v>
      </c>
      <c r="H1659" s="2">
        <v>23723.37</v>
      </c>
      <c r="I1659" s="2" t="s">
        <v>6695</v>
      </c>
      <c r="J1659" s="2" t="s">
        <v>6696</v>
      </c>
      <c r="K1659" s="2" t="s">
        <v>80</v>
      </c>
      <c r="L1659" s="2" t="s">
        <v>43</v>
      </c>
      <c r="M1659" s="2">
        <v>4</v>
      </c>
      <c r="N1659" s="2" t="s">
        <v>24</v>
      </c>
      <c r="O1659" s="2" t="s">
        <v>25</v>
      </c>
      <c r="P1659" s="2" t="s">
        <v>26</v>
      </c>
    </row>
    <row r="1660" spans="1:16" x14ac:dyDescent="0.25">
      <c r="A1660" s="2" t="s">
        <v>3947</v>
      </c>
      <c r="B1660" s="2" t="s">
        <v>1343</v>
      </c>
      <c r="C1660" s="2">
        <v>8607</v>
      </c>
      <c r="D1660" s="2" t="s">
        <v>4598</v>
      </c>
      <c r="E1660" s="2" t="s">
        <v>18</v>
      </c>
      <c r="F1660" s="2" t="s">
        <v>39</v>
      </c>
      <c r="G1660" s="2">
        <v>9612.85</v>
      </c>
      <c r="H1660" s="2">
        <v>5376.65</v>
      </c>
      <c r="I1660" s="2" t="s">
        <v>63</v>
      </c>
      <c r="J1660" s="2" t="s">
        <v>54</v>
      </c>
      <c r="K1660" s="2" t="s">
        <v>42</v>
      </c>
      <c r="L1660" s="2" t="s">
        <v>48</v>
      </c>
      <c r="M1660" s="2">
        <v>3</v>
      </c>
      <c r="N1660" s="2" t="s">
        <v>24</v>
      </c>
      <c r="O1660" s="2" t="s">
        <v>25</v>
      </c>
      <c r="P1660" s="2" t="s">
        <v>49</v>
      </c>
    </row>
    <row r="1661" spans="1:16" x14ac:dyDescent="0.25">
      <c r="A1661" s="2" t="s">
        <v>3949</v>
      </c>
      <c r="B1661" s="2" t="s">
        <v>5052</v>
      </c>
      <c r="C1661" s="2">
        <v>9449</v>
      </c>
      <c r="D1661" s="2" t="s">
        <v>4600</v>
      </c>
      <c r="E1661" s="2" t="s">
        <v>18</v>
      </c>
      <c r="F1661" s="2" t="s">
        <v>58</v>
      </c>
      <c r="G1661" s="2">
        <v>37118.620000000003</v>
      </c>
      <c r="H1661" s="2">
        <v>18898.71</v>
      </c>
      <c r="I1661" s="2" t="s">
        <v>120</v>
      </c>
      <c r="J1661" s="2" t="s">
        <v>21</v>
      </c>
      <c r="K1661" s="2" t="s">
        <v>22</v>
      </c>
      <c r="L1661" s="2" t="s">
        <v>88</v>
      </c>
      <c r="M1661" s="2">
        <v>1</v>
      </c>
      <c r="N1661" s="2" t="s">
        <v>33</v>
      </c>
      <c r="O1661" s="2" t="s">
        <v>25</v>
      </c>
      <c r="P1661" s="2" t="s">
        <v>49</v>
      </c>
    </row>
    <row r="1662" spans="1:16" x14ac:dyDescent="0.25">
      <c r="A1662" s="2" t="s">
        <v>3951</v>
      </c>
      <c r="B1662" s="2" t="s">
        <v>5642</v>
      </c>
      <c r="C1662" s="2">
        <v>6405</v>
      </c>
      <c r="D1662" s="2" t="s">
        <v>8630</v>
      </c>
      <c r="E1662" s="2" t="s">
        <v>18</v>
      </c>
      <c r="F1662" s="2" t="s">
        <v>47</v>
      </c>
      <c r="G1662" s="2">
        <v>13625.22</v>
      </c>
      <c r="H1662" s="2">
        <v>7146.37</v>
      </c>
      <c r="I1662" s="2" t="s">
        <v>84</v>
      </c>
      <c r="J1662" s="2" t="s">
        <v>54</v>
      </c>
      <c r="K1662" s="2" t="s">
        <v>32</v>
      </c>
      <c r="L1662" s="2" t="s">
        <v>48</v>
      </c>
      <c r="M1662" s="2">
        <v>2</v>
      </c>
      <c r="N1662" s="2" t="s">
        <v>33</v>
      </c>
      <c r="O1662" s="2" t="s">
        <v>70</v>
      </c>
      <c r="P1662" s="2" t="s">
        <v>49</v>
      </c>
    </row>
    <row r="1663" spans="1:16" x14ac:dyDescent="0.25">
      <c r="A1663" s="2" t="s">
        <v>3953</v>
      </c>
      <c r="B1663" s="2" t="s">
        <v>3911</v>
      </c>
      <c r="C1663" s="2">
        <v>5983</v>
      </c>
      <c r="D1663" s="2" t="s">
        <v>8631</v>
      </c>
      <c r="E1663" s="2" t="s">
        <v>18</v>
      </c>
      <c r="F1663" s="2" t="s">
        <v>58</v>
      </c>
      <c r="G1663" s="2">
        <v>28902.9</v>
      </c>
      <c r="H1663" s="2">
        <v>14572.92</v>
      </c>
      <c r="I1663" s="2" t="s">
        <v>84</v>
      </c>
      <c r="J1663" s="2" t="s">
        <v>54</v>
      </c>
      <c r="K1663" s="2" t="s">
        <v>22</v>
      </c>
      <c r="L1663" s="2" t="s">
        <v>48</v>
      </c>
      <c r="M1663" s="2">
        <v>3</v>
      </c>
      <c r="N1663" s="2" t="s">
        <v>24</v>
      </c>
      <c r="O1663" s="2" t="s">
        <v>25</v>
      </c>
      <c r="P1663" s="2" t="s">
        <v>34</v>
      </c>
    </row>
    <row r="1664" spans="1:16" x14ac:dyDescent="0.25">
      <c r="A1664" s="2" t="s">
        <v>3955</v>
      </c>
      <c r="B1664" s="2" t="s">
        <v>547</v>
      </c>
      <c r="C1664" s="2">
        <v>6400</v>
      </c>
      <c r="D1664" s="2" t="s">
        <v>8632</v>
      </c>
      <c r="E1664" s="2" t="s">
        <v>18</v>
      </c>
      <c r="F1664" s="2" t="s">
        <v>39</v>
      </c>
      <c r="G1664" s="2">
        <v>42454.19</v>
      </c>
      <c r="H1664" s="2">
        <v>21815.86</v>
      </c>
      <c r="I1664" s="2" t="s">
        <v>6771</v>
      </c>
      <c r="J1664" s="2" t="s">
        <v>6696</v>
      </c>
      <c r="K1664" s="2" t="s">
        <v>80</v>
      </c>
      <c r="L1664" s="2" t="s">
        <v>23</v>
      </c>
      <c r="M1664" s="2">
        <v>4</v>
      </c>
      <c r="N1664" s="2" t="s">
        <v>33</v>
      </c>
      <c r="O1664" s="2" t="s">
        <v>25</v>
      </c>
      <c r="P1664" s="2" t="s">
        <v>49</v>
      </c>
    </row>
    <row r="1665" spans="1:16" x14ac:dyDescent="0.25">
      <c r="A1665" s="2" t="s">
        <v>3957</v>
      </c>
      <c r="B1665" s="2" t="s">
        <v>8011</v>
      </c>
      <c r="C1665" s="2">
        <v>9314</v>
      </c>
      <c r="D1665" s="2" t="s">
        <v>8633</v>
      </c>
      <c r="E1665" s="2" t="s">
        <v>18</v>
      </c>
      <c r="F1665" s="2" t="s">
        <v>47</v>
      </c>
      <c r="G1665" s="2">
        <v>8500.2999999999993</v>
      </c>
      <c r="H1665" s="2">
        <v>4833.29</v>
      </c>
      <c r="I1665" s="2" t="s">
        <v>20</v>
      </c>
      <c r="J1665" s="2" t="s">
        <v>21</v>
      </c>
      <c r="K1665" s="2" t="s">
        <v>22</v>
      </c>
      <c r="L1665" s="2" t="s">
        <v>43</v>
      </c>
      <c r="M1665" s="2">
        <v>4</v>
      </c>
      <c r="N1665" s="2" t="s">
        <v>33</v>
      </c>
      <c r="O1665" s="2" t="s">
        <v>70</v>
      </c>
      <c r="P1665" s="2" t="s">
        <v>34</v>
      </c>
    </row>
    <row r="1666" spans="1:16" x14ac:dyDescent="0.25">
      <c r="A1666" s="2" t="s">
        <v>3959</v>
      </c>
      <c r="B1666" s="2" t="s">
        <v>3570</v>
      </c>
      <c r="C1666" s="2">
        <v>5833</v>
      </c>
      <c r="D1666" s="2" t="s">
        <v>1971</v>
      </c>
      <c r="E1666" s="2" t="s">
        <v>6680</v>
      </c>
      <c r="F1666" s="2" t="s">
        <v>47</v>
      </c>
      <c r="G1666" s="2">
        <v>10152.280000000001</v>
      </c>
      <c r="H1666" s="2">
        <v>4936.13</v>
      </c>
      <c r="I1666" s="2" t="s">
        <v>84</v>
      </c>
      <c r="J1666" s="2" t="s">
        <v>54</v>
      </c>
      <c r="K1666" s="2" t="s">
        <v>42</v>
      </c>
      <c r="L1666" s="2" t="s">
        <v>48</v>
      </c>
      <c r="M1666" s="2">
        <v>3</v>
      </c>
      <c r="N1666" s="2" t="s">
        <v>24</v>
      </c>
      <c r="O1666" s="2" t="s">
        <v>25</v>
      </c>
      <c r="P1666" s="2" t="s">
        <v>34</v>
      </c>
    </row>
    <row r="1667" spans="1:16" x14ac:dyDescent="0.25">
      <c r="A1667" s="2" t="s">
        <v>3961</v>
      </c>
      <c r="B1667" s="2" t="s">
        <v>2262</v>
      </c>
      <c r="C1667" s="2">
        <v>6004</v>
      </c>
      <c r="D1667" s="2" t="s">
        <v>4590</v>
      </c>
      <c r="E1667" s="2" t="s">
        <v>38</v>
      </c>
      <c r="F1667" s="2" t="s">
        <v>47</v>
      </c>
      <c r="G1667" s="2">
        <v>10433.370000000001</v>
      </c>
      <c r="H1667" s="2">
        <v>6722.36</v>
      </c>
      <c r="I1667" s="2" t="s">
        <v>120</v>
      </c>
      <c r="J1667" s="2" t="s">
        <v>21</v>
      </c>
      <c r="K1667" s="2" t="s">
        <v>80</v>
      </c>
      <c r="L1667" s="2" t="s">
        <v>88</v>
      </c>
      <c r="M1667" s="2">
        <v>3</v>
      </c>
      <c r="N1667" s="2" t="s">
        <v>24</v>
      </c>
      <c r="O1667" s="2" t="s">
        <v>70</v>
      </c>
      <c r="P1667" s="2" t="s">
        <v>26</v>
      </c>
    </row>
    <row r="1668" spans="1:16" x14ac:dyDescent="0.25">
      <c r="A1668" s="2" t="s">
        <v>3963</v>
      </c>
      <c r="B1668" s="2" t="s">
        <v>8634</v>
      </c>
      <c r="C1668" s="2">
        <v>8614</v>
      </c>
      <c r="D1668" s="2" t="s">
        <v>8635</v>
      </c>
      <c r="E1668" s="2" t="s">
        <v>6694</v>
      </c>
      <c r="F1668" s="2" t="s">
        <v>47</v>
      </c>
      <c r="G1668" s="2">
        <v>18712.349999999999</v>
      </c>
      <c r="H1668" s="2">
        <v>8828.6</v>
      </c>
      <c r="I1668" s="2" t="s">
        <v>6752</v>
      </c>
      <c r="J1668" s="2" t="s">
        <v>54</v>
      </c>
      <c r="K1668" s="2" t="s">
        <v>42</v>
      </c>
      <c r="L1668" s="2" t="s">
        <v>48</v>
      </c>
      <c r="M1668" s="2">
        <v>2</v>
      </c>
      <c r="N1668" s="2" t="s">
        <v>33</v>
      </c>
      <c r="O1668" s="2" t="s">
        <v>70</v>
      </c>
      <c r="P1668" s="2" t="s">
        <v>26</v>
      </c>
    </row>
    <row r="1669" spans="1:16" x14ac:dyDescent="0.25">
      <c r="A1669" s="2" t="s">
        <v>3966</v>
      </c>
      <c r="B1669" s="2" t="s">
        <v>7282</v>
      </c>
      <c r="C1669" s="2">
        <v>3128</v>
      </c>
      <c r="D1669" s="2" t="s">
        <v>8636</v>
      </c>
      <c r="E1669" s="2" t="s">
        <v>6756</v>
      </c>
      <c r="F1669" s="2" t="s">
        <v>58</v>
      </c>
      <c r="G1669" s="2">
        <v>11399.08</v>
      </c>
      <c r="H1669" s="2">
        <v>7382.93</v>
      </c>
      <c r="I1669" s="2" t="s">
        <v>6752</v>
      </c>
      <c r="J1669" s="2" t="s">
        <v>6691</v>
      </c>
      <c r="K1669" s="2" t="s">
        <v>80</v>
      </c>
      <c r="L1669" s="2" t="s">
        <v>88</v>
      </c>
      <c r="M1669" s="2">
        <v>4</v>
      </c>
      <c r="N1669" s="2" t="s">
        <v>69</v>
      </c>
      <c r="O1669" s="2" t="s">
        <v>70</v>
      </c>
      <c r="P1669" s="2" t="s">
        <v>49</v>
      </c>
    </row>
    <row r="1670" spans="1:16" x14ac:dyDescent="0.25">
      <c r="A1670" s="2" t="s">
        <v>3968</v>
      </c>
      <c r="B1670" s="2" t="s">
        <v>5075</v>
      </c>
      <c r="C1670" s="2">
        <v>1796</v>
      </c>
      <c r="D1670" s="2" t="s">
        <v>7413</v>
      </c>
      <c r="E1670" s="2" t="s">
        <v>18</v>
      </c>
      <c r="F1670" s="2" t="s">
        <v>58</v>
      </c>
      <c r="G1670" s="2">
        <v>10082.709999999999</v>
      </c>
      <c r="H1670" s="2">
        <v>5901.93</v>
      </c>
      <c r="I1670" s="2" t="s">
        <v>40</v>
      </c>
      <c r="J1670" s="2" t="s">
        <v>41</v>
      </c>
      <c r="K1670" s="2" t="s">
        <v>42</v>
      </c>
      <c r="L1670" s="2" t="s">
        <v>23</v>
      </c>
      <c r="M1670" s="2">
        <v>5</v>
      </c>
      <c r="N1670" s="2" t="s">
        <v>33</v>
      </c>
      <c r="O1670" s="2" t="s">
        <v>70</v>
      </c>
      <c r="P1670" s="2" t="s">
        <v>49</v>
      </c>
    </row>
    <row r="1671" spans="1:16" x14ac:dyDescent="0.25">
      <c r="A1671" s="2" t="s">
        <v>3970</v>
      </c>
      <c r="B1671" s="2" t="s">
        <v>3102</v>
      </c>
      <c r="C1671" s="2">
        <v>8658</v>
      </c>
      <c r="D1671" s="2" t="s">
        <v>8637</v>
      </c>
      <c r="E1671" s="2" t="s">
        <v>38</v>
      </c>
      <c r="F1671" s="2" t="s">
        <v>19</v>
      </c>
      <c r="G1671" s="2">
        <v>15642.08</v>
      </c>
      <c r="H1671" s="2">
        <v>7198.95</v>
      </c>
      <c r="I1671" s="2" t="s">
        <v>31</v>
      </c>
      <c r="J1671" s="2" t="s">
        <v>21</v>
      </c>
      <c r="K1671" s="2" t="s">
        <v>22</v>
      </c>
      <c r="L1671" s="2" t="s">
        <v>48</v>
      </c>
      <c r="M1671" s="2">
        <v>1</v>
      </c>
      <c r="N1671" s="2" t="s">
        <v>24</v>
      </c>
      <c r="O1671" s="2" t="s">
        <v>25</v>
      </c>
      <c r="P1671" s="2" t="s">
        <v>34</v>
      </c>
    </row>
    <row r="1672" spans="1:16" x14ac:dyDescent="0.25">
      <c r="A1672" s="2" t="s">
        <v>3972</v>
      </c>
      <c r="B1672" s="2" t="s">
        <v>5554</v>
      </c>
      <c r="C1672" s="2">
        <v>8578</v>
      </c>
      <c r="D1672" s="2" t="s">
        <v>8638</v>
      </c>
      <c r="E1672" s="2" t="s">
        <v>38</v>
      </c>
      <c r="F1672" s="2" t="s">
        <v>19</v>
      </c>
      <c r="G1672" s="2">
        <v>12081.34</v>
      </c>
      <c r="H1672" s="2">
        <v>6184.94</v>
      </c>
      <c r="I1672" s="2" t="s">
        <v>40</v>
      </c>
      <c r="J1672" s="2" t="s">
        <v>41</v>
      </c>
      <c r="K1672" s="2" t="s">
        <v>22</v>
      </c>
      <c r="L1672" s="2" t="s">
        <v>55</v>
      </c>
      <c r="M1672" s="2">
        <v>4</v>
      </c>
      <c r="N1672" s="2" t="s">
        <v>33</v>
      </c>
      <c r="O1672" s="2" t="s">
        <v>70</v>
      </c>
      <c r="P1672" s="2" t="s">
        <v>26</v>
      </c>
    </row>
    <row r="1673" spans="1:16" x14ac:dyDescent="0.25">
      <c r="A1673" s="2" t="s">
        <v>3974</v>
      </c>
      <c r="B1673" s="2" t="s">
        <v>8639</v>
      </c>
      <c r="C1673" s="2">
        <v>5877</v>
      </c>
      <c r="D1673" s="2" t="s">
        <v>8640</v>
      </c>
      <c r="E1673" s="2" t="s">
        <v>6680</v>
      </c>
      <c r="F1673" s="2" t="s">
        <v>19</v>
      </c>
      <c r="G1673" s="2">
        <v>18648</v>
      </c>
      <c r="H1673" s="2">
        <v>12097.01</v>
      </c>
      <c r="I1673" s="2" t="s">
        <v>6699</v>
      </c>
      <c r="J1673" s="2" t="s">
        <v>6691</v>
      </c>
      <c r="K1673" s="2" t="s">
        <v>22</v>
      </c>
      <c r="L1673" s="2" t="s">
        <v>48</v>
      </c>
      <c r="M1673" s="2">
        <v>4</v>
      </c>
      <c r="N1673" s="2" t="s">
        <v>33</v>
      </c>
      <c r="O1673" s="2" t="s">
        <v>70</v>
      </c>
      <c r="P1673" s="2" t="s">
        <v>34</v>
      </c>
    </row>
    <row r="1674" spans="1:16" x14ac:dyDescent="0.25">
      <c r="A1674" s="2" t="s">
        <v>3976</v>
      </c>
      <c r="B1674" s="2" t="s">
        <v>8641</v>
      </c>
      <c r="C1674" s="2">
        <v>8031</v>
      </c>
      <c r="D1674" s="2" t="s">
        <v>8642</v>
      </c>
      <c r="E1674" s="2" t="s">
        <v>6698</v>
      </c>
      <c r="F1674" s="2" t="s">
        <v>19</v>
      </c>
      <c r="G1674" s="2">
        <v>13551.35</v>
      </c>
      <c r="H1674" s="2">
        <v>6949.74</v>
      </c>
      <c r="I1674" s="2" t="s">
        <v>6867</v>
      </c>
      <c r="J1674" s="2" t="s">
        <v>6696</v>
      </c>
      <c r="K1674" s="2" t="s">
        <v>32</v>
      </c>
      <c r="L1674" s="2" t="s">
        <v>48</v>
      </c>
      <c r="M1674" s="2">
        <v>4</v>
      </c>
      <c r="N1674" s="2" t="s">
        <v>33</v>
      </c>
      <c r="O1674" s="2" t="s">
        <v>70</v>
      </c>
      <c r="P1674" s="2" t="s">
        <v>49</v>
      </c>
    </row>
    <row r="1675" spans="1:16" x14ac:dyDescent="0.25">
      <c r="A1675" s="2" t="s">
        <v>3978</v>
      </c>
      <c r="B1675" s="2" t="s">
        <v>98</v>
      </c>
      <c r="C1675" s="2">
        <v>2603</v>
      </c>
      <c r="D1675" s="2" t="s">
        <v>7980</v>
      </c>
      <c r="E1675" s="2" t="s">
        <v>38</v>
      </c>
      <c r="F1675" s="2" t="s">
        <v>47</v>
      </c>
      <c r="G1675" s="2">
        <v>9569.32</v>
      </c>
      <c r="H1675" s="2">
        <v>5048.6400000000003</v>
      </c>
      <c r="I1675" s="2" t="s">
        <v>120</v>
      </c>
      <c r="J1675" s="2" t="s">
        <v>21</v>
      </c>
      <c r="K1675" s="2" t="s">
        <v>32</v>
      </c>
      <c r="L1675" s="2" t="s">
        <v>88</v>
      </c>
      <c r="M1675" s="2">
        <v>1</v>
      </c>
      <c r="N1675" s="2" t="s">
        <v>24</v>
      </c>
      <c r="O1675" s="2" t="s">
        <v>25</v>
      </c>
      <c r="P1675" s="2" t="s">
        <v>49</v>
      </c>
    </row>
    <row r="1676" spans="1:16" x14ac:dyDescent="0.25">
      <c r="A1676" s="2" t="s">
        <v>3980</v>
      </c>
      <c r="B1676" s="2" t="s">
        <v>688</v>
      </c>
      <c r="C1676" s="2">
        <v>6268</v>
      </c>
      <c r="D1676" s="2" t="s">
        <v>2075</v>
      </c>
      <c r="E1676" s="2" t="s">
        <v>6748</v>
      </c>
      <c r="F1676" s="2" t="s">
        <v>58</v>
      </c>
      <c r="G1676" s="2">
        <v>8675.2999999999993</v>
      </c>
      <c r="H1676" s="2">
        <v>5472.71</v>
      </c>
      <c r="I1676" s="2" t="s">
        <v>6808</v>
      </c>
      <c r="J1676" s="2" t="s">
        <v>6729</v>
      </c>
      <c r="K1676" s="2" t="s">
        <v>80</v>
      </c>
      <c r="L1676" s="2" t="s">
        <v>43</v>
      </c>
      <c r="M1676" s="2">
        <v>5</v>
      </c>
      <c r="N1676" s="2" t="s">
        <v>24</v>
      </c>
      <c r="O1676" s="2" t="s">
        <v>25</v>
      </c>
      <c r="P1676" s="2" t="s">
        <v>49</v>
      </c>
    </row>
    <row r="1677" spans="1:16" x14ac:dyDescent="0.25">
      <c r="A1677" s="2" t="s">
        <v>3982</v>
      </c>
      <c r="B1677" s="2" t="s">
        <v>4296</v>
      </c>
      <c r="C1677" s="2">
        <v>4204</v>
      </c>
      <c r="D1677" s="2" t="s">
        <v>3827</v>
      </c>
      <c r="E1677" s="2" t="s">
        <v>18</v>
      </c>
      <c r="F1677" s="2" t="s">
        <v>47</v>
      </c>
      <c r="G1677" s="2">
        <v>11360.86</v>
      </c>
      <c r="H1677" s="2">
        <v>5824.85</v>
      </c>
      <c r="I1677" s="2" t="s">
        <v>63</v>
      </c>
      <c r="J1677" s="2" t="s">
        <v>54</v>
      </c>
      <c r="K1677" s="2" t="s">
        <v>42</v>
      </c>
      <c r="L1677" s="2" t="s">
        <v>55</v>
      </c>
      <c r="M1677" s="2">
        <v>3</v>
      </c>
      <c r="N1677" s="2" t="s">
        <v>24</v>
      </c>
      <c r="O1677" s="2" t="s">
        <v>25</v>
      </c>
      <c r="P1677" s="2" t="s">
        <v>49</v>
      </c>
    </row>
    <row r="1678" spans="1:16" x14ac:dyDescent="0.25">
      <c r="A1678" s="2" t="s">
        <v>3983</v>
      </c>
      <c r="B1678" s="2" t="s">
        <v>4765</v>
      </c>
      <c r="C1678" s="2">
        <v>7944</v>
      </c>
      <c r="D1678" s="2" t="s">
        <v>4106</v>
      </c>
      <c r="E1678" s="2" t="s">
        <v>38</v>
      </c>
      <c r="F1678" s="2" t="s">
        <v>39</v>
      </c>
      <c r="G1678" s="2">
        <v>50018.91</v>
      </c>
      <c r="H1678" s="2">
        <v>28362.32</v>
      </c>
      <c r="I1678" s="2" t="s">
        <v>63</v>
      </c>
      <c r="J1678" s="2" t="s">
        <v>54</v>
      </c>
      <c r="K1678" s="2" t="s">
        <v>42</v>
      </c>
      <c r="L1678" s="2" t="s">
        <v>88</v>
      </c>
      <c r="M1678" s="2">
        <v>3</v>
      </c>
      <c r="N1678" s="2" t="s">
        <v>33</v>
      </c>
      <c r="O1678" s="2" t="s">
        <v>25</v>
      </c>
      <c r="P1678" s="2" t="s">
        <v>26</v>
      </c>
    </row>
    <row r="1679" spans="1:16" x14ac:dyDescent="0.25">
      <c r="A1679" s="2" t="s">
        <v>3985</v>
      </c>
      <c r="B1679" s="2" t="s">
        <v>137</v>
      </c>
      <c r="C1679" s="2">
        <v>7850</v>
      </c>
      <c r="D1679" s="2" t="s">
        <v>8643</v>
      </c>
      <c r="E1679" s="2" t="s">
        <v>38</v>
      </c>
      <c r="F1679" s="2" t="s">
        <v>39</v>
      </c>
      <c r="G1679" s="2">
        <v>21749.46</v>
      </c>
      <c r="H1679" s="2">
        <v>13847.22</v>
      </c>
      <c r="I1679" s="2" t="s">
        <v>63</v>
      </c>
      <c r="J1679" s="2" t="s">
        <v>54</v>
      </c>
      <c r="K1679" s="2" t="s">
        <v>42</v>
      </c>
      <c r="L1679" s="2" t="s">
        <v>43</v>
      </c>
      <c r="M1679" s="2">
        <v>3</v>
      </c>
      <c r="N1679" s="2" t="s">
        <v>24</v>
      </c>
      <c r="O1679" s="2" t="s">
        <v>70</v>
      </c>
      <c r="P1679" s="2" t="s">
        <v>26</v>
      </c>
    </row>
    <row r="1680" spans="1:16" x14ac:dyDescent="0.25">
      <c r="A1680" s="2" t="s">
        <v>3987</v>
      </c>
      <c r="B1680" s="2" t="s">
        <v>206</v>
      </c>
      <c r="C1680" s="2">
        <v>3416</v>
      </c>
      <c r="D1680" s="2" t="s">
        <v>5279</v>
      </c>
      <c r="E1680" s="2" t="s">
        <v>38</v>
      </c>
      <c r="F1680" s="2" t="s">
        <v>39</v>
      </c>
      <c r="G1680" s="2">
        <v>40490.620000000003</v>
      </c>
      <c r="H1680" s="2">
        <v>24341.54</v>
      </c>
      <c r="I1680" s="2" t="s">
        <v>84</v>
      </c>
      <c r="J1680" s="2" t="s">
        <v>54</v>
      </c>
      <c r="K1680" s="2" t="s">
        <v>22</v>
      </c>
      <c r="L1680" s="2" t="s">
        <v>64</v>
      </c>
      <c r="M1680" s="2">
        <v>3</v>
      </c>
      <c r="N1680" s="2" t="s">
        <v>33</v>
      </c>
      <c r="O1680" s="2" t="s">
        <v>70</v>
      </c>
      <c r="P1680" s="2" t="s">
        <v>26</v>
      </c>
    </row>
    <row r="1681" spans="1:16" x14ac:dyDescent="0.25">
      <c r="A1681" s="2" t="s">
        <v>3990</v>
      </c>
      <c r="B1681" s="2" t="s">
        <v>5058</v>
      </c>
      <c r="C1681" s="2">
        <v>1432</v>
      </c>
      <c r="D1681" s="2" t="s">
        <v>8644</v>
      </c>
      <c r="E1681" s="2" t="s">
        <v>38</v>
      </c>
      <c r="F1681" s="2" t="s">
        <v>47</v>
      </c>
      <c r="G1681" s="2">
        <v>10112.01</v>
      </c>
      <c r="H1681" s="2">
        <v>5123.32</v>
      </c>
      <c r="I1681" s="2" t="s">
        <v>63</v>
      </c>
      <c r="J1681" s="2" t="s">
        <v>54</v>
      </c>
      <c r="K1681" s="2" t="s">
        <v>42</v>
      </c>
      <c r="L1681" s="2" t="s">
        <v>23</v>
      </c>
      <c r="M1681" s="2">
        <v>1</v>
      </c>
      <c r="N1681" s="2" t="s">
        <v>69</v>
      </c>
      <c r="O1681" s="2" t="s">
        <v>25</v>
      </c>
      <c r="P1681" s="2" t="s">
        <v>34</v>
      </c>
    </row>
    <row r="1682" spans="1:16" x14ac:dyDescent="0.25">
      <c r="A1682" s="2" t="s">
        <v>3991</v>
      </c>
      <c r="B1682" s="2" t="s">
        <v>2601</v>
      </c>
      <c r="C1682" s="2">
        <v>8023</v>
      </c>
      <c r="D1682" s="2" t="s">
        <v>8645</v>
      </c>
      <c r="E1682" s="2" t="s">
        <v>18</v>
      </c>
      <c r="F1682" s="2" t="s">
        <v>58</v>
      </c>
      <c r="G1682" s="2">
        <v>39734.589999999997</v>
      </c>
      <c r="H1682" s="2">
        <v>21753.01</v>
      </c>
      <c r="I1682" s="2" t="s">
        <v>53</v>
      </c>
      <c r="J1682" s="2" t="s">
        <v>54</v>
      </c>
      <c r="K1682" s="2" t="s">
        <v>42</v>
      </c>
      <c r="L1682" s="2" t="s">
        <v>23</v>
      </c>
      <c r="M1682" s="2">
        <v>2</v>
      </c>
      <c r="N1682" s="2" t="s">
        <v>24</v>
      </c>
      <c r="O1682" s="2" t="s">
        <v>25</v>
      </c>
      <c r="P1682" s="2" t="s">
        <v>26</v>
      </c>
    </row>
    <row r="1683" spans="1:16" x14ac:dyDescent="0.25">
      <c r="A1683" s="2" t="s">
        <v>3993</v>
      </c>
      <c r="B1683" s="2" t="s">
        <v>8646</v>
      </c>
      <c r="C1683" s="2">
        <v>3915</v>
      </c>
      <c r="D1683" s="2" t="s">
        <v>8647</v>
      </c>
      <c r="E1683" s="2" t="s">
        <v>6743</v>
      </c>
      <c r="F1683" s="2" t="s">
        <v>19</v>
      </c>
      <c r="G1683" s="2">
        <v>9304.4599999999991</v>
      </c>
      <c r="H1683" s="2">
        <v>4888.62</v>
      </c>
      <c r="I1683" s="2" t="s">
        <v>6845</v>
      </c>
      <c r="J1683" s="2" t="s">
        <v>6795</v>
      </c>
      <c r="K1683" s="2" t="s">
        <v>32</v>
      </c>
      <c r="L1683" s="2" t="s">
        <v>64</v>
      </c>
      <c r="M1683" s="2">
        <v>5</v>
      </c>
      <c r="N1683" s="2" t="s">
        <v>33</v>
      </c>
      <c r="O1683" s="2" t="s">
        <v>70</v>
      </c>
      <c r="P1683" s="2" t="s">
        <v>26</v>
      </c>
    </row>
    <row r="1684" spans="1:16" x14ac:dyDescent="0.25">
      <c r="A1684" s="2" t="s">
        <v>3995</v>
      </c>
      <c r="B1684" s="2" t="s">
        <v>5032</v>
      </c>
      <c r="C1684" s="2">
        <v>8573</v>
      </c>
      <c r="D1684" s="2" t="s">
        <v>8648</v>
      </c>
      <c r="E1684" s="2" t="s">
        <v>18</v>
      </c>
      <c r="F1684" s="2" t="s">
        <v>30</v>
      </c>
      <c r="G1684" s="2">
        <v>109007.78</v>
      </c>
      <c r="H1684" s="2">
        <v>50517.15</v>
      </c>
      <c r="I1684" s="2" t="s">
        <v>63</v>
      </c>
      <c r="J1684" s="2" t="s">
        <v>54</v>
      </c>
      <c r="K1684" s="2" t="s">
        <v>42</v>
      </c>
      <c r="L1684" s="2" t="s">
        <v>48</v>
      </c>
      <c r="M1684" s="2">
        <v>1</v>
      </c>
      <c r="N1684" s="2" t="s">
        <v>33</v>
      </c>
      <c r="O1684" s="2" t="s">
        <v>25</v>
      </c>
      <c r="P1684" s="2" t="s">
        <v>49</v>
      </c>
    </row>
    <row r="1685" spans="1:16" x14ac:dyDescent="0.25">
      <c r="A1685" s="2" t="s">
        <v>3997</v>
      </c>
      <c r="B1685" s="2" t="s">
        <v>296</v>
      </c>
      <c r="C1685" s="2">
        <v>2876</v>
      </c>
      <c r="D1685" s="2" t="s">
        <v>8649</v>
      </c>
      <c r="E1685" s="2" t="s">
        <v>38</v>
      </c>
      <c r="F1685" s="2" t="s">
        <v>58</v>
      </c>
      <c r="G1685" s="2">
        <v>17695.080000000002</v>
      </c>
      <c r="H1685" s="2">
        <v>8224.27</v>
      </c>
      <c r="I1685" s="2" t="s">
        <v>84</v>
      </c>
      <c r="J1685" s="2" t="s">
        <v>54</v>
      </c>
      <c r="K1685" s="2" t="s">
        <v>32</v>
      </c>
      <c r="L1685" s="2" t="s">
        <v>48</v>
      </c>
      <c r="M1685" s="2">
        <v>2</v>
      </c>
      <c r="N1685" s="2" t="s">
        <v>24</v>
      </c>
      <c r="O1685" s="2" t="s">
        <v>70</v>
      </c>
      <c r="P1685" s="2" t="s">
        <v>49</v>
      </c>
    </row>
    <row r="1686" spans="1:16" x14ac:dyDescent="0.25">
      <c r="A1686" s="2" t="s">
        <v>3999</v>
      </c>
      <c r="B1686" s="2" t="s">
        <v>8573</v>
      </c>
      <c r="C1686" s="2">
        <v>3403</v>
      </c>
      <c r="D1686" s="2" t="s">
        <v>8650</v>
      </c>
      <c r="E1686" s="2" t="s">
        <v>18</v>
      </c>
      <c r="F1686" s="2" t="s">
        <v>19</v>
      </c>
      <c r="G1686" s="2">
        <v>2253.85</v>
      </c>
      <c r="H1686" s="2">
        <v>1166.22</v>
      </c>
      <c r="I1686" s="2" t="s">
        <v>68</v>
      </c>
      <c r="J1686" s="2" t="s">
        <v>41</v>
      </c>
      <c r="K1686" s="2" t="s">
        <v>22</v>
      </c>
      <c r="L1686" s="2" t="s">
        <v>64</v>
      </c>
      <c r="M1686" s="2">
        <v>1</v>
      </c>
      <c r="N1686" s="2" t="s">
        <v>33</v>
      </c>
      <c r="O1686" s="2" t="s">
        <v>70</v>
      </c>
      <c r="P1686" s="2" t="s">
        <v>26</v>
      </c>
    </row>
    <row r="1687" spans="1:16" x14ac:dyDescent="0.25">
      <c r="A1687" s="2" t="s">
        <v>4002</v>
      </c>
      <c r="B1687" s="2" t="s">
        <v>2053</v>
      </c>
      <c r="C1687" s="2">
        <v>8282</v>
      </c>
      <c r="D1687" s="2" t="s">
        <v>8651</v>
      </c>
      <c r="E1687" s="2" t="s">
        <v>38</v>
      </c>
      <c r="F1687" s="2" t="s">
        <v>47</v>
      </c>
      <c r="G1687" s="2">
        <v>4116.62</v>
      </c>
      <c r="H1687" s="2">
        <v>2494.1799999999998</v>
      </c>
      <c r="I1687" s="2" t="s">
        <v>68</v>
      </c>
      <c r="J1687" s="2" t="s">
        <v>41</v>
      </c>
      <c r="K1687" s="2" t="s">
        <v>42</v>
      </c>
      <c r="L1687" s="2" t="s">
        <v>88</v>
      </c>
      <c r="M1687" s="2">
        <v>5</v>
      </c>
      <c r="N1687" s="2" t="s">
        <v>24</v>
      </c>
      <c r="O1687" s="2" t="s">
        <v>25</v>
      </c>
      <c r="P1687" s="2" t="s">
        <v>49</v>
      </c>
    </row>
    <row r="1688" spans="1:16" x14ac:dyDescent="0.25">
      <c r="A1688" s="2" t="s">
        <v>4004</v>
      </c>
      <c r="B1688" s="2" t="s">
        <v>7423</v>
      </c>
      <c r="C1688" s="2">
        <v>4170</v>
      </c>
      <c r="D1688" s="2" t="s">
        <v>1189</v>
      </c>
      <c r="E1688" s="2" t="s">
        <v>18</v>
      </c>
      <c r="F1688" s="2" t="s">
        <v>47</v>
      </c>
      <c r="G1688" s="2">
        <v>6727.11</v>
      </c>
      <c r="H1688" s="2">
        <v>3915.49</v>
      </c>
      <c r="I1688" s="2" t="s">
        <v>63</v>
      </c>
      <c r="J1688" s="2" t="s">
        <v>54</v>
      </c>
      <c r="K1688" s="2" t="s">
        <v>22</v>
      </c>
      <c r="L1688" s="2" t="s">
        <v>55</v>
      </c>
      <c r="M1688" s="2">
        <v>2</v>
      </c>
      <c r="N1688" s="2" t="s">
        <v>33</v>
      </c>
      <c r="O1688" s="2" t="s">
        <v>25</v>
      </c>
      <c r="P1688" s="2" t="s">
        <v>26</v>
      </c>
    </row>
    <row r="1689" spans="1:16" x14ac:dyDescent="0.25">
      <c r="A1689" s="2" t="s">
        <v>4007</v>
      </c>
      <c r="B1689" s="2" t="s">
        <v>8652</v>
      </c>
      <c r="C1689" s="2">
        <v>5435</v>
      </c>
      <c r="D1689" s="2" t="s">
        <v>8653</v>
      </c>
      <c r="E1689" s="2" t="s">
        <v>6748</v>
      </c>
      <c r="F1689" s="2" t="s">
        <v>39</v>
      </c>
      <c r="G1689" s="2">
        <v>28256.34</v>
      </c>
      <c r="H1689" s="2">
        <v>17488.650000000001</v>
      </c>
      <c r="I1689" s="2" t="s">
        <v>6739</v>
      </c>
      <c r="J1689" s="2" t="s">
        <v>6700</v>
      </c>
      <c r="K1689" s="2" t="s">
        <v>80</v>
      </c>
      <c r="L1689" s="2" t="s">
        <v>48</v>
      </c>
      <c r="M1689" s="2">
        <v>1</v>
      </c>
      <c r="N1689" s="2" t="s">
        <v>24</v>
      </c>
      <c r="O1689" s="2" t="s">
        <v>70</v>
      </c>
      <c r="P1689" s="2" t="s">
        <v>34</v>
      </c>
    </row>
    <row r="1690" spans="1:16" x14ac:dyDescent="0.25">
      <c r="A1690" s="2" t="s">
        <v>4009</v>
      </c>
      <c r="B1690" s="2" t="s">
        <v>823</v>
      </c>
      <c r="C1690" s="2">
        <v>8688</v>
      </c>
      <c r="D1690" s="2" t="s">
        <v>3912</v>
      </c>
      <c r="E1690" s="2" t="s">
        <v>6708</v>
      </c>
      <c r="F1690" s="2" t="s">
        <v>58</v>
      </c>
      <c r="G1690" s="2">
        <v>38993.050000000003</v>
      </c>
      <c r="H1690" s="2">
        <v>21729.599999999999</v>
      </c>
      <c r="I1690" s="2" t="s">
        <v>6759</v>
      </c>
      <c r="J1690" s="2" t="s">
        <v>6753</v>
      </c>
      <c r="K1690" s="2" t="s">
        <v>22</v>
      </c>
      <c r="L1690" s="2" t="s">
        <v>64</v>
      </c>
      <c r="M1690" s="2">
        <v>1</v>
      </c>
      <c r="N1690" s="2" t="s">
        <v>69</v>
      </c>
      <c r="O1690" s="2" t="s">
        <v>70</v>
      </c>
      <c r="P1690" s="2" t="s">
        <v>34</v>
      </c>
    </row>
    <row r="1691" spans="1:16" x14ac:dyDescent="0.25">
      <c r="A1691" s="2" t="s">
        <v>4011</v>
      </c>
      <c r="B1691" s="2" t="s">
        <v>2442</v>
      </c>
      <c r="C1691" s="2">
        <v>9194</v>
      </c>
      <c r="D1691" s="2" t="s">
        <v>7390</v>
      </c>
      <c r="E1691" s="2" t="s">
        <v>38</v>
      </c>
      <c r="F1691" s="2" t="s">
        <v>47</v>
      </c>
      <c r="G1691" s="2">
        <v>10814.02</v>
      </c>
      <c r="H1691" s="2">
        <v>5197.55</v>
      </c>
      <c r="I1691" s="2" t="s">
        <v>20</v>
      </c>
      <c r="J1691" s="2" t="s">
        <v>21</v>
      </c>
      <c r="K1691" s="2" t="s">
        <v>42</v>
      </c>
      <c r="L1691" s="2" t="s">
        <v>23</v>
      </c>
      <c r="M1691" s="2">
        <v>4</v>
      </c>
      <c r="N1691" s="2" t="s">
        <v>24</v>
      </c>
      <c r="O1691" s="2" t="s">
        <v>70</v>
      </c>
      <c r="P1691" s="2" t="s">
        <v>26</v>
      </c>
    </row>
    <row r="1692" spans="1:16" x14ac:dyDescent="0.25">
      <c r="A1692" s="2" t="s">
        <v>4014</v>
      </c>
      <c r="B1692" s="2" t="s">
        <v>8654</v>
      </c>
      <c r="C1692" s="2">
        <v>5213</v>
      </c>
      <c r="D1692" s="2" t="s">
        <v>4980</v>
      </c>
      <c r="E1692" s="2" t="s">
        <v>6756</v>
      </c>
      <c r="F1692" s="2" t="s">
        <v>19</v>
      </c>
      <c r="G1692" s="2">
        <v>5537.49</v>
      </c>
      <c r="H1692" s="2">
        <v>2493.3200000000002</v>
      </c>
      <c r="I1692" s="2" t="s">
        <v>6681</v>
      </c>
      <c r="J1692" s="2" t="s">
        <v>6793</v>
      </c>
      <c r="K1692" s="2" t="s">
        <v>32</v>
      </c>
      <c r="L1692" s="2" t="s">
        <v>64</v>
      </c>
      <c r="M1692" s="2">
        <v>1</v>
      </c>
      <c r="N1692" s="2" t="s">
        <v>24</v>
      </c>
      <c r="O1692" s="2" t="s">
        <v>70</v>
      </c>
      <c r="P1692" s="2" t="s">
        <v>26</v>
      </c>
    </row>
    <row r="1693" spans="1:16" x14ac:dyDescent="0.25">
      <c r="A1693" s="2" t="s">
        <v>4016</v>
      </c>
      <c r="B1693" s="2" t="s">
        <v>6482</v>
      </c>
      <c r="C1693" s="2">
        <v>7193</v>
      </c>
      <c r="D1693" s="2" t="s">
        <v>8655</v>
      </c>
      <c r="E1693" s="2" t="s">
        <v>38</v>
      </c>
      <c r="F1693" s="2" t="s">
        <v>58</v>
      </c>
      <c r="G1693" s="2">
        <v>56224.88</v>
      </c>
      <c r="H1693" s="2">
        <v>36202.230000000003</v>
      </c>
      <c r="I1693" s="2" t="s">
        <v>20</v>
      </c>
      <c r="J1693" s="2" t="s">
        <v>21</v>
      </c>
      <c r="K1693" s="2" t="s">
        <v>42</v>
      </c>
      <c r="L1693" s="2" t="s">
        <v>48</v>
      </c>
      <c r="M1693" s="2">
        <v>1</v>
      </c>
      <c r="N1693" s="2" t="s">
        <v>33</v>
      </c>
      <c r="O1693" s="2" t="s">
        <v>25</v>
      </c>
      <c r="P1693" s="2" t="s">
        <v>26</v>
      </c>
    </row>
    <row r="1694" spans="1:16" x14ac:dyDescent="0.25">
      <c r="A1694" s="2" t="s">
        <v>4019</v>
      </c>
      <c r="B1694" s="2" t="s">
        <v>5058</v>
      </c>
      <c r="C1694" s="2">
        <v>5424</v>
      </c>
      <c r="D1694" s="2" t="s">
        <v>8656</v>
      </c>
      <c r="E1694" s="2" t="s">
        <v>32</v>
      </c>
      <c r="F1694" s="2" t="s">
        <v>58</v>
      </c>
      <c r="G1694" s="2">
        <v>33657.19</v>
      </c>
      <c r="H1694" s="2">
        <v>20475.71</v>
      </c>
      <c r="I1694" s="2" t="s">
        <v>59</v>
      </c>
      <c r="J1694" s="2" t="s">
        <v>6713</v>
      </c>
      <c r="K1694" s="2" t="s">
        <v>22</v>
      </c>
      <c r="L1694" s="2" t="s">
        <v>43</v>
      </c>
      <c r="M1694" s="2">
        <v>5</v>
      </c>
      <c r="N1694" s="2" t="s">
        <v>33</v>
      </c>
      <c r="O1694" s="2" t="s">
        <v>70</v>
      </c>
      <c r="P1694" s="2" t="s">
        <v>49</v>
      </c>
    </row>
    <row r="1695" spans="1:16" x14ac:dyDescent="0.25">
      <c r="A1695" s="2" t="s">
        <v>4021</v>
      </c>
      <c r="B1695" s="2" t="s">
        <v>8657</v>
      </c>
      <c r="C1695" s="2">
        <v>8960</v>
      </c>
      <c r="D1695" s="2" t="s">
        <v>8658</v>
      </c>
      <c r="E1695" s="2" t="s">
        <v>32</v>
      </c>
      <c r="F1695" s="2" t="s">
        <v>19</v>
      </c>
      <c r="G1695" s="2">
        <v>13232.66</v>
      </c>
      <c r="H1695" s="2">
        <v>6059</v>
      </c>
      <c r="I1695" s="2" t="s">
        <v>6736</v>
      </c>
      <c r="J1695" s="2" t="s">
        <v>6700</v>
      </c>
      <c r="K1695" s="2" t="s">
        <v>80</v>
      </c>
      <c r="L1695" s="2" t="s">
        <v>48</v>
      </c>
      <c r="M1695" s="2">
        <v>1</v>
      </c>
      <c r="N1695" s="2" t="s">
        <v>24</v>
      </c>
      <c r="O1695" s="2" t="s">
        <v>25</v>
      </c>
      <c r="P1695" s="2" t="s">
        <v>34</v>
      </c>
    </row>
    <row r="1696" spans="1:16" x14ac:dyDescent="0.25">
      <c r="A1696" s="2" t="s">
        <v>4023</v>
      </c>
      <c r="B1696" s="2" t="s">
        <v>8659</v>
      </c>
      <c r="C1696" s="2">
        <v>7754</v>
      </c>
      <c r="D1696" s="2" t="s">
        <v>4687</v>
      </c>
      <c r="E1696" s="2" t="s">
        <v>18</v>
      </c>
      <c r="F1696" s="2" t="s">
        <v>39</v>
      </c>
      <c r="G1696" s="2">
        <v>33464.769999999997</v>
      </c>
      <c r="H1696" s="2">
        <v>17251.240000000002</v>
      </c>
      <c r="I1696" s="2" t="s">
        <v>6695</v>
      </c>
      <c r="J1696" s="2" t="s">
        <v>21</v>
      </c>
      <c r="K1696" s="2" t="s">
        <v>22</v>
      </c>
      <c r="L1696" s="2" t="s">
        <v>55</v>
      </c>
      <c r="M1696" s="2">
        <v>1</v>
      </c>
      <c r="N1696" s="2" t="s">
        <v>69</v>
      </c>
      <c r="O1696" s="2" t="s">
        <v>25</v>
      </c>
      <c r="P1696" s="2" t="s">
        <v>26</v>
      </c>
    </row>
    <row r="1697" spans="1:16" x14ac:dyDescent="0.25">
      <c r="A1697" s="2" t="s">
        <v>4025</v>
      </c>
      <c r="B1697" s="2" t="s">
        <v>8660</v>
      </c>
      <c r="C1697" s="2">
        <v>8758</v>
      </c>
      <c r="D1697" s="2" t="s">
        <v>8661</v>
      </c>
      <c r="E1697" s="2" t="s">
        <v>6694</v>
      </c>
      <c r="F1697" s="2" t="s">
        <v>39</v>
      </c>
      <c r="G1697" s="2">
        <v>25194.48</v>
      </c>
      <c r="H1697" s="2">
        <v>16025.15</v>
      </c>
      <c r="I1697" s="2" t="s">
        <v>6910</v>
      </c>
      <c r="J1697" s="2" t="s">
        <v>6724</v>
      </c>
      <c r="K1697" s="2" t="s">
        <v>32</v>
      </c>
      <c r="L1697" s="2" t="s">
        <v>48</v>
      </c>
      <c r="M1697" s="2">
        <v>5</v>
      </c>
      <c r="N1697" s="2" t="s">
        <v>33</v>
      </c>
      <c r="O1697" s="2" t="s">
        <v>25</v>
      </c>
      <c r="P1697" s="2" t="s">
        <v>49</v>
      </c>
    </row>
    <row r="1698" spans="1:16" x14ac:dyDescent="0.25">
      <c r="A1698" s="2" t="s">
        <v>4027</v>
      </c>
      <c r="B1698" s="2" t="s">
        <v>8662</v>
      </c>
      <c r="C1698" s="2">
        <v>4769</v>
      </c>
      <c r="D1698" s="2" t="s">
        <v>8663</v>
      </c>
      <c r="E1698" s="2" t="s">
        <v>6748</v>
      </c>
      <c r="F1698" s="2" t="s">
        <v>19</v>
      </c>
      <c r="G1698" s="2">
        <v>11259.04</v>
      </c>
      <c r="H1698" s="2">
        <v>7019.04</v>
      </c>
      <c r="I1698" s="2" t="s">
        <v>6812</v>
      </c>
      <c r="J1698" s="2" t="s">
        <v>6686</v>
      </c>
      <c r="K1698" s="2" t="s">
        <v>80</v>
      </c>
      <c r="L1698" s="2" t="s">
        <v>48</v>
      </c>
      <c r="M1698" s="2">
        <v>3</v>
      </c>
      <c r="N1698" s="2" t="s">
        <v>33</v>
      </c>
      <c r="O1698" s="2" t="s">
        <v>70</v>
      </c>
      <c r="P1698" s="2" t="s">
        <v>34</v>
      </c>
    </row>
    <row r="1699" spans="1:16" x14ac:dyDescent="0.25">
      <c r="A1699" s="2" t="s">
        <v>4028</v>
      </c>
      <c r="B1699" s="2" t="s">
        <v>7547</v>
      </c>
      <c r="C1699" s="2">
        <v>4460</v>
      </c>
      <c r="D1699" s="2" t="s">
        <v>8664</v>
      </c>
      <c r="E1699" s="2" t="s">
        <v>38</v>
      </c>
      <c r="F1699" s="2" t="s">
        <v>39</v>
      </c>
      <c r="G1699" s="2">
        <v>16626.78</v>
      </c>
      <c r="H1699" s="2">
        <v>10611.74</v>
      </c>
      <c r="I1699" s="2" t="s">
        <v>20</v>
      </c>
      <c r="J1699" s="2" t="s">
        <v>21</v>
      </c>
      <c r="K1699" s="2" t="s">
        <v>42</v>
      </c>
      <c r="L1699" s="2" t="s">
        <v>55</v>
      </c>
      <c r="M1699" s="2">
        <v>2</v>
      </c>
      <c r="N1699" s="2" t="s">
        <v>33</v>
      </c>
      <c r="O1699" s="2" t="s">
        <v>70</v>
      </c>
      <c r="P1699" s="2" t="s">
        <v>49</v>
      </c>
    </row>
    <row r="1700" spans="1:16" x14ac:dyDescent="0.25">
      <c r="A1700" s="2" t="s">
        <v>4030</v>
      </c>
      <c r="B1700" s="2" t="s">
        <v>525</v>
      </c>
      <c r="C1700" s="2">
        <v>8328</v>
      </c>
      <c r="D1700" s="2" t="s">
        <v>2599</v>
      </c>
      <c r="E1700" s="2" t="s">
        <v>38</v>
      </c>
      <c r="F1700" s="2" t="s">
        <v>19</v>
      </c>
      <c r="G1700" s="2">
        <v>8427.61</v>
      </c>
      <c r="H1700" s="2">
        <v>5045.68</v>
      </c>
      <c r="I1700" s="2" t="s">
        <v>59</v>
      </c>
      <c r="J1700" s="2" t="s">
        <v>41</v>
      </c>
      <c r="K1700" s="2" t="s">
        <v>80</v>
      </c>
      <c r="L1700" s="2" t="s">
        <v>55</v>
      </c>
      <c r="M1700" s="2">
        <v>5</v>
      </c>
      <c r="N1700" s="2" t="s">
        <v>33</v>
      </c>
      <c r="O1700" s="2" t="s">
        <v>25</v>
      </c>
      <c r="P1700" s="2" t="s">
        <v>26</v>
      </c>
    </row>
    <row r="1701" spans="1:16" x14ac:dyDescent="0.25">
      <c r="A1701" s="2" t="s">
        <v>4032</v>
      </c>
      <c r="B1701" s="2" t="s">
        <v>1914</v>
      </c>
      <c r="C1701" s="2">
        <v>7405</v>
      </c>
      <c r="D1701" s="2" t="s">
        <v>8665</v>
      </c>
      <c r="E1701" s="2" t="s">
        <v>18</v>
      </c>
      <c r="F1701" s="2" t="s">
        <v>19</v>
      </c>
      <c r="G1701" s="2">
        <v>9359.9599999999991</v>
      </c>
      <c r="H1701" s="2">
        <v>5313.15</v>
      </c>
      <c r="I1701" s="2" t="s">
        <v>31</v>
      </c>
      <c r="J1701" s="2" t="s">
        <v>21</v>
      </c>
      <c r="K1701" s="2" t="s">
        <v>22</v>
      </c>
      <c r="L1701" s="2" t="s">
        <v>43</v>
      </c>
      <c r="M1701" s="2">
        <v>1</v>
      </c>
      <c r="N1701" s="2" t="s">
        <v>33</v>
      </c>
      <c r="O1701" s="2" t="s">
        <v>70</v>
      </c>
      <c r="P1701" s="2" t="s">
        <v>34</v>
      </c>
    </row>
    <row r="1702" spans="1:16" x14ac:dyDescent="0.25">
      <c r="A1702" s="2" t="s">
        <v>4033</v>
      </c>
      <c r="B1702" s="2" t="s">
        <v>8666</v>
      </c>
      <c r="C1702" s="2">
        <v>6418</v>
      </c>
      <c r="D1702" s="2" t="s">
        <v>8667</v>
      </c>
      <c r="E1702" s="2" t="s">
        <v>6694</v>
      </c>
      <c r="F1702" s="2" t="s">
        <v>58</v>
      </c>
      <c r="G1702" s="2">
        <v>34683.22</v>
      </c>
      <c r="H1702" s="2">
        <v>19613.77</v>
      </c>
      <c r="I1702" s="2" t="s">
        <v>84</v>
      </c>
      <c r="J1702" s="2" t="s">
        <v>54</v>
      </c>
      <c r="K1702" s="2" t="s">
        <v>80</v>
      </c>
      <c r="L1702" s="2" t="s">
        <v>23</v>
      </c>
      <c r="M1702" s="2">
        <v>2</v>
      </c>
      <c r="N1702" s="2" t="s">
        <v>33</v>
      </c>
      <c r="O1702" s="2" t="s">
        <v>70</v>
      </c>
      <c r="P1702" s="2" t="s">
        <v>34</v>
      </c>
    </row>
    <row r="1703" spans="1:16" x14ac:dyDescent="0.25">
      <c r="A1703" s="2" t="s">
        <v>4035</v>
      </c>
      <c r="B1703" s="2" t="s">
        <v>8318</v>
      </c>
      <c r="C1703" s="2">
        <v>7093</v>
      </c>
      <c r="D1703" s="2" t="s">
        <v>4705</v>
      </c>
      <c r="E1703" s="2" t="s">
        <v>18</v>
      </c>
      <c r="F1703" s="2" t="s">
        <v>19</v>
      </c>
      <c r="G1703" s="2">
        <v>9816.3700000000008</v>
      </c>
      <c r="H1703" s="2">
        <v>4908.75</v>
      </c>
      <c r="I1703" s="2" t="s">
        <v>68</v>
      </c>
      <c r="J1703" s="2" t="s">
        <v>41</v>
      </c>
      <c r="K1703" s="2" t="s">
        <v>80</v>
      </c>
      <c r="L1703" s="2" t="s">
        <v>43</v>
      </c>
      <c r="M1703" s="2">
        <v>5</v>
      </c>
      <c r="N1703" s="2" t="s">
        <v>24</v>
      </c>
      <c r="O1703" s="2" t="s">
        <v>70</v>
      </c>
      <c r="P1703" s="2" t="s">
        <v>34</v>
      </c>
    </row>
    <row r="1704" spans="1:16" x14ac:dyDescent="0.25">
      <c r="A1704" s="2" t="s">
        <v>4037</v>
      </c>
      <c r="B1704" s="2" t="s">
        <v>1162</v>
      </c>
      <c r="C1704" s="2">
        <v>9193</v>
      </c>
      <c r="D1704" s="2" t="s">
        <v>6064</v>
      </c>
      <c r="E1704" s="2" t="s">
        <v>18</v>
      </c>
      <c r="F1704" s="2" t="s">
        <v>39</v>
      </c>
      <c r="G1704" s="2">
        <v>8181.01</v>
      </c>
      <c r="H1704" s="2">
        <v>4759.84</v>
      </c>
      <c r="I1704" s="2" t="s">
        <v>68</v>
      </c>
      <c r="J1704" s="2" t="s">
        <v>41</v>
      </c>
      <c r="K1704" s="2" t="s">
        <v>32</v>
      </c>
      <c r="L1704" s="2" t="s">
        <v>48</v>
      </c>
      <c r="M1704" s="2">
        <v>3</v>
      </c>
      <c r="N1704" s="2" t="s">
        <v>24</v>
      </c>
      <c r="O1704" s="2" t="s">
        <v>70</v>
      </c>
      <c r="P1704" s="2" t="s">
        <v>26</v>
      </c>
    </row>
    <row r="1705" spans="1:16" x14ac:dyDescent="0.25">
      <c r="A1705" s="2" t="s">
        <v>4039</v>
      </c>
      <c r="B1705" s="2" t="s">
        <v>633</v>
      </c>
      <c r="C1705" s="2">
        <v>6671</v>
      </c>
      <c r="D1705" s="2" t="s">
        <v>8668</v>
      </c>
      <c r="E1705" s="2" t="s">
        <v>38</v>
      </c>
      <c r="F1705" s="2" t="s">
        <v>58</v>
      </c>
      <c r="G1705" s="2">
        <v>48779.73</v>
      </c>
      <c r="H1705" s="2">
        <v>23260.67</v>
      </c>
      <c r="I1705" s="2" t="s">
        <v>63</v>
      </c>
      <c r="J1705" s="2" t="s">
        <v>54</v>
      </c>
      <c r="K1705" s="2" t="s">
        <v>42</v>
      </c>
      <c r="L1705" s="2" t="s">
        <v>88</v>
      </c>
      <c r="M1705" s="2">
        <v>3</v>
      </c>
      <c r="N1705" s="2" t="s">
        <v>24</v>
      </c>
      <c r="O1705" s="2" t="s">
        <v>25</v>
      </c>
      <c r="P1705" s="2" t="s">
        <v>49</v>
      </c>
    </row>
    <row r="1706" spans="1:16" x14ac:dyDescent="0.25">
      <c r="A1706" s="2" t="s">
        <v>4041</v>
      </c>
      <c r="B1706" s="2" t="s">
        <v>1185</v>
      </c>
      <c r="C1706" s="2">
        <v>3308</v>
      </c>
      <c r="D1706" s="2" t="s">
        <v>8669</v>
      </c>
      <c r="E1706" s="2" t="s">
        <v>6743</v>
      </c>
      <c r="F1706" s="2" t="s">
        <v>47</v>
      </c>
      <c r="G1706" s="2">
        <v>11361.98</v>
      </c>
      <c r="H1706" s="2">
        <v>6940.73</v>
      </c>
      <c r="I1706" s="2" t="s">
        <v>59</v>
      </c>
      <c r="J1706" s="2" t="s">
        <v>6793</v>
      </c>
      <c r="K1706" s="2" t="s">
        <v>80</v>
      </c>
      <c r="L1706" s="2" t="s">
        <v>48</v>
      </c>
      <c r="M1706" s="2">
        <v>3</v>
      </c>
      <c r="N1706" s="2" t="s">
        <v>24</v>
      </c>
      <c r="O1706" s="2" t="s">
        <v>25</v>
      </c>
      <c r="P1706" s="2" t="s">
        <v>34</v>
      </c>
    </row>
    <row r="1707" spans="1:16" x14ac:dyDescent="0.25">
      <c r="A1707" s="2" t="s">
        <v>4043</v>
      </c>
      <c r="B1707" s="2" t="s">
        <v>5032</v>
      </c>
      <c r="C1707" s="2">
        <v>8773</v>
      </c>
      <c r="D1707" s="2" t="s">
        <v>8670</v>
      </c>
      <c r="E1707" s="2" t="s">
        <v>6694</v>
      </c>
      <c r="F1707" s="2" t="s">
        <v>47</v>
      </c>
      <c r="G1707" s="2">
        <v>4840.42</v>
      </c>
      <c r="H1707" s="2">
        <v>2594.25</v>
      </c>
      <c r="I1707" s="2" t="s">
        <v>6728</v>
      </c>
      <c r="J1707" s="2" t="s">
        <v>6753</v>
      </c>
      <c r="K1707" s="2" t="s">
        <v>80</v>
      </c>
      <c r="L1707" s="2" t="s">
        <v>23</v>
      </c>
      <c r="M1707" s="2">
        <v>4</v>
      </c>
      <c r="N1707" s="2" t="s">
        <v>33</v>
      </c>
      <c r="O1707" s="2" t="s">
        <v>25</v>
      </c>
      <c r="P1707" s="2" t="s">
        <v>34</v>
      </c>
    </row>
    <row r="1708" spans="1:16" x14ac:dyDescent="0.25">
      <c r="A1708" s="2" t="s">
        <v>4045</v>
      </c>
      <c r="B1708" s="2" t="s">
        <v>4470</v>
      </c>
      <c r="C1708" s="2">
        <v>8454</v>
      </c>
      <c r="D1708" s="2" t="s">
        <v>8671</v>
      </c>
      <c r="E1708" s="2" t="s">
        <v>38</v>
      </c>
      <c r="F1708" s="2" t="s">
        <v>30</v>
      </c>
      <c r="G1708" s="2">
        <v>111326.95</v>
      </c>
      <c r="H1708" s="2">
        <v>57459.02</v>
      </c>
      <c r="I1708" s="2" t="s">
        <v>53</v>
      </c>
      <c r="J1708" s="2" t="s">
        <v>54</v>
      </c>
      <c r="K1708" s="2" t="s">
        <v>42</v>
      </c>
      <c r="L1708" s="2" t="s">
        <v>88</v>
      </c>
      <c r="M1708" s="2">
        <v>5</v>
      </c>
      <c r="N1708" s="2" t="s">
        <v>33</v>
      </c>
      <c r="O1708" s="2" t="s">
        <v>25</v>
      </c>
      <c r="P1708" s="2" t="s">
        <v>34</v>
      </c>
    </row>
    <row r="1709" spans="1:16" x14ac:dyDescent="0.25">
      <c r="A1709" s="2" t="s">
        <v>4048</v>
      </c>
      <c r="B1709" s="2" t="s">
        <v>7634</v>
      </c>
      <c r="C1709" s="2">
        <v>4490</v>
      </c>
      <c r="D1709" s="2" t="s">
        <v>8672</v>
      </c>
      <c r="E1709" s="2" t="s">
        <v>38</v>
      </c>
      <c r="F1709" s="2" t="s">
        <v>58</v>
      </c>
      <c r="G1709" s="2">
        <v>61830.45</v>
      </c>
      <c r="H1709" s="2">
        <v>39162.660000000003</v>
      </c>
      <c r="I1709" s="2" t="s">
        <v>63</v>
      </c>
      <c r="J1709" s="2" t="s">
        <v>54</v>
      </c>
      <c r="K1709" s="2" t="s">
        <v>42</v>
      </c>
      <c r="L1709" s="2" t="s">
        <v>43</v>
      </c>
      <c r="M1709" s="2">
        <v>4</v>
      </c>
      <c r="N1709" s="2" t="s">
        <v>33</v>
      </c>
      <c r="O1709" s="2" t="s">
        <v>25</v>
      </c>
      <c r="P1709" s="2" t="s">
        <v>49</v>
      </c>
    </row>
    <row r="1710" spans="1:16" x14ac:dyDescent="0.25">
      <c r="A1710" s="2" t="s">
        <v>4050</v>
      </c>
      <c r="B1710" s="2" t="s">
        <v>8673</v>
      </c>
      <c r="C1710" s="2">
        <v>1445</v>
      </c>
      <c r="D1710" s="2" t="s">
        <v>8674</v>
      </c>
      <c r="E1710" s="2" t="s">
        <v>18</v>
      </c>
      <c r="F1710" s="2" t="s">
        <v>58</v>
      </c>
      <c r="G1710" s="2">
        <v>10251.06</v>
      </c>
      <c r="H1710" s="2">
        <v>5184.58</v>
      </c>
      <c r="I1710" s="2" t="s">
        <v>6777</v>
      </c>
      <c r="J1710" s="2" t="s">
        <v>6732</v>
      </c>
      <c r="K1710" s="2" t="s">
        <v>42</v>
      </c>
      <c r="L1710" s="2" t="s">
        <v>88</v>
      </c>
      <c r="M1710" s="2">
        <v>4</v>
      </c>
      <c r="N1710" s="2" t="s">
        <v>24</v>
      </c>
      <c r="O1710" s="2" t="s">
        <v>25</v>
      </c>
      <c r="P1710" s="2" t="s">
        <v>49</v>
      </c>
    </row>
    <row r="1711" spans="1:16" x14ac:dyDescent="0.25">
      <c r="A1711" s="2" t="s">
        <v>4052</v>
      </c>
      <c r="B1711" s="2" t="s">
        <v>2564</v>
      </c>
      <c r="C1711" s="2">
        <v>8624</v>
      </c>
      <c r="D1711" s="2" t="s">
        <v>3623</v>
      </c>
      <c r="E1711" s="2" t="s">
        <v>6756</v>
      </c>
      <c r="F1711" s="2" t="s">
        <v>58</v>
      </c>
      <c r="G1711" s="2">
        <v>27469.91</v>
      </c>
      <c r="H1711" s="2">
        <v>14203.53</v>
      </c>
      <c r="I1711" s="2" t="s">
        <v>6726</v>
      </c>
      <c r="J1711" s="2" t="s">
        <v>6724</v>
      </c>
      <c r="K1711" s="2" t="s">
        <v>42</v>
      </c>
      <c r="L1711" s="2" t="s">
        <v>43</v>
      </c>
      <c r="M1711" s="2">
        <v>1</v>
      </c>
      <c r="N1711" s="2" t="s">
        <v>69</v>
      </c>
      <c r="O1711" s="2" t="s">
        <v>70</v>
      </c>
      <c r="P1711" s="2" t="s">
        <v>26</v>
      </c>
    </row>
    <row r="1712" spans="1:16" x14ac:dyDescent="0.25">
      <c r="A1712" s="2" t="s">
        <v>4053</v>
      </c>
      <c r="B1712" s="2" t="s">
        <v>8675</v>
      </c>
      <c r="C1712" s="2">
        <v>3887</v>
      </c>
      <c r="D1712" s="2" t="s">
        <v>8676</v>
      </c>
      <c r="E1712" s="2" t="s">
        <v>6719</v>
      </c>
      <c r="F1712" s="2" t="s">
        <v>39</v>
      </c>
      <c r="G1712" s="2">
        <v>6918.29</v>
      </c>
      <c r="H1712" s="2">
        <v>3685.87</v>
      </c>
      <c r="I1712" s="2" t="s">
        <v>120</v>
      </c>
      <c r="J1712" s="2" t="s">
        <v>6802</v>
      </c>
      <c r="K1712" s="2" t="s">
        <v>32</v>
      </c>
      <c r="L1712" s="2" t="s">
        <v>88</v>
      </c>
      <c r="M1712" s="2">
        <v>3</v>
      </c>
      <c r="N1712" s="2" t="s">
        <v>24</v>
      </c>
      <c r="O1712" s="2" t="s">
        <v>70</v>
      </c>
      <c r="P1712" s="2" t="s">
        <v>34</v>
      </c>
    </row>
    <row r="1713" spans="1:16" x14ac:dyDescent="0.25">
      <c r="A1713" s="2" t="s">
        <v>4054</v>
      </c>
      <c r="B1713" s="2" t="s">
        <v>3632</v>
      </c>
      <c r="C1713" s="2">
        <v>9840</v>
      </c>
      <c r="D1713" s="2" t="s">
        <v>2963</v>
      </c>
      <c r="E1713" s="2" t="s">
        <v>18</v>
      </c>
      <c r="F1713" s="2" t="s">
        <v>30</v>
      </c>
      <c r="G1713" s="2">
        <v>97688.08</v>
      </c>
      <c r="H1713" s="2">
        <v>52091.12</v>
      </c>
      <c r="I1713" s="2" t="s">
        <v>20</v>
      </c>
      <c r="J1713" s="2" t="s">
        <v>21</v>
      </c>
      <c r="K1713" s="2" t="s">
        <v>42</v>
      </c>
      <c r="L1713" s="2" t="s">
        <v>48</v>
      </c>
      <c r="M1713" s="2">
        <v>3</v>
      </c>
      <c r="N1713" s="2" t="s">
        <v>33</v>
      </c>
      <c r="O1713" s="2" t="s">
        <v>70</v>
      </c>
      <c r="P1713" s="2" t="s">
        <v>34</v>
      </c>
    </row>
    <row r="1714" spans="1:16" x14ac:dyDescent="0.25">
      <c r="A1714" s="2" t="s">
        <v>4057</v>
      </c>
      <c r="B1714" s="2" t="s">
        <v>3271</v>
      </c>
      <c r="C1714" s="2">
        <v>9566</v>
      </c>
      <c r="D1714" s="2" t="s">
        <v>8677</v>
      </c>
      <c r="E1714" s="2" t="s">
        <v>18</v>
      </c>
      <c r="F1714" s="2" t="s">
        <v>30</v>
      </c>
      <c r="G1714" s="2">
        <v>36094.58</v>
      </c>
      <c r="H1714" s="2">
        <v>22411.23</v>
      </c>
      <c r="I1714" s="2" t="s">
        <v>53</v>
      </c>
      <c r="J1714" s="2" t="s">
        <v>54</v>
      </c>
      <c r="K1714" s="2" t="s">
        <v>32</v>
      </c>
      <c r="L1714" s="2" t="s">
        <v>88</v>
      </c>
      <c r="M1714" s="2">
        <v>2</v>
      </c>
      <c r="N1714" s="2" t="s">
        <v>33</v>
      </c>
      <c r="O1714" s="2" t="s">
        <v>25</v>
      </c>
      <c r="P1714" s="2" t="s">
        <v>49</v>
      </c>
    </row>
    <row r="1715" spans="1:16" x14ac:dyDescent="0.25">
      <c r="A1715" s="2" t="s">
        <v>4059</v>
      </c>
      <c r="B1715" s="2" t="s">
        <v>336</v>
      </c>
      <c r="C1715" s="2">
        <v>5464</v>
      </c>
      <c r="D1715" s="2" t="s">
        <v>8678</v>
      </c>
      <c r="E1715" s="2" t="s">
        <v>38</v>
      </c>
      <c r="F1715" s="2" t="s">
        <v>30</v>
      </c>
      <c r="G1715" s="2">
        <v>68776.539999999994</v>
      </c>
      <c r="H1715" s="2">
        <v>40781.07</v>
      </c>
      <c r="I1715" s="2" t="s">
        <v>120</v>
      </c>
      <c r="J1715" s="2" t="s">
        <v>21</v>
      </c>
      <c r="K1715" s="2" t="s">
        <v>42</v>
      </c>
      <c r="L1715" s="2" t="s">
        <v>23</v>
      </c>
      <c r="M1715" s="2">
        <v>5</v>
      </c>
      <c r="N1715" s="2" t="s">
        <v>24</v>
      </c>
      <c r="O1715" s="2" t="s">
        <v>25</v>
      </c>
      <c r="P1715" s="2" t="s">
        <v>49</v>
      </c>
    </row>
    <row r="1716" spans="1:16" x14ac:dyDescent="0.25">
      <c r="A1716" s="2" t="s">
        <v>4061</v>
      </c>
      <c r="B1716" s="2" t="s">
        <v>8679</v>
      </c>
      <c r="C1716" s="2">
        <v>2298</v>
      </c>
      <c r="D1716" s="2" t="s">
        <v>8680</v>
      </c>
      <c r="E1716" s="2" t="s">
        <v>6694</v>
      </c>
      <c r="F1716" s="2" t="s">
        <v>47</v>
      </c>
      <c r="G1716" s="2">
        <v>9747.52</v>
      </c>
      <c r="H1716" s="2">
        <v>4713.05</v>
      </c>
      <c r="I1716" s="2" t="s">
        <v>6681</v>
      </c>
      <c r="J1716" s="2" t="s">
        <v>6682</v>
      </c>
      <c r="K1716" s="2" t="s">
        <v>80</v>
      </c>
      <c r="L1716" s="2" t="s">
        <v>55</v>
      </c>
      <c r="M1716" s="2">
        <v>2</v>
      </c>
      <c r="N1716" s="2" t="s">
        <v>33</v>
      </c>
      <c r="O1716" s="2" t="s">
        <v>25</v>
      </c>
      <c r="P1716" s="2" t="s">
        <v>26</v>
      </c>
    </row>
    <row r="1717" spans="1:16" x14ac:dyDescent="0.25">
      <c r="A1717" s="2" t="s">
        <v>4063</v>
      </c>
      <c r="B1717" s="2" t="s">
        <v>1821</v>
      </c>
      <c r="C1717" s="2">
        <v>3231</v>
      </c>
      <c r="D1717" s="2" t="s">
        <v>4736</v>
      </c>
      <c r="E1717" s="2" t="s">
        <v>38</v>
      </c>
      <c r="F1717" s="2" t="s">
        <v>47</v>
      </c>
      <c r="G1717" s="2">
        <v>21463.9</v>
      </c>
      <c r="H1717" s="2">
        <v>12674.1</v>
      </c>
      <c r="I1717" s="2" t="s">
        <v>53</v>
      </c>
      <c r="J1717" s="2" t="s">
        <v>54</v>
      </c>
      <c r="K1717" s="2" t="s">
        <v>42</v>
      </c>
      <c r="L1717" s="2" t="s">
        <v>23</v>
      </c>
      <c r="M1717" s="2">
        <v>4</v>
      </c>
      <c r="N1717" s="2" t="s">
        <v>33</v>
      </c>
      <c r="O1717" s="2" t="s">
        <v>25</v>
      </c>
      <c r="P1717" s="2" t="s">
        <v>34</v>
      </c>
    </row>
    <row r="1718" spans="1:16" x14ac:dyDescent="0.25">
      <c r="A1718" s="2" t="s">
        <v>4065</v>
      </c>
      <c r="B1718" s="2" t="s">
        <v>6828</v>
      </c>
      <c r="C1718" s="2">
        <v>4710</v>
      </c>
      <c r="D1718" s="2" t="s">
        <v>8681</v>
      </c>
      <c r="E1718" s="2" t="s">
        <v>6748</v>
      </c>
      <c r="F1718" s="2" t="s">
        <v>58</v>
      </c>
      <c r="G1718" s="2">
        <v>30240.46</v>
      </c>
      <c r="H1718" s="2">
        <v>14092.02</v>
      </c>
      <c r="I1718" s="2" t="s">
        <v>6915</v>
      </c>
      <c r="J1718" s="2" t="s">
        <v>6724</v>
      </c>
      <c r="K1718" s="2" t="s">
        <v>22</v>
      </c>
      <c r="L1718" s="2" t="s">
        <v>64</v>
      </c>
      <c r="M1718" s="2">
        <v>2</v>
      </c>
      <c r="N1718" s="2" t="s">
        <v>24</v>
      </c>
      <c r="O1718" s="2" t="s">
        <v>25</v>
      </c>
      <c r="P1718" s="2" t="s">
        <v>26</v>
      </c>
    </row>
    <row r="1719" spans="1:16" x14ac:dyDescent="0.25">
      <c r="A1719" s="2" t="s">
        <v>4067</v>
      </c>
      <c r="B1719" s="2" t="s">
        <v>1614</v>
      </c>
      <c r="C1719" s="2">
        <v>9187</v>
      </c>
      <c r="D1719" s="2" t="s">
        <v>8682</v>
      </c>
      <c r="E1719" s="2" t="s">
        <v>18</v>
      </c>
      <c r="F1719" s="2" t="s">
        <v>58</v>
      </c>
      <c r="G1719" s="2">
        <v>15104.37</v>
      </c>
      <c r="H1719" s="2">
        <v>7795.64</v>
      </c>
      <c r="I1719" s="2" t="s">
        <v>53</v>
      </c>
      <c r="J1719" s="2" t="s">
        <v>54</v>
      </c>
      <c r="K1719" s="2" t="s">
        <v>42</v>
      </c>
      <c r="L1719" s="2" t="s">
        <v>43</v>
      </c>
      <c r="M1719" s="2">
        <v>3</v>
      </c>
      <c r="N1719" s="2" t="s">
        <v>24</v>
      </c>
      <c r="O1719" s="2" t="s">
        <v>25</v>
      </c>
      <c r="P1719" s="2" t="s">
        <v>26</v>
      </c>
    </row>
    <row r="1720" spans="1:16" x14ac:dyDescent="0.25">
      <c r="A1720" s="2" t="s">
        <v>4069</v>
      </c>
      <c r="B1720" s="2" t="s">
        <v>8683</v>
      </c>
      <c r="C1720" s="2">
        <v>6642</v>
      </c>
      <c r="D1720" s="2" t="s">
        <v>8684</v>
      </c>
      <c r="E1720" s="2" t="s">
        <v>6708</v>
      </c>
      <c r="F1720" s="2" t="s">
        <v>19</v>
      </c>
      <c r="G1720" s="2">
        <v>19412.37</v>
      </c>
      <c r="H1720" s="2">
        <v>8823.49</v>
      </c>
      <c r="I1720" s="2" t="s">
        <v>6910</v>
      </c>
      <c r="J1720" s="2" t="s">
        <v>6789</v>
      </c>
      <c r="K1720" s="2" t="s">
        <v>32</v>
      </c>
      <c r="L1720" s="2" t="s">
        <v>88</v>
      </c>
      <c r="M1720" s="2">
        <v>1</v>
      </c>
      <c r="N1720" s="2" t="s">
        <v>24</v>
      </c>
      <c r="O1720" s="2" t="s">
        <v>70</v>
      </c>
      <c r="P1720" s="2" t="s">
        <v>34</v>
      </c>
    </row>
    <row r="1721" spans="1:16" x14ac:dyDescent="0.25">
      <c r="A1721" s="2" t="s">
        <v>4071</v>
      </c>
      <c r="B1721" s="2" t="s">
        <v>8685</v>
      </c>
      <c r="C1721" s="2">
        <v>1633</v>
      </c>
      <c r="D1721" s="2" t="s">
        <v>4747</v>
      </c>
      <c r="E1721" s="2" t="s">
        <v>6708</v>
      </c>
      <c r="F1721" s="2" t="s">
        <v>19</v>
      </c>
      <c r="G1721" s="2">
        <v>6264.73</v>
      </c>
      <c r="H1721" s="2">
        <v>3339.81</v>
      </c>
      <c r="I1721" s="2" t="s">
        <v>6867</v>
      </c>
      <c r="J1721" s="2" t="s">
        <v>6789</v>
      </c>
      <c r="K1721" s="2" t="s">
        <v>22</v>
      </c>
      <c r="L1721" s="2" t="s">
        <v>88</v>
      </c>
      <c r="M1721" s="2">
        <v>5</v>
      </c>
      <c r="N1721" s="2" t="s">
        <v>33</v>
      </c>
      <c r="O1721" s="2" t="s">
        <v>70</v>
      </c>
      <c r="P1721" s="2" t="s">
        <v>34</v>
      </c>
    </row>
    <row r="1722" spans="1:16" x14ac:dyDescent="0.25">
      <c r="A1722" s="2" t="s">
        <v>4073</v>
      </c>
      <c r="B1722" s="2" t="s">
        <v>8686</v>
      </c>
      <c r="C1722" s="2">
        <v>5334</v>
      </c>
      <c r="D1722" s="2" t="s">
        <v>8687</v>
      </c>
      <c r="E1722" s="2" t="s">
        <v>6698</v>
      </c>
      <c r="F1722" s="2" t="s">
        <v>39</v>
      </c>
      <c r="G1722" s="2">
        <v>21133.99</v>
      </c>
      <c r="H1722" s="2">
        <v>10475.120000000001</v>
      </c>
      <c r="I1722" s="2" t="s">
        <v>6812</v>
      </c>
      <c r="J1722" s="2" t="s">
        <v>6691</v>
      </c>
      <c r="K1722" s="2" t="s">
        <v>32</v>
      </c>
      <c r="L1722" s="2" t="s">
        <v>48</v>
      </c>
      <c r="M1722" s="2">
        <v>2</v>
      </c>
      <c r="N1722" s="2" t="s">
        <v>24</v>
      </c>
      <c r="O1722" s="2" t="s">
        <v>25</v>
      </c>
      <c r="P1722" s="2" t="s">
        <v>49</v>
      </c>
    </row>
    <row r="1723" spans="1:16" x14ac:dyDescent="0.25">
      <c r="A1723" s="2" t="s">
        <v>4075</v>
      </c>
      <c r="B1723" s="2" t="s">
        <v>8688</v>
      </c>
      <c r="C1723" s="2">
        <v>4918</v>
      </c>
      <c r="D1723" s="2" t="s">
        <v>8689</v>
      </c>
      <c r="E1723" s="2" t="s">
        <v>38</v>
      </c>
      <c r="F1723" s="2" t="s">
        <v>30</v>
      </c>
      <c r="G1723" s="2">
        <v>60465.919999999998</v>
      </c>
      <c r="H1723" s="2">
        <v>34256.17</v>
      </c>
      <c r="I1723" s="2" t="s">
        <v>31</v>
      </c>
      <c r="J1723" s="2" t="s">
        <v>21</v>
      </c>
      <c r="K1723" s="2" t="s">
        <v>42</v>
      </c>
      <c r="L1723" s="2" t="s">
        <v>23</v>
      </c>
      <c r="M1723" s="2">
        <v>4</v>
      </c>
      <c r="N1723" s="2" t="s">
        <v>33</v>
      </c>
      <c r="O1723" s="2" t="s">
        <v>25</v>
      </c>
      <c r="P1723" s="2" t="s">
        <v>26</v>
      </c>
    </row>
    <row r="1724" spans="1:16" x14ac:dyDescent="0.25">
      <c r="A1724" s="2" t="s">
        <v>4077</v>
      </c>
      <c r="B1724" s="2" t="s">
        <v>2370</v>
      </c>
      <c r="C1724" s="2">
        <v>5013</v>
      </c>
      <c r="D1724" s="2" t="s">
        <v>8690</v>
      </c>
      <c r="E1724" s="2" t="s">
        <v>6694</v>
      </c>
      <c r="F1724" s="2" t="s">
        <v>58</v>
      </c>
      <c r="G1724" s="2">
        <v>28620.3</v>
      </c>
      <c r="H1724" s="2">
        <v>14260.49</v>
      </c>
      <c r="I1724" s="2" t="s">
        <v>20</v>
      </c>
      <c r="J1724" s="2" t="s">
        <v>6696</v>
      </c>
      <c r="K1724" s="2" t="s">
        <v>80</v>
      </c>
      <c r="L1724" s="2" t="s">
        <v>55</v>
      </c>
      <c r="M1724" s="2">
        <v>4</v>
      </c>
      <c r="N1724" s="2" t="s">
        <v>33</v>
      </c>
      <c r="O1724" s="2" t="s">
        <v>25</v>
      </c>
      <c r="P1724" s="2" t="s">
        <v>34</v>
      </c>
    </row>
    <row r="1725" spans="1:16" x14ac:dyDescent="0.25">
      <c r="A1725" s="2" t="s">
        <v>4080</v>
      </c>
      <c r="B1725" s="2" t="s">
        <v>2502</v>
      </c>
      <c r="C1725" s="2">
        <v>1277</v>
      </c>
      <c r="D1725" s="2" t="s">
        <v>8691</v>
      </c>
      <c r="E1725" s="2" t="s">
        <v>18</v>
      </c>
      <c r="F1725" s="2" t="s">
        <v>19</v>
      </c>
      <c r="G1725" s="2">
        <v>4953.74</v>
      </c>
      <c r="H1725" s="2">
        <v>2445.62</v>
      </c>
      <c r="I1725" s="2" t="s">
        <v>40</v>
      </c>
      <c r="J1725" s="2" t="s">
        <v>41</v>
      </c>
      <c r="K1725" s="2" t="s">
        <v>80</v>
      </c>
      <c r="L1725" s="2" t="s">
        <v>88</v>
      </c>
      <c r="M1725" s="2">
        <v>2</v>
      </c>
      <c r="N1725" s="2" t="s">
        <v>33</v>
      </c>
      <c r="O1725" s="2" t="s">
        <v>25</v>
      </c>
      <c r="P1725" s="2" t="s">
        <v>26</v>
      </c>
    </row>
    <row r="1726" spans="1:16" x14ac:dyDescent="0.25">
      <c r="A1726" s="2" t="s">
        <v>4082</v>
      </c>
      <c r="B1726" s="2" t="s">
        <v>8692</v>
      </c>
      <c r="C1726" s="2">
        <v>6993</v>
      </c>
      <c r="D1726" s="2" t="s">
        <v>8693</v>
      </c>
      <c r="E1726" s="2" t="s">
        <v>38</v>
      </c>
      <c r="F1726" s="2" t="s">
        <v>30</v>
      </c>
      <c r="G1726" s="2">
        <v>83053.460000000006</v>
      </c>
      <c r="H1726" s="2">
        <v>43488.3</v>
      </c>
      <c r="I1726" s="2" t="s">
        <v>6720</v>
      </c>
      <c r="J1726" s="2" t="s">
        <v>6700</v>
      </c>
      <c r="K1726" s="2" t="s">
        <v>42</v>
      </c>
      <c r="L1726" s="2" t="s">
        <v>88</v>
      </c>
      <c r="M1726" s="2">
        <v>4</v>
      </c>
      <c r="N1726" s="2" t="s">
        <v>33</v>
      </c>
      <c r="O1726" s="2" t="s">
        <v>25</v>
      </c>
      <c r="P1726" s="2" t="s">
        <v>49</v>
      </c>
    </row>
    <row r="1727" spans="1:16" x14ac:dyDescent="0.25">
      <c r="A1727" s="2" t="s">
        <v>4084</v>
      </c>
      <c r="B1727" s="2" t="s">
        <v>3483</v>
      </c>
      <c r="C1727" s="2">
        <v>2359</v>
      </c>
      <c r="D1727" s="2" t="s">
        <v>5120</v>
      </c>
      <c r="E1727" s="2" t="s">
        <v>38</v>
      </c>
      <c r="F1727" s="2" t="s">
        <v>19</v>
      </c>
      <c r="G1727" s="2">
        <v>3872.72</v>
      </c>
      <c r="H1727" s="2">
        <v>2140.8000000000002</v>
      </c>
      <c r="I1727" s="2" t="s">
        <v>68</v>
      </c>
      <c r="J1727" s="2" t="s">
        <v>41</v>
      </c>
      <c r="K1727" s="2" t="s">
        <v>42</v>
      </c>
      <c r="L1727" s="2" t="s">
        <v>55</v>
      </c>
      <c r="M1727" s="2">
        <v>5</v>
      </c>
      <c r="N1727" s="2" t="s">
        <v>33</v>
      </c>
      <c r="O1727" s="2" t="s">
        <v>25</v>
      </c>
      <c r="P1727" s="2" t="s">
        <v>26</v>
      </c>
    </row>
    <row r="1728" spans="1:16" x14ac:dyDescent="0.25">
      <c r="A1728" s="2" t="s">
        <v>4087</v>
      </c>
      <c r="B1728" s="2" t="s">
        <v>8694</v>
      </c>
      <c r="C1728" s="2">
        <v>9676</v>
      </c>
      <c r="D1728" s="2" t="s">
        <v>8695</v>
      </c>
      <c r="E1728" s="2" t="s">
        <v>6743</v>
      </c>
      <c r="F1728" s="2" t="s">
        <v>47</v>
      </c>
      <c r="G1728" s="2">
        <v>12429.24</v>
      </c>
      <c r="H1728" s="2">
        <v>5777.87</v>
      </c>
      <c r="I1728" s="2" t="s">
        <v>6739</v>
      </c>
      <c r="J1728" s="2" t="s">
        <v>6700</v>
      </c>
      <c r="K1728" s="2" t="s">
        <v>42</v>
      </c>
      <c r="L1728" s="2" t="s">
        <v>55</v>
      </c>
      <c r="M1728" s="2">
        <v>1</v>
      </c>
      <c r="N1728" s="2" t="s">
        <v>24</v>
      </c>
      <c r="O1728" s="2" t="s">
        <v>70</v>
      </c>
      <c r="P1728" s="2" t="s">
        <v>26</v>
      </c>
    </row>
    <row r="1729" spans="1:16" x14ac:dyDescent="0.25">
      <c r="A1729" s="2" t="s">
        <v>4089</v>
      </c>
      <c r="B1729" s="2" t="s">
        <v>2610</v>
      </c>
      <c r="C1729" s="2">
        <v>7319</v>
      </c>
      <c r="D1729" s="2" t="s">
        <v>8696</v>
      </c>
      <c r="E1729" s="2" t="s">
        <v>38</v>
      </c>
      <c r="F1729" s="2" t="s">
        <v>58</v>
      </c>
      <c r="G1729" s="2">
        <v>37709.230000000003</v>
      </c>
      <c r="H1729" s="2">
        <v>17163.13</v>
      </c>
      <c r="I1729" s="2" t="s">
        <v>63</v>
      </c>
      <c r="J1729" s="2" t="s">
        <v>54</v>
      </c>
      <c r="K1729" s="2" t="s">
        <v>32</v>
      </c>
      <c r="L1729" s="2" t="s">
        <v>88</v>
      </c>
      <c r="M1729" s="2">
        <v>1</v>
      </c>
      <c r="N1729" s="2" t="s">
        <v>33</v>
      </c>
      <c r="O1729" s="2" t="s">
        <v>70</v>
      </c>
      <c r="P1729" s="2" t="s">
        <v>49</v>
      </c>
    </row>
    <row r="1730" spans="1:16" x14ac:dyDescent="0.25">
      <c r="A1730" s="2" t="s">
        <v>4091</v>
      </c>
      <c r="B1730" s="2" t="s">
        <v>364</v>
      </c>
      <c r="C1730" s="2">
        <v>1157</v>
      </c>
      <c r="D1730" s="2" t="s">
        <v>8697</v>
      </c>
      <c r="E1730" s="2" t="s">
        <v>18</v>
      </c>
      <c r="F1730" s="2" t="s">
        <v>19</v>
      </c>
      <c r="G1730" s="2">
        <v>17924.8</v>
      </c>
      <c r="H1730" s="2">
        <v>11646.35</v>
      </c>
      <c r="I1730" s="2" t="s">
        <v>63</v>
      </c>
      <c r="J1730" s="2" t="s">
        <v>54</v>
      </c>
      <c r="K1730" s="2" t="s">
        <v>80</v>
      </c>
      <c r="L1730" s="2" t="s">
        <v>23</v>
      </c>
      <c r="M1730" s="2">
        <v>3</v>
      </c>
      <c r="N1730" s="2" t="s">
        <v>24</v>
      </c>
      <c r="O1730" s="2" t="s">
        <v>70</v>
      </c>
      <c r="P1730" s="2" t="s">
        <v>26</v>
      </c>
    </row>
    <row r="1731" spans="1:16" x14ac:dyDescent="0.25">
      <c r="A1731" s="2" t="s">
        <v>4094</v>
      </c>
      <c r="B1731" s="2" t="s">
        <v>1090</v>
      </c>
      <c r="C1731" s="2">
        <v>3699</v>
      </c>
      <c r="D1731" s="2" t="s">
        <v>8698</v>
      </c>
      <c r="E1731" s="2" t="s">
        <v>38</v>
      </c>
      <c r="F1731" s="2" t="s">
        <v>58</v>
      </c>
      <c r="G1731" s="2">
        <v>35456.65</v>
      </c>
      <c r="H1731" s="2">
        <v>18203.330000000002</v>
      </c>
      <c r="I1731" s="2" t="s">
        <v>84</v>
      </c>
      <c r="J1731" s="2" t="s">
        <v>54</v>
      </c>
      <c r="K1731" s="2" t="s">
        <v>22</v>
      </c>
      <c r="L1731" s="2" t="s">
        <v>48</v>
      </c>
      <c r="M1731" s="2">
        <v>1</v>
      </c>
      <c r="N1731" s="2" t="s">
        <v>33</v>
      </c>
      <c r="O1731" s="2" t="s">
        <v>70</v>
      </c>
      <c r="P1731" s="2" t="s">
        <v>49</v>
      </c>
    </row>
    <row r="1732" spans="1:16" x14ac:dyDescent="0.25">
      <c r="A1732" s="2" t="s">
        <v>4095</v>
      </c>
      <c r="B1732" s="2" t="s">
        <v>8699</v>
      </c>
      <c r="C1732" s="2">
        <v>1133</v>
      </c>
      <c r="D1732" s="2" t="s">
        <v>8700</v>
      </c>
      <c r="E1732" s="2" t="s">
        <v>6743</v>
      </c>
      <c r="F1732" s="2" t="s">
        <v>39</v>
      </c>
      <c r="G1732" s="2">
        <v>25777.14</v>
      </c>
      <c r="H1732" s="2">
        <v>14663.81</v>
      </c>
      <c r="I1732" s="2" t="s">
        <v>6752</v>
      </c>
      <c r="J1732" s="2" t="s">
        <v>54</v>
      </c>
      <c r="K1732" s="2" t="s">
        <v>22</v>
      </c>
      <c r="L1732" s="2" t="s">
        <v>23</v>
      </c>
      <c r="M1732" s="2">
        <v>3</v>
      </c>
      <c r="N1732" s="2" t="s">
        <v>24</v>
      </c>
      <c r="O1732" s="2" t="s">
        <v>70</v>
      </c>
      <c r="P1732" s="2" t="s">
        <v>26</v>
      </c>
    </row>
    <row r="1733" spans="1:16" x14ac:dyDescent="0.25">
      <c r="A1733" s="2" t="s">
        <v>4097</v>
      </c>
      <c r="B1733" s="2" t="s">
        <v>8701</v>
      </c>
      <c r="C1733" s="2">
        <v>8564</v>
      </c>
      <c r="D1733" s="2" t="s">
        <v>8702</v>
      </c>
      <c r="E1733" s="2" t="s">
        <v>38</v>
      </c>
      <c r="F1733" s="2" t="s">
        <v>19</v>
      </c>
      <c r="G1733" s="2">
        <v>15772.76</v>
      </c>
      <c r="H1733" s="2">
        <v>7372.77</v>
      </c>
      <c r="I1733" s="2" t="s">
        <v>6699</v>
      </c>
      <c r="J1733" s="2" t="s">
        <v>6691</v>
      </c>
      <c r="K1733" s="2" t="s">
        <v>80</v>
      </c>
      <c r="L1733" s="2" t="s">
        <v>23</v>
      </c>
      <c r="M1733" s="2">
        <v>3</v>
      </c>
      <c r="N1733" s="2" t="s">
        <v>69</v>
      </c>
      <c r="O1733" s="2" t="s">
        <v>25</v>
      </c>
      <c r="P1733" s="2" t="s">
        <v>26</v>
      </c>
    </row>
    <row r="1734" spans="1:16" x14ac:dyDescent="0.25">
      <c r="A1734" s="2" t="s">
        <v>4100</v>
      </c>
      <c r="B1734" s="2" t="s">
        <v>8703</v>
      </c>
      <c r="C1734" s="2">
        <v>1563</v>
      </c>
      <c r="D1734" s="2" t="s">
        <v>4108</v>
      </c>
      <c r="E1734" s="2" t="s">
        <v>6743</v>
      </c>
      <c r="F1734" s="2" t="s">
        <v>58</v>
      </c>
      <c r="G1734" s="2">
        <v>37042.269999999997</v>
      </c>
      <c r="H1734" s="2">
        <v>23712.89</v>
      </c>
      <c r="I1734" s="2" t="s">
        <v>6720</v>
      </c>
      <c r="J1734" s="2" t="s">
        <v>6729</v>
      </c>
      <c r="K1734" s="2" t="s">
        <v>22</v>
      </c>
      <c r="L1734" s="2" t="s">
        <v>43</v>
      </c>
      <c r="M1734" s="2">
        <v>5</v>
      </c>
      <c r="N1734" s="2" t="s">
        <v>24</v>
      </c>
      <c r="O1734" s="2" t="s">
        <v>70</v>
      </c>
      <c r="P1734" s="2" t="s">
        <v>49</v>
      </c>
    </row>
    <row r="1735" spans="1:16" x14ac:dyDescent="0.25">
      <c r="A1735" s="2" t="s">
        <v>4103</v>
      </c>
      <c r="B1735" s="2" t="s">
        <v>2180</v>
      </c>
      <c r="C1735" s="2">
        <v>9407</v>
      </c>
      <c r="D1735" s="2" t="s">
        <v>1934</v>
      </c>
      <c r="E1735" s="2" t="s">
        <v>6703</v>
      </c>
      <c r="F1735" s="2" t="s">
        <v>58</v>
      </c>
      <c r="G1735" s="2">
        <v>14619.49</v>
      </c>
      <c r="H1735" s="2">
        <v>7213.13</v>
      </c>
      <c r="I1735" s="2" t="s">
        <v>6699</v>
      </c>
      <c r="J1735" s="2" t="s">
        <v>6753</v>
      </c>
      <c r="K1735" s="2" t="s">
        <v>42</v>
      </c>
      <c r="L1735" s="2" t="s">
        <v>64</v>
      </c>
      <c r="M1735" s="2">
        <v>5</v>
      </c>
      <c r="N1735" s="2" t="s">
        <v>24</v>
      </c>
      <c r="O1735" s="2" t="s">
        <v>70</v>
      </c>
      <c r="P1735" s="2" t="s">
        <v>26</v>
      </c>
    </row>
    <row r="1736" spans="1:16" x14ac:dyDescent="0.25">
      <c r="A1736" s="2" t="s">
        <v>4105</v>
      </c>
      <c r="B1736" s="2" t="s">
        <v>8704</v>
      </c>
      <c r="C1736" s="2">
        <v>8934</v>
      </c>
      <c r="D1736" s="2" t="s">
        <v>8593</v>
      </c>
      <c r="E1736" s="2" t="s">
        <v>18</v>
      </c>
      <c r="F1736" s="2" t="s">
        <v>39</v>
      </c>
      <c r="G1736" s="2">
        <v>4148.09</v>
      </c>
      <c r="H1736" s="2">
        <v>2410.1999999999998</v>
      </c>
      <c r="I1736" s="2" t="s">
        <v>6761</v>
      </c>
      <c r="J1736" s="2" t="s">
        <v>6713</v>
      </c>
      <c r="K1736" s="2" t="s">
        <v>22</v>
      </c>
      <c r="L1736" s="2" t="s">
        <v>43</v>
      </c>
      <c r="M1736" s="2">
        <v>1</v>
      </c>
      <c r="N1736" s="2" t="s">
        <v>69</v>
      </c>
      <c r="O1736" s="2" t="s">
        <v>70</v>
      </c>
      <c r="P1736" s="2" t="s">
        <v>34</v>
      </c>
    </row>
    <row r="1737" spans="1:16" x14ac:dyDescent="0.25">
      <c r="A1737" s="2" t="s">
        <v>4107</v>
      </c>
      <c r="B1737" s="2" t="s">
        <v>119</v>
      </c>
      <c r="C1737" s="2">
        <v>5317</v>
      </c>
      <c r="D1737" s="2" t="s">
        <v>859</v>
      </c>
      <c r="E1737" s="2" t="s">
        <v>38</v>
      </c>
      <c r="F1737" s="2" t="s">
        <v>58</v>
      </c>
      <c r="G1737" s="2">
        <v>35857.08</v>
      </c>
      <c r="H1737" s="2">
        <v>23006.98</v>
      </c>
      <c r="I1737" s="2" t="s">
        <v>63</v>
      </c>
      <c r="J1737" s="2" t="s">
        <v>54</v>
      </c>
      <c r="K1737" s="2" t="s">
        <v>22</v>
      </c>
      <c r="L1737" s="2" t="s">
        <v>88</v>
      </c>
      <c r="M1737" s="2">
        <v>5</v>
      </c>
      <c r="N1737" s="2" t="s">
        <v>24</v>
      </c>
      <c r="O1737" s="2" t="s">
        <v>25</v>
      </c>
      <c r="P1737" s="2" t="s">
        <v>26</v>
      </c>
    </row>
    <row r="1738" spans="1:16" x14ac:dyDescent="0.25">
      <c r="A1738" s="2" t="s">
        <v>4109</v>
      </c>
      <c r="B1738" s="2" t="s">
        <v>1136</v>
      </c>
      <c r="C1738" s="2">
        <v>8524</v>
      </c>
      <c r="D1738" s="2" t="s">
        <v>6055</v>
      </c>
      <c r="E1738" s="2" t="s">
        <v>18</v>
      </c>
      <c r="F1738" s="2" t="s">
        <v>19</v>
      </c>
      <c r="G1738" s="2">
        <v>5761.6</v>
      </c>
      <c r="H1738" s="2">
        <v>3543.97</v>
      </c>
      <c r="I1738" s="2" t="s">
        <v>120</v>
      </c>
      <c r="J1738" s="2" t="s">
        <v>21</v>
      </c>
      <c r="K1738" s="2" t="s">
        <v>32</v>
      </c>
      <c r="L1738" s="2" t="s">
        <v>55</v>
      </c>
      <c r="M1738" s="2">
        <v>4</v>
      </c>
      <c r="N1738" s="2" t="s">
        <v>33</v>
      </c>
      <c r="O1738" s="2" t="s">
        <v>25</v>
      </c>
      <c r="P1738" s="2" t="s">
        <v>34</v>
      </c>
    </row>
    <row r="1739" spans="1:16" x14ac:dyDescent="0.25">
      <c r="A1739" s="2" t="s">
        <v>4111</v>
      </c>
      <c r="B1739" s="2" t="s">
        <v>1292</v>
      </c>
      <c r="C1739" s="2">
        <v>6168</v>
      </c>
      <c r="D1739" s="2" t="s">
        <v>4790</v>
      </c>
      <c r="E1739" s="2" t="s">
        <v>6708</v>
      </c>
      <c r="F1739" s="2" t="s">
        <v>58</v>
      </c>
      <c r="G1739" s="2">
        <v>55165.61</v>
      </c>
      <c r="H1739" s="2">
        <v>35538.18</v>
      </c>
      <c r="I1739" s="2" t="s">
        <v>20</v>
      </c>
      <c r="J1739" s="2" t="s">
        <v>21</v>
      </c>
      <c r="K1739" s="2" t="s">
        <v>32</v>
      </c>
      <c r="L1739" s="2" t="s">
        <v>43</v>
      </c>
      <c r="M1739" s="2">
        <v>5</v>
      </c>
      <c r="N1739" s="2" t="s">
        <v>33</v>
      </c>
      <c r="O1739" s="2" t="s">
        <v>70</v>
      </c>
      <c r="P1739" s="2" t="s">
        <v>26</v>
      </c>
    </row>
    <row r="1740" spans="1:16" x14ac:dyDescent="0.25">
      <c r="A1740" s="2" t="s">
        <v>4114</v>
      </c>
      <c r="B1740" s="2" t="s">
        <v>239</v>
      </c>
      <c r="C1740" s="2">
        <v>5023</v>
      </c>
      <c r="D1740" s="2" t="s">
        <v>8705</v>
      </c>
      <c r="E1740" s="2" t="s">
        <v>18</v>
      </c>
      <c r="F1740" s="2" t="s">
        <v>39</v>
      </c>
      <c r="G1740" s="2">
        <v>59347.34</v>
      </c>
      <c r="H1740" s="2">
        <v>29647.78</v>
      </c>
      <c r="I1740" s="2" t="s">
        <v>84</v>
      </c>
      <c r="J1740" s="2" t="s">
        <v>54</v>
      </c>
      <c r="K1740" s="2" t="s">
        <v>80</v>
      </c>
      <c r="L1740" s="2" t="s">
        <v>55</v>
      </c>
      <c r="M1740" s="2">
        <v>1</v>
      </c>
      <c r="N1740" s="2" t="s">
        <v>24</v>
      </c>
      <c r="O1740" s="2" t="s">
        <v>70</v>
      </c>
      <c r="P1740" s="2" t="s">
        <v>34</v>
      </c>
    </row>
    <row r="1741" spans="1:16" x14ac:dyDescent="0.25">
      <c r="A1741" s="2" t="s">
        <v>4117</v>
      </c>
      <c r="B1741" s="2" t="s">
        <v>359</v>
      </c>
      <c r="C1741" s="2">
        <v>1795</v>
      </c>
      <c r="D1741" s="2" t="s">
        <v>8706</v>
      </c>
      <c r="E1741" s="2" t="s">
        <v>38</v>
      </c>
      <c r="F1741" s="2" t="s">
        <v>30</v>
      </c>
      <c r="G1741" s="2">
        <v>39670.129999999997</v>
      </c>
      <c r="H1741" s="2">
        <v>19300.36</v>
      </c>
      <c r="I1741" s="2" t="s">
        <v>63</v>
      </c>
      <c r="J1741" s="2" t="s">
        <v>54</v>
      </c>
      <c r="K1741" s="2" t="s">
        <v>42</v>
      </c>
      <c r="L1741" s="2" t="s">
        <v>23</v>
      </c>
      <c r="M1741" s="2">
        <v>1</v>
      </c>
      <c r="N1741" s="2" t="s">
        <v>24</v>
      </c>
      <c r="O1741" s="2" t="s">
        <v>25</v>
      </c>
      <c r="P1741" s="2" t="s">
        <v>49</v>
      </c>
    </row>
    <row r="1742" spans="1:16" x14ac:dyDescent="0.25">
      <c r="A1742" s="2" t="s">
        <v>4119</v>
      </c>
      <c r="B1742" s="2" t="s">
        <v>7126</v>
      </c>
      <c r="C1742" s="2">
        <v>3803</v>
      </c>
      <c r="D1742" s="2" t="s">
        <v>4645</v>
      </c>
      <c r="E1742" s="2" t="s">
        <v>18</v>
      </c>
      <c r="F1742" s="2" t="s">
        <v>30</v>
      </c>
      <c r="G1742" s="2">
        <v>63718.44</v>
      </c>
      <c r="H1742" s="2">
        <v>36316.69</v>
      </c>
      <c r="I1742" s="2" t="s">
        <v>84</v>
      </c>
      <c r="J1742" s="2" t="s">
        <v>54</v>
      </c>
      <c r="K1742" s="2" t="s">
        <v>22</v>
      </c>
      <c r="L1742" s="2" t="s">
        <v>43</v>
      </c>
      <c r="M1742" s="2">
        <v>4</v>
      </c>
      <c r="N1742" s="2" t="s">
        <v>33</v>
      </c>
      <c r="O1742" s="2" t="s">
        <v>25</v>
      </c>
      <c r="P1742" s="2" t="s">
        <v>34</v>
      </c>
    </row>
    <row r="1743" spans="1:16" x14ac:dyDescent="0.25">
      <c r="A1743" s="2" t="s">
        <v>4121</v>
      </c>
      <c r="B1743" s="2" t="s">
        <v>3107</v>
      </c>
      <c r="C1743" s="2">
        <v>6833</v>
      </c>
      <c r="D1743" s="2" t="s">
        <v>8706</v>
      </c>
      <c r="E1743" s="2" t="s">
        <v>38</v>
      </c>
      <c r="F1743" s="2" t="s">
        <v>19</v>
      </c>
      <c r="G1743" s="2">
        <v>15511.7</v>
      </c>
      <c r="H1743" s="2">
        <v>7329.49</v>
      </c>
      <c r="I1743" s="2" t="s">
        <v>68</v>
      </c>
      <c r="J1743" s="2" t="s">
        <v>41</v>
      </c>
      <c r="K1743" s="2" t="s">
        <v>22</v>
      </c>
      <c r="L1743" s="2" t="s">
        <v>43</v>
      </c>
      <c r="M1743" s="2">
        <v>4</v>
      </c>
      <c r="N1743" s="2" t="s">
        <v>24</v>
      </c>
      <c r="O1743" s="2" t="s">
        <v>70</v>
      </c>
      <c r="P1743" s="2" t="s">
        <v>34</v>
      </c>
    </row>
    <row r="1744" spans="1:16" x14ac:dyDescent="0.25">
      <c r="A1744" s="2" t="s">
        <v>4123</v>
      </c>
      <c r="B1744" s="2" t="s">
        <v>8707</v>
      </c>
      <c r="C1744" s="2">
        <v>9012</v>
      </c>
      <c r="D1744" s="2" t="s">
        <v>8708</v>
      </c>
      <c r="E1744" s="2" t="s">
        <v>6743</v>
      </c>
      <c r="F1744" s="2" t="s">
        <v>30</v>
      </c>
      <c r="G1744" s="2">
        <v>56491.25</v>
      </c>
      <c r="H1744" s="2">
        <v>31777.37</v>
      </c>
      <c r="I1744" s="2" t="s">
        <v>6736</v>
      </c>
      <c r="J1744" s="2" t="s">
        <v>6700</v>
      </c>
      <c r="K1744" s="2" t="s">
        <v>32</v>
      </c>
      <c r="L1744" s="2" t="s">
        <v>23</v>
      </c>
      <c r="M1744" s="2">
        <v>2</v>
      </c>
      <c r="N1744" s="2" t="s">
        <v>24</v>
      </c>
      <c r="O1744" s="2" t="s">
        <v>25</v>
      </c>
      <c r="P1744" s="2" t="s">
        <v>49</v>
      </c>
    </row>
    <row r="1745" spans="1:16" x14ac:dyDescent="0.25">
      <c r="A1745" s="2" t="s">
        <v>4125</v>
      </c>
      <c r="B1745" s="2" t="s">
        <v>3763</v>
      </c>
      <c r="C1745" s="2">
        <v>2609</v>
      </c>
      <c r="D1745" s="2" t="s">
        <v>7321</v>
      </c>
      <c r="E1745" s="2" t="s">
        <v>38</v>
      </c>
      <c r="F1745" s="2" t="s">
        <v>30</v>
      </c>
      <c r="G1745" s="2">
        <v>43282.27</v>
      </c>
      <c r="H1745" s="2">
        <v>26114.13</v>
      </c>
      <c r="I1745" s="2" t="s">
        <v>53</v>
      </c>
      <c r="J1745" s="2" t="s">
        <v>54</v>
      </c>
      <c r="K1745" s="2" t="s">
        <v>32</v>
      </c>
      <c r="L1745" s="2" t="s">
        <v>55</v>
      </c>
      <c r="M1745" s="2">
        <v>4</v>
      </c>
      <c r="N1745" s="2" t="s">
        <v>33</v>
      </c>
      <c r="O1745" s="2" t="s">
        <v>25</v>
      </c>
      <c r="P1745" s="2" t="s">
        <v>34</v>
      </c>
    </row>
    <row r="1746" spans="1:16" x14ac:dyDescent="0.25">
      <c r="A1746" s="2" t="s">
        <v>4127</v>
      </c>
      <c r="B1746" s="2" t="s">
        <v>2389</v>
      </c>
      <c r="C1746" s="2">
        <v>5946</v>
      </c>
      <c r="D1746" s="2" t="s">
        <v>6314</v>
      </c>
      <c r="E1746" s="2" t="s">
        <v>18</v>
      </c>
      <c r="F1746" s="2" t="s">
        <v>39</v>
      </c>
      <c r="G1746" s="2">
        <v>20336.03</v>
      </c>
      <c r="H1746" s="2">
        <v>9602.2999999999993</v>
      </c>
      <c r="I1746" s="2" t="s">
        <v>120</v>
      </c>
      <c r="J1746" s="2" t="s">
        <v>21</v>
      </c>
      <c r="K1746" s="2" t="s">
        <v>42</v>
      </c>
      <c r="L1746" s="2" t="s">
        <v>88</v>
      </c>
      <c r="M1746" s="2">
        <v>1</v>
      </c>
      <c r="N1746" s="2" t="s">
        <v>33</v>
      </c>
      <c r="O1746" s="2" t="s">
        <v>25</v>
      </c>
      <c r="P1746" s="2" t="s">
        <v>26</v>
      </c>
    </row>
    <row r="1747" spans="1:16" x14ac:dyDescent="0.25">
      <c r="A1747" s="2" t="s">
        <v>4130</v>
      </c>
      <c r="B1747" s="2" t="s">
        <v>8709</v>
      </c>
      <c r="C1747" s="2">
        <v>7245</v>
      </c>
      <c r="D1747" s="2" t="s">
        <v>8710</v>
      </c>
      <c r="E1747" s="2" t="s">
        <v>18</v>
      </c>
      <c r="F1747" s="2" t="s">
        <v>39</v>
      </c>
      <c r="G1747" s="2">
        <v>7773.94</v>
      </c>
      <c r="H1747" s="2">
        <v>4099.53</v>
      </c>
      <c r="I1747" s="2" t="s">
        <v>6695</v>
      </c>
      <c r="J1747" s="2" t="s">
        <v>6696</v>
      </c>
      <c r="K1747" s="2" t="s">
        <v>22</v>
      </c>
      <c r="L1747" s="2" t="s">
        <v>23</v>
      </c>
      <c r="M1747" s="2">
        <v>4</v>
      </c>
      <c r="N1747" s="2" t="s">
        <v>33</v>
      </c>
      <c r="O1747" s="2" t="s">
        <v>25</v>
      </c>
      <c r="P1747" s="2" t="s">
        <v>26</v>
      </c>
    </row>
    <row r="1748" spans="1:16" x14ac:dyDescent="0.25">
      <c r="A1748" s="2" t="s">
        <v>4131</v>
      </c>
      <c r="B1748" s="2" t="s">
        <v>8711</v>
      </c>
      <c r="C1748" s="2">
        <v>7524</v>
      </c>
      <c r="D1748" s="2" t="s">
        <v>8712</v>
      </c>
      <c r="E1748" s="2" t="s">
        <v>6756</v>
      </c>
      <c r="F1748" s="2" t="s">
        <v>39</v>
      </c>
      <c r="G1748" s="2">
        <v>29298.86</v>
      </c>
      <c r="H1748" s="2">
        <v>17597.240000000002</v>
      </c>
      <c r="I1748" s="2" t="s">
        <v>6739</v>
      </c>
      <c r="J1748" s="2" t="s">
        <v>6700</v>
      </c>
      <c r="K1748" s="2" t="s">
        <v>32</v>
      </c>
      <c r="L1748" s="2" t="s">
        <v>64</v>
      </c>
      <c r="M1748" s="2">
        <v>4</v>
      </c>
      <c r="N1748" s="2" t="s">
        <v>33</v>
      </c>
      <c r="O1748" s="2" t="s">
        <v>25</v>
      </c>
      <c r="P1748" s="2" t="s">
        <v>26</v>
      </c>
    </row>
    <row r="1749" spans="1:16" x14ac:dyDescent="0.25">
      <c r="A1749" s="2" t="s">
        <v>4133</v>
      </c>
      <c r="B1749" s="2" t="s">
        <v>6050</v>
      </c>
      <c r="C1749" s="2">
        <v>1145</v>
      </c>
      <c r="D1749" s="2" t="s">
        <v>8713</v>
      </c>
      <c r="E1749" s="2" t="s">
        <v>18</v>
      </c>
      <c r="F1749" s="2" t="s">
        <v>39</v>
      </c>
      <c r="G1749" s="2">
        <v>29813.79</v>
      </c>
      <c r="H1749" s="2">
        <v>18491.87</v>
      </c>
      <c r="I1749" s="2" t="s">
        <v>40</v>
      </c>
      <c r="J1749" s="2" t="s">
        <v>41</v>
      </c>
      <c r="K1749" s="2" t="s">
        <v>22</v>
      </c>
      <c r="L1749" s="2" t="s">
        <v>43</v>
      </c>
      <c r="M1749" s="2">
        <v>4</v>
      </c>
      <c r="N1749" s="2" t="s">
        <v>24</v>
      </c>
      <c r="O1749" s="2" t="s">
        <v>25</v>
      </c>
      <c r="P1749" s="2" t="s">
        <v>34</v>
      </c>
    </row>
    <row r="1750" spans="1:16" x14ac:dyDescent="0.25">
      <c r="A1750" s="2" t="s">
        <v>4135</v>
      </c>
      <c r="B1750" s="2" t="s">
        <v>1514</v>
      </c>
      <c r="C1750" s="2">
        <v>3059</v>
      </c>
      <c r="D1750" s="2" t="s">
        <v>8714</v>
      </c>
      <c r="E1750" s="2" t="s">
        <v>6694</v>
      </c>
      <c r="F1750" s="2" t="s">
        <v>39</v>
      </c>
      <c r="G1750" s="2">
        <v>24584.61</v>
      </c>
      <c r="H1750" s="2">
        <v>14636.59</v>
      </c>
      <c r="I1750" s="2" t="s">
        <v>6777</v>
      </c>
      <c r="J1750" s="2" t="s">
        <v>6713</v>
      </c>
      <c r="K1750" s="2" t="s">
        <v>80</v>
      </c>
      <c r="L1750" s="2" t="s">
        <v>48</v>
      </c>
      <c r="M1750" s="2">
        <v>2</v>
      </c>
      <c r="N1750" s="2" t="s">
        <v>33</v>
      </c>
      <c r="O1750" s="2" t="s">
        <v>25</v>
      </c>
      <c r="P1750" s="2" t="s">
        <v>49</v>
      </c>
    </row>
    <row r="1751" spans="1:16" x14ac:dyDescent="0.25">
      <c r="A1751" s="2" t="s">
        <v>4137</v>
      </c>
      <c r="B1751" s="2" t="s">
        <v>3102</v>
      </c>
      <c r="C1751" s="2">
        <v>2393</v>
      </c>
      <c r="D1751" s="2" t="s">
        <v>6549</v>
      </c>
      <c r="E1751" s="2" t="s">
        <v>38</v>
      </c>
      <c r="F1751" s="2" t="s">
        <v>47</v>
      </c>
      <c r="G1751" s="2">
        <v>12692.67</v>
      </c>
      <c r="H1751" s="2">
        <v>8013.86</v>
      </c>
      <c r="I1751" s="2" t="s">
        <v>20</v>
      </c>
      <c r="J1751" s="2" t="s">
        <v>21</v>
      </c>
      <c r="K1751" s="2" t="s">
        <v>22</v>
      </c>
      <c r="L1751" s="2" t="s">
        <v>43</v>
      </c>
      <c r="M1751" s="2">
        <v>1</v>
      </c>
      <c r="N1751" s="2" t="s">
        <v>33</v>
      </c>
      <c r="O1751" s="2" t="s">
        <v>25</v>
      </c>
      <c r="P1751" s="2" t="s">
        <v>49</v>
      </c>
    </row>
    <row r="1752" spans="1:16" x14ac:dyDescent="0.25">
      <c r="A1752" s="2" t="s">
        <v>4139</v>
      </c>
      <c r="B1752" s="2" t="s">
        <v>2854</v>
      </c>
      <c r="C1752" s="2">
        <v>5456</v>
      </c>
      <c r="D1752" s="2" t="s">
        <v>8715</v>
      </c>
      <c r="E1752" s="2" t="s">
        <v>18</v>
      </c>
      <c r="F1752" s="2" t="s">
        <v>39</v>
      </c>
      <c r="G1752" s="2">
        <v>33527.78</v>
      </c>
      <c r="H1752" s="2">
        <v>21532.93</v>
      </c>
      <c r="I1752" s="2" t="s">
        <v>68</v>
      </c>
      <c r="J1752" s="2" t="s">
        <v>41</v>
      </c>
      <c r="K1752" s="2" t="s">
        <v>80</v>
      </c>
      <c r="L1752" s="2" t="s">
        <v>55</v>
      </c>
      <c r="M1752" s="2">
        <v>1</v>
      </c>
      <c r="N1752" s="2" t="s">
        <v>24</v>
      </c>
      <c r="O1752" s="2" t="s">
        <v>25</v>
      </c>
      <c r="P1752" s="2" t="s">
        <v>34</v>
      </c>
    </row>
    <row r="1753" spans="1:16" x14ac:dyDescent="0.25">
      <c r="A1753" s="2" t="s">
        <v>4141</v>
      </c>
      <c r="B1753" s="2" t="s">
        <v>1268</v>
      </c>
      <c r="C1753" s="2">
        <v>3969</v>
      </c>
      <c r="D1753" s="2" t="s">
        <v>8716</v>
      </c>
      <c r="E1753" s="2" t="s">
        <v>38</v>
      </c>
      <c r="F1753" s="2" t="s">
        <v>30</v>
      </c>
      <c r="G1753" s="2">
        <v>45931.59</v>
      </c>
      <c r="H1753" s="2">
        <v>26300.95</v>
      </c>
      <c r="I1753" s="2" t="s">
        <v>84</v>
      </c>
      <c r="J1753" s="2" t="s">
        <v>54</v>
      </c>
      <c r="K1753" s="2" t="s">
        <v>80</v>
      </c>
      <c r="L1753" s="2" t="s">
        <v>64</v>
      </c>
      <c r="M1753" s="2">
        <v>5</v>
      </c>
      <c r="N1753" s="2" t="s">
        <v>33</v>
      </c>
      <c r="O1753" s="2" t="s">
        <v>25</v>
      </c>
      <c r="P1753" s="2" t="s">
        <v>26</v>
      </c>
    </row>
    <row r="1754" spans="1:16" x14ac:dyDescent="0.25">
      <c r="A1754" s="2" t="s">
        <v>4142</v>
      </c>
      <c r="B1754" s="2" t="s">
        <v>116</v>
      </c>
      <c r="C1754" s="2">
        <v>3136</v>
      </c>
      <c r="D1754" s="2" t="s">
        <v>8717</v>
      </c>
      <c r="E1754" s="2" t="s">
        <v>38</v>
      </c>
      <c r="F1754" s="2" t="s">
        <v>47</v>
      </c>
      <c r="G1754" s="2">
        <v>7802.68</v>
      </c>
      <c r="H1754" s="2">
        <v>4292.24</v>
      </c>
      <c r="I1754" s="2" t="s">
        <v>120</v>
      </c>
      <c r="J1754" s="2" t="s">
        <v>21</v>
      </c>
      <c r="K1754" s="2" t="s">
        <v>22</v>
      </c>
      <c r="L1754" s="2" t="s">
        <v>55</v>
      </c>
      <c r="M1754" s="2">
        <v>4</v>
      </c>
      <c r="N1754" s="2" t="s">
        <v>69</v>
      </c>
      <c r="O1754" s="2" t="s">
        <v>70</v>
      </c>
      <c r="P1754" s="2" t="s">
        <v>49</v>
      </c>
    </row>
    <row r="1755" spans="1:16" x14ac:dyDescent="0.25">
      <c r="A1755" s="2" t="s">
        <v>4144</v>
      </c>
      <c r="B1755" s="2" t="s">
        <v>8718</v>
      </c>
      <c r="C1755" s="2">
        <v>5662</v>
      </c>
      <c r="D1755" s="2" t="s">
        <v>8719</v>
      </c>
      <c r="E1755" s="2" t="s">
        <v>6680</v>
      </c>
      <c r="F1755" s="2" t="s">
        <v>58</v>
      </c>
      <c r="G1755" s="2">
        <v>29647.8</v>
      </c>
      <c r="H1755" s="2">
        <v>14730.42</v>
      </c>
      <c r="I1755" s="2" t="s">
        <v>6794</v>
      </c>
      <c r="J1755" s="2" t="s">
        <v>6795</v>
      </c>
      <c r="K1755" s="2" t="s">
        <v>22</v>
      </c>
      <c r="L1755" s="2" t="s">
        <v>64</v>
      </c>
      <c r="M1755" s="2">
        <v>2</v>
      </c>
      <c r="N1755" s="2" t="s">
        <v>24</v>
      </c>
      <c r="O1755" s="2" t="s">
        <v>70</v>
      </c>
      <c r="P1755" s="2" t="s">
        <v>34</v>
      </c>
    </row>
    <row r="1756" spans="1:16" x14ac:dyDescent="0.25">
      <c r="A1756" s="2" t="s">
        <v>4145</v>
      </c>
      <c r="B1756" s="2" t="s">
        <v>3024</v>
      </c>
      <c r="C1756" s="2">
        <v>8620</v>
      </c>
      <c r="D1756" s="2" t="s">
        <v>8720</v>
      </c>
      <c r="E1756" s="2" t="s">
        <v>18</v>
      </c>
      <c r="F1756" s="2" t="s">
        <v>47</v>
      </c>
      <c r="G1756" s="2">
        <v>3661.31</v>
      </c>
      <c r="H1756" s="2">
        <v>2169.04</v>
      </c>
      <c r="I1756" s="2" t="s">
        <v>84</v>
      </c>
      <c r="J1756" s="2" t="s">
        <v>54</v>
      </c>
      <c r="K1756" s="2" t="s">
        <v>42</v>
      </c>
      <c r="L1756" s="2" t="s">
        <v>48</v>
      </c>
      <c r="M1756" s="2">
        <v>3</v>
      </c>
      <c r="N1756" s="2" t="s">
        <v>33</v>
      </c>
      <c r="O1756" s="2" t="s">
        <v>70</v>
      </c>
      <c r="P1756" s="2" t="s">
        <v>49</v>
      </c>
    </row>
    <row r="1757" spans="1:16" x14ac:dyDescent="0.25">
      <c r="A1757" s="2" t="s">
        <v>4148</v>
      </c>
      <c r="B1757" s="2" t="s">
        <v>1409</v>
      </c>
      <c r="C1757" s="2">
        <v>5617</v>
      </c>
      <c r="D1757" s="2" t="s">
        <v>8721</v>
      </c>
      <c r="E1757" s="2" t="s">
        <v>18</v>
      </c>
      <c r="F1757" s="2" t="s">
        <v>47</v>
      </c>
      <c r="G1757" s="2">
        <v>16853.45</v>
      </c>
      <c r="H1757" s="2">
        <v>10459.879999999999</v>
      </c>
      <c r="I1757" s="2" t="s">
        <v>53</v>
      </c>
      <c r="J1757" s="2" t="s">
        <v>54</v>
      </c>
      <c r="K1757" s="2" t="s">
        <v>32</v>
      </c>
      <c r="L1757" s="2" t="s">
        <v>48</v>
      </c>
      <c r="M1757" s="2">
        <v>2</v>
      </c>
      <c r="N1757" s="2" t="s">
        <v>33</v>
      </c>
      <c r="O1757" s="2" t="s">
        <v>25</v>
      </c>
      <c r="P1757" s="2" t="s">
        <v>26</v>
      </c>
    </row>
    <row r="1758" spans="1:16" x14ac:dyDescent="0.25">
      <c r="A1758" s="2" t="s">
        <v>4150</v>
      </c>
      <c r="B1758" s="2" t="s">
        <v>1646</v>
      </c>
      <c r="C1758" s="2">
        <v>9763</v>
      </c>
      <c r="D1758" s="2" t="s">
        <v>4826</v>
      </c>
      <c r="E1758" s="2" t="s">
        <v>6698</v>
      </c>
      <c r="F1758" s="2" t="s">
        <v>58</v>
      </c>
      <c r="G1758" s="2">
        <v>21916.51</v>
      </c>
      <c r="H1758" s="2">
        <v>13629.64</v>
      </c>
      <c r="I1758" s="2" t="s">
        <v>6712</v>
      </c>
      <c r="J1758" s="2" t="s">
        <v>6682</v>
      </c>
      <c r="K1758" s="2" t="s">
        <v>80</v>
      </c>
      <c r="L1758" s="2" t="s">
        <v>43</v>
      </c>
      <c r="M1758" s="2">
        <v>5</v>
      </c>
      <c r="N1758" s="2" t="s">
        <v>33</v>
      </c>
      <c r="O1758" s="2" t="s">
        <v>25</v>
      </c>
      <c r="P1758" s="2" t="s">
        <v>26</v>
      </c>
    </row>
    <row r="1759" spans="1:16" x14ac:dyDescent="0.25">
      <c r="A1759" s="2" t="s">
        <v>4152</v>
      </c>
      <c r="B1759" s="2" t="s">
        <v>5547</v>
      </c>
      <c r="C1759" s="2">
        <v>3128</v>
      </c>
      <c r="D1759" s="2" t="s">
        <v>8722</v>
      </c>
      <c r="E1759" s="2" t="s">
        <v>18</v>
      </c>
      <c r="F1759" s="2" t="s">
        <v>30</v>
      </c>
      <c r="G1759" s="2">
        <v>91266.01</v>
      </c>
      <c r="H1759" s="2">
        <v>56864.29</v>
      </c>
      <c r="I1759" s="2" t="s">
        <v>31</v>
      </c>
      <c r="J1759" s="2" t="s">
        <v>21</v>
      </c>
      <c r="K1759" s="2" t="s">
        <v>80</v>
      </c>
      <c r="L1759" s="2" t="s">
        <v>55</v>
      </c>
      <c r="M1759" s="2">
        <v>5</v>
      </c>
      <c r="N1759" s="2" t="s">
        <v>24</v>
      </c>
      <c r="O1759" s="2" t="s">
        <v>25</v>
      </c>
      <c r="P1759" s="2" t="s">
        <v>49</v>
      </c>
    </row>
    <row r="1760" spans="1:16" x14ac:dyDescent="0.25">
      <c r="A1760" s="2" t="s">
        <v>4154</v>
      </c>
      <c r="B1760" s="2" t="s">
        <v>5808</v>
      </c>
      <c r="C1760" s="2">
        <v>5926</v>
      </c>
      <c r="D1760" s="2" t="s">
        <v>2362</v>
      </c>
      <c r="E1760" s="2" t="s">
        <v>6698</v>
      </c>
      <c r="F1760" s="2" t="s">
        <v>58</v>
      </c>
      <c r="G1760" s="2">
        <v>21923.02</v>
      </c>
      <c r="H1760" s="2">
        <v>11539.51</v>
      </c>
      <c r="I1760" s="2" t="s">
        <v>6867</v>
      </c>
      <c r="J1760" s="2" t="s">
        <v>6795</v>
      </c>
      <c r="K1760" s="2" t="s">
        <v>22</v>
      </c>
      <c r="L1760" s="2" t="s">
        <v>55</v>
      </c>
      <c r="M1760" s="2">
        <v>5</v>
      </c>
      <c r="N1760" s="2" t="s">
        <v>69</v>
      </c>
      <c r="O1760" s="2" t="s">
        <v>25</v>
      </c>
      <c r="P1760" s="2" t="s">
        <v>49</v>
      </c>
    </row>
    <row r="1761" spans="1:16" x14ac:dyDescent="0.25">
      <c r="A1761" s="2" t="s">
        <v>4156</v>
      </c>
      <c r="B1761" s="2" t="s">
        <v>1292</v>
      </c>
      <c r="C1761" s="2">
        <v>9955</v>
      </c>
      <c r="D1761" s="2" t="s">
        <v>8723</v>
      </c>
      <c r="E1761" s="2" t="s">
        <v>38</v>
      </c>
      <c r="F1761" s="2" t="s">
        <v>58</v>
      </c>
      <c r="G1761" s="2">
        <v>54865.65</v>
      </c>
      <c r="H1761" s="2">
        <v>26716.55</v>
      </c>
      <c r="I1761" s="2" t="s">
        <v>120</v>
      </c>
      <c r="J1761" s="2" t="s">
        <v>6724</v>
      </c>
      <c r="K1761" s="2" t="s">
        <v>80</v>
      </c>
      <c r="L1761" s="2" t="s">
        <v>48</v>
      </c>
      <c r="M1761" s="2">
        <v>4</v>
      </c>
      <c r="N1761" s="2" t="s">
        <v>69</v>
      </c>
      <c r="O1761" s="2" t="s">
        <v>25</v>
      </c>
      <c r="P1761" s="2" t="s">
        <v>49</v>
      </c>
    </row>
    <row r="1762" spans="1:16" x14ac:dyDescent="0.25">
      <c r="A1762" s="2" t="s">
        <v>4157</v>
      </c>
      <c r="B1762" s="2" t="s">
        <v>5797</v>
      </c>
      <c r="C1762" s="2">
        <v>2553</v>
      </c>
      <c r="D1762" s="2" t="s">
        <v>8724</v>
      </c>
      <c r="E1762" s="2" t="s">
        <v>18</v>
      </c>
      <c r="F1762" s="2" t="s">
        <v>19</v>
      </c>
      <c r="G1762" s="2">
        <v>4754.92</v>
      </c>
      <c r="H1762" s="2">
        <v>2757.66</v>
      </c>
      <c r="I1762" s="2" t="s">
        <v>20</v>
      </c>
      <c r="J1762" s="2" t="s">
        <v>21</v>
      </c>
      <c r="K1762" s="2" t="s">
        <v>22</v>
      </c>
      <c r="L1762" s="2" t="s">
        <v>43</v>
      </c>
      <c r="M1762" s="2">
        <v>2</v>
      </c>
      <c r="N1762" s="2" t="s">
        <v>24</v>
      </c>
      <c r="O1762" s="2" t="s">
        <v>25</v>
      </c>
      <c r="P1762" s="2" t="s">
        <v>49</v>
      </c>
    </row>
    <row r="1763" spans="1:16" x14ac:dyDescent="0.25">
      <c r="A1763" s="2" t="s">
        <v>4159</v>
      </c>
      <c r="B1763" s="2" t="s">
        <v>8725</v>
      </c>
      <c r="C1763" s="2">
        <v>9866</v>
      </c>
      <c r="D1763" s="2" t="s">
        <v>5072</v>
      </c>
      <c r="E1763" s="2" t="s">
        <v>6708</v>
      </c>
      <c r="F1763" s="2" t="s">
        <v>19</v>
      </c>
      <c r="G1763" s="2">
        <v>10474.19</v>
      </c>
      <c r="H1763" s="2">
        <v>6219.42</v>
      </c>
      <c r="I1763" s="2" t="s">
        <v>6812</v>
      </c>
      <c r="J1763" s="2" t="s">
        <v>6753</v>
      </c>
      <c r="K1763" s="2" t="s">
        <v>32</v>
      </c>
      <c r="L1763" s="2" t="s">
        <v>43</v>
      </c>
      <c r="M1763" s="2">
        <v>2</v>
      </c>
      <c r="N1763" s="2" t="s">
        <v>69</v>
      </c>
      <c r="O1763" s="2" t="s">
        <v>70</v>
      </c>
      <c r="P1763" s="2" t="s">
        <v>34</v>
      </c>
    </row>
    <row r="1764" spans="1:16" x14ac:dyDescent="0.25">
      <c r="A1764" s="2" t="s">
        <v>4161</v>
      </c>
      <c r="B1764" s="2" t="s">
        <v>575</v>
      </c>
      <c r="C1764" s="2">
        <v>4095</v>
      </c>
      <c r="D1764" s="2" t="s">
        <v>8726</v>
      </c>
      <c r="E1764" s="2" t="s">
        <v>38</v>
      </c>
      <c r="F1764" s="2" t="s">
        <v>30</v>
      </c>
      <c r="G1764" s="2">
        <v>15878.4</v>
      </c>
      <c r="H1764" s="2">
        <v>9549.31</v>
      </c>
      <c r="I1764" s="2" t="s">
        <v>31</v>
      </c>
      <c r="J1764" s="2" t="s">
        <v>21</v>
      </c>
      <c r="K1764" s="2" t="s">
        <v>22</v>
      </c>
      <c r="L1764" s="2" t="s">
        <v>64</v>
      </c>
      <c r="M1764" s="2">
        <v>1</v>
      </c>
      <c r="N1764" s="2" t="s">
        <v>69</v>
      </c>
      <c r="O1764" s="2" t="s">
        <v>25</v>
      </c>
      <c r="P1764" s="2" t="s">
        <v>26</v>
      </c>
    </row>
    <row r="1765" spans="1:16" x14ac:dyDescent="0.25">
      <c r="A1765" s="2" t="s">
        <v>4164</v>
      </c>
      <c r="B1765" s="2" t="s">
        <v>8727</v>
      </c>
      <c r="C1765" s="2">
        <v>4683</v>
      </c>
      <c r="D1765" s="2" t="s">
        <v>8728</v>
      </c>
      <c r="E1765" s="2" t="s">
        <v>32</v>
      </c>
      <c r="F1765" s="2" t="s">
        <v>39</v>
      </c>
      <c r="G1765" s="2">
        <v>10259.11</v>
      </c>
      <c r="H1765" s="2">
        <v>6259.18</v>
      </c>
      <c r="I1765" s="2" t="s">
        <v>6771</v>
      </c>
      <c r="J1765" s="2" t="s">
        <v>6795</v>
      </c>
      <c r="K1765" s="2" t="s">
        <v>22</v>
      </c>
      <c r="L1765" s="2" t="s">
        <v>43</v>
      </c>
      <c r="M1765" s="2">
        <v>5</v>
      </c>
      <c r="N1765" s="2" t="s">
        <v>33</v>
      </c>
      <c r="O1765" s="2" t="s">
        <v>25</v>
      </c>
      <c r="P1765" s="2" t="s">
        <v>49</v>
      </c>
    </row>
    <row r="1766" spans="1:16" x14ac:dyDescent="0.25">
      <c r="A1766" s="2" t="s">
        <v>4165</v>
      </c>
      <c r="B1766" s="2" t="s">
        <v>8729</v>
      </c>
      <c r="C1766" s="2">
        <v>7714</v>
      </c>
      <c r="D1766" s="2" t="s">
        <v>8730</v>
      </c>
      <c r="E1766" s="2" t="s">
        <v>6698</v>
      </c>
      <c r="F1766" s="2" t="s">
        <v>47</v>
      </c>
      <c r="G1766" s="2">
        <v>4861.22</v>
      </c>
      <c r="H1766" s="2">
        <v>2649.14</v>
      </c>
      <c r="I1766" s="2" t="s">
        <v>6812</v>
      </c>
      <c r="J1766" s="2" t="s">
        <v>54</v>
      </c>
      <c r="K1766" s="2" t="s">
        <v>42</v>
      </c>
      <c r="L1766" s="2" t="s">
        <v>48</v>
      </c>
      <c r="M1766" s="2">
        <v>3</v>
      </c>
      <c r="N1766" s="2" t="s">
        <v>69</v>
      </c>
      <c r="O1766" s="2" t="s">
        <v>25</v>
      </c>
      <c r="P1766" s="2" t="s">
        <v>34</v>
      </c>
    </row>
    <row r="1767" spans="1:16" x14ac:dyDescent="0.25">
      <c r="A1767" s="2" t="s">
        <v>4167</v>
      </c>
      <c r="B1767" s="2" t="s">
        <v>8731</v>
      </c>
      <c r="C1767" s="2">
        <v>9165</v>
      </c>
      <c r="D1767" s="2" t="s">
        <v>8732</v>
      </c>
      <c r="E1767" s="2" t="s">
        <v>6708</v>
      </c>
      <c r="F1767" s="2" t="s">
        <v>58</v>
      </c>
      <c r="G1767" s="2">
        <v>24959.07</v>
      </c>
      <c r="H1767" s="2">
        <v>11249.01</v>
      </c>
      <c r="I1767" s="2" t="s">
        <v>6867</v>
      </c>
      <c r="J1767" s="2" t="s">
        <v>21</v>
      </c>
      <c r="K1767" s="2" t="s">
        <v>22</v>
      </c>
      <c r="L1767" s="2" t="s">
        <v>23</v>
      </c>
      <c r="M1767" s="2">
        <v>3</v>
      </c>
      <c r="N1767" s="2" t="s">
        <v>33</v>
      </c>
      <c r="O1767" s="2" t="s">
        <v>25</v>
      </c>
      <c r="P1767" s="2" t="s">
        <v>26</v>
      </c>
    </row>
    <row r="1768" spans="1:16" x14ac:dyDescent="0.25">
      <c r="A1768" s="2" t="s">
        <v>4169</v>
      </c>
      <c r="B1768" s="2" t="s">
        <v>3051</v>
      </c>
      <c r="C1768" s="2">
        <v>3815</v>
      </c>
      <c r="D1768" s="2" t="s">
        <v>734</v>
      </c>
      <c r="E1768" s="2" t="s">
        <v>38</v>
      </c>
      <c r="F1768" s="2" t="s">
        <v>39</v>
      </c>
      <c r="G1768" s="2">
        <v>57646.12</v>
      </c>
      <c r="H1768" s="2">
        <v>28508.09</v>
      </c>
      <c r="I1768" s="2" t="s">
        <v>84</v>
      </c>
      <c r="J1768" s="2" t="s">
        <v>54</v>
      </c>
      <c r="K1768" s="2" t="s">
        <v>22</v>
      </c>
      <c r="L1768" s="2" t="s">
        <v>43</v>
      </c>
      <c r="M1768" s="2">
        <v>1</v>
      </c>
      <c r="N1768" s="2" t="s">
        <v>69</v>
      </c>
      <c r="O1768" s="2" t="s">
        <v>25</v>
      </c>
      <c r="P1768" s="2" t="s">
        <v>34</v>
      </c>
    </row>
    <row r="1769" spans="1:16" x14ac:dyDescent="0.25">
      <c r="A1769" s="2" t="s">
        <v>4171</v>
      </c>
      <c r="B1769" s="2" t="s">
        <v>6715</v>
      </c>
      <c r="C1769" s="2">
        <v>3402</v>
      </c>
      <c r="D1769" s="2" t="s">
        <v>8733</v>
      </c>
      <c r="E1769" s="2" t="s">
        <v>6756</v>
      </c>
      <c r="F1769" s="2" t="s">
        <v>39</v>
      </c>
      <c r="G1769" s="2">
        <v>14371.36</v>
      </c>
      <c r="H1769" s="2">
        <v>7615.99</v>
      </c>
      <c r="I1769" s="2" t="s">
        <v>53</v>
      </c>
      <c r="J1769" s="2" t="s">
        <v>54</v>
      </c>
      <c r="K1769" s="2" t="s">
        <v>80</v>
      </c>
      <c r="L1769" s="2" t="s">
        <v>88</v>
      </c>
      <c r="M1769" s="2">
        <v>1</v>
      </c>
      <c r="N1769" s="2" t="s">
        <v>33</v>
      </c>
      <c r="O1769" s="2" t="s">
        <v>70</v>
      </c>
      <c r="P1769" s="2" t="s">
        <v>26</v>
      </c>
    </row>
    <row r="1770" spans="1:16" x14ac:dyDescent="0.25">
      <c r="A1770" s="2" t="s">
        <v>4174</v>
      </c>
      <c r="B1770" s="2" t="s">
        <v>1279</v>
      </c>
      <c r="C1770" s="2">
        <v>4422</v>
      </c>
      <c r="D1770" s="2" t="s">
        <v>8734</v>
      </c>
      <c r="E1770" s="2" t="s">
        <v>6694</v>
      </c>
      <c r="F1770" s="2" t="s">
        <v>47</v>
      </c>
      <c r="G1770" s="2">
        <v>5250.05</v>
      </c>
      <c r="H1770" s="2">
        <v>2818.73</v>
      </c>
      <c r="I1770" s="2" t="s">
        <v>6726</v>
      </c>
      <c r="J1770" s="2" t="s">
        <v>6724</v>
      </c>
      <c r="K1770" s="2" t="s">
        <v>32</v>
      </c>
      <c r="L1770" s="2" t="s">
        <v>88</v>
      </c>
      <c r="M1770" s="2">
        <v>2</v>
      </c>
      <c r="N1770" s="2" t="s">
        <v>33</v>
      </c>
      <c r="O1770" s="2" t="s">
        <v>70</v>
      </c>
      <c r="P1770" s="2" t="s">
        <v>49</v>
      </c>
    </row>
    <row r="1771" spans="1:16" x14ac:dyDescent="0.25">
      <c r="A1771" s="2" t="s">
        <v>4176</v>
      </c>
      <c r="B1771" s="2" t="s">
        <v>8735</v>
      </c>
      <c r="C1771" s="2">
        <v>4406</v>
      </c>
      <c r="D1771" s="2" t="s">
        <v>8736</v>
      </c>
      <c r="E1771" s="2" t="s">
        <v>18</v>
      </c>
      <c r="F1771" s="2" t="s">
        <v>30</v>
      </c>
      <c r="G1771" s="2">
        <v>14871.79</v>
      </c>
      <c r="H1771" s="2">
        <v>9101.2800000000007</v>
      </c>
      <c r="I1771" s="2" t="s">
        <v>6808</v>
      </c>
      <c r="J1771" s="2" t="s">
        <v>6686</v>
      </c>
      <c r="K1771" s="2" t="s">
        <v>80</v>
      </c>
      <c r="L1771" s="2" t="s">
        <v>48</v>
      </c>
      <c r="M1771" s="2">
        <v>1</v>
      </c>
      <c r="N1771" s="2" t="s">
        <v>33</v>
      </c>
      <c r="O1771" s="2" t="s">
        <v>70</v>
      </c>
      <c r="P1771" s="2" t="s">
        <v>34</v>
      </c>
    </row>
    <row r="1772" spans="1:16" x14ac:dyDescent="0.25">
      <c r="A1772" s="2" t="s">
        <v>4178</v>
      </c>
      <c r="B1772" s="2" t="s">
        <v>2406</v>
      </c>
      <c r="C1772" s="2">
        <v>3028</v>
      </c>
      <c r="D1772" s="2" t="s">
        <v>5324</v>
      </c>
      <c r="E1772" s="2" t="s">
        <v>18</v>
      </c>
      <c r="F1772" s="2" t="s">
        <v>58</v>
      </c>
      <c r="G1772" s="2">
        <v>28289.58</v>
      </c>
      <c r="H1772" s="2">
        <v>14807.53</v>
      </c>
      <c r="I1772" s="2" t="s">
        <v>53</v>
      </c>
      <c r="J1772" s="2" t="s">
        <v>54</v>
      </c>
      <c r="K1772" s="2" t="s">
        <v>22</v>
      </c>
      <c r="L1772" s="2" t="s">
        <v>23</v>
      </c>
      <c r="M1772" s="2">
        <v>3</v>
      </c>
      <c r="N1772" s="2" t="s">
        <v>24</v>
      </c>
      <c r="O1772" s="2" t="s">
        <v>70</v>
      </c>
      <c r="P1772" s="2" t="s">
        <v>49</v>
      </c>
    </row>
    <row r="1773" spans="1:16" x14ac:dyDescent="0.25">
      <c r="A1773" s="2" t="s">
        <v>4181</v>
      </c>
      <c r="B1773" s="2" t="s">
        <v>8737</v>
      </c>
      <c r="C1773" s="2">
        <v>7089</v>
      </c>
      <c r="D1773" s="2" t="s">
        <v>8738</v>
      </c>
      <c r="E1773" s="2" t="s">
        <v>6743</v>
      </c>
      <c r="F1773" s="2" t="s">
        <v>30</v>
      </c>
      <c r="G1773" s="2">
        <v>64665.21</v>
      </c>
      <c r="H1773" s="2">
        <v>34543.72</v>
      </c>
      <c r="I1773" s="2" t="s">
        <v>6720</v>
      </c>
      <c r="J1773" s="2" t="s">
        <v>6686</v>
      </c>
      <c r="K1773" s="2" t="s">
        <v>80</v>
      </c>
      <c r="L1773" s="2" t="s">
        <v>43</v>
      </c>
      <c r="M1773" s="2">
        <v>1</v>
      </c>
      <c r="N1773" s="2" t="s">
        <v>69</v>
      </c>
      <c r="O1773" s="2" t="s">
        <v>70</v>
      </c>
      <c r="P1773" s="2" t="s">
        <v>34</v>
      </c>
    </row>
    <row r="1774" spans="1:16" x14ac:dyDescent="0.25">
      <c r="A1774" s="2" t="s">
        <v>4182</v>
      </c>
      <c r="B1774" s="2" t="s">
        <v>8739</v>
      </c>
      <c r="C1774" s="2">
        <v>4644</v>
      </c>
      <c r="D1774" s="2" t="s">
        <v>8740</v>
      </c>
      <c r="E1774" s="2" t="s">
        <v>6680</v>
      </c>
      <c r="F1774" s="2" t="s">
        <v>58</v>
      </c>
      <c r="G1774" s="2">
        <v>26708.86</v>
      </c>
      <c r="H1774" s="2">
        <v>12859.47</v>
      </c>
      <c r="I1774" s="2" t="s">
        <v>6704</v>
      </c>
      <c r="J1774" s="2" t="s">
        <v>6793</v>
      </c>
      <c r="K1774" s="2" t="s">
        <v>42</v>
      </c>
      <c r="L1774" s="2" t="s">
        <v>55</v>
      </c>
      <c r="M1774" s="2">
        <v>3</v>
      </c>
      <c r="N1774" s="2" t="s">
        <v>33</v>
      </c>
      <c r="O1774" s="2" t="s">
        <v>25</v>
      </c>
      <c r="P1774" s="2" t="s">
        <v>34</v>
      </c>
    </row>
    <row r="1775" spans="1:16" x14ac:dyDescent="0.25">
      <c r="A1775" s="2" t="s">
        <v>4183</v>
      </c>
      <c r="B1775" s="2" t="s">
        <v>95</v>
      </c>
      <c r="C1775" s="2">
        <v>1622</v>
      </c>
      <c r="D1775" s="2" t="s">
        <v>8741</v>
      </c>
      <c r="E1775" s="2" t="s">
        <v>18</v>
      </c>
      <c r="F1775" s="2" t="s">
        <v>47</v>
      </c>
      <c r="G1775" s="2">
        <v>13855.72</v>
      </c>
      <c r="H1775" s="2">
        <v>7935.47</v>
      </c>
      <c r="I1775" s="2" t="s">
        <v>84</v>
      </c>
      <c r="J1775" s="2" t="s">
        <v>54</v>
      </c>
      <c r="K1775" s="2" t="s">
        <v>80</v>
      </c>
      <c r="L1775" s="2" t="s">
        <v>48</v>
      </c>
      <c r="M1775" s="2">
        <v>5</v>
      </c>
      <c r="N1775" s="2" t="s">
        <v>69</v>
      </c>
      <c r="O1775" s="2" t="s">
        <v>70</v>
      </c>
      <c r="P1775" s="2" t="s">
        <v>26</v>
      </c>
    </row>
    <row r="1776" spans="1:16" x14ac:dyDescent="0.25">
      <c r="A1776" s="2" t="s">
        <v>4185</v>
      </c>
      <c r="B1776" s="2" t="s">
        <v>8742</v>
      </c>
      <c r="C1776" s="2">
        <v>7891</v>
      </c>
      <c r="D1776" s="2" t="s">
        <v>7853</v>
      </c>
      <c r="E1776" s="2" t="s">
        <v>38</v>
      </c>
      <c r="F1776" s="2" t="s">
        <v>58</v>
      </c>
      <c r="G1776" s="2">
        <v>51779.13</v>
      </c>
      <c r="H1776" s="2">
        <v>31371.71</v>
      </c>
      <c r="I1776" s="2" t="s">
        <v>63</v>
      </c>
      <c r="J1776" s="2" t="s">
        <v>54</v>
      </c>
      <c r="K1776" s="2" t="s">
        <v>22</v>
      </c>
      <c r="L1776" s="2" t="s">
        <v>23</v>
      </c>
      <c r="M1776" s="2">
        <v>3</v>
      </c>
      <c r="N1776" s="2" t="s">
        <v>33</v>
      </c>
      <c r="O1776" s="2" t="s">
        <v>25</v>
      </c>
      <c r="P1776" s="2" t="s">
        <v>49</v>
      </c>
    </row>
    <row r="1777" spans="1:16" x14ac:dyDescent="0.25">
      <c r="A1777" s="2" t="s">
        <v>4187</v>
      </c>
      <c r="B1777" s="2" t="s">
        <v>510</v>
      </c>
      <c r="C1777" s="2">
        <v>5876</v>
      </c>
      <c r="D1777" s="2" t="s">
        <v>8743</v>
      </c>
      <c r="E1777" s="2" t="s">
        <v>38</v>
      </c>
      <c r="F1777" s="2" t="s">
        <v>19</v>
      </c>
      <c r="G1777" s="2">
        <v>11465.39</v>
      </c>
      <c r="H1777" s="2">
        <v>5374.1</v>
      </c>
      <c r="I1777" s="2" t="s">
        <v>84</v>
      </c>
      <c r="J1777" s="2" t="s">
        <v>54</v>
      </c>
      <c r="K1777" s="2" t="s">
        <v>42</v>
      </c>
      <c r="L1777" s="2" t="s">
        <v>43</v>
      </c>
      <c r="M1777" s="2">
        <v>5</v>
      </c>
      <c r="N1777" s="2" t="s">
        <v>24</v>
      </c>
      <c r="O1777" s="2" t="s">
        <v>25</v>
      </c>
      <c r="P1777" s="2" t="s">
        <v>26</v>
      </c>
    </row>
    <row r="1778" spans="1:16" x14ac:dyDescent="0.25">
      <c r="A1778" s="2" t="s">
        <v>4189</v>
      </c>
      <c r="B1778" s="2" t="s">
        <v>8744</v>
      </c>
      <c r="C1778" s="2">
        <v>6487</v>
      </c>
      <c r="D1778" s="2" t="s">
        <v>8745</v>
      </c>
      <c r="E1778" s="2" t="s">
        <v>6743</v>
      </c>
      <c r="F1778" s="2" t="s">
        <v>58</v>
      </c>
      <c r="G1778" s="2">
        <v>29228.28</v>
      </c>
      <c r="H1778" s="2">
        <v>18159.63</v>
      </c>
      <c r="I1778" s="2" t="s">
        <v>6699</v>
      </c>
      <c r="J1778" s="2" t="s">
        <v>6691</v>
      </c>
      <c r="K1778" s="2" t="s">
        <v>80</v>
      </c>
      <c r="L1778" s="2" t="s">
        <v>23</v>
      </c>
      <c r="M1778" s="2">
        <v>2</v>
      </c>
      <c r="N1778" s="2" t="s">
        <v>33</v>
      </c>
      <c r="O1778" s="2" t="s">
        <v>25</v>
      </c>
      <c r="P1778" s="2" t="s">
        <v>34</v>
      </c>
    </row>
    <row r="1779" spans="1:16" x14ac:dyDescent="0.25">
      <c r="A1779" s="2" t="s">
        <v>4191</v>
      </c>
      <c r="B1779" s="2" t="s">
        <v>614</v>
      </c>
      <c r="C1779" s="2">
        <v>5735</v>
      </c>
      <c r="D1779" s="2" t="s">
        <v>8746</v>
      </c>
      <c r="E1779" s="2" t="s">
        <v>18</v>
      </c>
      <c r="F1779" s="2" t="s">
        <v>39</v>
      </c>
      <c r="G1779" s="2">
        <v>15680.33</v>
      </c>
      <c r="H1779" s="2">
        <v>8821.3799999999992</v>
      </c>
      <c r="I1779" s="2" t="s">
        <v>120</v>
      </c>
      <c r="J1779" s="2" t="s">
        <v>21</v>
      </c>
      <c r="K1779" s="2" t="s">
        <v>42</v>
      </c>
      <c r="L1779" s="2" t="s">
        <v>48</v>
      </c>
      <c r="M1779" s="2">
        <v>3</v>
      </c>
      <c r="N1779" s="2" t="s">
        <v>33</v>
      </c>
      <c r="O1779" s="2" t="s">
        <v>25</v>
      </c>
      <c r="P1779" s="2" t="s">
        <v>49</v>
      </c>
    </row>
    <row r="1780" spans="1:16" x14ac:dyDescent="0.25">
      <c r="A1780" s="2" t="s">
        <v>4193</v>
      </c>
      <c r="B1780" s="2" t="s">
        <v>391</v>
      </c>
      <c r="C1780" s="2">
        <v>3451</v>
      </c>
      <c r="D1780" s="2" t="s">
        <v>629</v>
      </c>
      <c r="E1780" s="2" t="s">
        <v>18</v>
      </c>
      <c r="F1780" s="2" t="s">
        <v>58</v>
      </c>
      <c r="G1780" s="2">
        <v>11841.65</v>
      </c>
      <c r="H1780" s="2">
        <v>5675.64</v>
      </c>
      <c r="I1780" s="2" t="s">
        <v>53</v>
      </c>
      <c r="J1780" s="2" t="s">
        <v>54</v>
      </c>
      <c r="K1780" s="2" t="s">
        <v>80</v>
      </c>
      <c r="L1780" s="2" t="s">
        <v>23</v>
      </c>
      <c r="M1780" s="2">
        <v>4</v>
      </c>
      <c r="N1780" s="2" t="s">
        <v>24</v>
      </c>
      <c r="O1780" s="2" t="s">
        <v>25</v>
      </c>
      <c r="P1780" s="2" t="s">
        <v>49</v>
      </c>
    </row>
    <row r="1781" spans="1:16" x14ac:dyDescent="0.25">
      <c r="A1781" s="2" t="s">
        <v>4195</v>
      </c>
      <c r="B1781" s="2" t="s">
        <v>2420</v>
      </c>
      <c r="C1781" s="2">
        <v>3785</v>
      </c>
      <c r="D1781" s="2" t="s">
        <v>8747</v>
      </c>
      <c r="E1781" s="2" t="s">
        <v>6694</v>
      </c>
      <c r="F1781" s="2" t="s">
        <v>19</v>
      </c>
      <c r="G1781" s="2">
        <v>10534.47</v>
      </c>
      <c r="H1781" s="2">
        <v>5804.48</v>
      </c>
      <c r="I1781" s="2" t="s">
        <v>53</v>
      </c>
      <c r="J1781" s="2" t="s">
        <v>54</v>
      </c>
      <c r="K1781" s="2" t="s">
        <v>42</v>
      </c>
      <c r="L1781" s="2" t="s">
        <v>43</v>
      </c>
      <c r="M1781" s="2">
        <v>2</v>
      </c>
      <c r="N1781" s="2" t="s">
        <v>24</v>
      </c>
      <c r="O1781" s="2" t="s">
        <v>25</v>
      </c>
      <c r="P1781" s="2" t="s">
        <v>49</v>
      </c>
    </row>
    <row r="1782" spans="1:16" x14ac:dyDescent="0.25">
      <c r="A1782" s="2" t="s">
        <v>4197</v>
      </c>
      <c r="B1782" s="2" t="s">
        <v>2027</v>
      </c>
      <c r="C1782" s="2">
        <v>4405</v>
      </c>
      <c r="D1782" s="2" t="s">
        <v>8748</v>
      </c>
      <c r="E1782" s="2" t="s">
        <v>18</v>
      </c>
      <c r="F1782" s="2" t="s">
        <v>30</v>
      </c>
      <c r="G1782" s="2">
        <v>42174.57</v>
      </c>
      <c r="H1782" s="2">
        <v>21544.51</v>
      </c>
      <c r="I1782" s="2" t="s">
        <v>120</v>
      </c>
      <c r="J1782" s="2" t="s">
        <v>21</v>
      </c>
      <c r="K1782" s="2" t="s">
        <v>80</v>
      </c>
      <c r="L1782" s="2" t="s">
        <v>43</v>
      </c>
      <c r="M1782" s="2">
        <v>5</v>
      </c>
      <c r="N1782" s="2" t="s">
        <v>24</v>
      </c>
      <c r="O1782" s="2" t="s">
        <v>25</v>
      </c>
      <c r="P1782" s="2" t="s">
        <v>34</v>
      </c>
    </row>
    <row r="1783" spans="1:16" x14ac:dyDescent="0.25">
      <c r="A1783" s="2" t="s">
        <v>4200</v>
      </c>
      <c r="B1783" s="2" t="s">
        <v>8749</v>
      </c>
      <c r="C1783" s="2">
        <v>1380</v>
      </c>
      <c r="D1783" s="2" t="s">
        <v>8750</v>
      </c>
      <c r="E1783" s="2" t="s">
        <v>6756</v>
      </c>
      <c r="F1783" s="2" t="s">
        <v>47</v>
      </c>
      <c r="G1783" s="2">
        <v>6521.71</v>
      </c>
      <c r="H1783" s="2">
        <v>4132.75</v>
      </c>
      <c r="I1783" s="2" t="s">
        <v>6695</v>
      </c>
      <c r="J1783" s="2" t="s">
        <v>6724</v>
      </c>
      <c r="K1783" s="2" t="s">
        <v>42</v>
      </c>
      <c r="L1783" s="2" t="s">
        <v>48</v>
      </c>
      <c r="M1783" s="2">
        <v>3</v>
      </c>
      <c r="N1783" s="2" t="s">
        <v>24</v>
      </c>
      <c r="O1783" s="2" t="s">
        <v>25</v>
      </c>
      <c r="P1783" s="2" t="s">
        <v>26</v>
      </c>
    </row>
    <row r="1784" spans="1:16" x14ac:dyDescent="0.25">
      <c r="A1784" s="2" t="s">
        <v>4202</v>
      </c>
      <c r="B1784" s="2" t="s">
        <v>8751</v>
      </c>
      <c r="C1784" s="2">
        <v>4830</v>
      </c>
      <c r="D1784" s="2" t="s">
        <v>8741</v>
      </c>
      <c r="E1784" s="2" t="s">
        <v>38</v>
      </c>
      <c r="F1784" s="2" t="s">
        <v>47</v>
      </c>
      <c r="G1784" s="2">
        <v>14521.7</v>
      </c>
      <c r="H1784" s="2">
        <v>9096.92</v>
      </c>
      <c r="I1784" s="2" t="s">
        <v>6699</v>
      </c>
      <c r="J1784" s="2" t="s">
        <v>6753</v>
      </c>
      <c r="K1784" s="2" t="s">
        <v>42</v>
      </c>
      <c r="L1784" s="2" t="s">
        <v>23</v>
      </c>
      <c r="M1784" s="2">
        <v>5</v>
      </c>
      <c r="N1784" s="2" t="s">
        <v>69</v>
      </c>
      <c r="O1784" s="2" t="s">
        <v>25</v>
      </c>
      <c r="P1784" s="2" t="s">
        <v>34</v>
      </c>
    </row>
    <row r="1785" spans="1:16" x14ac:dyDescent="0.25">
      <c r="A1785" s="2" t="s">
        <v>4203</v>
      </c>
      <c r="B1785" s="2" t="s">
        <v>4753</v>
      </c>
      <c r="C1785" s="2">
        <v>9843</v>
      </c>
      <c r="D1785" s="2" t="s">
        <v>8752</v>
      </c>
      <c r="E1785" s="2" t="s">
        <v>18</v>
      </c>
      <c r="F1785" s="2" t="s">
        <v>19</v>
      </c>
      <c r="G1785" s="2">
        <v>17661.63</v>
      </c>
      <c r="H1785" s="2">
        <v>8913.61</v>
      </c>
      <c r="I1785" s="2" t="s">
        <v>120</v>
      </c>
      <c r="J1785" s="2" t="s">
        <v>21</v>
      </c>
      <c r="K1785" s="2" t="s">
        <v>42</v>
      </c>
      <c r="L1785" s="2" t="s">
        <v>88</v>
      </c>
      <c r="M1785" s="2">
        <v>1</v>
      </c>
      <c r="N1785" s="2" t="s">
        <v>24</v>
      </c>
      <c r="O1785" s="2" t="s">
        <v>25</v>
      </c>
      <c r="P1785" s="2" t="s">
        <v>34</v>
      </c>
    </row>
    <row r="1786" spans="1:16" x14ac:dyDescent="0.25">
      <c r="A1786" s="2" t="s">
        <v>4206</v>
      </c>
      <c r="B1786" s="2" t="s">
        <v>8753</v>
      </c>
      <c r="C1786" s="2">
        <v>1738</v>
      </c>
      <c r="D1786" s="2" t="s">
        <v>8754</v>
      </c>
      <c r="E1786" s="2" t="s">
        <v>6698</v>
      </c>
      <c r="F1786" s="2" t="s">
        <v>58</v>
      </c>
      <c r="G1786" s="2">
        <v>18375.5</v>
      </c>
      <c r="H1786" s="2">
        <v>11217.2</v>
      </c>
      <c r="I1786" s="2" t="s">
        <v>6726</v>
      </c>
      <c r="J1786" s="2" t="s">
        <v>21</v>
      </c>
      <c r="K1786" s="2" t="s">
        <v>32</v>
      </c>
      <c r="L1786" s="2" t="s">
        <v>88</v>
      </c>
      <c r="M1786" s="2">
        <v>2</v>
      </c>
      <c r="N1786" s="2" t="s">
        <v>33</v>
      </c>
      <c r="O1786" s="2" t="s">
        <v>70</v>
      </c>
      <c r="P1786" s="2" t="s">
        <v>34</v>
      </c>
    </row>
    <row r="1787" spans="1:16" x14ac:dyDescent="0.25">
      <c r="A1787" s="2" t="s">
        <v>4208</v>
      </c>
      <c r="B1787" s="2" t="s">
        <v>8755</v>
      </c>
      <c r="C1787" s="2">
        <v>8403</v>
      </c>
      <c r="D1787" s="2" t="s">
        <v>8756</v>
      </c>
      <c r="E1787" s="2" t="s">
        <v>18</v>
      </c>
      <c r="F1787" s="2" t="s">
        <v>19</v>
      </c>
      <c r="G1787" s="2">
        <v>4288.8999999999996</v>
      </c>
      <c r="H1787" s="2">
        <v>2398.27</v>
      </c>
      <c r="I1787" s="2" t="s">
        <v>6690</v>
      </c>
      <c r="J1787" s="2" t="s">
        <v>6700</v>
      </c>
      <c r="K1787" s="2" t="s">
        <v>32</v>
      </c>
      <c r="L1787" s="2" t="s">
        <v>88</v>
      </c>
      <c r="M1787" s="2">
        <v>3</v>
      </c>
      <c r="N1787" s="2" t="s">
        <v>33</v>
      </c>
      <c r="O1787" s="2" t="s">
        <v>25</v>
      </c>
      <c r="P1787" s="2" t="s">
        <v>34</v>
      </c>
    </row>
    <row r="1788" spans="1:16" x14ac:dyDescent="0.25">
      <c r="A1788" s="2" t="s">
        <v>4210</v>
      </c>
      <c r="B1788" s="2" t="s">
        <v>1736</v>
      </c>
      <c r="C1788" s="2">
        <v>2342</v>
      </c>
      <c r="D1788" s="2" t="s">
        <v>8757</v>
      </c>
      <c r="E1788" s="2" t="s">
        <v>38</v>
      </c>
      <c r="F1788" s="2" t="s">
        <v>30</v>
      </c>
      <c r="G1788" s="2">
        <v>26876.48</v>
      </c>
      <c r="H1788" s="2">
        <v>13048.1</v>
      </c>
      <c r="I1788" s="2" t="s">
        <v>53</v>
      </c>
      <c r="J1788" s="2" t="s">
        <v>54</v>
      </c>
      <c r="K1788" s="2" t="s">
        <v>42</v>
      </c>
      <c r="L1788" s="2" t="s">
        <v>55</v>
      </c>
      <c r="M1788" s="2">
        <v>2</v>
      </c>
      <c r="N1788" s="2" t="s">
        <v>24</v>
      </c>
      <c r="O1788" s="2" t="s">
        <v>70</v>
      </c>
      <c r="P1788" s="2" t="s">
        <v>34</v>
      </c>
    </row>
    <row r="1789" spans="1:16" x14ac:dyDescent="0.25">
      <c r="A1789" s="2" t="s">
        <v>4212</v>
      </c>
      <c r="B1789" s="2" t="s">
        <v>3763</v>
      </c>
      <c r="C1789" s="2">
        <v>1727</v>
      </c>
      <c r="D1789" s="2" t="s">
        <v>8758</v>
      </c>
      <c r="E1789" s="2" t="s">
        <v>18</v>
      </c>
      <c r="F1789" s="2" t="s">
        <v>19</v>
      </c>
      <c r="G1789" s="2">
        <v>13990.8</v>
      </c>
      <c r="H1789" s="2">
        <v>7142.86</v>
      </c>
      <c r="I1789" s="2" t="s">
        <v>40</v>
      </c>
      <c r="J1789" s="2" t="s">
        <v>41</v>
      </c>
      <c r="K1789" s="2" t="s">
        <v>42</v>
      </c>
      <c r="L1789" s="2" t="s">
        <v>43</v>
      </c>
      <c r="M1789" s="2">
        <v>5</v>
      </c>
      <c r="N1789" s="2" t="s">
        <v>33</v>
      </c>
      <c r="O1789" s="2" t="s">
        <v>25</v>
      </c>
      <c r="P1789" s="2" t="s">
        <v>26</v>
      </c>
    </row>
    <row r="1790" spans="1:16" x14ac:dyDescent="0.25">
      <c r="A1790" s="2" t="s">
        <v>4214</v>
      </c>
      <c r="B1790" s="2" t="s">
        <v>1883</v>
      </c>
      <c r="C1790" s="2">
        <v>6141</v>
      </c>
      <c r="D1790" s="2" t="s">
        <v>5370</v>
      </c>
      <c r="E1790" s="2" t="s">
        <v>38</v>
      </c>
      <c r="F1790" s="2" t="s">
        <v>19</v>
      </c>
      <c r="G1790" s="2">
        <v>12927.17</v>
      </c>
      <c r="H1790" s="2">
        <v>7798.76</v>
      </c>
      <c r="I1790" s="2" t="s">
        <v>84</v>
      </c>
      <c r="J1790" s="2" t="s">
        <v>54</v>
      </c>
      <c r="K1790" s="2" t="s">
        <v>22</v>
      </c>
      <c r="L1790" s="2" t="s">
        <v>23</v>
      </c>
      <c r="M1790" s="2">
        <v>5</v>
      </c>
      <c r="N1790" s="2" t="s">
        <v>33</v>
      </c>
      <c r="O1790" s="2" t="s">
        <v>70</v>
      </c>
      <c r="P1790" s="2" t="s">
        <v>26</v>
      </c>
    </row>
    <row r="1791" spans="1:16" x14ac:dyDescent="0.25">
      <c r="A1791" s="2" t="s">
        <v>4216</v>
      </c>
      <c r="B1791" s="2" t="s">
        <v>8759</v>
      </c>
      <c r="C1791" s="2">
        <v>2551</v>
      </c>
      <c r="D1791" s="2" t="s">
        <v>8760</v>
      </c>
      <c r="E1791" s="2" t="s">
        <v>6756</v>
      </c>
      <c r="F1791" s="2" t="s">
        <v>58</v>
      </c>
      <c r="G1791" s="2">
        <v>62572.75</v>
      </c>
      <c r="H1791" s="2">
        <v>35152.58</v>
      </c>
      <c r="I1791" s="2" t="s">
        <v>6720</v>
      </c>
      <c r="J1791" s="2" t="s">
        <v>54</v>
      </c>
      <c r="K1791" s="2" t="s">
        <v>80</v>
      </c>
      <c r="L1791" s="2" t="s">
        <v>48</v>
      </c>
      <c r="M1791" s="2">
        <v>1</v>
      </c>
      <c r="N1791" s="2" t="s">
        <v>24</v>
      </c>
      <c r="O1791" s="2" t="s">
        <v>70</v>
      </c>
      <c r="P1791" s="2" t="s">
        <v>49</v>
      </c>
    </row>
    <row r="1792" spans="1:16" x14ac:dyDescent="0.25">
      <c r="A1792" s="2" t="s">
        <v>4218</v>
      </c>
      <c r="B1792" s="2" t="s">
        <v>3532</v>
      </c>
      <c r="C1792" s="2">
        <v>7746</v>
      </c>
      <c r="D1792" s="2" t="s">
        <v>3776</v>
      </c>
      <c r="E1792" s="2" t="s">
        <v>38</v>
      </c>
      <c r="F1792" s="2" t="s">
        <v>58</v>
      </c>
      <c r="G1792" s="2">
        <v>6195.88</v>
      </c>
      <c r="H1792" s="2">
        <v>3324.83</v>
      </c>
      <c r="I1792" s="2" t="s">
        <v>59</v>
      </c>
      <c r="J1792" s="2" t="s">
        <v>41</v>
      </c>
      <c r="K1792" s="2" t="s">
        <v>80</v>
      </c>
      <c r="L1792" s="2" t="s">
        <v>55</v>
      </c>
      <c r="M1792" s="2">
        <v>4</v>
      </c>
      <c r="N1792" s="2" t="s">
        <v>33</v>
      </c>
      <c r="O1792" s="2" t="s">
        <v>25</v>
      </c>
      <c r="P1792" s="2" t="s">
        <v>34</v>
      </c>
    </row>
    <row r="1794" spans="1:16" x14ac:dyDescent="0.25">
      <c r="A1794" s="2" t="s">
        <v>4219</v>
      </c>
      <c r="B1794" s="2" t="s">
        <v>4635</v>
      </c>
      <c r="C1794" s="2">
        <v>1282</v>
      </c>
      <c r="D1794" s="2" t="s">
        <v>8761</v>
      </c>
      <c r="E1794" s="2" t="s">
        <v>6680</v>
      </c>
      <c r="F1794" s="2" t="s">
        <v>19</v>
      </c>
      <c r="G1794" s="2">
        <v>25225.4</v>
      </c>
      <c r="H1794" s="2">
        <v>14893.05</v>
      </c>
      <c r="I1794" s="2" t="s">
        <v>6720</v>
      </c>
      <c r="J1794" s="2" t="s">
        <v>6729</v>
      </c>
      <c r="K1794" s="2" t="s">
        <v>80</v>
      </c>
      <c r="L1794" s="2" t="s">
        <v>55</v>
      </c>
      <c r="M1794" s="2">
        <v>2</v>
      </c>
      <c r="N1794" s="2" t="s">
        <v>69</v>
      </c>
      <c r="O1794" s="2" t="s">
        <v>25</v>
      </c>
      <c r="P1794" s="2" t="s">
        <v>26</v>
      </c>
    </row>
    <row r="1795" spans="1:16" x14ac:dyDescent="0.25">
      <c r="A1795" s="2" t="s">
        <v>4222</v>
      </c>
      <c r="B1795" s="2" t="s">
        <v>633</v>
      </c>
      <c r="C1795" s="2">
        <v>1854</v>
      </c>
      <c r="D1795" s="2" t="s">
        <v>8762</v>
      </c>
      <c r="E1795" s="2" t="s">
        <v>18</v>
      </c>
      <c r="F1795" s="2" t="s">
        <v>30</v>
      </c>
      <c r="G1795" s="2">
        <v>43963.16</v>
      </c>
      <c r="H1795" s="2">
        <v>25729.200000000001</v>
      </c>
      <c r="I1795" s="2" t="s">
        <v>68</v>
      </c>
      <c r="J1795" s="2" t="s">
        <v>41</v>
      </c>
      <c r="K1795" s="2" t="s">
        <v>80</v>
      </c>
      <c r="L1795" s="2" t="s">
        <v>64</v>
      </c>
      <c r="M1795" s="2">
        <v>3</v>
      </c>
      <c r="N1795" s="2" t="s">
        <v>24</v>
      </c>
      <c r="O1795" s="2" t="s">
        <v>25</v>
      </c>
      <c r="P1795" s="2" t="s">
        <v>26</v>
      </c>
    </row>
    <row r="1796" spans="1:16" x14ac:dyDescent="0.25">
      <c r="A1796" s="2" t="s">
        <v>4224</v>
      </c>
      <c r="B1796" s="2" t="s">
        <v>1317</v>
      </c>
      <c r="C1796" s="2">
        <v>7791</v>
      </c>
      <c r="D1796" s="2" t="s">
        <v>8763</v>
      </c>
      <c r="E1796" s="2" t="s">
        <v>32</v>
      </c>
      <c r="F1796" s="2" t="s">
        <v>39</v>
      </c>
      <c r="G1796" s="2">
        <v>31402.63</v>
      </c>
      <c r="H1796" s="2">
        <v>18211.43</v>
      </c>
      <c r="I1796" s="2" t="s">
        <v>63</v>
      </c>
      <c r="J1796" s="2" t="s">
        <v>6729</v>
      </c>
      <c r="K1796" s="2" t="s">
        <v>22</v>
      </c>
      <c r="L1796" s="2" t="s">
        <v>64</v>
      </c>
      <c r="M1796" s="2">
        <v>5</v>
      </c>
      <c r="N1796" s="2" t="s">
        <v>69</v>
      </c>
      <c r="O1796" s="2" t="s">
        <v>25</v>
      </c>
      <c r="P1796" s="2" t="s">
        <v>26</v>
      </c>
    </row>
    <row r="1797" spans="1:16" x14ac:dyDescent="0.25">
      <c r="A1797" s="2" t="s">
        <v>4226</v>
      </c>
      <c r="B1797" s="2" t="s">
        <v>8764</v>
      </c>
      <c r="C1797" s="2">
        <v>2341</v>
      </c>
      <c r="D1797" s="2" t="s">
        <v>8765</v>
      </c>
      <c r="E1797" s="2" t="s">
        <v>6694</v>
      </c>
      <c r="F1797" s="2" t="s">
        <v>30</v>
      </c>
      <c r="G1797" s="2">
        <v>91061.18</v>
      </c>
      <c r="H1797" s="2">
        <v>43377.17</v>
      </c>
      <c r="I1797" s="2" t="s">
        <v>6752</v>
      </c>
      <c r="J1797" s="2" t="s">
        <v>6691</v>
      </c>
      <c r="K1797" s="2" t="s">
        <v>32</v>
      </c>
      <c r="L1797" s="2" t="s">
        <v>48</v>
      </c>
      <c r="M1797" s="2">
        <v>5</v>
      </c>
      <c r="N1797" s="2" t="s">
        <v>69</v>
      </c>
      <c r="O1797" s="2" t="s">
        <v>70</v>
      </c>
      <c r="P1797" s="2" t="s">
        <v>26</v>
      </c>
    </row>
    <row r="1798" spans="1:16" x14ac:dyDescent="0.25">
      <c r="A1798" s="2" t="s">
        <v>4228</v>
      </c>
      <c r="B1798" s="2" t="s">
        <v>8550</v>
      </c>
      <c r="C1798" s="2">
        <v>5661</v>
      </c>
      <c r="D1798" s="2" t="s">
        <v>8766</v>
      </c>
      <c r="E1798" s="2" t="s">
        <v>38</v>
      </c>
      <c r="F1798" s="2" t="s">
        <v>58</v>
      </c>
      <c r="G1798" s="2">
        <v>37751.519999999997</v>
      </c>
      <c r="H1798" s="2">
        <v>21178.39</v>
      </c>
      <c r="I1798" s="2" t="s">
        <v>20</v>
      </c>
      <c r="J1798" s="2" t="s">
        <v>21</v>
      </c>
      <c r="K1798" s="2" t="s">
        <v>22</v>
      </c>
      <c r="L1798" s="2" t="s">
        <v>55</v>
      </c>
      <c r="M1798" s="2">
        <v>5</v>
      </c>
      <c r="N1798" s="2" t="s">
        <v>24</v>
      </c>
      <c r="O1798" s="2" t="s">
        <v>70</v>
      </c>
      <c r="P1798" s="2" t="s">
        <v>49</v>
      </c>
    </row>
    <row r="1799" spans="1:16" x14ac:dyDescent="0.25">
      <c r="A1799" s="2" t="s">
        <v>4230</v>
      </c>
      <c r="B1799" s="2" t="s">
        <v>373</v>
      </c>
      <c r="C1799" s="2">
        <v>2459</v>
      </c>
      <c r="D1799" s="2" t="s">
        <v>8767</v>
      </c>
      <c r="E1799" s="2" t="s">
        <v>18</v>
      </c>
      <c r="F1799" s="2" t="s">
        <v>47</v>
      </c>
      <c r="G1799" s="2">
        <v>3196.7</v>
      </c>
      <c r="H1799" s="2">
        <v>1469.81</v>
      </c>
      <c r="I1799" s="2" t="s">
        <v>68</v>
      </c>
      <c r="J1799" s="2" t="s">
        <v>41</v>
      </c>
      <c r="K1799" s="2" t="s">
        <v>32</v>
      </c>
      <c r="L1799" s="2" t="s">
        <v>64</v>
      </c>
      <c r="M1799" s="2">
        <v>1</v>
      </c>
      <c r="N1799" s="2" t="s">
        <v>24</v>
      </c>
      <c r="O1799" s="2" t="s">
        <v>25</v>
      </c>
      <c r="P1799" s="2" t="s">
        <v>34</v>
      </c>
    </row>
    <row r="1800" spans="1:16" x14ac:dyDescent="0.25">
      <c r="A1800" s="2" t="s">
        <v>4232</v>
      </c>
      <c r="B1800" s="2" t="s">
        <v>8768</v>
      </c>
      <c r="C1800" s="2">
        <v>9865</v>
      </c>
      <c r="D1800" s="2" t="s">
        <v>8769</v>
      </c>
      <c r="E1800" s="2" t="s">
        <v>6743</v>
      </c>
      <c r="F1800" s="2" t="s">
        <v>19</v>
      </c>
      <c r="G1800" s="2">
        <v>10148.24</v>
      </c>
      <c r="H1800" s="2">
        <v>5580.65</v>
      </c>
      <c r="I1800" s="2" t="s">
        <v>6777</v>
      </c>
      <c r="J1800" s="2" t="s">
        <v>6793</v>
      </c>
      <c r="K1800" s="2" t="s">
        <v>22</v>
      </c>
      <c r="L1800" s="2" t="s">
        <v>88</v>
      </c>
      <c r="M1800" s="2">
        <v>1</v>
      </c>
      <c r="N1800" s="2" t="s">
        <v>69</v>
      </c>
      <c r="O1800" s="2" t="s">
        <v>25</v>
      </c>
      <c r="P1800" s="2" t="s">
        <v>26</v>
      </c>
    </row>
    <row r="1801" spans="1:16" x14ac:dyDescent="0.25">
      <c r="A1801" s="2" t="s">
        <v>4234</v>
      </c>
      <c r="B1801" s="2" t="s">
        <v>8770</v>
      </c>
      <c r="C1801" s="2">
        <v>9216</v>
      </c>
      <c r="D1801" s="2" t="s">
        <v>2880</v>
      </c>
      <c r="E1801" s="2" t="s">
        <v>18</v>
      </c>
      <c r="F1801" s="2" t="s">
        <v>47</v>
      </c>
      <c r="G1801" s="2">
        <v>4316.9799999999996</v>
      </c>
      <c r="H1801" s="2">
        <v>2056.35</v>
      </c>
      <c r="I1801" s="2" t="s">
        <v>68</v>
      </c>
      <c r="J1801" s="2" t="s">
        <v>41</v>
      </c>
      <c r="K1801" s="2" t="s">
        <v>80</v>
      </c>
      <c r="L1801" s="2" t="s">
        <v>88</v>
      </c>
      <c r="M1801" s="2">
        <v>3</v>
      </c>
      <c r="N1801" s="2" t="s">
        <v>33</v>
      </c>
      <c r="O1801" s="2" t="s">
        <v>25</v>
      </c>
      <c r="P1801" s="2" t="s">
        <v>26</v>
      </c>
    </row>
    <row r="1802" spans="1:16" x14ac:dyDescent="0.25">
      <c r="A1802" s="2" t="s">
        <v>4236</v>
      </c>
      <c r="B1802" s="2" t="s">
        <v>4931</v>
      </c>
      <c r="C1802" s="2">
        <v>5492</v>
      </c>
      <c r="D1802" s="2" t="s">
        <v>4932</v>
      </c>
      <c r="E1802" s="2" t="s">
        <v>32</v>
      </c>
      <c r="F1802" s="2" t="s">
        <v>30</v>
      </c>
      <c r="G1802" s="2">
        <v>25701.439999999999</v>
      </c>
      <c r="H1802" s="2">
        <v>14984.74</v>
      </c>
      <c r="I1802" s="2" t="s">
        <v>6726</v>
      </c>
      <c r="J1802" s="2" t="s">
        <v>6696</v>
      </c>
      <c r="K1802" s="2" t="s">
        <v>22</v>
      </c>
      <c r="L1802" s="2" t="s">
        <v>88</v>
      </c>
      <c r="M1802" s="2">
        <v>5</v>
      </c>
      <c r="N1802" s="2" t="s">
        <v>33</v>
      </c>
      <c r="O1802" s="2" t="s">
        <v>70</v>
      </c>
      <c r="P1802" s="2" t="s">
        <v>49</v>
      </c>
    </row>
    <row r="1803" spans="1:16" x14ac:dyDescent="0.25">
      <c r="A1803" s="2" t="s">
        <v>4238</v>
      </c>
      <c r="B1803" s="2" t="s">
        <v>420</v>
      </c>
      <c r="C1803" s="2">
        <v>7398</v>
      </c>
      <c r="D1803" s="2" t="s">
        <v>2688</v>
      </c>
      <c r="E1803" s="2" t="s">
        <v>6694</v>
      </c>
      <c r="F1803" s="2" t="s">
        <v>19</v>
      </c>
      <c r="G1803" s="2">
        <v>14000.95</v>
      </c>
      <c r="H1803" s="2">
        <v>8558.56</v>
      </c>
      <c r="I1803" s="2" t="s">
        <v>6712</v>
      </c>
      <c r="J1803" s="2" t="s">
        <v>41</v>
      </c>
      <c r="K1803" s="2" t="s">
        <v>32</v>
      </c>
      <c r="L1803" s="2" t="s">
        <v>55</v>
      </c>
      <c r="M1803" s="2">
        <v>1</v>
      </c>
      <c r="N1803" s="2" t="s">
        <v>33</v>
      </c>
      <c r="O1803" s="2" t="s">
        <v>70</v>
      </c>
      <c r="P1803" s="2" t="s">
        <v>34</v>
      </c>
    </row>
    <row r="1805" spans="1:16" x14ac:dyDescent="0.25">
      <c r="A1805" s="2" t="s">
        <v>4240</v>
      </c>
      <c r="B1805" s="2" t="s">
        <v>8771</v>
      </c>
      <c r="C1805" s="2">
        <v>1234</v>
      </c>
      <c r="D1805" s="2" t="s">
        <v>8772</v>
      </c>
      <c r="E1805" s="2" t="s">
        <v>6703</v>
      </c>
      <c r="F1805" s="2" t="s">
        <v>19</v>
      </c>
      <c r="G1805" s="2">
        <v>17508.259999999998</v>
      </c>
      <c r="H1805" s="2">
        <v>11247.06</v>
      </c>
      <c r="I1805" s="2" t="s">
        <v>6794</v>
      </c>
      <c r="J1805" s="2" t="s">
        <v>6724</v>
      </c>
      <c r="K1805" s="2" t="s">
        <v>80</v>
      </c>
      <c r="L1805" s="2" t="s">
        <v>23</v>
      </c>
      <c r="M1805" s="2">
        <v>5</v>
      </c>
      <c r="N1805" s="2" t="s">
        <v>69</v>
      </c>
      <c r="O1805" s="2" t="s">
        <v>70</v>
      </c>
      <c r="P1805" s="2" t="s">
        <v>26</v>
      </c>
    </row>
    <row r="1806" spans="1:16" x14ac:dyDescent="0.25">
      <c r="A1806" s="2" t="s">
        <v>4242</v>
      </c>
      <c r="B1806" s="2" t="s">
        <v>3144</v>
      </c>
      <c r="C1806" s="2">
        <v>9984</v>
      </c>
      <c r="D1806" s="2" t="s">
        <v>340</v>
      </c>
      <c r="E1806" s="2" t="s">
        <v>38</v>
      </c>
      <c r="F1806" s="2" t="s">
        <v>39</v>
      </c>
      <c r="G1806" s="2">
        <v>31661.14</v>
      </c>
      <c r="H1806" s="2">
        <v>14538.62</v>
      </c>
      <c r="I1806" s="2" t="s">
        <v>63</v>
      </c>
      <c r="J1806" s="2" t="s">
        <v>54</v>
      </c>
      <c r="K1806" s="2" t="s">
        <v>80</v>
      </c>
      <c r="L1806" s="2" t="s">
        <v>88</v>
      </c>
      <c r="M1806" s="2">
        <v>4</v>
      </c>
      <c r="N1806" s="2" t="s">
        <v>33</v>
      </c>
      <c r="O1806" s="2" t="s">
        <v>25</v>
      </c>
      <c r="P1806" s="2" t="s">
        <v>34</v>
      </c>
    </row>
    <row r="1807" spans="1:16" x14ac:dyDescent="0.25">
      <c r="A1807" s="2" t="s">
        <v>4243</v>
      </c>
      <c r="B1807" s="2" t="s">
        <v>6588</v>
      </c>
      <c r="C1807" s="2">
        <v>4379</v>
      </c>
      <c r="D1807" s="2" t="s">
        <v>8773</v>
      </c>
      <c r="E1807" s="2" t="s">
        <v>18</v>
      </c>
      <c r="F1807" s="2" t="s">
        <v>58</v>
      </c>
      <c r="G1807" s="2">
        <v>41425.85</v>
      </c>
      <c r="H1807" s="2">
        <v>19863.84</v>
      </c>
      <c r="I1807" s="2" t="s">
        <v>63</v>
      </c>
      <c r="J1807" s="2" t="s">
        <v>54</v>
      </c>
      <c r="K1807" s="2" t="s">
        <v>32</v>
      </c>
      <c r="L1807" s="2" t="s">
        <v>88</v>
      </c>
      <c r="M1807" s="2">
        <v>2</v>
      </c>
      <c r="N1807" s="2" t="s">
        <v>69</v>
      </c>
      <c r="O1807" s="2" t="s">
        <v>25</v>
      </c>
      <c r="P1807" s="2" t="s">
        <v>34</v>
      </c>
    </row>
    <row r="1809" spans="1:16" x14ac:dyDescent="0.25">
      <c r="A1809" s="2" t="s">
        <v>4245</v>
      </c>
      <c r="B1809" s="2" t="s">
        <v>8774</v>
      </c>
      <c r="C1809" s="2">
        <v>6061</v>
      </c>
      <c r="D1809" s="2" t="s">
        <v>5217</v>
      </c>
      <c r="E1809" s="2" t="s">
        <v>6719</v>
      </c>
      <c r="F1809" s="2" t="s">
        <v>58</v>
      </c>
      <c r="G1809" s="2">
        <v>48608.51</v>
      </c>
      <c r="H1809" s="2">
        <v>26274.03</v>
      </c>
      <c r="I1809" s="2" t="s">
        <v>6720</v>
      </c>
      <c r="J1809" s="2" t="s">
        <v>6729</v>
      </c>
      <c r="K1809" s="2" t="s">
        <v>22</v>
      </c>
      <c r="L1809" s="2" t="s">
        <v>88</v>
      </c>
      <c r="M1809" s="2">
        <v>1</v>
      </c>
      <c r="N1809" s="2" t="s">
        <v>33</v>
      </c>
      <c r="O1809" s="2" t="s">
        <v>25</v>
      </c>
      <c r="P1809" s="2" t="s">
        <v>49</v>
      </c>
    </row>
    <row r="1810" spans="1:16" x14ac:dyDescent="0.25">
      <c r="A1810" s="2" t="s">
        <v>4247</v>
      </c>
      <c r="B1810" s="2" t="s">
        <v>2136</v>
      </c>
      <c r="C1810" s="2">
        <v>1272</v>
      </c>
      <c r="D1810" s="2" t="s">
        <v>8775</v>
      </c>
      <c r="E1810" s="2" t="s">
        <v>38</v>
      </c>
      <c r="F1810" s="2" t="s">
        <v>19</v>
      </c>
      <c r="G1810" s="2">
        <v>14240.43</v>
      </c>
      <c r="H1810" s="2">
        <v>8770.17</v>
      </c>
      <c r="I1810" s="2" t="s">
        <v>20</v>
      </c>
      <c r="J1810" s="2" t="s">
        <v>21</v>
      </c>
      <c r="K1810" s="2" t="s">
        <v>32</v>
      </c>
      <c r="L1810" s="2" t="s">
        <v>88</v>
      </c>
      <c r="M1810" s="2">
        <v>2</v>
      </c>
      <c r="N1810" s="2" t="s">
        <v>33</v>
      </c>
      <c r="O1810" s="2" t="s">
        <v>25</v>
      </c>
      <c r="P1810" s="2" t="s">
        <v>49</v>
      </c>
    </row>
    <row r="1811" spans="1:16" x14ac:dyDescent="0.25">
      <c r="A1811" s="2" t="s">
        <v>4249</v>
      </c>
      <c r="B1811" s="2" t="s">
        <v>2063</v>
      </c>
      <c r="C1811" s="2">
        <v>5229</v>
      </c>
      <c r="D1811" s="2" t="s">
        <v>4948</v>
      </c>
      <c r="E1811" s="2" t="s">
        <v>18</v>
      </c>
      <c r="F1811" s="2" t="s">
        <v>47</v>
      </c>
      <c r="G1811" s="2">
        <v>17353.830000000002</v>
      </c>
      <c r="H1811" s="2">
        <v>10560.95</v>
      </c>
      <c r="I1811" s="2" t="s">
        <v>63</v>
      </c>
      <c r="J1811" s="2" t="s">
        <v>54</v>
      </c>
      <c r="K1811" s="2" t="s">
        <v>42</v>
      </c>
      <c r="L1811" s="2" t="s">
        <v>48</v>
      </c>
      <c r="M1811" s="2">
        <v>1</v>
      </c>
      <c r="N1811" s="2" t="s">
        <v>33</v>
      </c>
      <c r="O1811" s="2" t="s">
        <v>25</v>
      </c>
      <c r="P1811" s="2" t="s">
        <v>49</v>
      </c>
    </row>
    <row r="1812" spans="1:16" x14ac:dyDescent="0.25">
      <c r="A1812" s="2" t="s">
        <v>4251</v>
      </c>
      <c r="B1812" s="2" t="s">
        <v>8776</v>
      </c>
      <c r="C1812" s="2">
        <v>8628</v>
      </c>
      <c r="D1812" s="2" t="s">
        <v>8777</v>
      </c>
      <c r="E1812" s="2" t="s">
        <v>6708</v>
      </c>
      <c r="F1812" s="2" t="s">
        <v>39</v>
      </c>
      <c r="G1812" s="2">
        <v>33159.31</v>
      </c>
      <c r="H1812" s="2">
        <v>18529.37</v>
      </c>
      <c r="I1812" s="2" t="s">
        <v>6910</v>
      </c>
      <c r="J1812" s="2" t="s">
        <v>6789</v>
      </c>
      <c r="K1812" s="2" t="s">
        <v>42</v>
      </c>
      <c r="L1812" s="2" t="s">
        <v>55</v>
      </c>
      <c r="M1812" s="2">
        <v>2</v>
      </c>
      <c r="N1812" s="2" t="s">
        <v>33</v>
      </c>
      <c r="O1812" s="2" t="s">
        <v>25</v>
      </c>
      <c r="P1812" s="2" t="s">
        <v>49</v>
      </c>
    </row>
    <row r="1813" spans="1:16" x14ac:dyDescent="0.25">
      <c r="A1813" s="2" t="s">
        <v>4253</v>
      </c>
      <c r="B1813" s="2" t="s">
        <v>2053</v>
      </c>
      <c r="C1813" s="2">
        <v>1698</v>
      </c>
      <c r="D1813" s="2" t="s">
        <v>2718</v>
      </c>
      <c r="E1813" s="2" t="s">
        <v>38</v>
      </c>
      <c r="F1813" s="2" t="s">
        <v>30</v>
      </c>
      <c r="G1813" s="2">
        <v>19832.39</v>
      </c>
      <c r="H1813" s="2">
        <v>10157.09</v>
      </c>
      <c r="I1813" s="2" t="s">
        <v>40</v>
      </c>
      <c r="J1813" s="2" t="s">
        <v>41</v>
      </c>
      <c r="K1813" s="2" t="s">
        <v>80</v>
      </c>
      <c r="L1813" s="2" t="s">
        <v>88</v>
      </c>
      <c r="M1813" s="2">
        <v>4</v>
      </c>
      <c r="N1813" s="2" t="s">
        <v>24</v>
      </c>
      <c r="O1813" s="2" t="s">
        <v>70</v>
      </c>
      <c r="P1813" s="2" t="s">
        <v>34</v>
      </c>
    </row>
    <row r="1814" spans="1:16" x14ac:dyDescent="0.25">
      <c r="A1814" s="2" t="s">
        <v>4255</v>
      </c>
      <c r="B1814" s="2" t="s">
        <v>8778</v>
      </c>
      <c r="C1814" s="2">
        <v>3088</v>
      </c>
      <c r="D1814" s="2" t="s">
        <v>8779</v>
      </c>
      <c r="E1814" s="2" t="s">
        <v>6748</v>
      </c>
      <c r="F1814" s="2" t="s">
        <v>30</v>
      </c>
      <c r="G1814" s="2">
        <v>31698.720000000001</v>
      </c>
      <c r="H1814" s="2">
        <v>18716.650000000001</v>
      </c>
      <c r="I1814" s="2" t="s">
        <v>6845</v>
      </c>
      <c r="J1814" s="2" t="s">
        <v>6802</v>
      </c>
      <c r="K1814" s="2" t="s">
        <v>32</v>
      </c>
      <c r="L1814" s="2" t="s">
        <v>23</v>
      </c>
      <c r="M1814" s="2">
        <v>4</v>
      </c>
      <c r="N1814" s="2" t="s">
        <v>69</v>
      </c>
      <c r="O1814" s="2" t="s">
        <v>25</v>
      </c>
      <c r="P1814" s="2" t="s">
        <v>34</v>
      </c>
    </row>
    <row r="1815" spans="1:16" x14ac:dyDescent="0.25">
      <c r="A1815" s="2" t="s">
        <v>4258</v>
      </c>
      <c r="B1815" s="2" t="s">
        <v>707</v>
      </c>
      <c r="C1815" s="2">
        <v>4056</v>
      </c>
      <c r="D1815" s="2" t="s">
        <v>6273</v>
      </c>
      <c r="E1815" s="2" t="s">
        <v>18</v>
      </c>
      <c r="F1815" s="2" t="s">
        <v>47</v>
      </c>
      <c r="G1815" s="2">
        <v>9958.48</v>
      </c>
      <c r="H1815" s="2">
        <v>6442.95</v>
      </c>
      <c r="I1815" s="2" t="s">
        <v>63</v>
      </c>
      <c r="J1815" s="2" t="s">
        <v>54</v>
      </c>
      <c r="K1815" s="2" t="s">
        <v>42</v>
      </c>
      <c r="L1815" s="2" t="s">
        <v>88</v>
      </c>
      <c r="M1815" s="2">
        <v>3</v>
      </c>
      <c r="N1815" s="2" t="s">
        <v>33</v>
      </c>
      <c r="O1815" s="2" t="s">
        <v>70</v>
      </c>
      <c r="P1815" s="2" t="s">
        <v>26</v>
      </c>
    </row>
    <row r="1816" spans="1:16" x14ac:dyDescent="0.25">
      <c r="A1816" s="2" t="s">
        <v>4260</v>
      </c>
      <c r="B1816" s="2" t="s">
        <v>8780</v>
      </c>
      <c r="C1816" s="2">
        <v>7220</v>
      </c>
      <c r="D1816" s="2" t="s">
        <v>8781</v>
      </c>
      <c r="E1816" s="2" t="s">
        <v>38</v>
      </c>
      <c r="F1816" s="2" t="s">
        <v>47</v>
      </c>
      <c r="G1816" s="2">
        <v>11357.39</v>
      </c>
      <c r="H1816" s="2">
        <v>6319.88</v>
      </c>
      <c r="I1816" s="2" t="s">
        <v>6723</v>
      </c>
      <c r="J1816" s="2" t="s">
        <v>6696</v>
      </c>
      <c r="K1816" s="2" t="s">
        <v>80</v>
      </c>
      <c r="L1816" s="2" t="s">
        <v>88</v>
      </c>
      <c r="M1816" s="2">
        <v>3</v>
      </c>
      <c r="N1816" s="2" t="s">
        <v>24</v>
      </c>
      <c r="O1816" s="2" t="s">
        <v>70</v>
      </c>
      <c r="P1816" s="2" t="s">
        <v>34</v>
      </c>
    </row>
    <row r="1817" spans="1:16" x14ac:dyDescent="0.25">
      <c r="A1817" s="2" t="s">
        <v>4262</v>
      </c>
      <c r="B1817" s="2" t="s">
        <v>1199</v>
      </c>
      <c r="C1817" s="2">
        <v>6896</v>
      </c>
      <c r="D1817" s="2" t="s">
        <v>8782</v>
      </c>
      <c r="E1817" s="2" t="s">
        <v>18</v>
      </c>
      <c r="F1817" s="2" t="s">
        <v>47</v>
      </c>
      <c r="G1817" s="2">
        <v>3859.72</v>
      </c>
      <c r="H1817" s="2">
        <v>2336.7800000000002</v>
      </c>
      <c r="I1817" s="2" t="s">
        <v>84</v>
      </c>
      <c r="J1817" s="2" t="s">
        <v>54</v>
      </c>
      <c r="K1817" s="2" t="s">
        <v>32</v>
      </c>
      <c r="L1817" s="2" t="s">
        <v>64</v>
      </c>
      <c r="M1817" s="2">
        <v>2</v>
      </c>
      <c r="N1817" s="2" t="s">
        <v>33</v>
      </c>
      <c r="O1817" s="2" t="s">
        <v>70</v>
      </c>
      <c r="P1817" s="2" t="s">
        <v>34</v>
      </c>
    </row>
    <row r="1818" spans="1:16" x14ac:dyDescent="0.25">
      <c r="A1818" s="2" t="s">
        <v>4264</v>
      </c>
      <c r="B1818" s="2" t="s">
        <v>826</v>
      </c>
      <c r="C1818" s="2">
        <v>2995</v>
      </c>
      <c r="D1818" s="2" t="s">
        <v>8783</v>
      </c>
      <c r="E1818" s="2" t="s">
        <v>18</v>
      </c>
      <c r="F1818" s="2" t="s">
        <v>39</v>
      </c>
      <c r="G1818" s="2">
        <v>41967.360000000001</v>
      </c>
      <c r="H1818" s="2">
        <v>19570.38</v>
      </c>
      <c r="I1818" s="2" t="s">
        <v>20</v>
      </c>
      <c r="J1818" s="2" t="s">
        <v>21</v>
      </c>
      <c r="K1818" s="2" t="s">
        <v>42</v>
      </c>
      <c r="L1818" s="2" t="s">
        <v>88</v>
      </c>
      <c r="M1818" s="2">
        <v>2</v>
      </c>
      <c r="N1818" s="2" t="s">
        <v>24</v>
      </c>
      <c r="O1818" s="2" t="s">
        <v>70</v>
      </c>
      <c r="P1818" s="2" t="s">
        <v>34</v>
      </c>
    </row>
    <row r="1819" spans="1:16" x14ac:dyDescent="0.25">
      <c r="A1819" s="2" t="s">
        <v>4266</v>
      </c>
      <c r="B1819" s="2" t="s">
        <v>2790</v>
      </c>
      <c r="C1819" s="2">
        <v>8845</v>
      </c>
      <c r="D1819" s="2" t="s">
        <v>8784</v>
      </c>
      <c r="E1819" s="2" t="s">
        <v>18</v>
      </c>
      <c r="F1819" s="2" t="s">
        <v>39</v>
      </c>
      <c r="G1819" s="2">
        <v>50633.32</v>
      </c>
      <c r="H1819" s="2">
        <v>29706.82</v>
      </c>
      <c r="I1819" s="2" t="s">
        <v>53</v>
      </c>
      <c r="J1819" s="2" t="s">
        <v>54</v>
      </c>
      <c r="K1819" s="2" t="s">
        <v>42</v>
      </c>
      <c r="L1819" s="2" t="s">
        <v>23</v>
      </c>
      <c r="M1819" s="2">
        <v>2</v>
      </c>
      <c r="N1819" s="2" t="s">
        <v>69</v>
      </c>
      <c r="O1819" s="2" t="s">
        <v>70</v>
      </c>
      <c r="P1819" s="2" t="s">
        <v>49</v>
      </c>
    </row>
    <row r="1820" spans="1:16" x14ac:dyDescent="0.25">
      <c r="A1820" s="2" t="s">
        <v>4268</v>
      </c>
      <c r="B1820" s="2" t="s">
        <v>206</v>
      </c>
      <c r="C1820" s="2">
        <v>1748</v>
      </c>
      <c r="D1820" s="2" t="s">
        <v>8785</v>
      </c>
      <c r="E1820" s="2" t="s">
        <v>18</v>
      </c>
      <c r="F1820" s="2" t="s">
        <v>47</v>
      </c>
      <c r="G1820" s="2">
        <v>17108.95</v>
      </c>
      <c r="H1820" s="2">
        <v>8734.27</v>
      </c>
      <c r="I1820" s="2" t="s">
        <v>53</v>
      </c>
      <c r="J1820" s="2" t="s">
        <v>54</v>
      </c>
      <c r="K1820" s="2" t="s">
        <v>42</v>
      </c>
      <c r="L1820" s="2" t="s">
        <v>88</v>
      </c>
      <c r="M1820" s="2">
        <v>5</v>
      </c>
      <c r="N1820" s="2" t="s">
        <v>24</v>
      </c>
      <c r="O1820" s="2" t="s">
        <v>25</v>
      </c>
      <c r="P1820" s="2" t="s">
        <v>49</v>
      </c>
    </row>
    <row r="1821" spans="1:16" x14ac:dyDescent="0.25">
      <c r="A1821" s="2" t="s">
        <v>4270</v>
      </c>
      <c r="B1821" s="2" t="s">
        <v>5695</v>
      </c>
      <c r="C1821" s="2">
        <v>9299</v>
      </c>
      <c r="D1821" s="2" t="s">
        <v>6000</v>
      </c>
      <c r="E1821" s="2" t="s">
        <v>6743</v>
      </c>
      <c r="F1821" s="2" t="s">
        <v>19</v>
      </c>
      <c r="G1821" s="2">
        <v>21595.77</v>
      </c>
      <c r="H1821" s="2">
        <v>11774.72</v>
      </c>
      <c r="I1821" s="2" t="s">
        <v>6699</v>
      </c>
      <c r="J1821" s="2" t="s">
        <v>6753</v>
      </c>
      <c r="K1821" s="2" t="s">
        <v>80</v>
      </c>
      <c r="L1821" s="2" t="s">
        <v>55</v>
      </c>
      <c r="M1821" s="2">
        <v>2</v>
      </c>
      <c r="N1821" s="2" t="s">
        <v>33</v>
      </c>
      <c r="O1821" s="2" t="s">
        <v>25</v>
      </c>
      <c r="P1821" s="2" t="s">
        <v>26</v>
      </c>
    </row>
    <row r="1822" spans="1:16" x14ac:dyDescent="0.25">
      <c r="A1822" s="2" t="s">
        <v>4272</v>
      </c>
      <c r="B1822" s="2" t="s">
        <v>7670</v>
      </c>
      <c r="C1822" s="2">
        <v>1737</v>
      </c>
      <c r="D1822" s="2" t="s">
        <v>8786</v>
      </c>
      <c r="E1822" s="2" t="s">
        <v>6756</v>
      </c>
      <c r="F1822" s="2" t="s">
        <v>30</v>
      </c>
      <c r="G1822" s="2">
        <v>38157.279999999999</v>
      </c>
      <c r="H1822" s="2">
        <v>18393.169999999998</v>
      </c>
      <c r="I1822" s="2" t="s">
        <v>6720</v>
      </c>
      <c r="J1822" s="2" t="s">
        <v>6686</v>
      </c>
      <c r="K1822" s="2" t="s">
        <v>32</v>
      </c>
      <c r="L1822" s="2" t="s">
        <v>23</v>
      </c>
      <c r="M1822" s="2">
        <v>5</v>
      </c>
      <c r="N1822" s="2" t="s">
        <v>33</v>
      </c>
      <c r="O1822" s="2" t="s">
        <v>25</v>
      </c>
      <c r="P1822" s="2" t="s">
        <v>34</v>
      </c>
    </row>
    <row r="1823" spans="1:16" x14ac:dyDescent="0.25">
      <c r="A1823" s="2" t="s">
        <v>4274</v>
      </c>
      <c r="B1823" s="2" t="s">
        <v>882</v>
      </c>
      <c r="C1823" s="2">
        <v>8591</v>
      </c>
      <c r="D1823" s="2" t="s">
        <v>4978</v>
      </c>
      <c r="E1823" s="2" t="s">
        <v>6698</v>
      </c>
      <c r="F1823" s="2" t="s">
        <v>47</v>
      </c>
      <c r="G1823" s="2">
        <v>7113.81</v>
      </c>
      <c r="H1823" s="2">
        <v>4229.95</v>
      </c>
      <c r="I1823" s="2" t="s">
        <v>6712</v>
      </c>
      <c r="J1823" s="2" t="s">
        <v>41</v>
      </c>
      <c r="K1823" s="2" t="s">
        <v>80</v>
      </c>
      <c r="L1823" s="2" t="s">
        <v>88</v>
      </c>
      <c r="M1823" s="2">
        <v>1</v>
      </c>
      <c r="N1823" s="2" t="s">
        <v>24</v>
      </c>
      <c r="O1823" s="2" t="s">
        <v>25</v>
      </c>
      <c r="P1823" s="2" t="s">
        <v>34</v>
      </c>
    </row>
    <row r="1824" spans="1:16" x14ac:dyDescent="0.25">
      <c r="A1824" s="2" t="s">
        <v>4276</v>
      </c>
      <c r="B1824" s="2" t="s">
        <v>1685</v>
      </c>
      <c r="C1824" s="2">
        <v>3533</v>
      </c>
      <c r="D1824" s="2" t="s">
        <v>5102</v>
      </c>
      <c r="E1824" s="2" t="s">
        <v>6694</v>
      </c>
      <c r="F1824" s="2" t="s">
        <v>39</v>
      </c>
      <c r="G1824" s="2">
        <v>53340.08</v>
      </c>
      <c r="H1824" s="2">
        <v>25933.79</v>
      </c>
      <c r="I1824" s="2" t="s">
        <v>6728</v>
      </c>
      <c r="J1824" s="2" t="s">
        <v>6753</v>
      </c>
      <c r="K1824" s="2" t="s">
        <v>32</v>
      </c>
      <c r="L1824" s="2" t="s">
        <v>55</v>
      </c>
      <c r="M1824" s="2">
        <v>5</v>
      </c>
      <c r="N1824" s="2" t="s">
        <v>69</v>
      </c>
      <c r="O1824" s="2" t="s">
        <v>25</v>
      </c>
      <c r="P1824" s="2" t="s">
        <v>49</v>
      </c>
    </row>
    <row r="1825" spans="1:16" x14ac:dyDescent="0.25">
      <c r="A1825" s="2" t="s">
        <v>4278</v>
      </c>
      <c r="B1825" s="2" t="s">
        <v>2066</v>
      </c>
      <c r="C1825" s="2">
        <v>4374</v>
      </c>
      <c r="D1825" s="2" t="s">
        <v>6685</v>
      </c>
      <c r="E1825" s="2" t="s">
        <v>18</v>
      </c>
      <c r="F1825" s="2" t="s">
        <v>19</v>
      </c>
      <c r="G1825" s="2">
        <v>13457.26</v>
      </c>
      <c r="H1825" s="2">
        <v>8495.06</v>
      </c>
      <c r="I1825" s="2" t="s">
        <v>120</v>
      </c>
      <c r="J1825" s="2" t="s">
        <v>21</v>
      </c>
      <c r="K1825" s="2" t="s">
        <v>42</v>
      </c>
      <c r="L1825" s="2" t="s">
        <v>48</v>
      </c>
      <c r="M1825" s="2">
        <v>5</v>
      </c>
      <c r="N1825" s="2" t="s">
        <v>69</v>
      </c>
      <c r="O1825" s="2" t="s">
        <v>25</v>
      </c>
      <c r="P1825" s="2" t="s">
        <v>26</v>
      </c>
    </row>
    <row r="1826" spans="1:16" x14ac:dyDescent="0.25">
      <c r="A1826" s="2" t="s">
        <v>4279</v>
      </c>
      <c r="B1826" s="2" t="s">
        <v>8787</v>
      </c>
      <c r="C1826" s="2">
        <v>9897</v>
      </c>
      <c r="D1826" s="2" t="s">
        <v>8788</v>
      </c>
      <c r="E1826" s="2" t="s">
        <v>38</v>
      </c>
      <c r="F1826" s="2" t="s">
        <v>39</v>
      </c>
      <c r="G1826" s="2">
        <v>59432.58</v>
      </c>
      <c r="H1826" s="2">
        <v>27867.95</v>
      </c>
      <c r="I1826" s="2" t="s">
        <v>6812</v>
      </c>
      <c r="J1826" s="2" t="s">
        <v>6753</v>
      </c>
      <c r="K1826" s="2" t="s">
        <v>32</v>
      </c>
      <c r="L1826" s="2" t="s">
        <v>88</v>
      </c>
      <c r="M1826" s="2">
        <v>3</v>
      </c>
      <c r="N1826" s="2" t="s">
        <v>33</v>
      </c>
      <c r="O1826" s="2" t="s">
        <v>25</v>
      </c>
      <c r="P1826" s="2" t="s">
        <v>49</v>
      </c>
    </row>
    <row r="1827" spans="1:16" x14ac:dyDescent="0.25">
      <c r="A1827" s="2" t="s">
        <v>4281</v>
      </c>
      <c r="B1827" s="2" t="s">
        <v>8789</v>
      </c>
      <c r="C1827" s="2">
        <v>4850</v>
      </c>
      <c r="D1827" s="2" t="s">
        <v>6498</v>
      </c>
      <c r="E1827" s="2" t="s">
        <v>38</v>
      </c>
      <c r="F1827" s="2" t="s">
        <v>47</v>
      </c>
      <c r="G1827" s="2">
        <v>9655.9599999999991</v>
      </c>
      <c r="H1827" s="2">
        <v>4515.8</v>
      </c>
      <c r="I1827" s="2" t="s">
        <v>6690</v>
      </c>
      <c r="J1827" s="2" t="s">
        <v>6686</v>
      </c>
      <c r="K1827" s="2" t="s">
        <v>22</v>
      </c>
      <c r="L1827" s="2" t="s">
        <v>88</v>
      </c>
      <c r="M1827" s="2">
        <v>5</v>
      </c>
      <c r="N1827" s="2" t="s">
        <v>24</v>
      </c>
      <c r="O1827" s="2" t="s">
        <v>70</v>
      </c>
      <c r="P1827" s="2" t="s">
        <v>34</v>
      </c>
    </row>
    <row r="1828" spans="1:16" x14ac:dyDescent="0.25">
      <c r="A1828" s="2" t="s">
        <v>4283</v>
      </c>
      <c r="B1828" s="2" t="s">
        <v>8790</v>
      </c>
      <c r="C1828" s="2">
        <v>7099</v>
      </c>
      <c r="D1828" s="2" t="s">
        <v>8791</v>
      </c>
      <c r="E1828" s="2" t="s">
        <v>6698</v>
      </c>
      <c r="F1828" s="2" t="s">
        <v>47</v>
      </c>
      <c r="G1828" s="2">
        <v>6879.75</v>
      </c>
      <c r="H1828" s="2">
        <v>3952.64</v>
      </c>
      <c r="I1828" s="2" t="s">
        <v>6759</v>
      </c>
      <c r="J1828" s="2" t="s">
        <v>6729</v>
      </c>
      <c r="K1828" s="2" t="s">
        <v>80</v>
      </c>
      <c r="L1828" s="2" t="s">
        <v>43</v>
      </c>
      <c r="M1828" s="2">
        <v>2</v>
      </c>
      <c r="N1828" s="2" t="s">
        <v>69</v>
      </c>
      <c r="O1828" s="2" t="s">
        <v>25</v>
      </c>
      <c r="P1828" s="2" t="s">
        <v>34</v>
      </c>
    </row>
    <row r="1829" spans="1:16" x14ac:dyDescent="0.25">
      <c r="A1829" s="2" t="s">
        <v>4285</v>
      </c>
      <c r="B1829" s="2" t="s">
        <v>849</v>
      </c>
      <c r="C1829" s="2">
        <v>4434</v>
      </c>
      <c r="D1829" s="2" t="s">
        <v>8792</v>
      </c>
      <c r="E1829" s="2" t="s">
        <v>38</v>
      </c>
      <c r="F1829" s="2" t="s">
        <v>30</v>
      </c>
      <c r="G1829" s="2">
        <v>79978.880000000005</v>
      </c>
      <c r="H1829" s="2">
        <v>42791.03</v>
      </c>
      <c r="I1829" s="2" t="s">
        <v>120</v>
      </c>
      <c r="J1829" s="2" t="s">
        <v>21</v>
      </c>
      <c r="K1829" s="2" t="s">
        <v>32</v>
      </c>
      <c r="L1829" s="2" t="s">
        <v>88</v>
      </c>
      <c r="M1829" s="2">
        <v>1</v>
      </c>
      <c r="N1829" s="2" t="s">
        <v>24</v>
      </c>
      <c r="O1829" s="2" t="s">
        <v>70</v>
      </c>
      <c r="P1829" s="2" t="s">
        <v>26</v>
      </c>
    </row>
    <row r="1830" spans="1:16" x14ac:dyDescent="0.25">
      <c r="A1830" s="2" t="s">
        <v>4286</v>
      </c>
      <c r="B1830" s="2" t="s">
        <v>8793</v>
      </c>
      <c r="C1830" s="2">
        <v>3935</v>
      </c>
      <c r="D1830" s="2" t="s">
        <v>8794</v>
      </c>
      <c r="E1830" s="2" t="s">
        <v>38</v>
      </c>
      <c r="F1830" s="2" t="s">
        <v>58</v>
      </c>
      <c r="G1830" s="2">
        <v>51204.959999999999</v>
      </c>
      <c r="H1830" s="2">
        <v>31797.919999999998</v>
      </c>
      <c r="I1830" s="2" t="s">
        <v>84</v>
      </c>
      <c r="J1830" s="2" t="s">
        <v>54</v>
      </c>
      <c r="K1830" s="2" t="s">
        <v>32</v>
      </c>
      <c r="L1830" s="2" t="s">
        <v>23</v>
      </c>
      <c r="M1830" s="2">
        <v>5</v>
      </c>
      <c r="N1830" s="2" t="s">
        <v>24</v>
      </c>
      <c r="O1830" s="2" t="s">
        <v>70</v>
      </c>
      <c r="P1830" s="2" t="s">
        <v>34</v>
      </c>
    </row>
    <row r="1831" spans="1:16" x14ac:dyDescent="0.25">
      <c r="A1831" s="2" t="s">
        <v>4288</v>
      </c>
      <c r="B1831" s="2" t="s">
        <v>1883</v>
      </c>
      <c r="C1831" s="2">
        <v>2741</v>
      </c>
      <c r="D1831" s="2" t="s">
        <v>8669</v>
      </c>
      <c r="E1831" s="2" t="s">
        <v>6719</v>
      </c>
      <c r="F1831" s="2" t="s">
        <v>58</v>
      </c>
      <c r="G1831" s="2">
        <v>17454.68</v>
      </c>
      <c r="H1831" s="2">
        <v>11230.4</v>
      </c>
      <c r="I1831" s="2" t="s">
        <v>63</v>
      </c>
      <c r="J1831" s="2" t="s">
        <v>6700</v>
      </c>
      <c r="K1831" s="2" t="s">
        <v>42</v>
      </c>
      <c r="L1831" s="2" t="s">
        <v>88</v>
      </c>
      <c r="M1831" s="2">
        <v>2</v>
      </c>
      <c r="N1831" s="2" t="s">
        <v>24</v>
      </c>
      <c r="O1831" s="2" t="s">
        <v>25</v>
      </c>
      <c r="P1831" s="2" t="s">
        <v>34</v>
      </c>
    </row>
    <row r="1832" spans="1:16" x14ac:dyDescent="0.25">
      <c r="A1832" s="2" t="s">
        <v>4290</v>
      </c>
      <c r="B1832" s="2" t="s">
        <v>8795</v>
      </c>
      <c r="C1832" s="2">
        <v>2593</v>
      </c>
      <c r="D1832" s="2" t="s">
        <v>1555</v>
      </c>
      <c r="E1832" s="2" t="s">
        <v>38</v>
      </c>
      <c r="F1832" s="2" t="s">
        <v>58</v>
      </c>
      <c r="G1832" s="2">
        <v>20678.330000000002</v>
      </c>
      <c r="H1832" s="2">
        <v>13058.08</v>
      </c>
      <c r="I1832" s="2" t="s">
        <v>40</v>
      </c>
      <c r="J1832" s="2" t="s">
        <v>41</v>
      </c>
      <c r="K1832" s="2" t="s">
        <v>42</v>
      </c>
      <c r="L1832" s="2" t="s">
        <v>64</v>
      </c>
      <c r="M1832" s="2">
        <v>5</v>
      </c>
      <c r="N1832" s="2" t="s">
        <v>33</v>
      </c>
      <c r="O1832" s="2" t="s">
        <v>70</v>
      </c>
      <c r="P1832" s="2" t="s">
        <v>49</v>
      </c>
    </row>
    <row r="1833" spans="1:16" x14ac:dyDescent="0.25">
      <c r="A1833" s="2" t="s">
        <v>4292</v>
      </c>
      <c r="B1833" s="2" t="s">
        <v>5695</v>
      </c>
      <c r="C1833" s="2">
        <v>1438</v>
      </c>
      <c r="D1833" s="2" t="s">
        <v>2858</v>
      </c>
      <c r="E1833" s="2" t="s">
        <v>38</v>
      </c>
      <c r="F1833" s="2" t="s">
        <v>47</v>
      </c>
      <c r="G1833" s="2">
        <v>7052.98</v>
      </c>
      <c r="H1833" s="2">
        <v>4497.84</v>
      </c>
      <c r="I1833" s="2" t="s">
        <v>59</v>
      </c>
      <c r="J1833" s="2" t="s">
        <v>41</v>
      </c>
      <c r="K1833" s="2" t="s">
        <v>80</v>
      </c>
      <c r="L1833" s="2" t="s">
        <v>64</v>
      </c>
      <c r="M1833" s="2">
        <v>2</v>
      </c>
      <c r="N1833" s="2" t="s">
        <v>33</v>
      </c>
      <c r="O1833" s="2" t="s">
        <v>25</v>
      </c>
      <c r="P1833" s="2" t="s">
        <v>26</v>
      </c>
    </row>
    <row r="1834" spans="1:16" x14ac:dyDescent="0.25">
      <c r="A1834" s="2" t="s">
        <v>4293</v>
      </c>
      <c r="B1834" s="2" t="s">
        <v>1456</v>
      </c>
      <c r="C1834" s="2">
        <v>8083</v>
      </c>
      <c r="D1834" s="2" t="s">
        <v>8796</v>
      </c>
      <c r="E1834" s="2" t="s">
        <v>38</v>
      </c>
      <c r="F1834" s="2" t="s">
        <v>47</v>
      </c>
      <c r="G1834" s="2">
        <v>7944.77</v>
      </c>
      <c r="H1834" s="2">
        <v>3850.75</v>
      </c>
      <c r="I1834" s="2" t="s">
        <v>63</v>
      </c>
      <c r="J1834" s="2" t="s">
        <v>54</v>
      </c>
      <c r="K1834" s="2" t="s">
        <v>42</v>
      </c>
      <c r="L1834" s="2" t="s">
        <v>43</v>
      </c>
      <c r="M1834" s="2">
        <v>4</v>
      </c>
      <c r="N1834" s="2" t="s">
        <v>24</v>
      </c>
      <c r="O1834" s="2" t="s">
        <v>25</v>
      </c>
      <c r="P1834" s="2" t="s">
        <v>26</v>
      </c>
    </row>
    <row r="1835" spans="1:16" x14ac:dyDescent="0.25">
      <c r="A1835" s="2" t="s">
        <v>4295</v>
      </c>
      <c r="B1835" s="2" t="s">
        <v>865</v>
      </c>
      <c r="C1835" s="2">
        <v>6929</v>
      </c>
      <c r="D1835" s="2" t="s">
        <v>5076</v>
      </c>
      <c r="E1835" s="2" t="s">
        <v>38</v>
      </c>
      <c r="F1835" s="2" t="s">
        <v>47</v>
      </c>
      <c r="G1835" s="2">
        <v>6518.94</v>
      </c>
      <c r="H1835" s="2">
        <v>3138.16</v>
      </c>
      <c r="I1835" s="2" t="s">
        <v>40</v>
      </c>
      <c r="J1835" s="2" t="s">
        <v>41</v>
      </c>
      <c r="K1835" s="2" t="s">
        <v>80</v>
      </c>
      <c r="L1835" s="2" t="s">
        <v>64</v>
      </c>
      <c r="M1835" s="2">
        <v>1</v>
      </c>
      <c r="N1835" s="2" t="s">
        <v>33</v>
      </c>
      <c r="O1835" s="2" t="s">
        <v>70</v>
      </c>
      <c r="P1835" s="2" t="s">
        <v>34</v>
      </c>
    </row>
    <row r="1836" spans="1:16" x14ac:dyDescent="0.25">
      <c r="A1836" s="2" t="s">
        <v>4298</v>
      </c>
      <c r="B1836" s="2" t="s">
        <v>3956</v>
      </c>
      <c r="C1836" s="2">
        <v>1075</v>
      </c>
      <c r="D1836" s="2" t="s">
        <v>8775</v>
      </c>
      <c r="E1836" s="2" t="s">
        <v>38</v>
      </c>
      <c r="F1836" s="2" t="s">
        <v>19</v>
      </c>
      <c r="G1836" s="2">
        <v>11082.97</v>
      </c>
      <c r="H1836" s="2">
        <v>5887.94</v>
      </c>
      <c r="I1836" s="2" t="s">
        <v>53</v>
      </c>
      <c r="J1836" s="2" t="s">
        <v>54</v>
      </c>
      <c r="K1836" s="2" t="s">
        <v>80</v>
      </c>
      <c r="L1836" s="2" t="s">
        <v>55</v>
      </c>
      <c r="M1836" s="2">
        <v>1</v>
      </c>
      <c r="N1836" s="2" t="s">
        <v>69</v>
      </c>
      <c r="O1836" s="2" t="s">
        <v>25</v>
      </c>
      <c r="P1836" s="2" t="s">
        <v>49</v>
      </c>
    </row>
    <row r="1837" spans="1:16" x14ac:dyDescent="0.25">
      <c r="A1837" s="2" t="s">
        <v>4301</v>
      </c>
      <c r="B1837" s="2" t="s">
        <v>8797</v>
      </c>
      <c r="C1837" s="2">
        <v>5806</v>
      </c>
      <c r="D1837" s="2" t="s">
        <v>8798</v>
      </c>
      <c r="E1837" s="2" t="s">
        <v>32</v>
      </c>
      <c r="F1837" s="2" t="s">
        <v>30</v>
      </c>
      <c r="G1837" s="2">
        <v>121903.75</v>
      </c>
      <c r="H1837" s="2">
        <v>77184.72</v>
      </c>
      <c r="I1837" s="2" t="s">
        <v>6759</v>
      </c>
      <c r="J1837" s="2" t="s">
        <v>6700</v>
      </c>
      <c r="K1837" s="2" t="s">
        <v>80</v>
      </c>
      <c r="L1837" s="2" t="s">
        <v>88</v>
      </c>
      <c r="M1837" s="2">
        <v>3</v>
      </c>
      <c r="N1837" s="2" t="s">
        <v>69</v>
      </c>
      <c r="O1837" s="2" t="s">
        <v>25</v>
      </c>
      <c r="P1837" s="2" t="s">
        <v>34</v>
      </c>
    </row>
    <row r="1838" spans="1:16" x14ac:dyDescent="0.25">
      <c r="A1838" s="2" t="s">
        <v>4303</v>
      </c>
      <c r="B1838" s="2" t="s">
        <v>8799</v>
      </c>
      <c r="C1838" s="2">
        <v>7308</v>
      </c>
      <c r="D1838" s="2" t="s">
        <v>8800</v>
      </c>
      <c r="E1838" s="2" t="s">
        <v>6698</v>
      </c>
      <c r="F1838" s="2" t="s">
        <v>19</v>
      </c>
      <c r="G1838" s="2">
        <v>17686.240000000002</v>
      </c>
      <c r="H1838" s="2">
        <v>10197.93</v>
      </c>
      <c r="I1838" s="2" t="s">
        <v>120</v>
      </c>
      <c r="J1838" s="2" t="s">
        <v>6795</v>
      </c>
      <c r="K1838" s="2" t="s">
        <v>80</v>
      </c>
      <c r="L1838" s="2" t="s">
        <v>48</v>
      </c>
      <c r="M1838" s="2">
        <v>1</v>
      </c>
      <c r="N1838" s="2" t="s">
        <v>33</v>
      </c>
      <c r="O1838" s="2" t="s">
        <v>70</v>
      </c>
      <c r="P1838" s="2" t="s">
        <v>49</v>
      </c>
    </row>
    <row r="1839" spans="1:16" x14ac:dyDescent="0.25">
      <c r="A1839" s="2" t="s">
        <v>4305</v>
      </c>
      <c r="B1839" s="2" t="s">
        <v>8801</v>
      </c>
      <c r="C1839" s="2">
        <v>3779</v>
      </c>
      <c r="D1839" s="2" t="s">
        <v>8802</v>
      </c>
      <c r="E1839" s="2" t="s">
        <v>6694</v>
      </c>
      <c r="F1839" s="2" t="s">
        <v>58</v>
      </c>
      <c r="G1839" s="2">
        <v>28688.85</v>
      </c>
      <c r="H1839" s="2">
        <v>14475.78</v>
      </c>
      <c r="I1839" s="2" t="s">
        <v>120</v>
      </c>
      <c r="J1839" s="2" t="s">
        <v>6724</v>
      </c>
      <c r="K1839" s="2" t="s">
        <v>80</v>
      </c>
      <c r="L1839" s="2" t="s">
        <v>88</v>
      </c>
      <c r="M1839" s="2">
        <v>2</v>
      </c>
      <c r="N1839" s="2" t="s">
        <v>24</v>
      </c>
      <c r="O1839" s="2" t="s">
        <v>25</v>
      </c>
      <c r="P1839" s="2" t="s">
        <v>26</v>
      </c>
    </row>
    <row r="1840" spans="1:16" x14ac:dyDescent="0.25">
      <c r="A1840" s="2" t="s">
        <v>4308</v>
      </c>
      <c r="B1840" s="2" t="s">
        <v>8803</v>
      </c>
      <c r="C1840" s="2">
        <v>7601</v>
      </c>
      <c r="D1840" s="2" t="s">
        <v>8804</v>
      </c>
      <c r="E1840" s="2" t="s">
        <v>32</v>
      </c>
      <c r="F1840" s="2" t="s">
        <v>39</v>
      </c>
      <c r="G1840" s="2">
        <v>11182.16</v>
      </c>
      <c r="H1840" s="2">
        <v>6389.85</v>
      </c>
      <c r="I1840" s="2" t="s">
        <v>6726</v>
      </c>
      <c r="J1840" s="2" t="s">
        <v>21</v>
      </c>
      <c r="K1840" s="2" t="s">
        <v>32</v>
      </c>
      <c r="L1840" s="2" t="s">
        <v>64</v>
      </c>
      <c r="M1840" s="2">
        <v>5</v>
      </c>
      <c r="N1840" s="2" t="s">
        <v>33</v>
      </c>
      <c r="O1840" s="2" t="s">
        <v>70</v>
      </c>
      <c r="P1840" s="2" t="s">
        <v>49</v>
      </c>
    </row>
    <row r="1841" spans="1:16" x14ac:dyDescent="0.25">
      <c r="A1841" s="2" t="s">
        <v>4311</v>
      </c>
      <c r="B1841" s="2" t="s">
        <v>3134</v>
      </c>
      <c r="C1841" s="2">
        <v>3894</v>
      </c>
      <c r="D1841" s="2" t="s">
        <v>8805</v>
      </c>
      <c r="E1841" s="2" t="s">
        <v>6680</v>
      </c>
      <c r="F1841" s="2" t="s">
        <v>58</v>
      </c>
      <c r="G1841" s="2">
        <v>21949.85</v>
      </c>
      <c r="H1841" s="2">
        <v>11256.88</v>
      </c>
      <c r="I1841" s="2" t="s">
        <v>6681</v>
      </c>
      <c r="J1841" s="2" t="s">
        <v>6705</v>
      </c>
      <c r="K1841" s="2" t="s">
        <v>22</v>
      </c>
      <c r="L1841" s="2" t="s">
        <v>48</v>
      </c>
      <c r="M1841" s="2">
        <v>2</v>
      </c>
      <c r="N1841" s="2" t="s">
        <v>33</v>
      </c>
      <c r="O1841" s="2" t="s">
        <v>25</v>
      </c>
      <c r="P1841" s="2" t="s">
        <v>49</v>
      </c>
    </row>
    <row r="1842" spans="1:16" x14ac:dyDescent="0.25">
      <c r="A1842" s="2" t="s">
        <v>4313</v>
      </c>
      <c r="B1842" s="2" t="s">
        <v>3120</v>
      </c>
      <c r="C1842" s="2">
        <v>5365</v>
      </c>
      <c r="D1842" s="2" t="s">
        <v>8806</v>
      </c>
      <c r="E1842" s="2" t="s">
        <v>38</v>
      </c>
      <c r="F1842" s="2" t="s">
        <v>47</v>
      </c>
      <c r="G1842" s="2">
        <v>18350.02</v>
      </c>
      <c r="H1842" s="2">
        <v>10993.74</v>
      </c>
      <c r="I1842" s="2" t="s">
        <v>53</v>
      </c>
      <c r="J1842" s="2" t="s">
        <v>54</v>
      </c>
      <c r="K1842" s="2" t="s">
        <v>32</v>
      </c>
      <c r="L1842" s="2" t="s">
        <v>23</v>
      </c>
      <c r="M1842" s="2">
        <v>2</v>
      </c>
      <c r="N1842" s="2" t="s">
        <v>69</v>
      </c>
      <c r="O1842" s="2" t="s">
        <v>25</v>
      </c>
      <c r="P1842" s="2" t="s">
        <v>49</v>
      </c>
    </row>
    <row r="1843" spans="1:16" x14ac:dyDescent="0.25">
      <c r="A1843" s="2" t="s">
        <v>4315</v>
      </c>
      <c r="B1843" s="2" t="s">
        <v>8807</v>
      </c>
      <c r="C1843" s="2">
        <v>5647</v>
      </c>
      <c r="D1843" s="2" t="s">
        <v>8808</v>
      </c>
      <c r="E1843" s="2" t="s">
        <v>18</v>
      </c>
      <c r="F1843" s="2" t="s">
        <v>30</v>
      </c>
      <c r="G1843" s="2">
        <v>23844.27</v>
      </c>
      <c r="H1843" s="2">
        <v>11153.34</v>
      </c>
      <c r="I1843" s="2" t="s">
        <v>6759</v>
      </c>
      <c r="J1843" s="2" t="s">
        <v>6700</v>
      </c>
      <c r="K1843" s="2" t="s">
        <v>32</v>
      </c>
      <c r="L1843" s="2" t="s">
        <v>48</v>
      </c>
      <c r="M1843" s="2">
        <v>4</v>
      </c>
      <c r="N1843" s="2" t="s">
        <v>33</v>
      </c>
      <c r="O1843" s="2" t="s">
        <v>25</v>
      </c>
      <c r="P1843" s="2" t="s">
        <v>49</v>
      </c>
    </row>
    <row r="1844" spans="1:16" x14ac:dyDescent="0.25">
      <c r="A1844" s="2" t="s">
        <v>4317</v>
      </c>
      <c r="B1844" s="2" t="s">
        <v>101</v>
      </c>
      <c r="C1844" s="2">
        <v>8689</v>
      </c>
      <c r="D1844" s="2" t="s">
        <v>8809</v>
      </c>
      <c r="E1844" s="2" t="s">
        <v>6756</v>
      </c>
      <c r="F1844" s="2" t="s">
        <v>30</v>
      </c>
      <c r="G1844" s="2">
        <v>42987.85</v>
      </c>
      <c r="H1844" s="2">
        <v>27906.38</v>
      </c>
      <c r="I1844" s="2" t="s">
        <v>6681</v>
      </c>
      <c r="J1844" s="2" t="s">
        <v>6682</v>
      </c>
      <c r="K1844" s="2" t="s">
        <v>22</v>
      </c>
      <c r="L1844" s="2" t="s">
        <v>64</v>
      </c>
      <c r="M1844" s="2">
        <v>1</v>
      </c>
      <c r="N1844" s="2" t="s">
        <v>33</v>
      </c>
      <c r="O1844" s="2" t="s">
        <v>25</v>
      </c>
      <c r="P1844" s="2" t="s">
        <v>34</v>
      </c>
    </row>
    <row r="1845" spans="1:16" x14ac:dyDescent="0.25">
      <c r="A1845" s="2" t="s">
        <v>4319</v>
      </c>
      <c r="B1845" s="2" t="s">
        <v>1532</v>
      </c>
      <c r="C1845" s="2">
        <v>6635</v>
      </c>
      <c r="D1845" s="2" t="s">
        <v>8810</v>
      </c>
      <c r="E1845" s="2" t="s">
        <v>18</v>
      </c>
      <c r="F1845" s="2" t="s">
        <v>30</v>
      </c>
      <c r="G1845" s="2">
        <v>35633.949999999997</v>
      </c>
      <c r="H1845" s="2">
        <v>17358.93</v>
      </c>
      <c r="I1845" s="2" t="s">
        <v>120</v>
      </c>
      <c r="J1845" s="2" t="s">
        <v>21</v>
      </c>
      <c r="K1845" s="2" t="s">
        <v>80</v>
      </c>
      <c r="L1845" s="2" t="s">
        <v>55</v>
      </c>
      <c r="M1845" s="2">
        <v>4</v>
      </c>
      <c r="N1845" s="2" t="s">
        <v>69</v>
      </c>
      <c r="O1845" s="2" t="s">
        <v>25</v>
      </c>
      <c r="P1845" s="2" t="s">
        <v>34</v>
      </c>
    </row>
    <row r="1846" spans="1:16" x14ac:dyDescent="0.25">
      <c r="A1846" s="2" t="s">
        <v>4321</v>
      </c>
      <c r="B1846" s="2" t="s">
        <v>2554</v>
      </c>
      <c r="C1846" s="2">
        <v>2961</v>
      </c>
      <c r="D1846" s="2" t="s">
        <v>8811</v>
      </c>
      <c r="E1846" s="2" t="s">
        <v>6743</v>
      </c>
      <c r="F1846" s="2" t="s">
        <v>19</v>
      </c>
      <c r="G1846" s="2">
        <v>18293.78</v>
      </c>
      <c r="H1846" s="2">
        <v>9107.2099999999991</v>
      </c>
      <c r="I1846" s="2" t="s">
        <v>6736</v>
      </c>
      <c r="J1846" s="2" t="s">
        <v>6686</v>
      </c>
      <c r="K1846" s="2" t="s">
        <v>80</v>
      </c>
      <c r="L1846" s="2" t="s">
        <v>55</v>
      </c>
      <c r="M1846" s="2">
        <v>2</v>
      </c>
      <c r="N1846" s="2" t="s">
        <v>24</v>
      </c>
      <c r="O1846" s="2" t="s">
        <v>25</v>
      </c>
      <c r="P1846" s="2" t="s">
        <v>34</v>
      </c>
    </row>
    <row r="1847" spans="1:16" x14ac:dyDescent="0.25">
      <c r="A1847" s="2" t="s">
        <v>4323</v>
      </c>
      <c r="B1847" s="2" t="s">
        <v>7418</v>
      </c>
      <c r="C1847" s="2">
        <v>9162</v>
      </c>
      <c r="D1847" s="2" t="s">
        <v>8812</v>
      </c>
      <c r="E1847" s="2" t="s">
        <v>6708</v>
      </c>
      <c r="F1847" s="2" t="s">
        <v>47</v>
      </c>
      <c r="G1847" s="2">
        <v>12061.22</v>
      </c>
      <c r="H1847" s="2">
        <v>6503.15</v>
      </c>
      <c r="I1847" s="2" t="s">
        <v>6845</v>
      </c>
      <c r="J1847" s="2" t="s">
        <v>21</v>
      </c>
      <c r="K1847" s="2" t="s">
        <v>42</v>
      </c>
      <c r="L1847" s="2" t="s">
        <v>48</v>
      </c>
      <c r="M1847" s="2">
        <v>5</v>
      </c>
      <c r="N1847" s="2" t="s">
        <v>24</v>
      </c>
      <c r="O1847" s="2" t="s">
        <v>25</v>
      </c>
      <c r="P1847" s="2" t="s">
        <v>49</v>
      </c>
    </row>
    <row r="1848" spans="1:16" x14ac:dyDescent="0.25">
      <c r="A1848" s="2" t="s">
        <v>4325</v>
      </c>
      <c r="B1848" s="2" t="s">
        <v>420</v>
      </c>
      <c r="C1848" s="2">
        <v>4358</v>
      </c>
      <c r="D1848" s="2" t="s">
        <v>2119</v>
      </c>
      <c r="E1848" s="2" t="s">
        <v>6708</v>
      </c>
      <c r="F1848" s="2" t="s">
        <v>39</v>
      </c>
      <c r="G1848" s="2">
        <v>18599.919999999998</v>
      </c>
      <c r="H1848" s="2">
        <v>11088.35</v>
      </c>
      <c r="I1848" s="2" t="s">
        <v>6681</v>
      </c>
      <c r="J1848" s="2" t="s">
        <v>6713</v>
      </c>
      <c r="K1848" s="2" t="s">
        <v>32</v>
      </c>
      <c r="L1848" s="2" t="s">
        <v>55</v>
      </c>
      <c r="M1848" s="2">
        <v>2</v>
      </c>
      <c r="N1848" s="2" t="s">
        <v>33</v>
      </c>
      <c r="O1848" s="2" t="s">
        <v>70</v>
      </c>
      <c r="P1848" s="2" t="s">
        <v>34</v>
      </c>
    </row>
    <row r="1849" spans="1:16" x14ac:dyDescent="0.25">
      <c r="A1849" s="2" t="s">
        <v>4327</v>
      </c>
      <c r="B1849" s="2" t="s">
        <v>8813</v>
      </c>
      <c r="C1849" s="2">
        <v>3118</v>
      </c>
      <c r="D1849" s="2" t="s">
        <v>8814</v>
      </c>
      <c r="E1849" s="2" t="s">
        <v>6698</v>
      </c>
      <c r="F1849" s="2" t="s">
        <v>58</v>
      </c>
      <c r="G1849" s="2">
        <v>17800.8</v>
      </c>
      <c r="H1849" s="2">
        <v>8215.98</v>
      </c>
      <c r="I1849" s="2" t="s">
        <v>6699</v>
      </c>
      <c r="J1849" s="2" t="s">
        <v>6686</v>
      </c>
      <c r="K1849" s="2" t="s">
        <v>22</v>
      </c>
      <c r="L1849" s="2" t="s">
        <v>23</v>
      </c>
      <c r="M1849" s="2">
        <v>1</v>
      </c>
      <c r="N1849" s="2" t="s">
        <v>69</v>
      </c>
      <c r="O1849" s="2" t="s">
        <v>25</v>
      </c>
      <c r="P1849" s="2" t="s">
        <v>49</v>
      </c>
    </row>
    <row r="1850" spans="1:16" x14ac:dyDescent="0.25">
      <c r="A1850" s="2" t="s">
        <v>4328</v>
      </c>
      <c r="B1850" s="2" t="s">
        <v>310</v>
      </c>
      <c r="C1850" s="2">
        <v>5374</v>
      </c>
      <c r="D1850" s="2" t="s">
        <v>8815</v>
      </c>
      <c r="E1850" s="2" t="s">
        <v>38</v>
      </c>
      <c r="F1850" s="2" t="s">
        <v>30</v>
      </c>
      <c r="G1850" s="2">
        <v>72925.11</v>
      </c>
      <c r="H1850" s="2">
        <v>45778.85</v>
      </c>
      <c r="I1850" s="2" t="s">
        <v>59</v>
      </c>
      <c r="J1850" s="2" t="s">
        <v>41</v>
      </c>
      <c r="K1850" s="2" t="s">
        <v>42</v>
      </c>
      <c r="L1850" s="2" t="s">
        <v>48</v>
      </c>
      <c r="M1850" s="2">
        <v>5</v>
      </c>
      <c r="N1850" s="2" t="s">
        <v>33</v>
      </c>
      <c r="O1850" s="2" t="s">
        <v>25</v>
      </c>
      <c r="P1850" s="2" t="s">
        <v>26</v>
      </c>
    </row>
    <row r="1851" spans="1:16" x14ac:dyDescent="0.25">
      <c r="A1851" s="2" t="s">
        <v>4330</v>
      </c>
      <c r="B1851" s="2" t="s">
        <v>4518</v>
      </c>
      <c r="C1851" s="2">
        <v>7935</v>
      </c>
      <c r="D1851" s="2" t="s">
        <v>6772</v>
      </c>
      <c r="E1851" s="2" t="s">
        <v>18</v>
      </c>
      <c r="F1851" s="2" t="s">
        <v>47</v>
      </c>
      <c r="G1851" s="2">
        <v>4862.97</v>
      </c>
      <c r="H1851" s="2">
        <v>2540.0300000000002</v>
      </c>
      <c r="I1851" s="2" t="s">
        <v>84</v>
      </c>
      <c r="J1851" s="2" t="s">
        <v>54</v>
      </c>
      <c r="K1851" s="2" t="s">
        <v>32</v>
      </c>
      <c r="L1851" s="2" t="s">
        <v>48</v>
      </c>
      <c r="M1851" s="2">
        <v>1</v>
      </c>
      <c r="N1851" s="2" t="s">
        <v>69</v>
      </c>
      <c r="O1851" s="2" t="s">
        <v>70</v>
      </c>
      <c r="P1851" s="2" t="s">
        <v>49</v>
      </c>
    </row>
    <row r="1852" spans="1:16" x14ac:dyDescent="0.25">
      <c r="A1852" s="2" t="s">
        <v>4332</v>
      </c>
      <c r="B1852" s="2" t="s">
        <v>2851</v>
      </c>
      <c r="C1852" s="2">
        <v>6869</v>
      </c>
      <c r="D1852" s="2" t="s">
        <v>8816</v>
      </c>
      <c r="E1852" s="2" t="s">
        <v>6748</v>
      </c>
      <c r="F1852" s="2" t="s">
        <v>58</v>
      </c>
      <c r="G1852" s="2">
        <v>31570.639999999999</v>
      </c>
      <c r="H1852" s="2">
        <v>20325.509999999998</v>
      </c>
      <c r="I1852" s="2" t="s">
        <v>6690</v>
      </c>
      <c r="J1852" s="2" t="s">
        <v>6729</v>
      </c>
      <c r="K1852" s="2" t="s">
        <v>32</v>
      </c>
      <c r="L1852" s="2" t="s">
        <v>55</v>
      </c>
      <c r="M1852" s="2">
        <v>4</v>
      </c>
      <c r="N1852" s="2" t="s">
        <v>24</v>
      </c>
      <c r="O1852" s="2" t="s">
        <v>25</v>
      </c>
      <c r="P1852" s="2" t="s">
        <v>34</v>
      </c>
    </row>
    <row r="1853" spans="1:16" x14ac:dyDescent="0.25">
      <c r="A1853" s="2" t="s">
        <v>4334</v>
      </c>
      <c r="B1853" s="2" t="s">
        <v>2854</v>
      </c>
      <c r="C1853" s="2">
        <v>6853</v>
      </c>
      <c r="D1853" s="2" t="s">
        <v>8817</v>
      </c>
      <c r="E1853" s="2" t="s">
        <v>18</v>
      </c>
      <c r="F1853" s="2" t="s">
        <v>58</v>
      </c>
      <c r="G1853" s="2">
        <v>10740.44</v>
      </c>
      <c r="H1853" s="2">
        <v>6930.57</v>
      </c>
      <c r="I1853" s="2" t="s">
        <v>68</v>
      </c>
      <c r="J1853" s="2" t="s">
        <v>41</v>
      </c>
      <c r="K1853" s="2" t="s">
        <v>42</v>
      </c>
      <c r="L1853" s="2" t="s">
        <v>55</v>
      </c>
      <c r="M1853" s="2">
        <v>1</v>
      </c>
      <c r="N1853" s="2" t="s">
        <v>33</v>
      </c>
      <c r="O1853" s="2" t="s">
        <v>25</v>
      </c>
      <c r="P1853" s="2" t="s">
        <v>49</v>
      </c>
    </row>
    <row r="1854" spans="1:16" x14ac:dyDescent="0.25">
      <c r="A1854" s="2" t="s">
        <v>4336</v>
      </c>
      <c r="B1854" s="2" t="s">
        <v>8818</v>
      </c>
      <c r="C1854" s="2">
        <v>3069</v>
      </c>
      <c r="D1854" s="2" t="s">
        <v>8819</v>
      </c>
      <c r="E1854" s="2" t="s">
        <v>32</v>
      </c>
      <c r="F1854" s="2" t="s">
        <v>19</v>
      </c>
      <c r="G1854" s="2">
        <v>10852.14</v>
      </c>
      <c r="H1854" s="2">
        <v>6781.47</v>
      </c>
      <c r="I1854" s="2" t="s">
        <v>6808</v>
      </c>
      <c r="J1854" s="2" t="s">
        <v>6691</v>
      </c>
      <c r="K1854" s="2" t="s">
        <v>22</v>
      </c>
      <c r="L1854" s="2" t="s">
        <v>43</v>
      </c>
      <c r="M1854" s="2">
        <v>2</v>
      </c>
      <c r="N1854" s="2" t="s">
        <v>69</v>
      </c>
      <c r="O1854" s="2" t="s">
        <v>25</v>
      </c>
      <c r="P1854" s="2" t="s">
        <v>34</v>
      </c>
    </row>
    <row r="1855" spans="1:16" x14ac:dyDescent="0.25">
      <c r="A1855" s="2" t="s">
        <v>4338</v>
      </c>
      <c r="B1855" s="2" t="s">
        <v>228</v>
      </c>
      <c r="C1855" s="2">
        <v>3463</v>
      </c>
      <c r="D1855" s="2" t="s">
        <v>8820</v>
      </c>
      <c r="E1855" s="2" t="s">
        <v>38</v>
      </c>
      <c r="F1855" s="2" t="s">
        <v>30</v>
      </c>
      <c r="G1855" s="2">
        <v>108997.53</v>
      </c>
      <c r="H1855" s="2">
        <v>56232</v>
      </c>
      <c r="I1855" s="2" t="s">
        <v>53</v>
      </c>
      <c r="J1855" s="2" t="s">
        <v>54</v>
      </c>
      <c r="K1855" s="2" t="s">
        <v>42</v>
      </c>
      <c r="L1855" s="2" t="s">
        <v>23</v>
      </c>
      <c r="M1855" s="2">
        <v>5</v>
      </c>
      <c r="N1855" s="2" t="s">
        <v>69</v>
      </c>
      <c r="O1855" s="2" t="s">
        <v>25</v>
      </c>
      <c r="P1855" s="2" t="s">
        <v>26</v>
      </c>
    </row>
    <row r="1856" spans="1:16" x14ac:dyDescent="0.25">
      <c r="A1856" s="2" t="s">
        <v>4339</v>
      </c>
      <c r="B1856" s="2" t="s">
        <v>7341</v>
      </c>
      <c r="C1856" s="2">
        <v>5497</v>
      </c>
      <c r="D1856" s="2" t="s">
        <v>8821</v>
      </c>
      <c r="E1856" s="2" t="s">
        <v>32</v>
      </c>
      <c r="F1856" s="2" t="s">
        <v>58</v>
      </c>
      <c r="G1856" s="2">
        <v>34171.81</v>
      </c>
      <c r="H1856" s="2">
        <v>21310.04</v>
      </c>
      <c r="I1856" s="2" t="s">
        <v>31</v>
      </c>
      <c r="J1856" s="2" t="s">
        <v>6696</v>
      </c>
      <c r="K1856" s="2" t="s">
        <v>22</v>
      </c>
      <c r="L1856" s="2" t="s">
        <v>43</v>
      </c>
      <c r="M1856" s="2">
        <v>3</v>
      </c>
      <c r="N1856" s="2" t="s">
        <v>33</v>
      </c>
      <c r="O1856" s="2" t="s">
        <v>25</v>
      </c>
      <c r="P1856" s="2" t="s">
        <v>49</v>
      </c>
    </row>
    <row r="1857" spans="1:16" x14ac:dyDescent="0.25">
      <c r="A1857" s="2" t="s">
        <v>4341</v>
      </c>
      <c r="B1857" s="2" t="s">
        <v>8822</v>
      </c>
      <c r="C1857" s="2">
        <v>7934</v>
      </c>
      <c r="D1857" s="2" t="s">
        <v>8823</v>
      </c>
      <c r="E1857" s="2" t="s">
        <v>38</v>
      </c>
      <c r="F1857" s="2" t="s">
        <v>58</v>
      </c>
      <c r="G1857" s="2">
        <v>22085.86</v>
      </c>
      <c r="H1857" s="2">
        <v>11095.06</v>
      </c>
      <c r="I1857" s="2" t="s">
        <v>40</v>
      </c>
      <c r="J1857" s="2" t="s">
        <v>41</v>
      </c>
      <c r="K1857" s="2" t="s">
        <v>80</v>
      </c>
      <c r="L1857" s="2" t="s">
        <v>64</v>
      </c>
      <c r="M1857" s="2">
        <v>1</v>
      </c>
      <c r="N1857" s="2" t="s">
        <v>24</v>
      </c>
      <c r="O1857" s="2" t="s">
        <v>25</v>
      </c>
      <c r="P1857" s="2" t="s">
        <v>49</v>
      </c>
    </row>
    <row r="1858" spans="1:16" x14ac:dyDescent="0.25">
      <c r="A1858" s="2" t="s">
        <v>4343</v>
      </c>
      <c r="B1858" s="2" t="s">
        <v>5841</v>
      </c>
      <c r="C1858" s="2">
        <v>9362</v>
      </c>
      <c r="D1858" s="2" t="s">
        <v>8824</v>
      </c>
      <c r="E1858" s="2" t="s">
        <v>18</v>
      </c>
      <c r="F1858" s="2" t="s">
        <v>30</v>
      </c>
      <c r="G1858" s="2">
        <v>50805.96</v>
      </c>
      <c r="H1858" s="2">
        <v>25790.19</v>
      </c>
      <c r="I1858" s="2" t="s">
        <v>120</v>
      </c>
      <c r="J1858" s="2" t="s">
        <v>21</v>
      </c>
      <c r="K1858" s="2" t="s">
        <v>42</v>
      </c>
      <c r="L1858" s="2" t="s">
        <v>55</v>
      </c>
      <c r="M1858" s="2">
        <v>2</v>
      </c>
      <c r="N1858" s="2" t="s">
        <v>69</v>
      </c>
      <c r="O1858" s="2" t="s">
        <v>25</v>
      </c>
      <c r="P1858" s="2" t="s">
        <v>34</v>
      </c>
    </row>
    <row r="1859" spans="1:16" x14ac:dyDescent="0.25">
      <c r="A1859" s="2" t="s">
        <v>4344</v>
      </c>
      <c r="B1859" s="2" t="s">
        <v>1381</v>
      </c>
      <c r="C1859" s="2">
        <v>6449</v>
      </c>
      <c r="D1859" s="2" t="s">
        <v>4741</v>
      </c>
      <c r="E1859" s="2" t="s">
        <v>32</v>
      </c>
      <c r="F1859" s="2" t="s">
        <v>30</v>
      </c>
      <c r="G1859" s="2">
        <v>112038.92</v>
      </c>
      <c r="H1859" s="2">
        <v>61795.95</v>
      </c>
      <c r="I1859" s="2" t="s">
        <v>6759</v>
      </c>
      <c r="J1859" s="2" t="s">
        <v>6753</v>
      </c>
      <c r="K1859" s="2" t="s">
        <v>32</v>
      </c>
      <c r="L1859" s="2" t="s">
        <v>48</v>
      </c>
      <c r="M1859" s="2">
        <v>2</v>
      </c>
      <c r="N1859" s="2" t="s">
        <v>33</v>
      </c>
      <c r="O1859" s="2" t="s">
        <v>70</v>
      </c>
      <c r="P1859" s="2" t="s">
        <v>34</v>
      </c>
    </row>
    <row r="1860" spans="1:16" x14ac:dyDescent="0.25">
      <c r="A1860" s="2" t="s">
        <v>4346</v>
      </c>
      <c r="B1860" s="2" t="s">
        <v>2017</v>
      </c>
      <c r="C1860" s="2">
        <v>3067</v>
      </c>
      <c r="D1860" s="2" t="s">
        <v>8825</v>
      </c>
      <c r="E1860" s="2" t="s">
        <v>18</v>
      </c>
      <c r="F1860" s="2" t="s">
        <v>47</v>
      </c>
      <c r="G1860" s="2">
        <v>10714.72</v>
      </c>
      <c r="H1860" s="2">
        <v>5139.6000000000004</v>
      </c>
      <c r="I1860" s="2" t="s">
        <v>84</v>
      </c>
      <c r="J1860" s="2" t="s">
        <v>6753</v>
      </c>
      <c r="K1860" s="2" t="s">
        <v>42</v>
      </c>
      <c r="L1860" s="2" t="s">
        <v>48</v>
      </c>
      <c r="M1860" s="2">
        <v>5</v>
      </c>
      <c r="N1860" s="2" t="s">
        <v>69</v>
      </c>
      <c r="O1860" s="2" t="s">
        <v>25</v>
      </c>
      <c r="P1860" s="2" t="s">
        <v>49</v>
      </c>
    </row>
    <row r="1861" spans="1:16" x14ac:dyDescent="0.25">
      <c r="A1861" s="2" t="s">
        <v>4349</v>
      </c>
      <c r="B1861" s="2" t="s">
        <v>794</v>
      </c>
      <c r="C1861" s="2">
        <v>9968</v>
      </c>
      <c r="D1861" s="2" t="s">
        <v>6301</v>
      </c>
      <c r="E1861" s="2" t="s">
        <v>38</v>
      </c>
      <c r="F1861" s="2" t="s">
        <v>47</v>
      </c>
      <c r="G1861" s="2">
        <v>14422.32</v>
      </c>
      <c r="H1861" s="2">
        <v>8616.5</v>
      </c>
      <c r="I1861" s="2" t="s">
        <v>53</v>
      </c>
      <c r="J1861" s="2" t="s">
        <v>54</v>
      </c>
      <c r="K1861" s="2" t="s">
        <v>80</v>
      </c>
      <c r="L1861" s="2" t="s">
        <v>88</v>
      </c>
      <c r="M1861" s="2">
        <v>1</v>
      </c>
      <c r="N1861" s="2" t="s">
        <v>33</v>
      </c>
      <c r="O1861" s="2" t="s">
        <v>25</v>
      </c>
      <c r="P1861" s="2" t="s">
        <v>49</v>
      </c>
    </row>
    <row r="1862" spans="1:16" x14ac:dyDescent="0.25">
      <c r="A1862" s="2" t="s">
        <v>4351</v>
      </c>
      <c r="B1862" s="2" t="s">
        <v>5075</v>
      </c>
      <c r="C1862" s="2">
        <v>4620</v>
      </c>
      <c r="D1862" s="2" t="s">
        <v>5076</v>
      </c>
      <c r="E1862" s="2" t="s">
        <v>6719</v>
      </c>
      <c r="F1862" s="2" t="s">
        <v>47</v>
      </c>
      <c r="G1862" s="2">
        <v>11704.9</v>
      </c>
      <c r="H1862" s="2">
        <v>7444.62</v>
      </c>
      <c r="I1862" s="2" t="s">
        <v>6867</v>
      </c>
      <c r="J1862" s="2" t="s">
        <v>6724</v>
      </c>
      <c r="K1862" s="2" t="s">
        <v>80</v>
      </c>
      <c r="L1862" s="2" t="s">
        <v>64</v>
      </c>
      <c r="M1862" s="2">
        <v>4</v>
      </c>
      <c r="N1862" s="2" t="s">
        <v>33</v>
      </c>
      <c r="O1862" s="2" t="s">
        <v>70</v>
      </c>
      <c r="P1862" s="2" t="s">
        <v>26</v>
      </c>
    </row>
    <row r="1863" spans="1:16" x14ac:dyDescent="0.25">
      <c r="A1863" s="2" t="s">
        <v>4353</v>
      </c>
      <c r="B1863" s="2" t="s">
        <v>6174</v>
      </c>
      <c r="C1863" s="2">
        <v>7026</v>
      </c>
      <c r="D1863" s="2" t="s">
        <v>8826</v>
      </c>
      <c r="E1863" s="2" t="s">
        <v>6743</v>
      </c>
      <c r="F1863" s="2" t="s">
        <v>39</v>
      </c>
      <c r="G1863" s="2">
        <v>30480.880000000001</v>
      </c>
      <c r="H1863" s="2">
        <v>14947.57</v>
      </c>
      <c r="I1863" s="2" t="s">
        <v>6812</v>
      </c>
      <c r="J1863" s="2" t="s">
        <v>6700</v>
      </c>
      <c r="K1863" s="2" t="s">
        <v>22</v>
      </c>
      <c r="L1863" s="2" t="s">
        <v>64</v>
      </c>
      <c r="M1863" s="2">
        <v>1</v>
      </c>
      <c r="N1863" s="2" t="s">
        <v>33</v>
      </c>
      <c r="O1863" s="2" t="s">
        <v>25</v>
      </c>
      <c r="P1863" s="2" t="s">
        <v>34</v>
      </c>
    </row>
    <row r="1864" spans="1:16" x14ac:dyDescent="0.25">
      <c r="A1864" s="2" t="s">
        <v>4354</v>
      </c>
      <c r="B1864" s="2" t="s">
        <v>912</v>
      </c>
      <c r="C1864" s="2">
        <v>3015</v>
      </c>
      <c r="D1864" s="2" t="s">
        <v>8827</v>
      </c>
      <c r="E1864" s="2" t="s">
        <v>38</v>
      </c>
      <c r="F1864" s="2" t="s">
        <v>47</v>
      </c>
      <c r="G1864" s="2">
        <v>14901.28</v>
      </c>
      <c r="H1864" s="2">
        <v>9555.6299999999992</v>
      </c>
      <c r="I1864" s="2" t="s">
        <v>120</v>
      </c>
      <c r="J1864" s="2" t="s">
        <v>21</v>
      </c>
      <c r="K1864" s="2" t="s">
        <v>32</v>
      </c>
      <c r="L1864" s="2" t="s">
        <v>23</v>
      </c>
      <c r="M1864" s="2">
        <v>3</v>
      </c>
      <c r="N1864" s="2" t="s">
        <v>24</v>
      </c>
      <c r="O1864" s="2" t="s">
        <v>70</v>
      </c>
      <c r="P1864" s="2" t="s">
        <v>34</v>
      </c>
    </row>
    <row r="1865" spans="1:16" x14ac:dyDescent="0.25">
      <c r="A1865" s="2" t="s">
        <v>4356</v>
      </c>
      <c r="B1865" s="2" t="s">
        <v>8828</v>
      </c>
      <c r="C1865" s="2">
        <v>1127</v>
      </c>
      <c r="D1865" s="2" t="s">
        <v>8829</v>
      </c>
      <c r="E1865" s="2" t="s">
        <v>6698</v>
      </c>
      <c r="F1865" s="2" t="s">
        <v>39</v>
      </c>
      <c r="G1865" s="2">
        <v>22286.76</v>
      </c>
      <c r="H1865" s="2">
        <v>13344.5</v>
      </c>
      <c r="I1865" s="2" t="s">
        <v>6681</v>
      </c>
      <c r="J1865" s="2" t="s">
        <v>6713</v>
      </c>
      <c r="K1865" s="2" t="s">
        <v>22</v>
      </c>
      <c r="L1865" s="2" t="s">
        <v>55</v>
      </c>
      <c r="M1865" s="2">
        <v>5</v>
      </c>
      <c r="N1865" s="2" t="s">
        <v>33</v>
      </c>
      <c r="O1865" s="2" t="s">
        <v>70</v>
      </c>
      <c r="P1865" s="2" t="s">
        <v>34</v>
      </c>
    </row>
    <row r="1866" spans="1:16" x14ac:dyDescent="0.25">
      <c r="A1866" s="2" t="s">
        <v>4358</v>
      </c>
      <c r="B1866" s="2" t="s">
        <v>8830</v>
      </c>
      <c r="C1866" s="2">
        <v>4793</v>
      </c>
      <c r="D1866" s="2" t="s">
        <v>8831</v>
      </c>
      <c r="E1866" s="2" t="s">
        <v>6694</v>
      </c>
      <c r="F1866" s="2" t="s">
        <v>19</v>
      </c>
      <c r="G1866" s="2">
        <v>6876.79</v>
      </c>
      <c r="H1866" s="2">
        <v>3622.3</v>
      </c>
      <c r="I1866" s="2" t="s">
        <v>120</v>
      </c>
      <c r="J1866" s="2" t="s">
        <v>21</v>
      </c>
      <c r="K1866" s="2" t="s">
        <v>22</v>
      </c>
      <c r="L1866" s="2" t="s">
        <v>43</v>
      </c>
      <c r="M1866" s="2">
        <v>2</v>
      </c>
      <c r="N1866" s="2" t="s">
        <v>69</v>
      </c>
      <c r="O1866" s="2" t="s">
        <v>70</v>
      </c>
      <c r="P1866" s="2" t="s">
        <v>34</v>
      </c>
    </row>
    <row r="1867" spans="1:16" x14ac:dyDescent="0.25">
      <c r="A1867" s="2" t="s">
        <v>4360</v>
      </c>
      <c r="B1867" s="2" t="s">
        <v>8832</v>
      </c>
      <c r="C1867" s="2">
        <v>2521</v>
      </c>
      <c r="D1867" s="2" t="s">
        <v>8833</v>
      </c>
      <c r="E1867" s="2" t="s">
        <v>6703</v>
      </c>
      <c r="F1867" s="2" t="s">
        <v>19</v>
      </c>
      <c r="G1867" s="2">
        <v>12222.18</v>
      </c>
      <c r="H1867" s="2">
        <v>6000.14</v>
      </c>
      <c r="I1867" s="2" t="s">
        <v>6728</v>
      </c>
      <c r="J1867" s="2" t="s">
        <v>6691</v>
      </c>
      <c r="K1867" s="2" t="s">
        <v>22</v>
      </c>
      <c r="L1867" s="2" t="s">
        <v>23</v>
      </c>
      <c r="M1867" s="2">
        <v>4</v>
      </c>
      <c r="N1867" s="2" t="s">
        <v>33</v>
      </c>
      <c r="O1867" s="2" t="s">
        <v>25</v>
      </c>
      <c r="P1867" s="2" t="s">
        <v>49</v>
      </c>
    </row>
    <row r="1868" spans="1:16" x14ac:dyDescent="0.25">
      <c r="A1868" s="2" t="s">
        <v>4363</v>
      </c>
      <c r="B1868" s="2" t="s">
        <v>8834</v>
      </c>
      <c r="C1868" s="2">
        <v>4869</v>
      </c>
      <c r="D1868" s="2" t="s">
        <v>8835</v>
      </c>
      <c r="E1868" s="2" t="s">
        <v>38</v>
      </c>
      <c r="F1868" s="2" t="s">
        <v>30</v>
      </c>
      <c r="G1868" s="2">
        <v>50866.87</v>
      </c>
      <c r="H1868" s="2">
        <v>32490.06</v>
      </c>
      <c r="I1868" s="2" t="s">
        <v>53</v>
      </c>
      <c r="J1868" s="2" t="s">
        <v>54</v>
      </c>
      <c r="K1868" s="2" t="s">
        <v>22</v>
      </c>
      <c r="L1868" s="2" t="s">
        <v>43</v>
      </c>
      <c r="M1868" s="2">
        <v>5</v>
      </c>
      <c r="N1868" s="2" t="s">
        <v>24</v>
      </c>
      <c r="O1868" s="2" t="s">
        <v>25</v>
      </c>
      <c r="P1868" s="2" t="s">
        <v>34</v>
      </c>
    </row>
    <row r="1869" spans="1:16" x14ac:dyDescent="0.25">
      <c r="A1869" s="2" t="s">
        <v>4365</v>
      </c>
      <c r="B1869" s="2" t="s">
        <v>8836</v>
      </c>
      <c r="C1869" s="2">
        <v>7622</v>
      </c>
      <c r="D1869" s="2" t="s">
        <v>8837</v>
      </c>
      <c r="E1869" s="2" t="s">
        <v>6756</v>
      </c>
      <c r="F1869" s="2" t="s">
        <v>19</v>
      </c>
      <c r="G1869" s="2">
        <v>17210.52</v>
      </c>
      <c r="H1869" s="2">
        <v>8684.32</v>
      </c>
      <c r="I1869" s="2" t="s">
        <v>6690</v>
      </c>
      <c r="J1869" s="2" t="s">
        <v>6753</v>
      </c>
      <c r="K1869" s="2" t="s">
        <v>32</v>
      </c>
      <c r="L1869" s="2" t="s">
        <v>48</v>
      </c>
      <c r="M1869" s="2">
        <v>1</v>
      </c>
      <c r="N1869" s="2" t="s">
        <v>24</v>
      </c>
      <c r="O1869" s="2" t="s">
        <v>25</v>
      </c>
      <c r="P1869" s="2" t="s">
        <v>49</v>
      </c>
    </row>
    <row r="1870" spans="1:16" x14ac:dyDescent="0.25">
      <c r="A1870" s="2" t="s">
        <v>4366</v>
      </c>
      <c r="B1870" s="2" t="s">
        <v>8838</v>
      </c>
      <c r="C1870" s="2">
        <v>1491</v>
      </c>
      <c r="D1870" s="2" t="s">
        <v>8839</v>
      </c>
      <c r="E1870" s="2" t="s">
        <v>38</v>
      </c>
      <c r="F1870" s="2" t="s">
        <v>58</v>
      </c>
      <c r="G1870" s="2">
        <v>37702.050000000003</v>
      </c>
      <c r="H1870" s="2">
        <v>21179.54</v>
      </c>
      <c r="I1870" s="2" t="s">
        <v>53</v>
      </c>
      <c r="J1870" s="2" t="s">
        <v>54</v>
      </c>
      <c r="K1870" s="2" t="s">
        <v>32</v>
      </c>
      <c r="L1870" s="2" t="s">
        <v>64</v>
      </c>
      <c r="M1870" s="2">
        <v>5</v>
      </c>
      <c r="N1870" s="2" t="s">
        <v>69</v>
      </c>
      <c r="O1870" s="2" t="s">
        <v>25</v>
      </c>
      <c r="P1870" s="2" t="s">
        <v>34</v>
      </c>
    </row>
    <row r="1871" spans="1:16" x14ac:dyDescent="0.25">
      <c r="A1871" s="2" t="s">
        <v>4368</v>
      </c>
      <c r="B1871" s="2" t="s">
        <v>8840</v>
      </c>
      <c r="C1871" s="2">
        <v>5953</v>
      </c>
      <c r="D1871" s="2" t="s">
        <v>8841</v>
      </c>
      <c r="E1871" s="2" t="s">
        <v>6719</v>
      </c>
      <c r="F1871" s="2" t="s">
        <v>58</v>
      </c>
      <c r="G1871" s="2">
        <v>35129.29</v>
      </c>
      <c r="H1871" s="2">
        <v>16993.900000000001</v>
      </c>
      <c r="I1871" s="2" t="s">
        <v>6695</v>
      </c>
      <c r="J1871" s="2" t="s">
        <v>6802</v>
      </c>
      <c r="K1871" s="2" t="s">
        <v>80</v>
      </c>
      <c r="L1871" s="2" t="s">
        <v>43</v>
      </c>
      <c r="M1871" s="2">
        <v>4</v>
      </c>
      <c r="N1871" s="2" t="s">
        <v>24</v>
      </c>
      <c r="O1871" s="2" t="s">
        <v>25</v>
      </c>
      <c r="P1871" s="2" t="s">
        <v>34</v>
      </c>
    </row>
    <row r="1872" spans="1:16" x14ac:dyDescent="0.25">
      <c r="A1872" s="2" t="s">
        <v>4371</v>
      </c>
      <c r="B1872" s="2" t="s">
        <v>4402</v>
      </c>
      <c r="C1872" s="2">
        <v>3362</v>
      </c>
      <c r="D1872" s="2" t="s">
        <v>2121</v>
      </c>
      <c r="E1872" s="2" t="s">
        <v>18</v>
      </c>
      <c r="F1872" s="2" t="s">
        <v>39</v>
      </c>
      <c r="G1872" s="2">
        <v>32755.98</v>
      </c>
      <c r="H1872" s="2">
        <v>14807.26</v>
      </c>
      <c r="I1872" s="2" t="s">
        <v>53</v>
      </c>
      <c r="J1872" s="2" t="s">
        <v>54</v>
      </c>
      <c r="K1872" s="2" t="s">
        <v>32</v>
      </c>
      <c r="L1872" s="2" t="s">
        <v>48</v>
      </c>
      <c r="M1872" s="2">
        <v>4</v>
      </c>
      <c r="N1872" s="2" t="s">
        <v>24</v>
      </c>
      <c r="O1872" s="2" t="s">
        <v>25</v>
      </c>
      <c r="P1872" s="2" t="s">
        <v>26</v>
      </c>
    </row>
    <row r="1873" spans="1:16" x14ac:dyDescent="0.25">
      <c r="A1873" s="2" t="s">
        <v>4374</v>
      </c>
      <c r="B1873" s="2" t="s">
        <v>4046</v>
      </c>
      <c r="C1873" s="2">
        <v>7853</v>
      </c>
      <c r="D1873" s="2" t="s">
        <v>8842</v>
      </c>
      <c r="E1873" s="2" t="s">
        <v>18</v>
      </c>
      <c r="F1873" s="2" t="s">
        <v>39</v>
      </c>
      <c r="G1873" s="2">
        <v>36223.42</v>
      </c>
      <c r="H1873" s="2">
        <v>17182.47</v>
      </c>
      <c r="I1873" s="2" t="s">
        <v>59</v>
      </c>
      <c r="J1873" s="2" t="s">
        <v>41</v>
      </c>
      <c r="K1873" s="2" t="s">
        <v>32</v>
      </c>
      <c r="L1873" s="2" t="s">
        <v>23</v>
      </c>
      <c r="M1873" s="2">
        <v>5</v>
      </c>
      <c r="N1873" s="2" t="s">
        <v>24</v>
      </c>
      <c r="O1873" s="2" t="s">
        <v>25</v>
      </c>
      <c r="P1873" s="2" t="s">
        <v>49</v>
      </c>
    </row>
    <row r="1874" spans="1:16" x14ac:dyDescent="0.25">
      <c r="A1874" s="2" t="s">
        <v>4376</v>
      </c>
      <c r="B1874" s="2" t="s">
        <v>5820</v>
      </c>
      <c r="C1874" s="2">
        <v>4043</v>
      </c>
      <c r="D1874" s="2" t="s">
        <v>8653</v>
      </c>
      <c r="E1874" s="2" t="s">
        <v>18</v>
      </c>
      <c r="F1874" s="2" t="s">
        <v>58</v>
      </c>
      <c r="G1874" s="2">
        <v>16382.59</v>
      </c>
      <c r="H1874" s="2">
        <v>8052.99</v>
      </c>
      <c r="I1874" s="2" t="s">
        <v>31</v>
      </c>
      <c r="J1874" s="2" t="s">
        <v>21</v>
      </c>
      <c r="K1874" s="2" t="s">
        <v>80</v>
      </c>
      <c r="L1874" s="2" t="s">
        <v>48</v>
      </c>
      <c r="M1874" s="2">
        <v>5</v>
      </c>
      <c r="N1874" s="2" t="s">
        <v>24</v>
      </c>
      <c r="O1874" s="2" t="s">
        <v>25</v>
      </c>
      <c r="P1874" s="2" t="s">
        <v>34</v>
      </c>
    </row>
    <row r="1875" spans="1:16" x14ac:dyDescent="0.25">
      <c r="A1875" s="2" t="s">
        <v>4378</v>
      </c>
      <c r="B1875" s="2" t="s">
        <v>977</v>
      </c>
      <c r="C1875" s="2">
        <v>6353</v>
      </c>
      <c r="D1875" s="2" t="s">
        <v>8843</v>
      </c>
      <c r="E1875" s="2" t="s">
        <v>38</v>
      </c>
      <c r="F1875" s="2" t="s">
        <v>39</v>
      </c>
      <c r="G1875" s="2">
        <v>35321.43</v>
      </c>
      <c r="H1875" s="2">
        <v>16258.16</v>
      </c>
      <c r="I1875" s="2" t="s">
        <v>84</v>
      </c>
      <c r="J1875" s="2" t="s">
        <v>54</v>
      </c>
      <c r="K1875" s="2" t="s">
        <v>42</v>
      </c>
      <c r="L1875" s="2" t="s">
        <v>88</v>
      </c>
      <c r="M1875" s="2">
        <v>3</v>
      </c>
      <c r="N1875" s="2" t="s">
        <v>24</v>
      </c>
      <c r="O1875" s="2" t="s">
        <v>70</v>
      </c>
      <c r="P1875" s="2" t="s">
        <v>34</v>
      </c>
    </row>
    <row r="1876" spans="1:16" x14ac:dyDescent="0.25">
      <c r="A1876" s="2" t="s">
        <v>4380</v>
      </c>
      <c r="B1876" s="2" t="s">
        <v>2136</v>
      </c>
      <c r="C1876" s="2">
        <v>9231</v>
      </c>
      <c r="D1876" s="2" t="s">
        <v>8844</v>
      </c>
      <c r="E1876" s="2" t="s">
        <v>38</v>
      </c>
      <c r="F1876" s="2" t="s">
        <v>19</v>
      </c>
      <c r="G1876" s="2">
        <v>16068.07</v>
      </c>
      <c r="H1876" s="2">
        <v>7237.47</v>
      </c>
      <c r="I1876" s="2" t="s">
        <v>53</v>
      </c>
      <c r="J1876" s="2" t="s">
        <v>54</v>
      </c>
      <c r="K1876" s="2" t="s">
        <v>42</v>
      </c>
      <c r="L1876" s="2" t="s">
        <v>88</v>
      </c>
      <c r="M1876" s="2">
        <v>1</v>
      </c>
      <c r="N1876" s="2" t="s">
        <v>69</v>
      </c>
      <c r="O1876" s="2" t="s">
        <v>25</v>
      </c>
      <c r="P1876" s="2" t="s">
        <v>34</v>
      </c>
    </row>
    <row r="1877" spans="1:16" x14ac:dyDescent="0.25">
      <c r="A1877" s="2" t="s">
        <v>4381</v>
      </c>
      <c r="B1877" s="2" t="s">
        <v>8845</v>
      </c>
      <c r="C1877" s="2">
        <v>4519</v>
      </c>
      <c r="D1877" s="2" t="s">
        <v>8846</v>
      </c>
      <c r="E1877" s="2" t="s">
        <v>6719</v>
      </c>
      <c r="F1877" s="2" t="s">
        <v>39</v>
      </c>
      <c r="G1877" s="2">
        <v>37211.120000000003</v>
      </c>
      <c r="H1877" s="2">
        <v>17977.5</v>
      </c>
      <c r="I1877" s="2" t="s">
        <v>120</v>
      </c>
      <c r="J1877" s="2" t="s">
        <v>21</v>
      </c>
      <c r="K1877" s="2" t="s">
        <v>22</v>
      </c>
      <c r="L1877" s="2" t="s">
        <v>88</v>
      </c>
      <c r="M1877" s="2">
        <v>4</v>
      </c>
      <c r="N1877" s="2" t="s">
        <v>33</v>
      </c>
      <c r="O1877" s="2" t="s">
        <v>70</v>
      </c>
      <c r="P1877" s="2" t="s">
        <v>34</v>
      </c>
    </row>
    <row r="1878" spans="1:16" x14ac:dyDescent="0.25">
      <c r="A1878" s="2" t="s">
        <v>4383</v>
      </c>
      <c r="B1878" s="2" t="s">
        <v>8847</v>
      </c>
      <c r="C1878" s="2">
        <v>8469</v>
      </c>
      <c r="D1878" s="2" t="s">
        <v>8848</v>
      </c>
      <c r="E1878" s="2" t="s">
        <v>18</v>
      </c>
      <c r="F1878" s="2" t="s">
        <v>47</v>
      </c>
      <c r="G1878" s="2">
        <v>18379.169999999998</v>
      </c>
      <c r="H1878" s="2">
        <v>8775.27</v>
      </c>
      <c r="I1878" s="2" t="s">
        <v>6720</v>
      </c>
      <c r="J1878" s="2" t="s">
        <v>6753</v>
      </c>
      <c r="K1878" s="2" t="s">
        <v>32</v>
      </c>
      <c r="L1878" s="2" t="s">
        <v>88</v>
      </c>
      <c r="M1878" s="2">
        <v>1</v>
      </c>
      <c r="N1878" s="2" t="s">
        <v>24</v>
      </c>
      <c r="O1878" s="2" t="s">
        <v>25</v>
      </c>
      <c r="P1878" s="2" t="s">
        <v>49</v>
      </c>
    </row>
    <row r="1879" spans="1:16" x14ac:dyDescent="0.25">
      <c r="A1879" s="2" t="s">
        <v>4385</v>
      </c>
      <c r="B1879" s="2" t="s">
        <v>143</v>
      </c>
      <c r="C1879" s="2">
        <v>1813</v>
      </c>
      <c r="D1879" s="2" t="s">
        <v>5211</v>
      </c>
      <c r="E1879" s="2" t="s">
        <v>6703</v>
      </c>
      <c r="F1879" s="2" t="s">
        <v>39</v>
      </c>
      <c r="G1879" s="2">
        <v>33185.949999999997</v>
      </c>
      <c r="H1879" s="2">
        <v>21497.13</v>
      </c>
      <c r="I1879" s="2" t="s">
        <v>6808</v>
      </c>
      <c r="J1879" s="2" t="s">
        <v>6753</v>
      </c>
      <c r="K1879" s="2" t="s">
        <v>32</v>
      </c>
      <c r="L1879" s="2" t="s">
        <v>23</v>
      </c>
      <c r="M1879" s="2">
        <v>5</v>
      </c>
      <c r="N1879" s="2" t="s">
        <v>24</v>
      </c>
      <c r="O1879" s="2" t="s">
        <v>70</v>
      </c>
      <c r="P1879" s="2" t="s">
        <v>34</v>
      </c>
    </row>
    <row r="1880" spans="1:16" x14ac:dyDescent="0.25">
      <c r="A1880" s="2" t="s">
        <v>4388</v>
      </c>
      <c r="B1880" s="2" t="s">
        <v>5123</v>
      </c>
      <c r="C1880" s="2">
        <v>4349</v>
      </c>
      <c r="D1880" s="2" t="s">
        <v>5124</v>
      </c>
      <c r="E1880" s="2" t="s">
        <v>18</v>
      </c>
      <c r="F1880" s="2" t="s">
        <v>19</v>
      </c>
      <c r="G1880" s="2">
        <v>4403.34</v>
      </c>
      <c r="H1880" s="2">
        <v>2017.22</v>
      </c>
      <c r="I1880" s="2" t="s">
        <v>31</v>
      </c>
      <c r="J1880" s="2" t="s">
        <v>21</v>
      </c>
      <c r="K1880" s="2" t="s">
        <v>22</v>
      </c>
      <c r="L1880" s="2" t="s">
        <v>48</v>
      </c>
      <c r="M1880" s="2">
        <v>4</v>
      </c>
      <c r="N1880" s="2" t="s">
        <v>33</v>
      </c>
      <c r="O1880" s="2" t="s">
        <v>25</v>
      </c>
      <c r="P1880" s="2" t="s">
        <v>26</v>
      </c>
    </row>
    <row r="1881" spans="1:16" x14ac:dyDescent="0.25">
      <c r="A1881" s="2" t="s">
        <v>4391</v>
      </c>
      <c r="B1881" s="2" t="s">
        <v>3271</v>
      </c>
      <c r="C1881" s="2">
        <v>7658</v>
      </c>
      <c r="D1881" s="2" t="s">
        <v>1812</v>
      </c>
      <c r="E1881" s="2" t="s">
        <v>38</v>
      </c>
      <c r="F1881" s="2" t="s">
        <v>30</v>
      </c>
      <c r="G1881" s="2">
        <v>71404.78</v>
      </c>
      <c r="H1881" s="2">
        <v>32431.05</v>
      </c>
      <c r="I1881" s="2" t="s">
        <v>6845</v>
      </c>
      <c r="J1881" s="2" t="s">
        <v>6802</v>
      </c>
      <c r="K1881" s="2" t="s">
        <v>32</v>
      </c>
      <c r="L1881" s="2" t="s">
        <v>64</v>
      </c>
      <c r="M1881" s="2">
        <v>1</v>
      </c>
      <c r="N1881" s="2" t="s">
        <v>24</v>
      </c>
      <c r="O1881" s="2" t="s">
        <v>25</v>
      </c>
      <c r="P1881" s="2" t="s">
        <v>49</v>
      </c>
    </row>
    <row r="1882" spans="1:16" x14ac:dyDescent="0.25">
      <c r="A1882" s="2" t="s">
        <v>4393</v>
      </c>
      <c r="B1882" s="2" t="s">
        <v>4545</v>
      </c>
      <c r="C1882" s="2">
        <v>8929</v>
      </c>
      <c r="D1882" s="2" t="s">
        <v>7741</v>
      </c>
      <c r="E1882" s="2" t="s">
        <v>38</v>
      </c>
      <c r="F1882" s="2" t="s">
        <v>47</v>
      </c>
      <c r="G1882" s="2">
        <v>10480.200000000001</v>
      </c>
      <c r="H1882" s="2">
        <v>6271.38</v>
      </c>
      <c r="I1882" s="2" t="s">
        <v>84</v>
      </c>
      <c r="J1882" s="2" t="s">
        <v>54</v>
      </c>
      <c r="K1882" s="2" t="s">
        <v>42</v>
      </c>
      <c r="L1882" s="2" t="s">
        <v>55</v>
      </c>
      <c r="M1882" s="2">
        <v>2</v>
      </c>
      <c r="N1882" s="2" t="s">
        <v>33</v>
      </c>
      <c r="O1882" s="2" t="s">
        <v>25</v>
      </c>
      <c r="P1882" s="2" t="s">
        <v>49</v>
      </c>
    </row>
    <row r="1883" spans="1:16" x14ac:dyDescent="0.25">
      <c r="A1883" s="2" t="s">
        <v>4395</v>
      </c>
      <c r="B1883" s="2" t="s">
        <v>8849</v>
      </c>
      <c r="C1883" s="2">
        <v>6556</v>
      </c>
      <c r="D1883" s="2" t="s">
        <v>8850</v>
      </c>
      <c r="E1883" s="2" t="s">
        <v>18</v>
      </c>
      <c r="F1883" s="2" t="s">
        <v>58</v>
      </c>
      <c r="G1883" s="2">
        <v>33167.370000000003</v>
      </c>
      <c r="H1883" s="2">
        <v>15656.53</v>
      </c>
      <c r="I1883" s="2" t="s">
        <v>6822</v>
      </c>
      <c r="J1883" s="2" t="s">
        <v>6732</v>
      </c>
      <c r="K1883" s="2" t="s">
        <v>80</v>
      </c>
      <c r="L1883" s="2" t="s">
        <v>23</v>
      </c>
      <c r="M1883" s="2">
        <v>2</v>
      </c>
      <c r="N1883" s="2" t="s">
        <v>33</v>
      </c>
      <c r="O1883" s="2" t="s">
        <v>25</v>
      </c>
      <c r="P1883" s="2" t="s">
        <v>49</v>
      </c>
    </row>
    <row r="1884" spans="1:16" x14ac:dyDescent="0.25">
      <c r="A1884" s="2" t="s">
        <v>4397</v>
      </c>
      <c r="B1884" s="2" t="s">
        <v>8851</v>
      </c>
      <c r="C1884" s="2">
        <v>7581</v>
      </c>
      <c r="D1884" s="2" t="s">
        <v>8852</v>
      </c>
      <c r="E1884" s="2" t="s">
        <v>6703</v>
      </c>
      <c r="F1884" s="2" t="s">
        <v>39</v>
      </c>
      <c r="G1884" s="2">
        <v>33158.550000000003</v>
      </c>
      <c r="H1884" s="2">
        <v>21340.99</v>
      </c>
      <c r="I1884" s="2" t="s">
        <v>6759</v>
      </c>
      <c r="J1884" s="2" t="s">
        <v>6753</v>
      </c>
      <c r="K1884" s="2" t="s">
        <v>42</v>
      </c>
      <c r="L1884" s="2" t="s">
        <v>43</v>
      </c>
      <c r="M1884" s="2">
        <v>1</v>
      </c>
      <c r="N1884" s="2" t="s">
        <v>33</v>
      </c>
      <c r="O1884" s="2" t="s">
        <v>25</v>
      </c>
      <c r="P1884" s="2" t="s">
        <v>34</v>
      </c>
    </row>
    <row r="1885" spans="1:16" x14ac:dyDescent="0.25">
      <c r="A1885" s="2" t="s">
        <v>4399</v>
      </c>
      <c r="B1885" s="2" t="s">
        <v>8853</v>
      </c>
      <c r="C1885" s="2">
        <v>3358</v>
      </c>
      <c r="D1885" s="2" t="s">
        <v>8854</v>
      </c>
      <c r="E1885" s="2" t="s">
        <v>38</v>
      </c>
      <c r="F1885" s="2" t="s">
        <v>19</v>
      </c>
      <c r="G1885" s="2">
        <v>10498.75</v>
      </c>
      <c r="H1885" s="2">
        <v>4961.1499999999996</v>
      </c>
      <c r="I1885" s="2" t="s">
        <v>68</v>
      </c>
      <c r="J1885" s="2" t="s">
        <v>6713</v>
      </c>
      <c r="K1885" s="2" t="s">
        <v>22</v>
      </c>
      <c r="L1885" s="2" t="s">
        <v>88</v>
      </c>
      <c r="M1885" s="2">
        <v>4</v>
      </c>
      <c r="N1885" s="2" t="s">
        <v>24</v>
      </c>
      <c r="O1885" s="2" t="s">
        <v>25</v>
      </c>
      <c r="P1885" s="2" t="s">
        <v>49</v>
      </c>
    </row>
    <row r="1886" spans="1:16" x14ac:dyDescent="0.25">
      <c r="A1886" s="2" t="s">
        <v>4401</v>
      </c>
      <c r="B1886" s="2" t="s">
        <v>402</v>
      </c>
      <c r="C1886" s="2">
        <v>4947</v>
      </c>
      <c r="D1886" s="2" t="s">
        <v>8855</v>
      </c>
      <c r="E1886" s="2" t="s">
        <v>38</v>
      </c>
      <c r="F1886" s="2" t="s">
        <v>30</v>
      </c>
      <c r="G1886" s="2">
        <v>80912.83</v>
      </c>
      <c r="H1886" s="2">
        <v>39447</v>
      </c>
      <c r="I1886" s="2" t="s">
        <v>120</v>
      </c>
      <c r="J1886" s="2" t="s">
        <v>21</v>
      </c>
      <c r="K1886" s="2" t="s">
        <v>32</v>
      </c>
      <c r="L1886" s="2" t="s">
        <v>48</v>
      </c>
      <c r="M1886" s="2">
        <v>2</v>
      </c>
      <c r="N1886" s="2" t="s">
        <v>33</v>
      </c>
      <c r="O1886" s="2" t="s">
        <v>70</v>
      </c>
      <c r="P1886" s="2" t="s">
        <v>34</v>
      </c>
    </row>
    <row r="1887" spans="1:16" x14ac:dyDescent="0.25">
      <c r="A1887" s="2" t="s">
        <v>4404</v>
      </c>
      <c r="B1887" s="2" t="s">
        <v>8856</v>
      </c>
      <c r="C1887" s="2">
        <v>8750</v>
      </c>
      <c r="D1887" s="2" t="s">
        <v>8857</v>
      </c>
      <c r="E1887" s="2" t="s">
        <v>6743</v>
      </c>
      <c r="F1887" s="2" t="s">
        <v>39</v>
      </c>
      <c r="G1887" s="2">
        <v>27435.52</v>
      </c>
      <c r="H1887" s="2">
        <v>15537.73</v>
      </c>
      <c r="I1887" s="2" t="s">
        <v>6771</v>
      </c>
      <c r="J1887" s="2" t="s">
        <v>6795</v>
      </c>
      <c r="K1887" s="2" t="s">
        <v>32</v>
      </c>
      <c r="L1887" s="2" t="s">
        <v>23</v>
      </c>
      <c r="M1887" s="2">
        <v>1</v>
      </c>
      <c r="N1887" s="2" t="s">
        <v>24</v>
      </c>
      <c r="O1887" s="2" t="s">
        <v>25</v>
      </c>
      <c r="P1887" s="2" t="s">
        <v>26</v>
      </c>
    </row>
    <row r="1888" spans="1:16" x14ac:dyDescent="0.25">
      <c r="A1888" s="2" t="s">
        <v>4407</v>
      </c>
      <c r="B1888" s="2" t="s">
        <v>8858</v>
      </c>
      <c r="C1888" s="2">
        <v>1402</v>
      </c>
      <c r="D1888" s="2" t="s">
        <v>8859</v>
      </c>
      <c r="E1888" s="2" t="s">
        <v>6703</v>
      </c>
      <c r="F1888" s="2" t="s">
        <v>19</v>
      </c>
      <c r="G1888" s="2">
        <v>16043.41</v>
      </c>
      <c r="H1888" s="2">
        <v>8196.86</v>
      </c>
      <c r="I1888" s="2" t="s">
        <v>6845</v>
      </c>
      <c r="J1888" s="2" t="s">
        <v>6724</v>
      </c>
      <c r="K1888" s="2" t="s">
        <v>22</v>
      </c>
      <c r="L1888" s="2" t="s">
        <v>88</v>
      </c>
      <c r="M1888" s="2">
        <v>3</v>
      </c>
      <c r="N1888" s="2" t="s">
        <v>24</v>
      </c>
      <c r="O1888" s="2" t="s">
        <v>25</v>
      </c>
      <c r="P1888" s="2" t="s">
        <v>34</v>
      </c>
    </row>
    <row r="1889" spans="1:16" x14ac:dyDescent="0.25">
      <c r="A1889" s="2" t="s">
        <v>4409</v>
      </c>
      <c r="B1889" s="2" t="s">
        <v>1617</v>
      </c>
      <c r="C1889" s="2">
        <v>1106</v>
      </c>
      <c r="D1889" s="2" t="s">
        <v>8434</v>
      </c>
      <c r="E1889" s="2" t="s">
        <v>38</v>
      </c>
      <c r="F1889" s="2" t="s">
        <v>39</v>
      </c>
      <c r="G1889" s="2">
        <v>28632.25</v>
      </c>
      <c r="H1889" s="2">
        <v>17306.740000000002</v>
      </c>
      <c r="I1889" s="2" t="s">
        <v>31</v>
      </c>
      <c r="J1889" s="2" t="s">
        <v>21</v>
      </c>
      <c r="K1889" s="2" t="s">
        <v>42</v>
      </c>
      <c r="L1889" s="2" t="s">
        <v>23</v>
      </c>
      <c r="M1889" s="2">
        <v>4</v>
      </c>
      <c r="N1889" s="2" t="s">
        <v>24</v>
      </c>
      <c r="O1889" s="2" t="s">
        <v>25</v>
      </c>
      <c r="P1889" s="2" t="s">
        <v>49</v>
      </c>
    </row>
    <row r="1890" spans="1:16" x14ac:dyDescent="0.25">
      <c r="A1890" s="2" t="s">
        <v>4411</v>
      </c>
      <c r="B1890" s="2" t="s">
        <v>8860</v>
      </c>
      <c r="C1890" s="2">
        <v>8355</v>
      </c>
      <c r="D1890" s="2" t="s">
        <v>8861</v>
      </c>
      <c r="E1890" s="2" t="s">
        <v>6694</v>
      </c>
      <c r="F1890" s="2" t="s">
        <v>39</v>
      </c>
      <c r="G1890" s="2">
        <v>26355.93</v>
      </c>
      <c r="H1890" s="2">
        <v>12633.57</v>
      </c>
      <c r="I1890" s="2" t="s">
        <v>6822</v>
      </c>
      <c r="J1890" s="2" t="s">
        <v>6793</v>
      </c>
      <c r="K1890" s="2" t="s">
        <v>80</v>
      </c>
      <c r="L1890" s="2" t="s">
        <v>55</v>
      </c>
      <c r="M1890" s="2">
        <v>3</v>
      </c>
      <c r="N1890" s="2" t="s">
        <v>33</v>
      </c>
      <c r="O1890" s="2" t="s">
        <v>25</v>
      </c>
      <c r="P1890" s="2" t="s">
        <v>26</v>
      </c>
    </row>
    <row r="1891" spans="1:16" x14ac:dyDescent="0.25">
      <c r="A1891" s="2" t="s">
        <v>4413</v>
      </c>
      <c r="B1891" s="2" t="s">
        <v>8862</v>
      </c>
      <c r="C1891" s="2">
        <v>8711</v>
      </c>
      <c r="D1891" s="2" t="s">
        <v>1884</v>
      </c>
      <c r="E1891" s="2" t="s">
        <v>6694</v>
      </c>
      <c r="F1891" s="2" t="s">
        <v>47</v>
      </c>
      <c r="G1891" s="2">
        <v>7606.42</v>
      </c>
      <c r="H1891" s="2">
        <v>4701.63</v>
      </c>
      <c r="I1891" s="2" t="s">
        <v>68</v>
      </c>
      <c r="J1891" s="2" t="s">
        <v>6732</v>
      </c>
      <c r="K1891" s="2" t="s">
        <v>42</v>
      </c>
      <c r="L1891" s="2" t="s">
        <v>64</v>
      </c>
      <c r="M1891" s="2">
        <v>5</v>
      </c>
      <c r="N1891" s="2" t="s">
        <v>33</v>
      </c>
      <c r="O1891" s="2" t="s">
        <v>25</v>
      </c>
      <c r="P1891" s="2" t="s">
        <v>34</v>
      </c>
    </row>
    <row r="1892" spans="1:16" x14ac:dyDescent="0.25">
      <c r="A1892" s="2" t="s">
        <v>4415</v>
      </c>
      <c r="B1892" s="2" t="s">
        <v>4112</v>
      </c>
      <c r="C1892" s="2">
        <v>2133</v>
      </c>
      <c r="D1892" s="2" t="s">
        <v>8863</v>
      </c>
      <c r="E1892" s="2" t="s">
        <v>18</v>
      </c>
      <c r="F1892" s="2" t="s">
        <v>47</v>
      </c>
      <c r="G1892" s="2">
        <v>10378.49</v>
      </c>
      <c r="H1892" s="2">
        <v>6167.12</v>
      </c>
      <c r="I1892" s="2" t="s">
        <v>68</v>
      </c>
      <c r="J1892" s="2" t="s">
        <v>41</v>
      </c>
      <c r="K1892" s="2" t="s">
        <v>22</v>
      </c>
      <c r="L1892" s="2" t="s">
        <v>64</v>
      </c>
      <c r="M1892" s="2">
        <v>5</v>
      </c>
      <c r="N1892" s="2" t="s">
        <v>24</v>
      </c>
      <c r="O1892" s="2" t="s">
        <v>25</v>
      </c>
      <c r="P1892" s="2" t="s">
        <v>49</v>
      </c>
    </row>
    <row r="1893" spans="1:16" x14ac:dyDescent="0.25">
      <c r="A1893" s="2" t="s">
        <v>4418</v>
      </c>
      <c r="B1893" s="2" t="s">
        <v>5260</v>
      </c>
      <c r="C1893" s="2">
        <v>1457</v>
      </c>
      <c r="D1893" s="2" t="s">
        <v>8864</v>
      </c>
      <c r="E1893" s="2" t="s">
        <v>38</v>
      </c>
      <c r="F1893" s="2" t="s">
        <v>47</v>
      </c>
      <c r="G1893" s="2">
        <v>11533.53</v>
      </c>
      <c r="H1893" s="2">
        <v>5289.65</v>
      </c>
      <c r="I1893" s="2" t="s">
        <v>20</v>
      </c>
      <c r="J1893" s="2" t="s">
        <v>21</v>
      </c>
      <c r="K1893" s="2" t="s">
        <v>42</v>
      </c>
      <c r="L1893" s="2" t="s">
        <v>48</v>
      </c>
      <c r="M1893" s="2">
        <v>3</v>
      </c>
      <c r="N1893" s="2" t="s">
        <v>69</v>
      </c>
      <c r="O1893" s="2" t="s">
        <v>70</v>
      </c>
      <c r="P1893" s="2" t="s">
        <v>26</v>
      </c>
    </row>
    <row r="1894" spans="1:16" x14ac:dyDescent="0.25">
      <c r="A1894" s="2" t="s">
        <v>4420</v>
      </c>
      <c r="B1894" s="2" t="s">
        <v>4995</v>
      </c>
      <c r="C1894" s="2">
        <v>9150</v>
      </c>
      <c r="D1894" s="2" t="s">
        <v>8492</v>
      </c>
      <c r="E1894" s="2" t="s">
        <v>6748</v>
      </c>
      <c r="F1894" s="2" t="s">
        <v>47</v>
      </c>
      <c r="G1894" s="2">
        <v>15975.06</v>
      </c>
      <c r="H1894" s="2">
        <v>7210.2</v>
      </c>
      <c r="I1894" s="2" t="s">
        <v>6808</v>
      </c>
      <c r="J1894" s="2" t="s">
        <v>6753</v>
      </c>
      <c r="K1894" s="2" t="s">
        <v>42</v>
      </c>
      <c r="L1894" s="2" t="s">
        <v>64</v>
      </c>
      <c r="M1894" s="2">
        <v>2</v>
      </c>
      <c r="N1894" s="2" t="s">
        <v>69</v>
      </c>
      <c r="O1894" s="2" t="s">
        <v>25</v>
      </c>
      <c r="P1894" s="2" t="s">
        <v>49</v>
      </c>
    </row>
    <row r="1895" spans="1:16" x14ac:dyDescent="0.25">
      <c r="A1895" s="2" t="s">
        <v>4423</v>
      </c>
      <c r="B1895" s="2" t="s">
        <v>305</v>
      </c>
      <c r="C1895" s="2">
        <v>7275</v>
      </c>
      <c r="D1895" s="2" t="s">
        <v>5120</v>
      </c>
      <c r="E1895" s="2" t="s">
        <v>18</v>
      </c>
      <c r="F1895" s="2" t="s">
        <v>47</v>
      </c>
      <c r="G1895" s="2">
        <v>4819.22</v>
      </c>
      <c r="H1895" s="2">
        <v>2588.9899999999998</v>
      </c>
      <c r="I1895" s="2" t="s">
        <v>84</v>
      </c>
      <c r="J1895" s="2" t="s">
        <v>6691</v>
      </c>
      <c r="K1895" s="2" t="s">
        <v>22</v>
      </c>
      <c r="L1895" s="2" t="s">
        <v>48</v>
      </c>
      <c r="M1895" s="2">
        <v>1</v>
      </c>
      <c r="N1895" s="2" t="s">
        <v>33</v>
      </c>
      <c r="O1895" s="2" t="s">
        <v>70</v>
      </c>
      <c r="P1895" s="2" t="s">
        <v>26</v>
      </c>
    </row>
    <row r="1896" spans="1:16" x14ac:dyDescent="0.25">
      <c r="A1896" s="2" t="s">
        <v>4425</v>
      </c>
      <c r="B1896" s="2" t="s">
        <v>2053</v>
      </c>
      <c r="C1896" s="2">
        <v>1802</v>
      </c>
      <c r="D1896" s="2" t="s">
        <v>3552</v>
      </c>
      <c r="E1896" s="2" t="s">
        <v>18</v>
      </c>
      <c r="F1896" s="2" t="s">
        <v>58</v>
      </c>
      <c r="G1896" s="2">
        <v>55582.559999999998</v>
      </c>
      <c r="H1896" s="2">
        <v>36069.339999999997</v>
      </c>
      <c r="I1896" s="2" t="s">
        <v>84</v>
      </c>
      <c r="J1896" s="2" t="s">
        <v>54</v>
      </c>
      <c r="K1896" s="2" t="s">
        <v>80</v>
      </c>
      <c r="L1896" s="2" t="s">
        <v>48</v>
      </c>
      <c r="M1896" s="2">
        <v>4</v>
      </c>
      <c r="N1896" s="2" t="s">
        <v>24</v>
      </c>
      <c r="O1896" s="2" t="s">
        <v>25</v>
      </c>
      <c r="P1896" s="2" t="s">
        <v>34</v>
      </c>
    </row>
    <row r="1897" spans="1:16" x14ac:dyDescent="0.25">
      <c r="A1897" s="2" t="s">
        <v>4427</v>
      </c>
      <c r="B1897" s="2" t="s">
        <v>8865</v>
      </c>
      <c r="C1897" s="2">
        <v>1815</v>
      </c>
      <c r="D1897" s="2" t="s">
        <v>8866</v>
      </c>
      <c r="E1897" s="2" t="s">
        <v>6756</v>
      </c>
      <c r="F1897" s="2" t="s">
        <v>19</v>
      </c>
      <c r="G1897" s="2">
        <v>6489.61</v>
      </c>
      <c r="H1897" s="2">
        <v>3684.37</v>
      </c>
      <c r="I1897" s="2" t="s">
        <v>6712</v>
      </c>
      <c r="J1897" s="2" t="s">
        <v>6682</v>
      </c>
      <c r="K1897" s="2" t="s">
        <v>32</v>
      </c>
      <c r="L1897" s="2" t="s">
        <v>48</v>
      </c>
      <c r="M1897" s="2">
        <v>4</v>
      </c>
      <c r="N1897" s="2" t="s">
        <v>24</v>
      </c>
      <c r="O1897" s="2" t="s">
        <v>70</v>
      </c>
      <c r="P1897" s="2" t="s">
        <v>26</v>
      </c>
    </row>
    <row r="1898" spans="1:16" x14ac:dyDescent="0.25">
      <c r="A1898" s="2" t="s">
        <v>4430</v>
      </c>
      <c r="B1898" s="2" t="s">
        <v>998</v>
      </c>
      <c r="C1898" s="2">
        <v>7395</v>
      </c>
      <c r="D1898" s="2" t="s">
        <v>8867</v>
      </c>
      <c r="E1898" s="2" t="s">
        <v>18</v>
      </c>
      <c r="F1898" s="2" t="s">
        <v>30</v>
      </c>
      <c r="G1898" s="2">
        <v>116341.88</v>
      </c>
      <c r="H1898" s="2">
        <v>71374.240000000005</v>
      </c>
      <c r="I1898" s="2" t="s">
        <v>53</v>
      </c>
      <c r="J1898" s="2" t="s">
        <v>54</v>
      </c>
      <c r="K1898" s="2" t="s">
        <v>32</v>
      </c>
      <c r="L1898" s="2" t="s">
        <v>55</v>
      </c>
      <c r="M1898" s="2">
        <v>3</v>
      </c>
      <c r="N1898" s="2" t="s">
        <v>69</v>
      </c>
      <c r="O1898" s="2" t="s">
        <v>70</v>
      </c>
      <c r="P1898" s="2" t="s">
        <v>26</v>
      </c>
    </row>
    <row r="1899" spans="1:16" x14ac:dyDescent="0.25">
      <c r="A1899" s="2" t="s">
        <v>4432</v>
      </c>
      <c r="B1899" s="2" t="s">
        <v>1276</v>
      </c>
      <c r="C1899" s="2">
        <v>8529</v>
      </c>
      <c r="D1899" s="2" t="s">
        <v>8868</v>
      </c>
      <c r="E1899" s="2" t="s">
        <v>6698</v>
      </c>
      <c r="F1899" s="2" t="s">
        <v>47</v>
      </c>
      <c r="G1899" s="2">
        <v>17448.88</v>
      </c>
      <c r="H1899" s="2">
        <v>10582.52</v>
      </c>
      <c r="I1899" s="2" t="s">
        <v>6736</v>
      </c>
      <c r="J1899" s="2" t="s">
        <v>6753</v>
      </c>
      <c r="K1899" s="2" t="s">
        <v>32</v>
      </c>
      <c r="L1899" s="2" t="s">
        <v>88</v>
      </c>
      <c r="M1899" s="2">
        <v>1</v>
      </c>
      <c r="N1899" s="2" t="s">
        <v>33</v>
      </c>
      <c r="O1899" s="2" t="s">
        <v>25</v>
      </c>
      <c r="P1899" s="2" t="s">
        <v>34</v>
      </c>
    </row>
    <row r="1900" spans="1:16" x14ac:dyDescent="0.25">
      <c r="A1900" s="2" t="s">
        <v>4434</v>
      </c>
      <c r="B1900" s="2" t="s">
        <v>8869</v>
      </c>
      <c r="C1900" s="2">
        <v>9029</v>
      </c>
      <c r="D1900" s="2" t="s">
        <v>8870</v>
      </c>
      <c r="E1900" s="2" t="s">
        <v>38</v>
      </c>
      <c r="F1900" s="2" t="s">
        <v>39</v>
      </c>
      <c r="G1900" s="2">
        <v>13303.03</v>
      </c>
      <c r="H1900" s="2">
        <v>7181.71</v>
      </c>
      <c r="I1900" s="2" t="s">
        <v>20</v>
      </c>
      <c r="J1900" s="2" t="s">
        <v>21</v>
      </c>
      <c r="K1900" s="2" t="s">
        <v>42</v>
      </c>
      <c r="L1900" s="2" t="s">
        <v>64</v>
      </c>
      <c r="M1900" s="2">
        <v>4</v>
      </c>
      <c r="N1900" s="2" t="s">
        <v>24</v>
      </c>
      <c r="O1900" s="2" t="s">
        <v>25</v>
      </c>
      <c r="P1900" s="2" t="s">
        <v>49</v>
      </c>
    </row>
    <row r="1901" spans="1:16" x14ac:dyDescent="0.25">
      <c r="A1901" s="2" t="s">
        <v>4436</v>
      </c>
      <c r="B1901" s="2" t="s">
        <v>2607</v>
      </c>
      <c r="C1901" s="2">
        <v>7108</v>
      </c>
      <c r="D1901" s="2" t="s">
        <v>4800</v>
      </c>
      <c r="E1901" s="2" t="s">
        <v>38</v>
      </c>
      <c r="F1901" s="2" t="s">
        <v>19</v>
      </c>
      <c r="G1901" s="2">
        <v>12263.95</v>
      </c>
      <c r="H1901" s="2">
        <v>6966.55</v>
      </c>
      <c r="I1901" s="2" t="s">
        <v>120</v>
      </c>
      <c r="J1901" s="2" t="s">
        <v>21</v>
      </c>
      <c r="K1901" s="2" t="s">
        <v>22</v>
      </c>
      <c r="L1901" s="2" t="s">
        <v>23</v>
      </c>
      <c r="M1901" s="2">
        <v>3</v>
      </c>
      <c r="N1901" s="2" t="s">
        <v>33</v>
      </c>
      <c r="O1901" s="2" t="s">
        <v>25</v>
      </c>
      <c r="P1901" s="2" t="s">
        <v>26</v>
      </c>
    </row>
    <row r="1902" spans="1:16" x14ac:dyDescent="0.25">
      <c r="A1902" s="2" t="s">
        <v>4438</v>
      </c>
      <c r="B1902" s="2" t="s">
        <v>8871</v>
      </c>
      <c r="C1902" s="2">
        <v>3436</v>
      </c>
      <c r="D1902" s="2" t="s">
        <v>8872</v>
      </c>
      <c r="E1902" s="2" t="s">
        <v>38</v>
      </c>
      <c r="F1902" s="2" t="s">
        <v>47</v>
      </c>
      <c r="G1902" s="2">
        <v>15147.84</v>
      </c>
      <c r="H1902" s="2">
        <v>7155.65</v>
      </c>
      <c r="I1902" s="2" t="s">
        <v>6728</v>
      </c>
      <c r="J1902" s="2" t="s">
        <v>6686</v>
      </c>
      <c r="K1902" s="2" t="s">
        <v>22</v>
      </c>
      <c r="L1902" s="2" t="s">
        <v>43</v>
      </c>
      <c r="M1902" s="2">
        <v>4</v>
      </c>
      <c r="N1902" s="2" t="s">
        <v>69</v>
      </c>
      <c r="O1902" s="2" t="s">
        <v>25</v>
      </c>
      <c r="P1902" s="2" t="s">
        <v>26</v>
      </c>
    </row>
    <row r="1903" spans="1:16" x14ac:dyDescent="0.25">
      <c r="A1903" s="2" t="s">
        <v>4440</v>
      </c>
      <c r="B1903" s="2" t="s">
        <v>486</v>
      </c>
      <c r="C1903" s="2">
        <v>7444</v>
      </c>
      <c r="D1903" s="2" t="s">
        <v>8873</v>
      </c>
      <c r="E1903" s="2" t="s">
        <v>6703</v>
      </c>
      <c r="F1903" s="2" t="s">
        <v>30</v>
      </c>
      <c r="G1903" s="2">
        <v>50631.55</v>
      </c>
      <c r="H1903" s="2">
        <v>30257.86</v>
      </c>
      <c r="I1903" s="2" t="s">
        <v>84</v>
      </c>
      <c r="J1903" s="2" t="s">
        <v>6729</v>
      </c>
      <c r="K1903" s="2" t="s">
        <v>80</v>
      </c>
      <c r="L1903" s="2" t="s">
        <v>88</v>
      </c>
      <c r="M1903" s="2">
        <v>2</v>
      </c>
      <c r="N1903" s="2" t="s">
        <v>33</v>
      </c>
      <c r="O1903" s="2" t="s">
        <v>70</v>
      </c>
      <c r="P1903" s="2" t="s">
        <v>26</v>
      </c>
    </row>
    <row r="1904" spans="1:16" x14ac:dyDescent="0.25">
      <c r="A1904" s="2" t="s">
        <v>4442</v>
      </c>
      <c r="B1904" s="2" t="s">
        <v>1289</v>
      </c>
      <c r="C1904" s="2">
        <v>9260</v>
      </c>
      <c r="D1904" s="2" t="s">
        <v>8874</v>
      </c>
      <c r="E1904" s="2" t="s">
        <v>6694</v>
      </c>
      <c r="F1904" s="2" t="s">
        <v>19</v>
      </c>
      <c r="G1904" s="2">
        <v>6436.47</v>
      </c>
      <c r="H1904" s="2">
        <v>3615.4</v>
      </c>
      <c r="I1904" s="2" t="s">
        <v>6726</v>
      </c>
      <c r="J1904" s="2" t="s">
        <v>6802</v>
      </c>
      <c r="K1904" s="2" t="s">
        <v>80</v>
      </c>
      <c r="L1904" s="2" t="s">
        <v>43</v>
      </c>
      <c r="M1904" s="2">
        <v>5</v>
      </c>
      <c r="N1904" s="2" t="s">
        <v>33</v>
      </c>
      <c r="O1904" s="2" t="s">
        <v>70</v>
      </c>
      <c r="P1904" s="2" t="s">
        <v>26</v>
      </c>
    </row>
    <row r="1905" spans="1:16" x14ac:dyDescent="0.25">
      <c r="A1905" s="2" t="s">
        <v>4444</v>
      </c>
      <c r="B1905" s="2" t="s">
        <v>8875</v>
      </c>
      <c r="C1905" s="2">
        <v>6499</v>
      </c>
      <c r="D1905" s="2" t="s">
        <v>8876</v>
      </c>
      <c r="E1905" s="2" t="s">
        <v>6756</v>
      </c>
      <c r="F1905" s="2" t="s">
        <v>58</v>
      </c>
      <c r="G1905" s="2">
        <v>51541.599999999999</v>
      </c>
      <c r="H1905" s="2">
        <v>29045.32</v>
      </c>
      <c r="I1905" s="2" t="s">
        <v>6690</v>
      </c>
      <c r="J1905" s="2" t="s">
        <v>6691</v>
      </c>
      <c r="K1905" s="2" t="s">
        <v>42</v>
      </c>
      <c r="L1905" s="2" t="s">
        <v>48</v>
      </c>
      <c r="M1905" s="2">
        <v>4</v>
      </c>
      <c r="N1905" s="2" t="s">
        <v>33</v>
      </c>
      <c r="O1905" s="2" t="s">
        <v>70</v>
      </c>
      <c r="P1905" s="2" t="s">
        <v>49</v>
      </c>
    </row>
    <row r="1906" spans="1:16" x14ac:dyDescent="0.25">
      <c r="A1906" s="2" t="s">
        <v>4447</v>
      </c>
      <c r="B1906" s="2" t="s">
        <v>8033</v>
      </c>
      <c r="C1906" s="2">
        <v>4468</v>
      </c>
      <c r="D1906" s="2" t="s">
        <v>8877</v>
      </c>
      <c r="E1906" s="2" t="s">
        <v>6708</v>
      </c>
      <c r="F1906" s="2" t="s">
        <v>58</v>
      </c>
      <c r="G1906" s="2">
        <v>47561.02</v>
      </c>
      <c r="H1906" s="2">
        <v>23365.74</v>
      </c>
      <c r="I1906" s="2" t="s">
        <v>6812</v>
      </c>
      <c r="J1906" s="2" t="s">
        <v>6691</v>
      </c>
      <c r="K1906" s="2" t="s">
        <v>32</v>
      </c>
      <c r="L1906" s="2" t="s">
        <v>43</v>
      </c>
      <c r="M1906" s="2">
        <v>1</v>
      </c>
      <c r="N1906" s="2" t="s">
        <v>33</v>
      </c>
      <c r="O1906" s="2" t="s">
        <v>25</v>
      </c>
      <c r="P1906" s="2" t="s">
        <v>34</v>
      </c>
    </row>
    <row r="1907" spans="1:16" x14ac:dyDescent="0.25">
      <c r="A1907" s="2" t="s">
        <v>4449</v>
      </c>
      <c r="B1907" s="2" t="s">
        <v>611</v>
      </c>
      <c r="C1907" s="2">
        <v>6772</v>
      </c>
      <c r="D1907" s="2" t="s">
        <v>8878</v>
      </c>
      <c r="E1907" s="2" t="s">
        <v>38</v>
      </c>
      <c r="F1907" s="2" t="s">
        <v>39</v>
      </c>
      <c r="G1907" s="2">
        <v>19729.439999999999</v>
      </c>
      <c r="H1907" s="2">
        <v>11292.39</v>
      </c>
      <c r="I1907" s="2" t="s">
        <v>63</v>
      </c>
      <c r="J1907" s="2" t="s">
        <v>54</v>
      </c>
      <c r="K1907" s="2" t="s">
        <v>32</v>
      </c>
      <c r="L1907" s="2" t="s">
        <v>23</v>
      </c>
      <c r="M1907" s="2">
        <v>5</v>
      </c>
      <c r="N1907" s="2" t="s">
        <v>33</v>
      </c>
      <c r="O1907" s="2" t="s">
        <v>25</v>
      </c>
      <c r="P1907" s="2" t="s">
        <v>34</v>
      </c>
    </row>
    <row r="1908" spans="1:16" x14ac:dyDescent="0.25">
      <c r="A1908" s="2" t="s">
        <v>4451</v>
      </c>
      <c r="B1908" s="2" t="s">
        <v>2030</v>
      </c>
      <c r="C1908" s="2">
        <v>4732</v>
      </c>
      <c r="D1908" s="2" t="s">
        <v>8879</v>
      </c>
      <c r="E1908" s="2" t="s">
        <v>38</v>
      </c>
      <c r="F1908" s="2" t="s">
        <v>39</v>
      </c>
      <c r="G1908" s="2">
        <v>8875.5400000000009</v>
      </c>
      <c r="H1908" s="2">
        <v>4182.43</v>
      </c>
      <c r="I1908" s="2" t="s">
        <v>40</v>
      </c>
      <c r="J1908" s="2" t="s">
        <v>41</v>
      </c>
      <c r="K1908" s="2" t="s">
        <v>22</v>
      </c>
      <c r="L1908" s="2" t="s">
        <v>55</v>
      </c>
      <c r="M1908" s="2">
        <v>3</v>
      </c>
      <c r="N1908" s="2" t="s">
        <v>33</v>
      </c>
      <c r="O1908" s="2" t="s">
        <v>25</v>
      </c>
      <c r="P1908" s="2" t="s">
        <v>49</v>
      </c>
    </row>
    <row r="1909" spans="1:16" x14ac:dyDescent="0.25">
      <c r="A1909" s="2" t="s">
        <v>4452</v>
      </c>
      <c r="B1909" s="2" t="s">
        <v>4220</v>
      </c>
      <c r="C1909" s="2">
        <v>1022</v>
      </c>
      <c r="D1909" s="2" t="s">
        <v>751</v>
      </c>
      <c r="E1909" s="2" t="s">
        <v>18</v>
      </c>
      <c r="F1909" s="2" t="s">
        <v>39</v>
      </c>
      <c r="G1909" s="2">
        <v>52614.63</v>
      </c>
      <c r="H1909" s="2">
        <v>32091.73</v>
      </c>
      <c r="I1909" s="2" t="s">
        <v>63</v>
      </c>
      <c r="J1909" s="2" t="s">
        <v>54</v>
      </c>
      <c r="K1909" s="2" t="s">
        <v>80</v>
      </c>
      <c r="L1909" s="2" t="s">
        <v>43</v>
      </c>
      <c r="M1909" s="2">
        <v>5</v>
      </c>
      <c r="N1909" s="2" t="s">
        <v>24</v>
      </c>
      <c r="O1909" s="2" t="s">
        <v>25</v>
      </c>
      <c r="P1909" s="2" t="s">
        <v>26</v>
      </c>
    </row>
    <row r="1910" spans="1:16" x14ac:dyDescent="0.25">
      <c r="A1910" s="2" t="s">
        <v>4454</v>
      </c>
      <c r="B1910" s="2" t="s">
        <v>8880</v>
      </c>
      <c r="C1910" s="2">
        <v>9661</v>
      </c>
      <c r="D1910" s="2" t="s">
        <v>8881</v>
      </c>
      <c r="E1910" s="2" t="s">
        <v>38</v>
      </c>
      <c r="F1910" s="2" t="s">
        <v>39</v>
      </c>
      <c r="G1910" s="2">
        <v>24965.22</v>
      </c>
      <c r="H1910" s="2">
        <v>15666.87</v>
      </c>
      <c r="I1910" s="2" t="s">
        <v>40</v>
      </c>
      <c r="J1910" s="2" t="s">
        <v>6732</v>
      </c>
      <c r="K1910" s="2" t="s">
        <v>22</v>
      </c>
      <c r="L1910" s="2" t="s">
        <v>55</v>
      </c>
      <c r="M1910" s="2">
        <v>1</v>
      </c>
      <c r="N1910" s="2" t="s">
        <v>33</v>
      </c>
      <c r="O1910" s="2" t="s">
        <v>25</v>
      </c>
      <c r="P1910" s="2" t="s">
        <v>26</v>
      </c>
    </row>
    <row r="1911" spans="1:16" x14ac:dyDescent="0.25">
      <c r="A1911" s="2" t="s">
        <v>4455</v>
      </c>
      <c r="B1911" s="2" t="s">
        <v>5201</v>
      </c>
      <c r="C1911" s="2">
        <v>5650</v>
      </c>
      <c r="D1911" s="2" t="s">
        <v>5202</v>
      </c>
      <c r="E1911" s="2" t="s">
        <v>38</v>
      </c>
      <c r="F1911" s="2" t="s">
        <v>58</v>
      </c>
      <c r="G1911" s="2">
        <v>45490.25</v>
      </c>
      <c r="H1911" s="2">
        <v>20500.150000000001</v>
      </c>
      <c r="I1911" s="2" t="s">
        <v>84</v>
      </c>
      <c r="J1911" s="2" t="s">
        <v>54</v>
      </c>
      <c r="K1911" s="2" t="s">
        <v>32</v>
      </c>
      <c r="L1911" s="2" t="s">
        <v>55</v>
      </c>
      <c r="M1911" s="2">
        <v>2</v>
      </c>
      <c r="N1911" s="2" t="s">
        <v>33</v>
      </c>
      <c r="O1911" s="2" t="s">
        <v>25</v>
      </c>
      <c r="P1911" s="2" t="s">
        <v>34</v>
      </c>
    </row>
    <row r="1912" spans="1:16" x14ac:dyDescent="0.25">
      <c r="A1912" s="2" t="s">
        <v>4456</v>
      </c>
      <c r="B1912" s="2" t="s">
        <v>1955</v>
      </c>
      <c r="C1912" s="2">
        <v>2365</v>
      </c>
      <c r="D1912" s="2" t="s">
        <v>8882</v>
      </c>
      <c r="E1912" s="2" t="s">
        <v>38</v>
      </c>
      <c r="F1912" s="2" t="s">
        <v>19</v>
      </c>
      <c r="G1912" s="2">
        <v>8129.05</v>
      </c>
      <c r="H1912" s="2">
        <v>4137.8599999999997</v>
      </c>
      <c r="I1912" s="2" t="s">
        <v>20</v>
      </c>
      <c r="J1912" s="2" t="s">
        <v>21</v>
      </c>
      <c r="K1912" s="2" t="s">
        <v>42</v>
      </c>
      <c r="L1912" s="2" t="s">
        <v>64</v>
      </c>
      <c r="M1912" s="2">
        <v>4</v>
      </c>
      <c r="N1912" s="2" t="s">
        <v>69</v>
      </c>
      <c r="O1912" s="2" t="s">
        <v>70</v>
      </c>
      <c r="P1912" s="2" t="s">
        <v>49</v>
      </c>
    </row>
    <row r="1913" spans="1:16" x14ac:dyDescent="0.25">
      <c r="A1913" s="2" t="s">
        <v>4459</v>
      </c>
      <c r="B1913" s="2" t="s">
        <v>8883</v>
      </c>
      <c r="C1913" s="2">
        <v>7834</v>
      </c>
      <c r="D1913" s="2" t="s">
        <v>8884</v>
      </c>
      <c r="E1913" s="2" t="s">
        <v>6703</v>
      </c>
      <c r="F1913" s="2" t="s">
        <v>30</v>
      </c>
      <c r="G1913" s="2">
        <v>39440.11</v>
      </c>
      <c r="H1913" s="2">
        <v>19718.759999999998</v>
      </c>
      <c r="I1913" s="2" t="s">
        <v>59</v>
      </c>
      <c r="J1913" s="2" t="s">
        <v>6682</v>
      </c>
      <c r="K1913" s="2" t="s">
        <v>22</v>
      </c>
      <c r="L1913" s="2" t="s">
        <v>55</v>
      </c>
      <c r="M1913" s="2">
        <v>4</v>
      </c>
      <c r="N1913" s="2" t="s">
        <v>24</v>
      </c>
      <c r="O1913" s="2" t="s">
        <v>70</v>
      </c>
      <c r="P1913" s="2" t="s">
        <v>26</v>
      </c>
    </row>
    <row r="1914" spans="1:16" x14ac:dyDescent="0.25">
      <c r="A1914" s="2" t="s">
        <v>4461</v>
      </c>
      <c r="B1914" s="2" t="s">
        <v>8885</v>
      </c>
      <c r="C1914" s="2">
        <v>5768</v>
      </c>
      <c r="D1914" s="2" t="s">
        <v>4567</v>
      </c>
      <c r="E1914" s="2" t="s">
        <v>18</v>
      </c>
      <c r="F1914" s="2" t="s">
        <v>58</v>
      </c>
      <c r="G1914" s="2">
        <v>22135.16</v>
      </c>
      <c r="H1914" s="2">
        <v>11728.8</v>
      </c>
      <c r="I1914" s="2" t="s">
        <v>31</v>
      </c>
      <c r="J1914" s="2" t="s">
        <v>21</v>
      </c>
      <c r="K1914" s="2" t="s">
        <v>80</v>
      </c>
      <c r="L1914" s="2" t="s">
        <v>43</v>
      </c>
      <c r="M1914" s="2">
        <v>1</v>
      </c>
      <c r="N1914" s="2" t="s">
        <v>69</v>
      </c>
      <c r="O1914" s="2" t="s">
        <v>25</v>
      </c>
      <c r="P1914" s="2" t="s">
        <v>34</v>
      </c>
    </row>
    <row r="1915" spans="1:16" x14ac:dyDescent="0.25">
      <c r="A1915" s="2" t="s">
        <v>4464</v>
      </c>
      <c r="B1915" s="2" t="s">
        <v>8886</v>
      </c>
      <c r="C1915" s="2">
        <v>4577</v>
      </c>
      <c r="D1915" s="2" t="s">
        <v>8887</v>
      </c>
      <c r="E1915" s="2" t="s">
        <v>6756</v>
      </c>
      <c r="F1915" s="2" t="s">
        <v>47</v>
      </c>
      <c r="G1915" s="2">
        <v>9521.26</v>
      </c>
      <c r="H1915" s="2">
        <v>4969.4399999999996</v>
      </c>
      <c r="I1915" s="2" t="s">
        <v>6739</v>
      </c>
      <c r="J1915" s="2" t="s">
        <v>6691</v>
      </c>
      <c r="K1915" s="2" t="s">
        <v>22</v>
      </c>
      <c r="L1915" s="2" t="s">
        <v>23</v>
      </c>
      <c r="M1915" s="2">
        <v>5</v>
      </c>
      <c r="N1915" s="2" t="s">
        <v>33</v>
      </c>
      <c r="O1915" s="2" t="s">
        <v>70</v>
      </c>
      <c r="P1915" s="2" t="s">
        <v>26</v>
      </c>
    </row>
    <row r="1916" spans="1:16" x14ac:dyDescent="0.25">
      <c r="A1916" s="2" t="s">
        <v>4466</v>
      </c>
      <c r="B1916" s="2" t="s">
        <v>86</v>
      </c>
      <c r="C1916" s="2">
        <v>3792</v>
      </c>
      <c r="D1916" s="2" t="s">
        <v>5951</v>
      </c>
      <c r="E1916" s="2" t="s">
        <v>18</v>
      </c>
      <c r="F1916" s="2" t="s">
        <v>30</v>
      </c>
      <c r="G1916" s="2">
        <v>87469.86</v>
      </c>
      <c r="H1916" s="2">
        <v>42469.75</v>
      </c>
      <c r="I1916" s="2" t="s">
        <v>84</v>
      </c>
      <c r="J1916" s="2" t="s">
        <v>54</v>
      </c>
      <c r="K1916" s="2" t="s">
        <v>42</v>
      </c>
      <c r="L1916" s="2" t="s">
        <v>43</v>
      </c>
      <c r="M1916" s="2">
        <v>2</v>
      </c>
      <c r="N1916" s="2" t="s">
        <v>33</v>
      </c>
      <c r="O1916" s="2" t="s">
        <v>70</v>
      </c>
      <c r="P1916" s="2" t="s">
        <v>26</v>
      </c>
    </row>
    <row r="1918" spans="1:16" x14ac:dyDescent="0.25">
      <c r="A1918" s="2" t="s">
        <v>4469</v>
      </c>
      <c r="B1918" s="2" t="s">
        <v>72</v>
      </c>
      <c r="C1918" s="2">
        <v>9253</v>
      </c>
      <c r="D1918" s="2" t="s">
        <v>8888</v>
      </c>
      <c r="E1918" s="2" t="s">
        <v>18</v>
      </c>
      <c r="F1918" s="2" t="s">
        <v>58</v>
      </c>
      <c r="G1918" s="2">
        <v>25857.26</v>
      </c>
      <c r="H1918" s="2">
        <v>13105.72</v>
      </c>
      <c r="I1918" s="2" t="s">
        <v>53</v>
      </c>
      <c r="J1918" s="2" t="s">
        <v>54</v>
      </c>
      <c r="K1918" s="2" t="s">
        <v>22</v>
      </c>
      <c r="L1918" s="2" t="s">
        <v>23</v>
      </c>
      <c r="M1918" s="2">
        <v>5</v>
      </c>
      <c r="N1918" s="2" t="s">
        <v>69</v>
      </c>
      <c r="O1918" s="2" t="s">
        <v>70</v>
      </c>
      <c r="P1918" s="2" t="s">
        <v>34</v>
      </c>
    </row>
    <row r="1919" spans="1:16" x14ac:dyDescent="0.25">
      <c r="A1919" s="2" t="s">
        <v>4472</v>
      </c>
      <c r="B1919" s="2" t="s">
        <v>262</v>
      </c>
      <c r="C1919" s="2">
        <v>3520</v>
      </c>
      <c r="D1919" s="2" t="s">
        <v>1946</v>
      </c>
      <c r="E1919" s="2" t="s">
        <v>18</v>
      </c>
      <c r="F1919" s="2" t="s">
        <v>58</v>
      </c>
      <c r="G1919" s="2">
        <v>51891.62</v>
      </c>
      <c r="H1919" s="2">
        <v>31953.29</v>
      </c>
      <c r="I1919" s="2" t="s">
        <v>31</v>
      </c>
      <c r="J1919" s="2" t="s">
        <v>21</v>
      </c>
      <c r="K1919" s="2" t="s">
        <v>22</v>
      </c>
      <c r="L1919" s="2" t="s">
        <v>55</v>
      </c>
      <c r="M1919" s="2">
        <v>4</v>
      </c>
      <c r="N1919" s="2" t="s">
        <v>33</v>
      </c>
      <c r="O1919" s="2" t="s">
        <v>25</v>
      </c>
      <c r="P1919" s="2" t="s">
        <v>26</v>
      </c>
    </row>
    <row r="1920" spans="1:16" x14ac:dyDescent="0.25">
      <c r="A1920" s="2" t="s">
        <v>4474</v>
      </c>
      <c r="B1920" s="2" t="s">
        <v>8889</v>
      </c>
      <c r="C1920" s="2">
        <v>9529</v>
      </c>
      <c r="D1920" s="2" t="s">
        <v>8890</v>
      </c>
      <c r="E1920" s="2" t="s">
        <v>6708</v>
      </c>
      <c r="F1920" s="2" t="s">
        <v>19</v>
      </c>
      <c r="G1920" s="2">
        <v>9347.06</v>
      </c>
      <c r="H1920" s="2">
        <v>5373.14</v>
      </c>
      <c r="I1920" s="2" t="s">
        <v>6845</v>
      </c>
      <c r="J1920" s="2" t="s">
        <v>6789</v>
      </c>
      <c r="K1920" s="2" t="s">
        <v>22</v>
      </c>
      <c r="L1920" s="2" t="s">
        <v>48</v>
      </c>
      <c r="M1920" s="2">
        <v>5</v>
      </c>
      <c r="N1920" s="2" t="s">
        <v>33</v>
      </c>
      <c r="O1920" s="2" t="s">
        <v>25</v>
      </c>
      <c r="P1920" s="2" t="s">
        <v>49</v>
      </c>
    </row>
    <row r="1921" spans="1:16" x14ac:dyDescent="0.25">
      <c r="A1921" s="2" t="s">
        <v>4476</v>
      </c>
      <c r="B1921" s="2" t="s">
        <v>345</v>
      </c>
      <c r="C1921" s="2">
        <v>3027</v>
      </c>
      <c r="D1921" s="2" t="s">
        <v>8891</v>
      </c>
      <c r="E1921" s="2" t="s">
        <v>38</v>
      </c>
      <c r="F1921" s="2" t="s">
        <v>39</v>
      </c>
      <c r="G1921" s="2">
        <v>9986.8700000000008</v>
      </c>
      <c r="H1921" s="2">
        <v>4792.7700000000004</v>
      </c>
      <c r="I1921" s="2" t="s">
        <v>59</v>
      </c>
      <c r="J1921" s="2" t="s">
        <v>41</v>
      </c>
      <c r="K1921" s="2" t="s">
        <v>22</v>
      </c>
      <c r="L1921" s="2" t="s">
        <v>43</v>
      </c>
      <c r="M1921" s="2">
        <v>1</v>
      </c>
      <c r="N1921" s="2" t="s">
        <v>69</v>
      </c>
      <c r="O1921" s="2" t="s">
        <v>25</v>
      </c>
      <c r="P1921" s="2" t="s">
        <v>26</v>
      </c>
    </row>
    <row r="1922" spans="1:16" x14ac:dyDescent="0.25">
      <c r="A1922" s="2" t="s">
        <v>4479</v>
      </c>
      <c r="B1922" s="2" t="s">
        <v>8892</v>
      </c>
      <c r="C1922" s="2">
        <v>4863</v>
      </c>
      <c r="D1922" s="2" t="s">
        <v>3774</v>
      </c>
      <c r="E1922" s="2" t="s">
        <v>38</v>
      </c>
      <c r="F1922" s="2" t="s">
        <v>58</v>
      </c>
      <c r="G1922" s="2">
        <v>11079.1</v>
      </c>
      <c r="H1922" s="2">
        <v>5541.11</v>
      </c>
      <c r="I1922" s="2" t="s">
        <v>68</v>
      </c>
      <c r="J1922" s="2" t="s">
        <v>41</v>
      </c>
      <c r="K1922" s="2" t="s">
        <v>22</v>
      </c>
      <c r="L1922" s="2" t="s">
        <v>48</v>
      </c>
      <c r="M1922" s="2">
        <v>2</v>
      </c>
      <c r="N1922" s="2" t="s">
        <v>33</v>
      </c>
      <c r="O1922" s="2" t="s">
        <v>70</v>
      </c>
      <c r="P1922" s="2" t="s">
        <v>49</v>
      </c>
    </row>
    <row r="1923" spans="1:16" x14ac:dyDescent="0.25">
      <c r="A1923" s="2" t="s">
        <v>4481</v>
      </c>
      <c r="B1923" s="2" t="s">
        <v>4647</v>
      </c>
      <c r="C1923" s="2">
        <v>1164</v>
      </c>
      <c r="D1923" s="2" t="s">
        <v>8893</v>
      </c>
      <c r="E1923" s="2" t="s">
        <v>18</v>
      </c>
      <c r="F1923" s="2" t="s">
        <v>30</v>
      </c>
      <c r="G1923" s="2">
        <v>31372.95</v>
      </c>
      <c r="H1923" s="2">
        <v>19998.96</v>
      </c>
      <c r="I1923" s="2" t="s">
        <v>53</v>
      </c>
      <c r="J1923" s="2" t="s">
        <v>54</v>
      </c>
      <c r="K1923" s="2" t="s">
        <v>42</v>
      </c>
      <c r="L1923" s="2" t="s">
        <v>23</v>
      </c>
      <c r="M1923" s="2">
        <v>2</v>
      </c>
      <c r="N1923" s="2" t="s">
        <v>24</v>
      </c>
      <c r="O1923" s="2" t="s">
        <v>25</v>
      </c>
      <c r="P1923" s="2" t="s">
        <v>26</v>
      </c>
    </row>
    <row r="1924" spans="1:16" x14ac:dyDescent="0.25">
      <c r="A1924" s="2" t="s">
        <v>4483</v>
      </c>
      <c r="B1924" s="2" t="s">
        <v>5000</v>
      </c>
      <c r="C1924" s="2">
        <v>9769</v>
      </c>
      <c r="D1924" s="2" t="s">
        <v>8894</v>
      </c>
      <c r="E1924" s="2" t="s">
        <v>38</v>
      </c>
      <c r="F1924" s="2" t="s">
        <v>39</v>
      </c>
      <c r="G1924" s="2">
        <v>23896.16</v>
      </c>
      <c r="H1924" s="2">
        <v>15102.03</v>
      </c>
      <c r="I1924" s="2" t="s">
        <v>20</v>
      </c>
      <c r="J1924" s="2" t="s">
        <v>21</v>
      </c>
      <c r="K1924" s="2" t="s">
        <v>80</v>
      </c>
      <c r="L1924" s="2" t="s">
        <v>48</v>
      </c>
      <c r="M1924" s="2">
        <v>4</v>
      </c>
      <c r="N1924" s="2" t="s">
        <v>69</v>
      </c>
      <c r="O1924" s="2" t="s">
        <v>25</v>
      </c>
      <c r="P1924" s="2" t="s">
        <v>49</v>
      </c>
    </row>
    <row r="1925" spans="1:16" x14ac:dyDescent="0.25">
      <c r="A1925" s="2" t="s">
        <v>4485</v>
      </c>
      <c r="B1925" s="2" t="s">
        <v>2197</v>
      </c>
      <c r="C1925" s="2">
        <v>6538</v>
      </c>
      <c r="D1925" s="2" t="s">
        <v>4738</v>
      </c>
      <c r="E1925" s="2" t="s">
        <v>18</v>
      </c>
      <c r="F1925" s="2" t="s">
        <v>30</v>
      </c>
      <c r="G1925" s="2">
        <v>44577.120000000003</v>
      </c>
      <c r="H1925" s="2">
        <v>27573.96</v>
      </c>
      <c r="I1925" s="2" t="s">
        <v>59</v>
      </c>
      <c r="J1925" s="2" t="s">
        <v>41</v>
      </c>
      <c r="K1925" s="2" t="s">
        <v>22</v>
      </c>
      <c r="L1925" s="2" t="s">
        <v>55</v>
      </c>
      <c r="M1925" s="2">
        <v>2</v>
      </c>
      <c r="N1925" s="2" t="s">
        <v>69</v>
      </c>
      <c r="O1925" s="2" t="s">
        <v>70</v>
      </c>
      <c r="P1925" s="2" t="s">
        <v>34</v>
      </c>
    </row>
    <row r="1926" spans="1:16" x14ac:dyDescent="0.25">
      <c r="A1926" s="2" t="s">
        <v>4486</v>
      </c>
      <c r="B1926" s="2" t="s">
        <v>3684</v>
      </c>
      <c r="C1926" s="2">
        <v>3369</v>
      </c>
      <c r="D1926" s="2" t="s">
        <v>8895</v>
      </c>
      <c r="E1926" s="2" t="s">
        <v>6748</v>
      </c>
      <c r="F1926" s="2" t="s">
        <v>47</v>
      </c>
      <c r="G1926" s="2">
        <v>18717.73</v>
      </c>
      <c r="H1926" s="2">
        <v>11434.01</v>
      </c>
      <c r="I1926" s="2" t="s">
        <v>6699</v>
      </c>
      <c r="J1926" s="2" t="s">
        <v>6691</v>
      </c>
      <c r="K1926" s="2" t="s">
        <v>32</v>
      </c>
      <c r="L1926" s="2" t="s">
        <v>88</v>
      </c>
      <c r="M1926" s="2">
        <v>3</v>
      </c>
      <c r="N1926" s="2" t="s">
        <v>33</v>
      </c>
      <c r="O1926" s="2" t="s">
        <v>25</v>
      </c>
      <c r="P1926" s="2" t="s">
        <v>26</v>
      </c>
    </row>
    <row r="1927" spans="1:16" x14ac:dyDescent="0.25">
      <c r="A1927" s="2" t="s">
        <v>4488</v>
      </c>
      <c r="B1927" s="2" t="s">
        <v>5615</v>
      </c>
      <c r="C1927" s="2">
        <v>6227</v>
      </c>
      <c r="D1927" s="2" t="s">
        <v>8896</v>
      </c>
      <c r="E1927" s="2" t="s">
        <v>18</v>
      </c>
      <c r="F1927" s="2" t="s">
        <v>19</v>
      </c>
      <c r="G1927" s="2">
        <v>10024.790000000001</v>
      </c>
      <c r="H1927" s="2">
        <v>5829.54</v>
      </c>
      <c r="I1927" s="2" t="s">
        <v>53</v>
      </c>
      <c r="J1927" s="2" t="s">
        <v>54</v>
      </c>
      <c r="K1927" s="2" t="s">
        <v>32</v>
      </c>
      <c r="L1927" s="2" t="s">
        <v>43</v>
      </c>
      <c r="M1927" s="2">
        <v>5</v>
      </c>
      <c r="N1927" s="2" t="s">
        <v>33</v>
      </c>
      <c r="O1927" s="2" t="s">
        <v>25</v>
      </c>
      <c r="P1927" s="2" t="s">
        <v>26</v>
      </c>
    </row>
    <row r="1928" spans="1:16" x14ac:dyDescent="0.25">
      <c r="A1928" s="2" t="s">
        <v>4490</v>
      </c>
      <c r="B1928" s="2" t="s">
        <v>1638</v>
      </c>
      <c r="C1928" s="2">
        <v>1650</v>
      </c>
      <c r="D1928" s="2" t="s">
        <v>8897</v>
      </c>
      <c r="E1928" s="2" t="s">
        <v>38</v>
      </c>
      <c r="F1928" s="2" t="s">
        <v>30</v>
      </c>
      <c r="G1928" s="2">
        <v>25187.13</v>
      </c>
      <c r="H1928" s="2">
        <v>15749.03</v>
      </c>
      <c r="I1928" s="2" t="s">
        <v>120</v>
      </c>
      <c r="J1928" s="2" t="s">
        <v>21</v>
      </c>
      <c r="K1928" s="2" t="s">
        <v>42</v>
      </c>
      <c r="L1928" s="2" t="s">
        <v>64</v>
      </c>
      <c r="M1928" s="2">
        <v>2</v>
      </c>
      <c r="N1928" s="2" t="s">
        <v>33</v>
      </c>
      <c r="O1928" s="2" t="s">
        <v>70</v>
      </c>
      <c r="P1928" s="2" t="s">
        <v>34</v>
      </c>
    </row>
    <row r="1929" spans="1:16" x14ac:dyDescent="0.25">
      <c r="A1929" s="2" t="s">
        <v>4491</v>
      </c>
      <c r="B1929" s="2" t="s">
        <v>8898</v>
      </c>
      <c r="C1929" s="2">
        <v>2325</v>
      </c>
      <c r="D1929" s="2" t="s">
        <v>8899</v>
      </c>
      <c r="E1929" s="2" t="s">
        <v>18</v>
      </c>
      <c r="F1929" s="2" t="s">
        <v>19</v>
      </c>
      <c r="G1929" s="2">
        <v>11208.16</v>
      </c>
      <c r="H1929" s="2">
        <v>5744.1</v>
      </c>
      <c r="I1929" s="2" t="s">
        <v>6736</v>
      </c>
      <c r="J1929" s="2" t="s">
        <v>6700</v>
      </c>
      <c r="K1929" s="2" t="s">
        <v>80</v>
      </c>
      <c r="L1929" s="2" t="s">
        <v>48</v>
      </c>
      <c r="M1929" s="2">
        <v>1</v>
      </c>
      <c r="N1929" s="2" t="s">
        <v>33</v>
      </c>
      <c r="O1929" s="2" t="s">
        <v>70</v>
      </c>
      <c r="P1929" s="2" t="s">
        <v>49</v>
      </c>
    </row>
    <row r="1930" spans="1:16" x14ac:dyDescent="0.25">
      <c r="A1930" s="2" t="s">
        <v>4494</v>
      </c>
      <c r="B1930" s="2" t="s">
        <v>122</v>
      </c>
      <c r="C1930" s="2">
        <v>6677</v>
      </c>
      <c r="D1930" s="2" t="s">
        <v>8900</v>
      </c>
      <c r="E1930" s="2" t="s">
        <v>38</v>
      </c>
      <c r="F1930" s="2" t="s">
        <v>30</v>
      </c>
      <c r="G1930" s="2">
        <v>45523.43</v>
      </c>
      <c r="H1930" s="2">
        <v>24274.45</v>
      </c>
      <c r="I1930" s="2" t="s">
        <v>31</v>
      </c>
      <c r="J1930" s="2" t="s">
        <v>21</v>
      </c>
      <c r="K1930" s="2" t="s">
        <v>80</v>
      </c>
      <c r="L1930" s="2" t="s">
        <v>23</v>
      </c>
      <c r="M1930" s="2">
        <v>1</v>
      </c>
      <c r="N1930" s="2" t="s">
        <v>33</v>
      </c>
      <c r="O1930" s="2" t="s">
        <v>70</v>
      </c>
      <c r="P1930" s="2" t="s">
        <v>34</v>
      </c>
    </row>
    <row r="1931" spans="1:16" x14ac:dyDescent="0.25">
      <c r="A1931" s="2" t="s">
        <v>4496</v>
      </c>
      <c r="B1931" s="2" t="s">
        <v>8100</v>
      </c>
      <c r="C1931" s="2">
        <v>5553</v>
      </c>
      <c r="D1931" s="2" t="s">
        <v>8901</v>
      </c>
      <c r="E1931" s="2" t="s">
        <v>18</v>
      </c>
      <c r="F1931" s="2" t="s">
        <v>19</v>
      </c>
      <c r="G1931" s="2">
        <v>7034.17</v>
      </c>
      <c r="H1931" s="2">
        <v>3687.01</v>
      </c>
      <c r="I1931" s="2" t="s">
        <v>84</v>
      </c>
      <c r="J1931" s="2" t="s">
        <v>54</v>
      </c>
      <c r="K1931" s="2" t="s">
        <v>42</v>
      </c>
      <c r="L1931" s="2" t="s">
        <v>88</v>
      </c>
      <c r="M1931" s="2">
        <v>1</v>
      </c>
      <c r="N1931" s="2" t="s">
        <v>33</v>
      </c>
      <c r="O1931" s="2" t="s">
        <v>70</v>
      </c>
      <c r="P1931" s="2" t="s">
        <v>26</v>
      </c>
    </row>
    <row r="1932" spans="1:16" x14ac:dyDescent="0.25">
      <c r="A1932" s="2" t="s">
        <v>4498</v>
      </c>
      <c r="B1932" s="2" t="s">
        <v>5251</v>
      </c>
      <c r="C1932" s="2">
        <v>4410</v>
      </c>
      <c r="D1932" s="2" t="s">
        <v>8902</v>
      </c>
      <c r="E1932" s="2" t="s">
        <v>38</v>
      </c>
      <c r="F1932" s="2" t="s">
        <v>58</v>
      </c>
      <c r="G1932" s="2">
        <v>12060.15</v>
      </c>
      <c r="H1932" s="2">
        <v>7230.44</v>
      </c>
      <c r="I1932" s="2" t="s">
        <v>31</v>
      </c>
      <c r="J1932" s="2" t="s">
        <v>21</v>
      </c>
      <c r="K1932" s="2" t="s">
        <v>22</v>
      </c>
      <c r="L1932" s="2" t="s">
        <v>55</v>
      </c>
      <c r="M1932" s="2">
        <v>5</v>
      </c>
      <c r="N1932" s="2" t="s">
        <v>33</v>
      </c>
      <c r="O1932" s="2" t="s">
        <v>25</v>
      </c>
      <c r="P1932" s="2" t="s">
        <v>26</v>
      </c>
    </row>
    <row r="1933" spans="1:16" x14ac:dyDescent="0.25">
      <c r="A1933" s="2" t="s">
        <v>4500</v>
      </c>
      <c r="B1933" s="2" t="s">
        <v>2330</v>
      </c>
      <c r="C1933" s="2">
        <v>6491</v>
      </c>
      <c r="D1933" s="2" t="s">
        <v>8903</v>
      </c>
      <c r="E1933" s="2" t="s">
        <v>6694</v>
      </c>
      <c r="F1933" s="2" t="s">
        <v>39</v>
      </c>
      <c r="G1933" s="2">
        <v>14352.84</v>
      </c>
      <c r="H1933" s="2">
        <v>7868.91</v>
      </c>
      <c r="I1933" s="2" t="s">
        <v>6681</v>
      </c>
      <c r="J1933" s="2" t="s">
        <v>41</v>
      </c>
      <c r="K1933" s="2" t="s">
        <v>80</v>
      </c>
      <c r="L1933" s="2" t="s">
        <v>23</v>
      </c>
      <c r="M1933" s="2">
        <v>2</v>
      </c>
      <c r="N1933" s="2" t="s">
        <v>33</v>
      </c>
      <c r="O1933" s="2" t="s">
        <v>25</v>
      </c>
      <c r="P1933" s="2" t="s">
        <v>49</v>
      </c>
    </row>
    <row r="1934" spans="1:16" x14ac:dyDescent="0.25">
      <c r="A1934" s="2" t="s">
        <v>4502</v>
      </c>
      <c r="B1934" s="2" t="s">
        <v>8904</v>
      </c>
      <c r="C1934" s="2">
        <v>9929</v>
      </c>
      <c r="D1934" s="2" t="s">
        <v>1960</v>
      </c>
      <c r="E1934" s="2" t="s">
        <v>6756</v>
      </c>
      <c r="F1934" s="2" t="s">
        <v>47</v>
      </c>
      <c r="G1934" s="2">
        <v>3983.53</v>
      </c>
      <c r="H1934" s="2">
        <v>1856.47</v>
      </c>
      <c r="I1934" s="2" t="s">
        <v>6749</v>
      </c>
      <c r="J1934" s="2" t="s">
        <v>6713</v>
      </c>
      <c r="K1934" s="2" t="s">
        <v>22</v>
      </c>
      <c r="L1934" s="2" t="s">
        <v>43</v>
      </c>
      <c r="M1934" s="2">
        <v>5</v>
      </c>
      <c r="N1934" s="2" t="s">
        <v>24</v>
      </c>
      <c r="O1934" s="2" t="s">
        <v>25</v>
      </c>
      <c r="P1934" s="2" t="s">
        <v>26</v>
      </c>
    </row>
    <row r="1935" spans="1:16" x14ac:dyDescent="0.25">
      <c r="A1935" s="2" t="s">
        <v>4504</v>
      </c>
      <c r="B1935" s="2" t="s">
        <v>7850</v>
      </c>
      <c r="C1935" s="2">
        <v>3641</v>
      </c>
      <c r="D1935" s="2" t="s">
        <v>3696</v>
      </c>
      <c r="E1935" s="2" t="s">
        <v>6719</v>
      </c>
      <c r="F1935" s="2" t="s">
        <v>39</v>
      </c>
      <c r="G1935" s="2">
        <v>26965.19</v>
      </c>
      <c r="H1935" s="2">
        <v>17246.89</v>
      </c>
      <c r="I1935" s="2" t="s">
        <v>31</v>
      </c>
      <c r="J1935" s="2" t="s">
        <v>21</v>
      </c>
      <c r="K1935" s="2" t="s">
        <v>80</v>
      </c>
      <c r="L1935" s="2" t="s">
        <v>23</v>
      </c>
      <c r="M1935" s="2">
        <v>4</v>
      </c>
      <c r="N1935" s="2" t="s">
        <v>69</v>
      </c>
      <c r="O1935" s="2" t="s">
        <v>25</v>
      </c>
      <c r="P1935" s="2" t="s">
        <v>26</v>
      </c>
    </row>
    <row r="1936" spans="1:16" x14ac:dyDescent="0.25">
      <c r="A1936" s="2" t="s">
        <v>4506</v>
      </c>
      <c r="B1936" s="2" t="s">
        <v>2793</v>
      </c>
      <c r="C1936" s="2">
        <v>6477</v>
      </c>
      <c r="D1936" s="2" t="s">
        <v>3252</v>
      </c>
      <c r="E1936" s="2" t="s">
        <v>6680</v>
      </c>
      <c r="F1936" s="2" t="s">
        <v>39</v>
      </c>
      <c r="G1936" s="2">
        <v>27393.71</v>
      </c>
      <c r="H1936" s="2">
        <v>12471.52</v>
      </c>
      <c r="I1936" s="2" t="s">
        <v>6777</v>
      </c>
      <c r="J1936" s="2" t="s">
        <v>6713</v>
      </c>
      <c r="K1936" s="2" t="s">
        <v>32</v>
      </c>
      <c r="L1936" s="2" t="s">
        <v>43</v>
      </c>
      <c r="M1936" s="2">
        <v>1</v>
      </c>
      <c r="N1936" s="2" t="s">
        <v>24</v>
      </c>
      <c r="O1936" s="2" t="s">
        <v>25</v>
      </c>
      <c r="P1936" s="2" t="s">
        <v>49</v>
      </c>
    </row>
    <row r="1937" spans="1:16" x14ac:dyDescent="0.25">
      <c r="A1937" s="2" t="s">
        <v>4509</v>
      </c>
      <c r="B1937" s="2" t="s">
        <v>8905</v>
      </c>
      <c r="C1937" s="2">
        <v>5989</v>
      </c>
      <c r="D1937" s="2" t="s">
        <v>8906</v>
      </c>
      <c r="E1937" s="2" t="s">
        <v>32</v>
      </c>
      <c r="F1937" s="2" t="s">
        <v>47</v>
      </c>
      <c r="G1937" s="2">
        <v>11556.88</v>
      </c>
      <c r="H1937" s="2">
        <v>5255.46</v>
      </c>
      <c r="I1937" s="2" t="s">
        <v>6736</v>
      </c>
      <c r="J1937" s="2" t="s">
        <v>6753</v>
      </c>
      <c r="K1937" s="2" t="s">
        <v>22</v>
      </c>
      <c r="L1937" s="2" t="s">
        <v>64</v>
      </c>
      <c r="M1937" s="2">
        <v>1</v>
      </c>
      <c r="N1937" s="2" t="s">
        <v>33</v>
      </c>
      <c r="O1937" s="2" t="s">
        <v>25</v>
      </c>
      <c r="P1937" s="2" t="s">
        <v>34</v>
      </c>
    </row>
    <row r="1938" spans="1:16" x14ac:dyDescent="0.25">
      <c r="A1938" s="2" t="s">
        <v>4510</v>
      </c>
      <c r="B1938" s="2" t="s">
        <v>8907</v>
      </c>
      <c r="C1938" s="2">
        <v>8835</v>
      </c>
      <c r="D1938" s="2" t="s">
        <v>8908</v>
      </c>
      <c r="E1938" s="2" t="s">
        <v>6743</v>
      </c>
      <c r="F1938" s="2" t="s">
        <v>58</v>
      </c>
      <c r="G1938" s="2">
        <v>19695.13</v>
      </c>
      <c r="H1938" s="2">
        <v>9368.42</v>
      </c>
      <c r="I1938" s="2" t="s">
        <v>6867</v>
      </c>
      <c r="J1938" s="2" t="s">
        <v>21</v>
      </c>
      <c r="K1938" s="2" t="s">
        <v>22</v>
      </c>
      <c r="L1938" s="2" t="s">
        <v>88</v>
      </c>
      <c r="M1938" s="2">
        <v>2</v>
      </c>
      <c r="N1938" s="2" t="s">
        <v>24</v>
      </c>
      <c r="O1938" s="2" t="s">
        <v>70</v>
      </c>
      <c r="P1938" s="2" t="s">
        <v>34</v>
      </c>
    </row>
    <row r="1939" spans="1:16" x14ac:dyDescent="0.25">
      <c r="A1939" s="2" t="s">
        <v>4512</v>
      </c>
      <c r="B1939" s="2" t="s">
        <v>8909</v>
      </c>
      <c r="C1939" s="2">
        <v>7473</v>
      </c>
      <c r="D1939" s="2" t="s">
        <v>8910</v>
      </c>
      <c r="E1939" s="2" t="s">
        <v>6743</v>
      </c>
      <c r="F1939" s="2" t="s">
        <v>58</v>
      </c>
      <c r="G1939" s="2">
        <v>9385.67</v>
      </c>
      <c r="H1939" s="2">
        <v>5404.28</v>
      </c>
      <c r="I1939" s="2" t="s">
        <v>6728</v>
      </c>
      <c r="J1939" s="2" t="s">
        <v>54</v>
      </c>
      <c r="K1939" s="2" t="s">
        <v>22</v>
      </c>
      <c r="L1939" s="2" t="s">
        <v>23</v>
      </c>
      <c r="M1939" s="2">
        <v>1</v>
      </c>
      <c r="N1939" s="2" t="s">
        <v>33</v>
      </c>
      <c r="O1939" s="2" t="s">
        <v>25</v>
      </c>
      <c r="P1939" s="2" t="s">
        <v>49</v>
      </c>
    </row>
    <row r="1940" spans="1:16" x14ac:dyDescent="0.25">
      <c r="A1940" s="2" t="s">
        <v>4514</v>
      </c>
      <c r="B1940" s="2" t="s">
        <v>946</v>
      </c>
      <c r="C1940" s="2">
        <v>6854</v>
      </c>
      <c r="D1940" s="2" t="s">
        <v>5265</v>
      </c>
      <c r="E1940" s="2" t="s">
        <v>38</v>
      </c>
      <c r="F1940" s="2" t="s">
        <v>19</v>
      </c>
      <c r="G1940" s="2">
        <v>12280.63</v>
      </c>
      <c r="H1940" s="2">
        <v>7971.42</v>
      </c>
      <c r="I1940" s="2" t="s">
        <v>20</v>
      </c>
      <c r="J1940" s="2" t="s">
        <v>21</v>
      </c>
      <c r="K1940" s="2" t="s">
        <v>80</v>
      </c>
      <c r="L1940" s="2" t="s">
        <v>23</v>
      </c>
      <c r="M1940" s="2">
        <v>1</v>
      </c>
      <c r="N1940" s="2" t="s">
        <v>24</v>
      </c>
      <c r="O1940" s="2" t="s">
        <v>70</v>
      </c>
      <c r="P1940" s="2" t="s">
        <v>26</v>
      </c>
    </row>
    <row r="1941" spans="1:16" x14ac:dyDescent="0.25">
      <c r="A1941" s="2" t="s">
        <v>4516</v>
      </c>
      <c r="B1941" s="2" t="s">
        <v>8911</v>
      </c>
      <c r="C1941" s="2">
        <v>9139</v>
      </c>
      <c r="D1941" s="2" t="s">
        <v>8912</v>
      </c>
      <c r="E1941" s="2" t="s">
        <v>6680</v>
      </c>
      <c r="F1941" s="2" t="s">
        <v>47</v>
      </c>
      <c r="G1941" s="2">
        <v>7450.99</v>
      </c>
      <c r="H1941" s="2">
        <v>4062.46</v>
      </c>
      <c r="I1941" s="2" t="s">
        <v>40</v>
      </c>
      <c r="J1941" s="2" t="s">
        <v>6793</v>
      </c>
      <c r="K1941" s="2" t="s">
        <v>80</v>
      </c>
      <c r="L1941" s="2" t="s">
        <v>88</v>
      </c>
      <c r="M1941" s="2">
        <v>1</v>
      </c>
      <c r="N1941" s="2" t="s">
        <v>33</v>
      </c>
      <c r="O1941" s="2" t="s">
        <v>25</v>
      </c>
      <c r="P1941" s="2" t="s">
        <v>49</v>
      </c>
    </row>
    <row r="1942" spans="1:16" x14ac:dyDescent="0.25">
      <c r="A1942" s="2" t="s">
        <v>4517</v>
      </c>
      <c r="B1942" s="2" t="s">
        <v>6745</v>
      </c>
      <c r="C1942" s="2">
        <v>5550</v>
      </c>
      <c r="D1942" s="2" t="s">
        <v>8913</v>
      </c>
      <c r="E1942" s="2" t="s">
        <v>38</v>
      </c>
      <c r="F1942" s="2" t="s">
        <v>30</v>
      </c>
      <c r="G1942" s="2">
        <v>24505.52</v>
      </c>
      <c r="H1942" s="2">
        <v>12374.85</v>
      </c>
      <c r="I1942" s="2" t="s">
        <v>68</v>
      </c>
      <c r="J1942" s="2" t="s">
        <v>41</v>
      </c>
      <c r="K1942" s="2" t="s">
        <v>22</v>
      </c>
      <c r="L1942" s="2" t="s">
        <v>43</v>
      </c>
      <c r="M1942" s="2">
        <v>3</v>
      </c>
      <c r="N1942" s="2" t="s">
        <v>33</v>
      </c>
      <c r="O1942" s="2" t="s">
        <v>70</v>
      </c>
      <c r="P1942" s="2" t="s">
        <v>34</v>
      </c>
    </row>
    <row r="1943" spans="1:16" x14ac:dyDescent="0.25">
      <c r="A1943" s="2" t="s">
        <v>4520</v>
      </c>
      <c r="B1943" s="2" t="s">
        <v>8914</v>
      </c>
      <c r="C1943" s="2">
        <v>2859</v>
      </c>
      <c r="D1943" s="2" t="s">
        <v>3758</v>
      </c>
      <c r="E1943" s="2" t="s">
        <v>6743</v>
      </c>
      <c r="F1943" s="2" t="s">
        <v>19</v>
      </c>
      <c r="G1943" s="2">
        <v>10059.52</v>
      </c>
      <c r="H1943" s="2">
        <v>6487.35</v>
      </c>
      <c r="I1943" s="2" t="s">
        <v>6704</v>
      </c>
      <c r="J1943" s="2" t="s">
        <v>6793</v>
      </c>
      <c r="K1943" s="2" t="s">
        <v>80</v>
      </c>
      <c r="L1943" s="2" t="s">
        <v>88</v>
      </c>
      <c r="M1943" s="2">
        <v>1</v>
      </c>
      <c r="N1943" s="2" t="s">
        <v>33</v>
      </c>
      <c r="O1943" s="2" t="s">
        <v>70</v>
      </c>
      <c r="P1943" s="2" t="s">
        <v>26</v>
      </c>
    </row>
    <row r="1944" spans="1:16" x14ac:dyDescent="0.25">
      <c r="A1944" s="2" t="s">
        <v>4522</v>
      </c>
      <c r="B1944" s="2" t="s">
        <v>356</v>
      </c>
      <c r="C1944" s="2">
        <v>4906</v>
      </c>
      <c r="D1944" s="2" t="s">
        <v>8915</v>
      </c>
      <c r="E1944" s="2" t="s">
        <v>6748</v>
      </c>
      <c r="F1944" s="2" t="s">
        <v>58</v>
      </c>
      <c r="G1944" s="2">
        <v>51976.24</v>
      </c>
      <c r="H1944" s="2">
        <v>23732.02</v>
      </c>
      <c r="I1944" s="2" t="s">
        <v>6739</v>
      </c>
      <c r="J1944" s="2" t="s">
        <v>6700</v>
      </c>
      <c r="K1944" s="2" t="s">
        <v>42</v>
      </c>
      <c r="L1944" s="2" t="s">
        <v>88</v>
      </c>
      <c r="M1944" s="2">
        <v>5</v>
      </c>
      <c r="N1944" s="2" t="s">
        <v>33</v>
      </c>
      <c r="O1944" s="2" t="s">
        <v>25</v>
      </c>
      <c r="P1944" s="2" t="s">
        <v>26</v>
      </c>
    </row>
    <row r="1945" spans="1:16" x14ac:dyDescent="0.25">
      <c r="A1945" s="2" t="s">
        <v>4524</v>
      </c>
      <c r="B1945" s="2" t="s">
        <v>8916</v>
      </c>
      <c r="C1945" s="2">
        <v>1138</v>
      </c>
      <c r="D1945" s="2" t="s">
        <v>8917</v>
      </c>
      <c r="E1945" s="2" t="s">
        <v>6756</v>
      </c>
      <c r="F1945" s="2" t="s">
        <v>39</v>
      </c>
      <c r="G1945" s="2">
        <v>47094</v>
      </c>
      <c r="H1945" s="2">
        <v>28151.68</v>
      </c>
      <c r="I1945" s="2" t="s">
        <v>6812</v>
      </c>
      <c r="J1945" s="2" t="s">
        <v>6729</v>
      </c>
      <c r="K1945" s="2" t="s">
        <v>22</v>
      </c>
      <c r="L1945" s="2" t="s">
        <v>88</v>
      </c>
      <c r="M1945" s="2">
        <v>2</v>
      </c>
      <c r="N1945" s="2" t="s">
        <v>24</v>
      </c>
      <c r="O1945" s="2" t="s">
        <v>70</v>
      </c>
      <c r="P1945" s="2" t="s">
        <v>26</v>
      </c>
    </row>
    <row r="1946" spans="1:16" x14ac:dyDescent="0.25">
      <c r="A1946" s="2" t="s">
        <v>4525</v>
      </c>
      <c r="B1946" s="2" t="s">
        <v>1945</v>
      </c>
      <c r="C1946" s="2">
        <v>9456</v>
      </c>
      <c r="D1946" s="2" t="s">
        <v>8918</v>
      </c>
      <c r="E1946" s="2" t="s">
        <v>38</v>
      </c>
      <c r="F1946" s="2" t="s">
        <v>39</v>
      </c>
      <c r="G1946" s="2">
        <v>27561.34</v>
      </c>
      <c r="H1946" s="2">
        <v>16253.16</v>
      </c>
      <c r="I1946" s="2" t="s">
        <v>120</v>
      </c>
      <c r="J1946" s="2" t="s">
        <v>21</v>
      </c>
      <c r="K1946" s="2" t="s">
        <v>32</v>
      </c>
      <c r="L1946" s="2" t="s">
        <v>48</v>
      </c>
      <c r="M1946" s="2">
        <v>2</v>
      </c>
      <c r="N1946" s="2" t="s">
        <v>69</v>
      </c>
      <c r="O1946" s="2" t="s">
        <v>70</v>
      </c>
      <c r="P1946" s="2" t="s">
        <v>26</v>
      </c>
    </row>
    <row r="1947" spans="1:16" x14ac:dyDescent="0.25">
      <c r="A1947" s="2" t="s">
        <v>4528</v>
      </c>
      <c r="B1947" s="2" t="s">
        <v>4361</v>
      </c>
      <c r="C1947" s="2">
        <v>6084</v>
      </c>
      <c r="D1947" s="2" t="s">
        <v>8919</v>
      </c>
      <c r="E1947" s="2" t="s">
        <v>38</v>
      </c>
      <c r="F1947" s="2" t="s">
        <v>19</v>
      </c>
      <c r="G1947" s="2">
        <v>10887.98</v>
      </c>
      <c r="H1947" s="2">
        <v>5047.78</v>
      </c>
      <c r="I1947" s="2" t="s">
        <v>20</v>
      </c>
      <c r="J1947" s="2" t="s">
        <v>21</v>
      </c>
      <c r="K1947" s="2" t="s">
        <v>22</v>
      </c>
      <c r="L1947" s="2" t="s">
        <v>23</v>
      </c>
      <c r="M1947" s="2">
        <v>3</v>
      </c>
      <c r="N1947" s="2" t="s">
        <v>33</v>
      </c>
      <c r="O1947" s="2" t="s">
        <v>70</v>
      </c>
      <c r="P1947" s="2" t="s">
        <v>34</v>
      </c>
    </row>
    <row r="1948" spans="1:16" x14ac:dyDescent="0.25">
      <c r="A1948" s="2" t="s">
        <v>4530</v>
      </c>
      <c r="B1948" s="2" t="s">
        <v>8920</v>
      </c>
      <c r="C1948" s="2">
        <v>8004</v>
      </c>
      <c r="D1948" s="2" t="s">
        <v>8921</v>
      </c>
      <c r="E1948" s="2" t="s">
        <v>38</v>
      </c>
      <c r="F1948" s="2" t="s">
        <v>47</v>
      </c>
      <c r="G1948" s="2">
        <v>8543.44</v>
      </c>
      <c r="H1948" s="2">
        <v>4736.17</v>
      </c>
      <c r="I1948" s="2" t="s">
        <v>6915</v>
      </c>
      <c r="J1948" s="2" t="s">
        <v>6789</v>
      </c>
      <c r="K1948" s="2" t="s">
        <v>42</v>
      </c>
      <c r="L1948" s="2" t="s">
        <v>88</v>
      </c>
      <c r="M1948" s="2">
        <v>2</v>
      </c>
      <c r="N1948" s="2" t="s">
        <v>69</v>
      </c>
      <c r="O1948" s="2" t="s">
        <v>25</v>
      </c>
      <c r="P1948" s="2" t="s">
        <v>34</v>
      </c>
    </row>
    <row r="1949" spans="1:16" x14ac:dyDescent="0.25">
      <c r="A1949" s="2" t="s">
        <v>4532</v>
      </c>
      <c r="B1949" s="2" t="s">
        <v>1196</v>
      </c>
      <c r="C1949" s="2">
        <v>8588</v>
      </c>
      <c r="D1949" s="2" t="s">
        <v>8922</v>
      </c>
      <c r="E1949" s="2" t="s">
        <v>6719</v>
      </c>
      <c r="F1949" s="2" t="s">
        <v>58</v>
      </c>
      <c r="G1949" s="2">
        <v>46009.71</v>
      </c>
      <c r="H1949" s="2">
        <v>22829.38</v>
      </c>
      <c r="I1949" s="2" t="s">
        <v>6726</v>
      </c>
      <c r="J1949" s="2" t="s">
        <v>6696</v>
      </c>
      <c r="K1949" s="2" t="s">
        <v>32</v>
      </c>
      <c r="L1949" s="2" t="s">
        <v>88</v>
      </c>
      <c r="M1949" s="2">
        <v>4</v>
      </c>
      <c r="N1949" s="2" t="s">
        <v>24</v>
      </c>
      <c r="O1949" s="2" t="s">
        <v>70</v>
      </c>
      <c r="P1949" s="2" t="s">
        <v>49</v>
      </c>
    </row>
    <row r="1950" spans="1:16" x14ac:dyDescent="0.25">
      <c r="A1950" s="2" t="s">
        <v>4535</v>
      </c>
      <c r="B1950" s="2" t="s">
        <v>614</v>
      </c>
      <c r="C1950" s="2">
        <v>5200</v>
      </c>
      <c r="D1950" s="2" t="s">
        <v>4836</v>
      </c>
      <c r="E1950" s="2" t="s">
        <v>6694</v>
      </c>
      <c r="F1950" s="2" t="s">
        <v>30</v>
      </c>
      <c r="G1950" s="2">
        <v>57871.75</v>
      </c>
      <c r="H1950" s="2">
        <v>33439.31</v>
      </c>
      <c r="I1950" s="2" t="s">
        <v>6761</v>
      </c>
      <c r="J1950" s="2" t="s">
        <v>6682</v>
      </c>
      <c r="K1950" s="2" t="s">
        <v>22</v>
      </c>
      <c r="L1950" s="2" t="s">
        <v>88</v>
      </c>
      <c r="M1950" s="2">
        <v>2</v>
      </c>
      <c r="N1950" s="2" t="s">
        <v>24</v>
      </c>
      <c r="O1950" s="2" t="s">
        <v>25</v>
      </c>
      <c r="P1950" s="2" t="s">
        <v>34</v>
      </c>
    </row>
    <row r="1951" spans="1:16" x14ac:dyDescent="0.25">
      <c r="A1951" s="2" t="s">
        <v>4536</v>
      </c>
      <c r="B1951" s="2" t="s">
        <v>1877</v>
      </c>
      <c r="C1951" s="2">
        <v>2985</v>
      </c>
      <c r="D1951" s="2" t="s">
        <v>8923</v>
      </c>
      <c r="E1951" s="2" t="s">
        <v>6743</v>
      </c>
      <c r="F1951" s="2" t="s">
        <v>58</v>
      </c>
      <c r="G1951" s="2">
        <v>58479.4</v>
      </c>
      <c r="H1951" s="2">
        <v>34269.949999999997</v>
      </c>
      <c r="I1951" s="2" t="s">
        <v>6752</v>
      </c>
      <c r="J1951" s="2" t="s">
        <v>6700</v>
      </c>
      <c r="K1951" s="2" t="s">
        <v>22</v>
      </c>
      <c r="L1951" s="2" t="s">
        <v>55</v>
      </c>
      <c r="M1951" s="2">
        <v>5</v>
      </c>
      <c r="N1951" s="2" t="s">
        <v>33</v>
      </c>
      <c r="O1951" s="2" t="s">
        <v>70</v>
      </c>
      <c r="P1951" s="2" t="s">
        <v>26</v>
      </c>
    </row>
    <row r="1952" spans="1:16" x14ac:dyDescent="0.25">
      <c r="A1952" s="2" t="s">
        <v>4537</v>
      </c>
      <c r="B1952" s="2" t="s">
        <v>7824</v>
      </c>
      <c r="C1952" s="2">
        <v>1931</v>
      </c>
      <c r="D1952" s="2" t="s">
        <v>8924</v>
      </c>
      <c r="E1952" s="2" t="s">
        <v>18</v>
      </c>
      <c r="F1952" s="2" t="s">
        <v>58</v>
      </c>
      <c r="G1952" s="2">
        <v>20510.43</v>
      </c>
      <c r="H1952" s="2">
        <v>10222.530000000001</v>
      </c>
      <c r="I1952" s="2" t="s">
        <v>63</v>
      </c>
      <c r="J1952" s="2" t="s">
        <v>54</v>
      </c>
      <c r="K1952" s="2" t="s">
        <v>80</v>
      </c>
      <c r="L1952" s="2" t="s">
        <v>88</v>
      </c>
      <c r="M1952" s="2">
        <v>2</v>
      </c>
      <c r="N1952" s="2" t="s">
        <v>24</v>
      </c>
      <c r="O1952" s="2" t="s">
        <v>25</v>
      </c>
      <c r="P1952" s="2" t="s">
        <v>34</v>
      </c>
    </row>
    <row r="1953" spans="1:16" x14ac:dyDescent="0.25">
      <c r="A1953" s="2" t="s">
        <v>4539</v>
      </c>
      <c r="B1953" s="2" t="s">
        <v>3630</v>
      </c>
      <c r="C1953" s="2">
        <v>4440</v>
      </c>
      <c r="D1953" s="2" t="s">
        <v>5299</v>
      </c>
      <c r="E1953" s="2" t="s">
        <v>38</v>
      </c>
      <c r="F1953" s="2" t="s">
        <v>47</v>
      </c>
      <c r="G1953" s="2">
        <v>5282.38</v>
      </c>
      <c r="H1953" s="2">
        <v>2473.64</v>
      </c>
      <c r="I1953" s="2" t="s">
        <v>20</v>
      </c>
      <c r="J1953" s="2" t="s">
        <v>21</v>
      </c>
      <c r="K1953" s="2" t="s">
        <v>32</v>
      </c>
      <c r="L1953" s="2" t="s">
        <v>23</v>
      </c>
      <c r="M1953" s="2">
        <v>1</v>
      </c>
      <c r="N1953" s="2" t="s">
        <v>33</v>
      </c>
      <c r="O1953" s="2" t="s">
        <v>25</v>
      </c>
      <c r="P1953" s="2" t="s">
        <v>26</v>
      </c>
    </row>
    <row r="1954" spans="1:16" x14ac:dyDescent="0.25">
      <c r="A1954" s="2" t="s">
        <v>4540</v>
      </c>
      <c r="B1954" s="2" t="s">
        <v>4909</v>
      </c>
      <c r="C1954" s="2">
        <v>2678</v>
      </c>
      <c r="D1954" s="2" t="s">
        <v>8925</v>
      </c>
      <c r="E1954" s="2" t="s">
        <v>18</v>
      </c>
      <c r="F1954" s="2" t="s">
        <v>19</v>
      </c>
      <c r="G1954" s="2">
        <v>12767.92</v>
      </c>
      <c r="H1954" s="2">
        <v>7404.41</v>
      </c>
      <c r="I1954" s="2" t="s">
        <v>63</v>
      </c>
      <c r="J1954" s="2" t="s">
        <v>54</v>
      </c>
      <c r="K1954" s="2" t="s">
        <v>32</v>
      </c>
      <c r="L1954" s="2" t="s">
        <v>55</v>
      </c>
      <c r="M1954" s="2">
        <v>1</v>
      </c>
      <c r="N1954" s="2" t="s">
        <v>33</v>
      </c>
      <c r="O1954" s="2" t="s">
        <v>25</v>
      </c>
      <c r="P1954" s="2" t="s">
        <v>26</v>
      </c>
    </row>
    <row r="1955" spans="1:16" x14ac:dyDescent="0.25">
      <c r="A1955" s="2" t="s">
        <v>4542</v>
      </c>
      <c r="B1955" s="2" t="s">
        <v>1594</v>
      </c>
      <c r="C1955" s="2">
        <v>5003</v>
      </c>
      <c r="D1955" s="2" t="s">
        <v>7342</v>
      </c>
      <c r="E1955" s="2" t="s">
        <v>38</v>
      </c>
      <c r="F1955" s="2" t="s">
        <v>19</v>
      </c>
      <c r="G1955" s="2">
        <v>18403.66</v>
      </c>
      <c r="H1955" s="2">
        <v>10344.84</v>
      </c>
      <c r="I1955" s="2" t="s">
        <v>63</v>
      </c>
      <c r="J1955" s="2" t="s">
        <v>54</v>
      </c>
      <c r="K1955" s="2" t="s">
        <v>32</v>
      </c>
      <c r="L1955" s="2" t="s">
        <v>88</v>
      </c>
      <c r="M1955" s="2">
        <v>4</v>
      </c>
      <c r="N1955" s="2" t="s">
        <v>33</v>
      </c>
      <c r="O1955" s="2" t="s">
        <v>70</v>
      </c>
      <c r="P1955" s="2" t="s">
        <v>26</v>
      </c>
    </row>
    <row r="1956" spans="1:16" x14ac:dyDescent="0.25">
      <c r="A1956" s="2" t="s">
        <v>4544</v>
      </c>
      <c r="B1956" s="2" t="s">
        <v>3144</v>
      </c>
      <c r="C1956" s="2">
        <v>7768</v>
      </c>
      <c r="D1956" s="2" t="s">
        <v>8926</v>
      </c>
      <c r="E1956" s="2" t="s">
        <v>18</v>
      </c>
      <c r="F1956" s="2" t="s">
        <v>30</v>
      </c>
      <c r="G1956" s="2">
        <v>70348.960000000006</v>
      </c>
      <c r="H1956" s="2">
        <v>43630.69</v>
      </c>
      <c r="I1956" s="2" t="s">
        <v>84</v>
      </c>
      <c r="J1956" s="2" t="s">
        <v>54</v>
      </c>
      <c r="K1956" s="2" t="s">
        <v>42</v>
      </c>
      <c r="L1956" s="2" t="s">
        <v>88</v>
      </c>
      <c r="M1956" s="2">
        <v>2</v>
      </c>
      <c r="N1956" s="2" t="s">
        <v>33</v>
      </c>
      <c r="O1956" s="2" t="s">
        <v>70</v>
      </c>
      <c r="P1956" s="2" t="s">
        <v>34</v>
      </c>
    </row>
    <row r="1957" spans="1:16" x14ac:dyDescent="0.25">
      <c r="A1957" s="2" t="s">
        <v>4547</v>
      </c>
      <c r="B1957" s="2" t="s">
        <v>2953</v>
      </c>
      <c r="C1957" s="2">
        <v>9746</v>
      </c>
      <c r="D1957" s="2" t="s">
        <v>8927</v>
      </c>
      <c r="E1957" s="2" t="s">
        <v>18</v>
      </c>
      <c r="F1957" s="2" t="s">
        <v>58</v>
      </c>
      <c r="G1957" s="2">
        <v>24811.47</v>
      </c>
      <c r="H1957" s="2">
        <v>14202.29</v>
      </c>
      <c r="I1957" s="2" t="s">
        <v>84</v>
      </c>
      <c r="J1957" s="2" t="s">
        <v>54</v>
      </c>
      <c r="K1957" s="2" t="s">
        <v>42</v>
      </c>
      <c r="L1957" s="2" t="s">
        <v>55</v>
      </c>
      <c r="M1957" s="2">
        <v>2</v>
      </c>
      <c r="N1957" s="2" t="s">
        <v>24</v>
      </c>
      <c r="O1957" s="2" t="s">
        <v>25</v>
      </c>
      <c r="P1957" s="2" t="s">
        <v>34</v>
      </c>
    </row>
    <row r="1958" spans="1:16" x14ac:dyDescent="0.25">
      <c r="A1958" s="2" t="s">
        <v>4549</v>
      </c>
      <c r="B1958" s="2" t="s">
        <v>5417</v>
      </c>
      <c r="C1958" s="2">
        <v>6460</v>
      </c>
      <c r="D1958" s="2" t="s">
        <v>8928</v>
      </c>
      <c r="E1958" s="2" t="s">
        <v>18</v>
      </c>
      <c r="F1958" s="2" t="s">
        <v>30</v>
      </c>
      <c r="G1958" s="2">
        <v>56445.21</v>
      </c>
      <c r="H1958" s="2">
        <v>25741.95</v>
      </c>
      <c r="I1958" s="2" t="s">
        <v>120</v>
      </c>
      <c r="J1958" s="2" t="s">
        <v>21</v>
      </c>
      <c r="K1958" s="2" t="s">
        <v>22</v>
      </c>
      <c r="L1958" s="2" t="s">
        <v>64</v>
      </c>
      <c r="M1958" s="2">
        <v>3</v>
      </c>
      <c r="N1958" s="2" t="s">
        <v>33</v>
      </c>
      <c r="O1958" s="2" t="s">
        <v>25</v>
      </c>
      <c r="P1958" s="2" t="s">
        <v>49</v>
      </c>
    </row>
    <row r="1959" spans="1:16" x14ac:dyDescent="0.25">
      <c r="A1959" s="2" t="s">
        <v>4551</v>
      </c>
      <c r="B1959" s="2" t="s">
        <v>1414</v>
      </c>
      <c r="C1959" s="2">
        <v>5828</v>
      </c>
      <c r="D1959" s="2" t="s">
        <v>8929</v>
      </c>
      <c r="E1959" s="2" t="s">
        <v>18</v>
      </c>
      <c r="F1959" s="2" t="s">
        <v>47</v>
      </c>
      <c r="G1959" s="2">
        <v>8720.76</v>
      </c>
      <c r="H1959" s="2">
        <v>4413.57</v>
      </c>
      <c r="I1959" s="2" t="s">
        <v>31</v>
      </c>
      <c r="J1959" s="2" t="s">
        <v>21</v>
      </c>
      <c r="K1959" s="2" t="s">
        <v>80</v>
      </c>
      <c r="L1959" s="2" t="s">
        <v>64</v>
      </c>
      <c r="M1959" s="2">
        <v>4</v>
      </c>
      <c r="N1959" s="2" t="s">
        <v>24</v>
      </c>
      <c r="O1959" s="2" t="s">
        <v>25</v>
      </c>
      <c r="P1959" s="2" t="s">
        <v>34</v>
      </c>
    </row>
    <row r="1960" spans="1:16" x14ac:dyDescent="0.25">
      <c r="A1960" s="2" t="s">
        <v>4552</v>
      </c>
      <c r="B1960" s="2" t="s">
        <v>189</v>
      </c>
      <c r="C1960" s="2">
        <v>1799</v>
      </c>
      <c r="D1960" s="2" t="s">
        <v>8930</v>
      </c>
      <c r="E1960" s="2" t="s">
        <v>38</v>
      </c>
      <c r="F1960" s="2" t="s">
        <v>39</v>
      </c>
      <c r="G1960" s="2">
        <v>8744.8799999999992</v>
      </c>
      <c r="H1960" s="2">
        <v>4929.1400000000003</v>
      </c>
      <c r="I1960" s="2" t="s">
        <v>84</v>
      </c>
      <c r="J1960" s="2" t="s">
        <v>54</v>
      </c>
      <c r="K1960" s="2" t="s">
        <v>32</v>
      </c>
      <c r="L1960" s="2" t="s">
        <v>64</v>
      </c>
      <c r="M1960" s="2">
        <v>3</v>
      </c>
      <c r="N1960" s="2" t="s">
        <v>24</v>
      </c>
      <c r="O1960" s="2" t="s">
        <v>25</v>
      </c>
      <c r="P1960" s="2" t="s">
        <v>49</v>
      </c>
    </row>
    <row r="1961" spans="1:16" x14ac:dyDescent="0.25">
      <c r="A1961" s="2" t="s">
        <v>4553</v>
      </c>
      <c r="B1961" s="2" t="s">
        <v>167</v>
      </c>
      <c r="C1961" s="2">
        <v>6761</v>
      </c>
      <c r="D1961" s="2" t="s">
        <v>2626</v>
      </c>
      <c r="E1961" s="2" t="s">
        <v>6698</v>
      </c>
      <c r="F1961" s="2" t="s">
        <v>47</v>
      </c>
      <c r="G1961" s="2">
        <v>14718.13</v>
      </c>
      <c r="H1961" s="2">
        <v>7741.26</v>
      </c>
      <c r="I1961" s="2" t="s">
        <v>6812</v>
      </c>
      <c r="J1961" s="2" t="s">
        <v>6700</v>
      </c>
      <c r="K1961" s="2" t="s">
        <v>22</v>
      </c>
      <c r="L1961" s="2" t="s">
        <v>23</v>
      </c>
      <c r="M1961" s="2">
        <v>1</v>
      </c>
      <c r="N1961" s="2" t="s">
        <v>33</v>
      </c>
      <c r="O1961" s="2" t="s">
        <v>70</v>
      </c>
      <c r="P1961" s="2" t="s">
        <v>26</v>
      </c>
    </row>
    <row r="1962" spans="1:16" x14ac:dyDescent="0.25">
      <c r="A1962" s="2" t="s">
        <v>4555</v>
      </c>
      <c r="B1962" s="2" t="s">
        <v>2338</v>
      </c>
      <c r="C1962" s="2">
        <v>4646</v>
      </c>
      <c r="D1962" s="2" t="s">
        <v>8931</v>
      </c>
      <c r="E1962" s="2" t="s">
        <v>6756</v>
      </c>
      <c r="F1962" s="2" t="s">
        <v>30</v>
      </c>
      <c r="G1962" s="2">
        <v>55121.8</v>
      </c>
      <c r="H1962" s="2">
        <v>32997.82</v>
      </c>
      <c r="I1962" s="2" t="s">
        <v>6771</v>
      </c>
      <c r="J1962" s="2" t="s">
        <v>6696</v>
      </c>
      <c r="K1962" s="2" t="s">
        <v>80</v>
      </c>
      <c r="L1962" s="2" t="s">
        <v>55</v>
      </c>
      <c r="M1962" s="2">
        <v>4</v>
      </c>
      <c r="N1962" s="2" t="s">
        <v>24</v>
      </c>
      <c r="O1962" s="2" t="s">
        <v>25</v>
      </c>
      <c r="P1962" s="2" t="s">
        <v>26</v>
      </c>
    </row>
    <row r="1963" spans="1:16" x14ac:dyDescent="0.25">
      <c r="A1963" s="2" t="s">
        <v>4558</v>
      </c>
      <c r="B1963" s="2" t="s">
        <v>426</v>
      </c>
      <c r="C1963" s="2">
        <v>1962</v>
      </c>
      <c r="D1963" s="2" t="s">
        <v>8932</v>
      </c>
      <c r="E1963" s="2" t="s">
        <v>18</v>
      </c>
      <c r="F1963" s="2" t="s">
        <v>39</v>
      </c>
      <c r="G1963" s="2">
        <v>28560.73</v>
      </c>
      <c r="H1963" s="2">
        <v>18441.830000000002</v>
      </c>
      <c r="I1963" s="2" t="s">
        <v>84</v>
      </c>
      <c r="J1963" s="2" t="s">
        <v>54</v>
      </c>
      <c r="K1963" s="2" t="s">
        <v>42</v>
      </c>
      <c r="L1963" s="2" t="s">
        <v>23</v>
      </c>
      <c r="M1963" s="2">
        <v>5</v>
      </c>
      <c r="N1963" s="2" t="s">
        <v>24</v>
      </c>
      <c r="O1963" s="2" t="s">
        <v>25</v>
      </c>
      <c r="P1963" s="2" t="s">
        <v>34</v>
      </c>
    </row>
    <row r="1964" spans="1:16" x14ac:dyDescent="0.25">
      <c r="A1964" s="2" t="s">
        <v>4560</v>
      </c>
      <c r="B1964" s="2" t="s">
        <v>5062</v>
      </c>
      <c r="C1964" s="2">
        <v>2487</v>
      </c>
      <c r="D1964" s="2" t="s">
        <v>8933</v>
      </c>
      <c r="E1964" s="2" t="s">
        <v>38</v>
      </c>
      <c r="F1964" s="2" t="s">
        <v>39</v>
      </c>
      <c r="G1964" s="2">
        <v>30498.58</v>
      </c>
      <c r="H1964" s="2">
        <v>15338.32</v>
      </c>
      <c r="I1964" s="2" t="s">
        <v>31</v>
      </c>
      <c r="J1964" s="2" t="s">
        <v>21</v>
      </c>
      <c r="K1964" s="2" t="s">
        <v>80</v>
      </c>
      <c r="L1964" s="2" t="s">
        <v>48</v>
      </c>
      <c r="M1964" s="2">
        <v>3</v>
      </c>
      <c r="N1964" s="2" t="s">
        <v>33</v>
      </c>
      <c r="O1964" s="2" t="s">
        <v>70</v>
      </c>
      <c r="P1964" s="2" t="s">
        <v>49</v>
      </c>
    </row>
    <row r="1965" spans="1:16" x14ac:dyDescent="0.25">
      <c r="A1965" s="2" t="s">
        <v>4563</v>
      </c>
      <c r="B1965" s="2" t="s">
        <v>5087</v>
      </c>
      <c r="C1965" s="2">
        <v>3839</v>
      </c>
      <c r="D1965" s="2" t="s">
        <v>6031</v>
      </c>
      <c r="E1965" s="2" t="s">
        <v>38</v>
      </c>
      <c r="F1965" s="2" t="s">
        <v>19</v>
      </c>
      <c r="G1965" s="2">
        <v>13138.58</v>
      </c>
      <c r="H1965" s="2">
        <v>7819.16</v>
      </c>
      <c r="I1965" s="2" t="s">
        <v>6761</v>
      </c>
      <c r="J1965" s="2" t="s">
        <v>6705</v>
      </c>
      <c r="K1965" s="2" t="s">
        <v>80</v>
      </c>
      <c r="L1965" s="2" t="s">
        <v>48</v>
      </c>
      <c r="M1965" s="2">
        <v>3</v>
      </c>
      <c r="N1965" s="2" t="s">
        <v>24</v>
      </c>
      <c r="O1965" s="2" t="s">
        <v>70</v>
      </c>
      <c r="P1965" s="2" t="s">
        <v>26</v>
      </c>
    </row>
    <row r="1966" spans="1:16" x14ac:dyDescent="0.25">
      <c r="A1966" s="2" t="s">
        <v>4565</v>
      </c>
      <c r="B1966" s="2" t="s">
        <v>8934</v>
      </c>
      <c r="C1966" s="2">
        <v>4418</v>
      </c>
      <c r="D1966" s="2" t="s">
        <v>2445</v>
      </c>
      <c r="E1966" s="2" t="s">
        <v>38</v>
      </c>
      <c r="F1966" s="2" t="s">
        <v>39</v>
      </c>
      <c r="G1966" s="2">
        <v>19947.599999999999</v>
      </c>
      <c r="H1966" s="2">
        <v>12623.74</v>
      </c>
      <c r="I1966" s="2" t="s">
        <v>40</v>
      </c>
      <c r="J1966" s="2" t="s">
        <v>41</v>
      </c>
      <c r="K1966" s="2" t="s">
        <v>80</v>
      </c>
      <c r="L1966" s="2" t="s">
        <v>64</v>
      </c>
      <c r="M1966" s="2">
        <v>1</v>
      </c>
      <c r="N1966" s="2" t="s">
        <v>24</v>
      </c>
      <c r="O1966" s="2" t="s">
        <v>70</v>
      </c>
      <c r="P1966" s="2" t="s">
        <v>34</v>
      </c>
    </row>
    <row r="1967" spans="1:16" x14ac:dyDescent="0.25">
      <c r="A1967" s="2" t="s">
        <v>4566</v>
      </c>
      <c r="B1967" s="2" t="s">
        <v>8935</v>
      </c>
      <c r="C1967" s="2">
        <v>7006</v>
      </c>
      <c r="D1967" s="2" t="s">
        <v>8936</v>
      </c>
      <c r="E1967" s="2" t="s">
        <v>6703</v>
      </c>
      <c r="F1967" s="2" t="s">
        <v>47</v>
      </c>
      <c r="G1967" s="2">
        <v>3509.61</v>
      </c>
      <c r="H1967" s="2">
        <v>1967.09</v>
      </c>
      <c r="I1967" s="2" t="s">
        <v>6726</v>
      </c>
      <c r="J1967" s="2" t="s">
        <v>21</v>
      </c>
      <c r="K1967" s="2" t="s">
        <v>32</v>
      </c>
      <c r="L1967" s="2" t="s">
        <v>43</v>
      </c>
      <c r="M1967" s="2">
        <v>1</v>
      </c>
      <c r="N1967" s="2" t="s">
        <v>69</v>
      </c>
      <c r="O1967" s="2" t="s">
        <v>70</v>
      </c>
      <c r="P1967" s="2" t="s">
        <v>34</v>
      </c>
    </row>
    <row r="1968" spans="1:16" x14ac:dyDescent="0.25">
      <c r="A1968" s="2" t="s">
        <v>4568</v>
      </c>
      <c r="B1968" s="2" t="s">
        <v>8937</v>
      </c>
      <c r="C1968" s="2">
        <v>3780</v>
      </c>
      <c r="D1968" s="2" t="s">
        <v>8938</v>
      </c>
      <c r="E1968" s="2" t="s">
        <v>6703</v>
      </c>
      <c r="F1968" s="2" t="s">
        <v>39</v>
      </c>
      <c r="G1968" s="2">
        <v>24837.31</v>
      </c>
      <c r="H1968" s="2">
        <v>15802.75</v>
      </c>
      <c r="I1968" s="2" t="s">
        <v>6867</v>
      </c>
      <c r="J1968" s="2" t="s">
        <v>6795</v>
      </c>
      <c r="K1968" s="2" t="s">
        <v>80</v>
      </c>
      <c r="L1968" s="2" t="s">
        <v>64</v>
      </c>
      <c r="M1968" s="2">
        <v>4</v>
      </c>
      <c r="N1968" s="2" t="s">
        <v>24</v>
      </c>
      <c r="O1968" s="2" t="s">
        <v>25</v>
      </c>
      <c r="P1968" s="2" t="s">
        <v>49</v>
      </c>
    </row>
    <row r="1969" spans="1:16" x14ac:dyDescent="0.25">
      <c r="A1969" s="2" t="s">
        <v>4570</v>
      </c>
      <c r="B1969" s="2" t="s">
        <v>5332</v>
      </c>
      <c r="C1969" s="2">
        <v>4538</v>
      </c>
      <c r="D1969" s="2" t="s">
        <v>5333</v>
      </c>
      <c r="E1969" s="2" t="s">
        <v>6719</v>
      </c>
      <c r="F1969" s="2" t="s">
        <v>58</v>
      </c>
      <c r="G1969" s="2">
        <v>34200.239999999998</v>
      </c>
      <c r="H1969" s="2">
        <v>19346.86</v>
      </c>
      <c r="I1969" s="2" t="s">
        <v>59</v>
      </c>
      <c r="J1969" s="2" t="s">
        <v>6682</v>
      </c>
      <c r="K1969" s="2" t="s">
        <v>22</v>
      </c>
      <c r="L1969" s="2" t="s">
        <v>88</v>
      </c>
      <c r="M1969" s="2">
        <v>1</v>
      </c>
      <c r="N1969" s="2" t="s">
        <v>33</v>
      </c>
      <c r="O1969" s="2" t="s">
        <v>25</v>
      </c>
      <c r="P1969" s="2" t="s">
        <v>26</v>
      </c>
    </row>
    <row r="1970" spans="1:16" x14ac:dyDescent="0.25">
      <c r="A1970" s="2" t="s">
        <v>4572</v>
      </c>
      <c r="B1970" s="2" t="s">
        <v>149</v>
      </c>
      <c r="C1970" s="2">
        <v>7313</v>
      </c>
      <c r="D1970" s="2" t="s">
        <v>8939</v>
      </c>
      <c r="E1970" s="2" t="s">
        <v>6719</v>
      </c>
      <c r="F1970" s="2" t="s">
        <v>19</v>
      </c>
      <c r="G1970" s="2">
        <v>26374.7</v>
      </c>
      <c r="H1970" s="2">
        <v>16755.560000000001</v>
      </c>
      <c r="I1970" s="2" t="s">
        <v>84</v>
      </c>
      <c r="J1970" s="2" t="s">
        <v>6691</v>
      </c>
      <c r="K1970" s="2" t="s">
        <v>42</v>
      </c>
      <c r="L1970" s="2" t="s">
        <v>23</v>
      </c>
      <c r="M1970" s="2">
        <v>4</v>
      </c>
      <c r="N1970" s="2" t="s">
        <v>33</v>
      </c>
      <c r="O1970" s="2" t="s">
        <v>70</v>
      </c>
      <c r="P1970" s="2" t="s">
        <v>34</v>
      </c>
    </row>
    <row r="1971" spans="1:16" x14ac:dyDescent="0.25">
      <c r="A1971" s="2" t="s">
        <v>4574</v>
      </c>
      <c r="B1971" s="2" t="s">
        <v>256</v>
      </c>
      <c r="C1971" s="2">
        <v>6920</v>
      </c>
      <c r="D1971" s="2" t="s">
        <v>8940</v>
      </c>
      <c r="E1971" s="2" t="s">
        <v>18</v>
      </c>
      <c r="F1971" s="2" t="s">
        <v>58</v>
      </c>
      <c r="G1971" s="2">
        <v>29466.97</v>
      </c>
      <c r="H1971" s="2">
        <v>14495.35</v>
      </c>
      <c r="I1971" s="2" t="s">
        <v>20</v>
      </c>
      <c r="J1971" s="2" t="s">
        <v>21</v>
      </c>
      <c r="K1971" s="2" t="s">
        <v>32</v>
      </c>
      <c r="L1971" s="2" t="s">
        <v>64</v>
      </c>
      <c r="M1971" s="2">
        <v>4</v>
      </c>
      <c r="N1971" s="2" t="s">
        <v>69</v>
      </c>
      <c r="O1971" s="2" t="s">
        <v>70</v>
      </c>
      <c r="P1971" s="2" t="s">
        <v>26</v>
      </c>
    </row>
    <row r="1972" spans="1:16" x14ac:dyDescent="0.25">
      <c r="A1972" s="2" t="s">
        <v>4576</v>
      </c>
      <c r="B1972" s="2" t="s">
        <v>5885</v>
      </c>
      <c r="C1972" s="2">
        <v>9473</v>
      </c>
      <c r="D1972" s="2" t="s">
        <v>5261</v>
      </c>
      <c r="E1972" s="2" t="s">
        <v>38</v>
      </c>
      <c r="F1972" s="2" t="s">
        <v>47</v>
      </c>
      <c r="G1972" s="2">
        <v>3145.89</v>
      </c>
      <c r="H1972" s="2">
        <v>2031.43</v>
      </c>
      <c r="I1972" s="2" t="s">
        <v>20</v>
      </c>
      <c r="J1972" s="2" t="s">
        <v>21</v>
      </c>
      <c r="K1972" s="2" t="s">
        <v>32</v>
      </c>
      <c r="L1972" s="2" t="s">
        <v>48</v>
      </c>
      <c r="M1972" s="2">
        <v>4</v>
      </c>
      <c r="N1972" s="2" t="s">
        <v>24</v>
      </c>
      <c r="O1972" s="2" t="s">
        <v>70</v>
      </c>
      <c r="P1972" s="2" t="s">
        <v>49</v>
      </c>
    </row>
    <row r="1973" spans="1:16" x14ac:dyDescent="0.25">
      <c r="A1973" s="2" t="s">
        <v>4578</v>
      </c>
      <c r="B1973" s="2" t="s">
        <v>8725</v>
      </c>
      <c r="C1973" s="2">
        <v>1963</v>
      </c>
      <c r="D1973" s="2" t="s">
        <v>8941</v>
      </c>
      <c r="E1973" s="2" t="s">
        <v>38</v>
      </c>
      <c r="F1973" s="2" t="s">
        <v>30</v>
      </c>
      <c r="G1973" s="2">
        <v>17253.2</v>
      </c>
      <c r="H1973" s="2">
        <v>7858.9</v>
      </c>
      <c r="I1973" s="2" t="s">
        <v>68</v>
      </c>
      <c r="J1973" s="2" t="s">
        <v>41</v>
      </c>
      <c r="K1973" s="2" t="s">
        <v>80</v>
      </c>
      <c r="L1973" s="2" t="s">
        <v>55</v>
      </c>
      <c r="M1973" s="2">
        <v>2</v>
      </c>
      <c r="N1973" s="2" t="s">
        <v>69</v>
      </c>
      <c r="O1973" s="2" t="s">
        <v>25</v>
      </c>
      <c r="P1973" s="2" t="s">
        <v>49</v>
      </c>
    </row>
    <row r="1974" spans="1:16" x14ac:dyDescent="0.25">
      <c r="A1974" s="2" t="s">
        <v>4581</v>
      </c>
      <c r="B1974" s="2" t="s">
        <v>8942</v>
      </c>
      <c r="C1974" s="2">
        <v>7775</v>
      </c>
      <c r="D1974" s="2" t="s">
        <v>8943</v>
      </c>
      <c r="E1974" s="2" t="s">
        <v>6694</v>
      </c>
      <c r="F1974" s="2" t="s">
        <v>58</v>
      </c>
      <c r="G1974" s="2">
        <v>11093.46</v>
      </c>
      <c r="H1974" s="2">
        <v>5457.33</v>
      </c>
      <c r="I1974" s="2" t="s">
        <v>59</v>
      </c>
      <c r="J1974" s="2" t="s">
        <v>6705</v>
      </c>
      <c r="K1974" s="2" t="s">
        <v>42</v>
      </c>
      <c r="L1974" s="2" t="s">
        <v>43</v>
      </c>
      <c r="M1974" s="2">
        <v>5</v>
      </c>
      <c r="N1974" s="2" t="s">
        <v>24</v>
      </c>
      <c r="O1974" s="2" t="s">
        <v>25</v>
      </c>
      <c r="P1974" s="2" t="s">
        <v>34</v>
      </c>
    </row>
    <row r="1975" spans="1:16" x14ac:dyDescent="0.25">
      <c r="A1975" s="2" t="s">
        <v>4583</v>
      </c>
      <c r="B1975" s="2" t="s">
        <v>6978</v>
      </c>
      <c r="C1975" s="2">
        <v>8109</v>
      </c>
      <c r="D1975" s="2" t="s">
        <v>8944</v>
      </c>
      <c r="E1975" s="2" t="s">
        <v>18</v>
      </c>
      <c r="F1975" s="2" t="s">
        <v>47</v>
      </c>
      <c r="G1975" s="2">
        <v>18733.32</v>
      </c>
      <c r="H1975" s="2">
        <v>9490.34</v>
      </c>
      <c r="I1975" s="2" t="s">
        <v>6690</v>
      </c>
      <c r="J1975" s="2" t="s">
        <v>6691</v>
      </c>
      <c r="K1975" s="2" t="s">
        <v>22</v>
      </c>
      <c r="L1975" s="2" t="s">
        <v>64</v>
      </c>
      <c r="M1975" s="2">
        <v>3</v>
      </c>
      <c r="N1975" s="2" t="s">
        <v>33</v>
      </c>
      <c r="O1975" s="2" t="s">
        <v>70</v>
      </c>
      <c r="P1975" s="2" t="s">
        <v>49</v>
      </c>
    </row>
    <row r="1976" spans="1:16" x14ac:dyDescent="0.25">
      <c r="A1976" s="2" t="s">
        <v>4585</v>
      </c>
      <c r="B1976" s="2" t="s">
        <v>8945</v>
      </c>
      <c r="C1976" s="2">
        <v>6317</v>
      </c>
      <c r="D1976" s="2" t="s">
        <v>8946</v>
      </c>
      <c r="E1976" s="2" t="s">
        <v>6719</v>
      </c>
      <c r="F1976" s="2" t="s">
        <v>30</v>
      </c>
      <c r="G1976" s="2">
        <v>61842.34</v>
      </c>
      <c r="H1976" s="2">
        <v>32010.639999999999</v>
      </c>
      <c r="I1976" s="2" t="s">
        <v>6794</v>
      </c>
      <c r="J1976" s="2" t="s">
        <v>6724</v>
      </c>
      <c r="K1976" s="2" t="s">
        <v>22</v>
      </c>
      <c r="L1976" s="2" t="s">
        <v>43</v>
      </c>
      <c r="M1976" s="2">
        <v>3</v>
      </c>
      <c r="N1976" s="2" t="s">
        <v>24</v>
      </c>
      <c r="O1976" s="2" t="s">
        <v>25</v>
      </c>
      <c r="P1976" s="2" t="s">
        <v>34</v>
      </c>
    </row>
    <row r="1977" spans="1:16" x14ac:dyDescent="0.25">
      <c r="A1977" s="2" t="s">
        <v>4586</v>
      </c>
      <c r="B1977" s="2" t="s">
        <v>3430</v>
      </c>
      <c r="C1977" s="2">
        <v>6556</v>
      </c>
      <c r="D1977" s="2" t="s">
        <v>329</v>
      </c>
      <c r="E1977" s="2" t="s">
        <v>18</v>
      </c>
      <c r="F1977" s="2" t="s">
        <v>39</v>
      </c>
      <c r="G1977" s="2">
        <v>24825.83</v>
      </c>
      <c r="H1977" s="2">
        <v>11791.47</v>
      </c>
      <c r="I1977" s="2" t="s">
        <v>31</v>
      </c>
      <c r="J1977" s="2" t="s">
        <v>21</v>
      </c>
      <c r="K1977" s="2" t="s">
        <v>32</v>
      </c>
      <c r="L1977" s="2" t="s">
        <v>55</v>
      </c>
      <c r="M1977" s="2">
        <v>3</v>
      </c>
      <c r="N1977" s="2" t="s">
        <v>24</v>
      </c>
      <c r="O1977" s="2" t="s">
        <v>70</v>
      </c>
      <c r="P1977" s="2" t="s">
        <v>49</v>
      </c>
    </row>
    <row r="1978" spans="1:16" x14ac:dyDescent="0.25">
      <c r="A1978" s="2" t="s">
        <v>4588</v>
      </c>
      <c r="B1978" s="2" t="s">
        <v>388</v>
      </c>
      <c r="C1978" s="2">
        <v>7575</v>
      </c>
      <c r="D1978" s="2" t="s">
        <v>8929</v>
      </c>
      <c r="E1978" s="2" t="s">
        <v>18</v>
      </c>
      <c r="F1978" s="2" t="s">
        <v>47</v>
      </c>
      <c r="G1978" s="2">
        <v>4399.3999999999996</v>
      </c>
      <c r="H1978" s="2">
        <v>2751.16</v>
      </c>
      <c r="I1978" s="2" t="s">
        <v>120</v>
      </c>
      <c r="J1978" s="2" t="s">
        <v>21</v>
      </c>
      <c r="K1978" s="2" t="s">
        <v>42</v>
      </c>
      <c r="L1978" s="2" t="s">
        <v>48</v>
      </c>
      <c r="M1978" s="2">
        <v>2</v>
      </c>
      <c r="N1978" s="2" t="s">
        <v>69</v>
      </c>
      <c r="O1978" s="2" t="s">
        <v>70</v>
      </c>
      <c r="P1978" s="2" t="s">
        <v>26</v>
      </c>
    </row>
    <row r="1979" spans="1:16" x14ac:dyDescent="0.25">
      <c r="A1979" s="2" t="s">
        <v>4591</v>
      </c>
      <c r="B1979" s="2" t="s">
        <v>1729</v>
      </c>
      <c r="C1979" s="2">
        <v>5201</v>
      </c>
      <c r="D1979" s="2" t="s">
        <v>8947</v>
      </c>
      <c r="E1979" s="2" t="s">
        <v>18</v>
      </c>
      <c r="F1979" s="2" t="s">
        <v>30</v>
      </c>
      <c r="G1979" s="2">
        <v>41473.35</v>
      </c>
      <c r="H1979" s="2">
        <v>26081.82</v>
      </c>
      <c r="I1979" s="2" t="s">
        <v>68</v>
      </c>
      <c r="J1979" s="2" t="s">
        <v>41</v>
      </c>
      <c r="K1979" s="2" t="s">
        <v>80</v>
      </c>
      <c r="L1979" s="2" t="s">
        <v>43</v>
      </c>
      <c r="M1979" s="2">
        <v>5</v>
      </c>
      <c r="N1979" s="2" t="s">
        <v>24</v>
      </c>
      <c r="O1979" s="2" t="s">
        <v>70</v>
      </c>
      <c r="P1979" s="2" t="s">
        <v>49</v>
      </c>
    </row>
    <row r="1980" spans="1:16" x14ac:dyDescent="0.25">
      <c r="A1980" s="2" t="s">
        <v>4592</v>
      </c>
      <c r="B1980" s="2" t="s">
        <v>2948</v>
      </c>
      <c r="C1980" s="2">
        <v>1894</v>
      </c>
      <c r="D1980" s="2" t="s">
        <v>8948</v>
      </c>
      <c r="E1980" s="2" t="s">
        <v>38</v>
      </c>
      <c r="F1980" s="2" t="s">
        <v>39</v>
      </c>
      <c r="G1980" s="2">
        <v>21229.33</v>
      </c>
      <c r="H1980" s="2">
        <v>13532.59</v>
      </c>
      <c r="I1980" s="2" t="s">
        <v>40</v>
      </c>
      <c r="J1980" s="2" t="s">
        <v>41</v>
      </c>
      <c r="K1980" s="2" t="s">
        <v>80</v>
      </c>
      <c r="L1980" s="2" t="s">
        <v>48</v>
      </c>
      <c r="M1980" s="2">
        <v>2</v>
      </c>
      <c r="N1980" s="2" t="s">
        <v>69</v>
      </c>
      <c r="O1980" s="2" t="s">
        <v>25</v>
      </c>
      <c r="P1980" s="2" t="s">
        <v>26</v>
      </c>
    </row>
    <row r="1981" spans="1:16" x14ac:dyDescent="0.25">
      <c r="A1981" s="2" t="s">
        <v>4595</v>
      </c>
      <c r="B1981" s="2" t="s">
        <v>8949</v>
      </c>
      <c r="C1981" s="2">
        <v>8446</v>
      </c>
      <c r="D1981" s="2" t="s">
        <v>8950</v>
      </c>
      <c r="E1981" s="2" t="s">
        <v>6680</v>
      </c>
      <c r="F1981" s="2" t="s">
        <v>30</v>
      </c>
      <c r="G1981" s="2">
        <v>18197.71</v>
      </c>
      <c r="H1981" s="2">
        <v>11708.46</v>
      </c>
      <c r="I1981" s="2" t="s">
        <v>6867</v>
      </c>
      <c r="J1981" s="2" t="s">
        <v>6696</v>
      </c>
      <c r="K1981" s="2" t="s">
        <v>42</v>
      </c>
      <c r="L1981" s="2" t="s">
        <v>43</v>
      </c>
      <c r="M1981" s="2">
        <v>2</v>
      </c>
      <c r="N1981" s="2" t="s">
        <v>69</v>
      </c>
      <c r="O1981" s="2" t="s">
        <v>25</v>
      </c>
      <c r="P1981" s="2" t="s">
        <v>49</v>
      </c>
    </row>
    <row r="1982" spans="1:16" x14ac:dyDescent="0.25">
      <c r="A1982" s="2" t="s">
        <v>4597</v>
      </c>
      <c r="B1982" s="2" t="s">
        <v>8951</v>
      </c>
      <c r="C1982" s="2">
        <v>1643</v>
      </c>
      <c r="D1982" s="2" t="s">
        <v>8952</v>
      </c>
      <c r="E1982" s="2" t="s">
        <v>6680</v>
      </c>
      <c r="F1982" s="2" t="s">
        <v>30</v>
      </c>
      <c r="G1982" s="2">
        <v>43397.57</v>
      </c>
      <c r="H1982" s="2">
        <v>21272.67</v>
      </c>
      <c r="I1982" s="2" t="s">
        <v>59</v>
      </c>
      <c r="J1982" s="2" t="s">
        <v>41</v>
      </c>
      <c r="K1982" s="2" t="s">
        <v>42</v>
      </c>
      <c r="L1982" s="2" t="s">
        <v>55</v>
      </c>
      <c r="M1982" s="2">
        <v>5</v>
      </c>
      <c r="N1982" s="2" t="s">
        <v>69</v>
      </c>
      <c r="O1982" s="2" t="s">
        <v>25</v>
      </c>
      <c r="P1982" s="2" t="s">
        <v>49</v>
      </c>
    </row>
    <row r="1983" spans="1:16" x14ac:dyDescent="0.25">
      <c r="A1983" s="2" t="s">
        <v>4599</v>
      </c>
      <c r="B1983" s="2" t="s">
        <v>2378</v>
      </c>
      <c r="C1983" s="2">
        <v>4413</v>
      </c>
      <c r="D1983" s="2" t="s">
        <v>8343</v>
      </c>
      <c r="E1983" s="2" t="s">
        <v>38</v>
      </c>
      <c r="F1983" s="2" t="s">
        <v>19</v>
      </c>
      <c r="G1983" s="2">
        <v>13834.27</v>
      </c>
      <c r="H1983" s="2">
        <v>6551.38</v>
      </c>
      <c r="I1983" s="2" t="s">
        <v>68</v>
      </c>
      <c r="J1983" s="2" t="s">
        <v>41</v>
      </c>
      <c r="K1983" s="2" t="s">
        <v>42</v>
      </c>
      <c r="L1983" s="2" t="s">
        <v>64</v>
      </c>
      <c r="M1983" s="2">
        <v>4</v>
      </c>
      <c r="N1983" s="2" t="s">
        <v>69</v>
      </c>
      <c r="O1983" s="2" t="s">
        <v>70</v>
      </c>
      <c r="P1983" s="2" t="s">
        <v>26</v>
      </c>
    </row>
    <row r="1984" spans="1:16" x14ac:dyDescent="0.25">
      <c r="A1984" s="2" t="s">
        <v>4601</v>
      </c>
      <c r="B1984" s="2" t="s">
        <v>1242</v>
      </c>
      <c r="C1984" s="2">
        <v>6716</v>
      </c>
      <c r="D1984" s="2" t="s">
        <v>440</v>
      </c>
      <c r="E1984" s="2" t="s">
        <v>18</v>
      </c>
      <c r="F1984" s="2" t="s">
        <v>19</v>
      </c>
      <c r="G1984" s="2">
        <v>12181.88</v>
      </c>
      <c r="H1984" s="2">
        <v>5827.47</v>
      </c>
      <c r="I1984" s="2" t="s">
        <v>84</v>
      </c>
      <c r="J1984" s="2" t="s">
        <v>54</v>
      </c>
      <c r="K1984" s="2" t="s">
        <v>42</v>
      </c>
      <c r="L1984" s="2" t="s">
        <v>23</v>
      </c>
      <c r="M1984" s="2">
        <v>3</v>
      </c>
      <c r="N1984" s="2" t="s">
        <v>24</v>
      </c>
      <c r="O1984" s="2" t="s">
        <v>25</v>
      </c>
      <c r="P1984" s="2" t="s">
        <v>26</v>
      </c>
    </row>
    <row r="1985" spans="1:16" x14ac:dyDescent="0.25">
      <c r="A1985" s="2" t="s">
        <v>4603</v>
      </c>
      <c r="B1985" s="2" t="s">
        <v>5820</v>
      </c>
      <c r="C1985" s="2">
        <v>4487</v>
      </c>
      <c r="D1985" s="2" t="s">
        <v>8953</v>
      </c>
      <c r="E1985" s="2" t="s">
        <v>38</v>
      </c>
      <c r="F1985" s="2" t="s">
        <v>47</v>
      </c>
      <c r="G1985" s="2">
        <v>10667.04</v>
      </c>
      <c r="H1985" s="2">
        <v>4898.68</v>
      </c>
      <c r="I1985" s="2" t="s">
        <v>20</v>
      </c>
      <c r="J1985" s="2" t="s">
        <v>21</v>
      </c>
      <c r="K1985" s="2" t="s">
        <v>32</v>
      </c>
      <c r="L1985" s="2" t="s">
        <v>55</v>
      </c>
      <c r="M1985" s="2">
        <v>2</v>
      </c>
      <c r="N1985" s="2" t="s">
        <v>69</v>
      </c>
      <c r="O1985" s="2" t="s">
        <v>25</v>
      </c>
      <c r="P1985" s="2" t="s">
        <v>26</v>
      </c>
    </row>
    <row r="1986" spans="1:16" x14ac:dyDescent="0.25">
      <c r="A1986" s="2" t="s">
        <v>4605</v>
      </c>
      <c r="B1986" s="2" t="s">
        <v>8652</v>
      </c>
      <c r="C1986" s="2">
        <v>9783</v>
      </c>
      <c r="D1986" s="2" t="s">
        <v>8954</v>
      </c>
      <c r="E1986" s="2" t="s">
        <v>38</v>
      </c>
      <c r="F1986" s="2" t="s">
        <v>58</v>
      </c>
      <c r="G1986" s="2">
        <v>42520.15</v>
      </c>
      <c r="H1986" s="2">
        <v>24913.86</v>
      </c>
      <c r="I1986" s="2" t="s">
        <v>84</v>
      </c>
      <c r="J1986" s="2" t="s">
        <v>54</v>
      </c>
      <c r="K1986" s="2" t="s">
        <v>80</v>
      </c>
      <c r="L1986" s="2" t="s">
        <v>48</v>
      </c>
      <c r="M1986" s="2">
        <v>4</v>
      </c>
      <c r="N1986" s="2" t="s">
        <v>69</v>
      </c>
      <c r="O1986" s="2" t="s">
        <v>25</v>
      </c>
      <c r="P1986" s="2" t="s">
        <v>34</v>
      </c>
    </row>
    <row r="1987" spans="1:16" x14ac:dyDescent="0.25">
      <c r="A1987" s="2" t="s">
        <v>4608</v>
      </c>
      <c r="B1987" s="2" t="s">
        <v>2235</v>
      </c>
      <c r="C1987" s="2">
        <v>4925</v>
      </c>
      <c r="D1987" s="2" t="s">
        <v>46</v>
      </c>
      <c r="E1987" s="2" t="s">
        <v>18</v>
      </c>
      <c r="F1987" s="2" t="s">
        <v>30</v>
      </c>
      <c r="G1987" s="2">
        <v>113470.81</v>
      </c>
      <c r="H1987" s="2">
        <v>51774.16</v>
      </c>
      <c r="I1987" s="2" t="s">
        <v>63</v>
      </c>
      <c r="J1987" s="2" t="s">
        <v>54</v>
      </c>
      <c r="K1987" s="2" t="s">
        <v>22</v>
      </c>
      <c r="L1987" s="2" t="s">
        <v>88</v>
      </c>
      <c r="M1987" s="2">
        <v>5</v>
      </c>
      <c r="N1987" s="2" t="s">
        <v>33</v>
      </c>
      <c r="O1987" s="2" t="s">
        <v>70</v>
      </c>
      <c r="P1987" s="2" t="s">
        <v>34</v>
      </c>
    </row>
    <row r="1988" spans="1:16" x14ac:dyDescent="0.25">
      <c r="A1988" s="2" t="s">
        <v>4610</v>
      </c>
      <c r="B1988" s="2" t="s">
        <v>3351</v>
      </c>
      <c r="C1988" s="2">
        <v>7251</v>
      </c>
      <c r="D1988" s="2" t="s">
        <v>5375</v>
      </c>
      <c r="E1988" s="2" t="s">
        <v>6743</v>
      </c>
      <c r="F1988" s="2" t="s">
        <v>58</v>
      </c>
      <c r="G1988" s="2">
        <v>22975.41</v>
      </c>
      <c r="H1988" s="2">
        <v>13567.14</v>
      </c>
      <c r="I1988" s="2" t="s">
        <v>59</v>
      </c>
      <c r="J1988" s="2" t="s">
        <v>6713</v>
      </c>
      <c r="K1988" s="2" t="s">
        <v>80</v>
      </c>
      <c r="L1988" s="2" t="s">
        <v>23</v>
      </c>
      <c r="M1988" s="2">
        <v>1</v>
      </c>
      <c r="N1988" s="2" t="s">
        <v>69</v>
      </c>
      <c r="O1988" s="2" t="s">
        <v>70</v>
      </c>
      <c r="P1988" s="2" t="s">
        <v>49</v>
      </c>
    </row>
    <row r="1989" spans="1:16" x14ac:dyDescent="0.25">
      <c r="A1989" s="2" t="s">
        <v>4612</v>
      </c>
      <c r="B1989" s="2" t="s">
        <v>2784</v>
      </c>
      <c r="C1989" s="2">
        <v>3445</v>
      </c>
      <c r="D1989" s="2" t="s">
        <v>8955</v>
      </c>
      <c r="E1989" s="2" t="s">
        <v>38</v>
      </c>
      <c r="F1989" s="2" t="s">
        <v>47</v>
      </c>
      <c r="G1989" s="2">
        <v>14404.69</v>
      </c>
      <c r="H1989" s="2">
        <v>8569.16</v>
      </c>
      <c r="I1989" s="2" t="s">
        <v>53</v>
      </c>
      <c r="J1989" s="2" t="s">
        <v>54</v>
      </c>
      <c r="K1989" s="2" t="s">
        <v>42</v>
      </c>
      <c r="L1989" s="2" t="s">
        <v>55</v>
      </c>
      <c r="M1989" s="2">
        <v>3</v>
      </c>
      <c r="N1989" s="2" t="s">
        <v>33</v>
      </c>
      <c r="O1989" s="2" t="s">
        <v>25</v>
      </c>
      <c r="P1989" s="2" t="s">
        <v>26</v>
      </c>
    </row>
    <row r="1990" spans="1:16" x14ac:dyDescent="0.25">
      <c r="A1990" s="2" t="s">
        <v>4614</v>
      </c>
      <c r="B1990" s="2" t="s">
        <v>8956</v>
      </c>
      <c r="C1990" s="2">
        <v>7852</v>
      </c>
      <c r="D1990" s="2" t="s">
        <v>8957</v>
      </c>
      <c r="E1990" s="2" t="s">
        <v>18</v>
      </c>
      <c r="F1990" s="2" t="s">
        <v>19</v>
      </c>
      <c r="G1990" s="2">
        <v>19013.13</v>
      </c>
      <c r="H1990" s="2">
        <v>11164.7</v>
      </c>
      <c r="I1990" s="2" t="s">
        <v>84</v>
      </c>
      <c r="J1990" s="2" t="s">
        <v>54</v>
      </c>
      <c r="K1990" s="2" t="s">
        <v>32</v>
      </c>
      <c r="L1990" s="2" t="s">
        <v>55</v>
      </c>
      <c r="M1990" s="2">
        <v>2</v>
      </c>
      <c r="N1990" s="2" t="s">
        <v>33</v>
      </c>
      <c r="O1990" s="2" t="s">
        <v>70</v>
      </c>
      <c r="P1990" s="2" t="s">
        <v>49</v>
      </c>
    </row>
    <row r="1991" spans="1:16" x14ac:dyDescent="0.25">
      <c r="A1991" s="2" t="s">
        <v>4616</v>
      </c>
      <c r="B1991" s="2" t="s">
        <v>8958</v>
      </c>
      <c r="C1991" s="2">
        <v>6145</v>
      </c>
      <c r="D1991" s="2" t="s">
        <v>8959</v>
      </c>
      <c r="E1991" s="2" t="s">
        <v>6743</v>
      </c>
      <c r="F1991" s="2" t="s">
        <v>47</v>
      </c>
      <c r="G1991" s="2">
        <v>2511.31</v>
      </c>
      <c r="H1991" s="2">
        <v>1481.01</v>
      </c>
      <c r="I1991" s="2" t="s">
        <v>6712</v>
      </c>
      <c r="J1991" s="2" t="s">
        <v>6732</v>
      </c>
      <c r="K1991" s="2" t="s">
        <v>22</v>
      </c>
      <c r="L1991" s="2" t="s">
        <v>23</v>
      </c>
      <c r="M1991" s="2">
        <v>2</v>
      </c>
      <c r="N1991" s="2" t="s">
        <v>24</v>
      </c>
      <c r="O1991" s="2" t="s">
        <v>25</v>
      </c>
      <c r="P1991" s="2" t="s">
        <v>49</v>
      </c>
    </row>
    <row r="1992" spans="1:16" x14ac:dyDescent="0.25">
      <c r="A1992" s="2" t="s">
        <v>4618</v>
      </c>
      <c r="B1992" s="2" t="s">
        <v>8960</v>
      </c>
      <c r="C1992" s="2">
        <v>2809</v>
      </c>
      <c r="D1992" s="2" t="s">
        <v>8961</v>
      </c>
      <c r="E1992" s="2" t="s">
        <v>38</v>
      </c>
      <c r="F1992" s="2" t="s">
        <v>58</v>
      </c>
      <c r="G1992" s="2">
        <v>30043.53</v>
      </c>
      <c r="H1992" s="2">
        <v>15802.12</v>
      </c>
      <c r="I1992" s="2" t="s">
        <v>59</v>
      </c>
      <c r="J1992" s="2" t="s">
        <v>41</v>
      </c>
      <c r="K1992" s="2" t="s">
        <v>22</v>
      </c>
      <c r="L1992" s="2" t="s">
        <v>88</v>
      </c>
      <c r="M1992" s="2">
        <v>3</v>
      </c>
      <c r="N1992" s="2" t="s">
        <v>33</v>
      </c>
      <c r="O1992" s="2" t="s">
        <v>25</v>
      </c>
      <c r="P1992" s="2" t="s">
        <v>26</v>
      </c>
    </row>
    <row r="1993" spans="1:16" x14ac:dyDescent="0.25">
      <c r="A1993" s="2" t="s">
        <v>4620</v>
      </c>
      <c r="B1993" s="2" t="s">
        <v>3663</v>
      </c>
      <c r="C1993" s="2">
        <v>7564</v>
      </c>
      <c r="D1993" s="2" t="s">
        <v>8962</v>
      </c>
      <c r="E1993" s="2" t="s">
        <v>6698</v>
      </c>
      <c r="F1993" s="2" t="s">
        <v>19</v>
      </c>
      <c r="G1993" s="2">
        <v>15796</v>
      </c>
      <c r="H1993" s="2">
        <v>9696.34</v>
      </c>
      <c r="I1993" s="2" t="s">
        <v>6681</v>
      </c>
      <c r="J1993" s="2" t="s">
        <v>6732</v>
      </c>
      <c r="K1993" s="2" t="s">
        <v>80</v>
      </c>
      <c r="L1993" s="2" t="s">
        <v>64</v>
      </c>
      <c r="M1993" s="2">
        <v>3</v>
      </c>
      <c r="N1993" s="2" t="s">
        <v>69</v>
      </c>
      <c r="O1993" s="2" t="s">
        <v>70</v>
      </c>
      <c r="P1993" s="2" t="s">
        <v>34</v>
      </c>
    </row>
    <row r="1994" spans="1:16" x14ac:dyDescent="0.25">
      <c r="A1994" s="2" t="s">
        <v>4622</v>
      </c>
      <c r="B1994" s="2" t="s">
        <v>2743</v>
      </c>
      <c r="C1994" s="2">
        <v>3288</v>
      </c>
      <c r="D1994" s="2" t="s">
        <v>8963</v>
      </c>
      <c r="E1994" s="2" t="s">
        <v>38</v>
      </c>
      <c r="F1994" s="2" t="s">
        <v>58</v>
      </c>
      <c r="G1994" s="2">
        <v>26912.06</v>
      </c>
      <c r="H1994" s="2">
        <v>16849.45</v>
      </c>
      <c r="I1994" s="2" t="s">
        <v>53</v>
      </c>
      <c r="J1994" s="2" t="s">
        <v>54</v>
      </c>
      <c r="K1994" s="2" t="s">
        <v>32</v>
      </c>
      <c r="L1994" s="2" t="s">
        <v>55</v>
      </c>
      <c r="M1994" s="2">
        <v>4</v>
      </c>
      <c r="N1994" s="2" t="s">
        <v>33</v>
      </c>
      <c r="O1994" s="2" t="s">
        <v>25</v>
      </c>
      <c r="P1994" s="2" t="s">
        <v>49</v>
      </c>
    </row>
    <row r="1995" spans="1:16" x14ac:dyDescent="0.25">
      <c r="A1995" s="2" t="s">
        <v>4624</v>
      </c>
      <c r="B1995" s="2" t="s">
        <v>8964</v>
      </c>
      <c r="C1995" s="2">
        <v>6907</v>
      </c>
      <c r="D1995" s="2" t="s">
        <v>8965</v>
      </c>
      <c r="E1995" s="2" t="s">
        <v>6680</v>
      </c>
      <c r="F1995" s="2" t="s">
        <v>30</v>
      </c>
      <c r="G1995" s="2">
        <v>75956.63</v>
      </c>
      <c r="H1995" s="2">
        <v>36333.75</v>
      </c>
      <c r="I1995" s="2" t="s">
        <v>6723</v>
      </c>
      <c r="J1995" s="2" t="s">
        <v>6795</v>
      </c>
      <c r="K1995" s="2" t="s">
        <v>22</v>
      </c>
      <c r="L1995" s="2" t="s">
        <v>64</v>
      </c>
      <c r="M1995" s="2">
        <v>1</v>
      </c>
      <c r="N1995" s="2" t="s">
        <v>24</v>
      </c>
      <c r="O1995" s="2" t="s">
        <v>25</v>
      </c>
      <c r="P1995" s="2" t="s">
        <v>49</v>
      </c>
    </row>
    <row r="1996" spans="1:16" x14ac:dyDescent="0.25">
      <c r="A1996" s="2" t="s">
        <v>4626</v>
      </c>
      <c r="B1996" s="2" t="s">
        <v>1826</v>
      </c>
      <c r="C1996" s="2">
        <v>7224</v>
      </c>
      <c r="D1996" s="2" t="s">
        <v>6172</v>
      </c>
      <c r="E1996" s="2" t="s">
        <v>38</v>
      </c>
      <c r="F1996" s="2" t="s">
        <v>30</v>
      </c>
      <c r="G1996" s="2">
        <v>30632.639999999999</v>
      </c>
      <c r="H1996" s="2">
        <v>16326.5</v>
      </c>
      <c r="I1996" s="2" t="s">
        <v>6699</v>
      </c>
      <c r="J1996" s="2" t="s">
        <v>6691</v>
      </c>
      <c r="K1996" s="2" t="s">
        <v>80</v>
      </c>
      <c r="L1996" s="2" t="s">
        <v>23</v>
      </c>
      <c r="M1996" s="2">
        <v>5</v>
      </c>
      <c r="N1996" s="2" t="s">
        <v>33</v>
      </c>
      <c r="O1996" s="2" t="s">
        <v>25</v>
      </c>
      <c r="P1996" s="2" t="s">
        <v>26</v>
      </c>
    </row>
    <row r="1997" spans="1:16" x14ac:dyDescent="0.25">
      <c r="A1997" s="2" t="s">
        <v>4629</v>
      </c>
      <c r="B1997" s="2" t="s">
        <v>8966</v>
      </c>
      <c r="C1997" s="2">
        <v>2835</v>
      </c>
      <c r="D1997" s="2" t="s">
        <v>8967</v>
      </c>
      <c r="E1997" s="2" t="s">
        <v>6698</v>
      </c>
      <c r="F1997" s="2" t="s">
        <v>39</v>
      </c>
      <c r="G1997" s="2">
        <v>16348.09</v>
      </c>
      <c r="H1997" s="2">
        <v>8666.07</v>
      </c>
      <c r="I1997" s="2" t="s">
        <v>6704</v>
      </c>
      <c r="J1997" s="2" t="s">
        <v>6705</v>
      </c>
      <c r="K1997" s="2" t="s">
        <v>42</v>
      </c>
      <c r="L1997" s="2" t="s">
        <v>43</v>
      </c>
      <c r="M1997" s="2">
        <v>5</v>
      </c>
      <c r="N1997" s="2" t="s">
        <v>33</v>
      </c>
      <c r="O1997" s="2" t="s">
        <v>25</v>
      </c>
      <c r="P1997" s="2" t="s">
        <v>34</v>
      </c>
    </row>
    <row r="1998" spans="1:16" x14ac:dyDescent="0.25">
      <c r="A1998" s="2" t="s">
        <v>4632</v>
      </c>
      <c r="B1998" s="2" t="s">
        <v>8262</v>
      </c>
      <c r="C1998" s="2">
        <v>8495</v>
      </c>
      <c r="D1998" s="2" t="s">
        <v>8968</v>
      </c>
      <c r="E1998" s="2" t="s">
        <v>6748</v>
      </c>
      <c r="F1998" s="2" t="s">
        <v>39</v>
      </c>
      <c r="G1998" s="2">
        <v>18432.59</v>
      </c>
      <c r="H1998" s="2">
        <v>10902.92</v>
      </c>
      <c r="I1998" s="2" t="s">
        <v>20</v>
      </c>
      <c r="J1998" s="2" t="s">
        <v>6795</v>
      </c>
      <c r="K1998" s="2" t="s">
        <v>32</v>
      </c>
      <c r="L1998" s="2" t="s">
        <v>88</v>
      </c>
      <c r="M1998" s="2">
        <v>1</v>
      </c>
      <c r="N1998" s="2" t="s">
        <v>69</v>
      </c>
      <c r="O1998" s="2" t="s">
        <v>70</v>
      </c>
      <c r="P1998" s="2" t="s">
        <v>49</v>
      </c>
    </row>
    <row r="1999" spans="1:16" x14ac:dyDescent="0.25">
      <c r="A1999" s="2" t="s">
        <v>4634</v>
      </c>
      <c r="B1999" s="2" t="s">
        <v>6214</v>
      </c>
      <c r="C1999" s="2">
        <v>5054</v>
      </c>
      <c r="D1999" s="2" t="s">
        <v>8969</v>
      </c>
      <c r="E1999" s="2" t="s">
        <v>18</v>
      </c>
      <c r="F1999" s="2" t="s">
        <v>47</v>
      </c>
      <c r="G1999" s="2">
        <v>18897.849999999999</v>
      </c>
      <c r="H1999" s="2">
        <v>10554.86</v>
      </c>
      <c r="I1999" s="2" t="s">
        <v>53</v>
      </c>
      <c r="J1999" s="2" t="s">
        <v>54</v>
      </c>
      <c r="K1999" s="2" t="s">
        <v>42</v>
      </c>
      <c r="L1999" s="2" t="s">
        <v>48</v>
      </c>
      <c r="M1999" s="2">
        <v>5</v>
      </c>
      <c r="N1999" s="2" t="s">
        <v>33</v>
      </c>
      <c r="O1999" s="2" t="s">
        <v>25</v>
      </c>
      <c r="P1999" s="2" t="s">
        <v>34</v>
      </c>
    </row>
    <row r="2000" spans="1:16" x14ac:dyDescent="0.25">
      <c r="A2000" s="2" t="s">
        <v>4637</v>
      </c>
      <c r="B2000" s="2" t="s">
        <v>8970</v>
      </c>
      <c r="C2000" s="2">
        <v>2816</v>
      </c>
      <c r="D2000" s="2" t="s">
        <v>8971</v>
      </c>
      <c r="E2000" s="2" t="s">
        <v>6698</v>
      </c>
      <c r="F2000" s="2" t="s">
        <v>47</v>
      </c>
      <c r="G2000" s="2">
        <v>3083.52</v>
      </c>
      <c r="H2000" s="2">
        <v>1918.39</v>
      </c>
      <c r="I2000" s="2" t="s">
        <v>59</v>
      </c>
      <c r="J2000" s="2" t="s">
        <v>6732</v>
      </c>
      <c r="K2000" s="2" t="s">
        <v>42</v>
      </c>
      <c r="L2000" s="2" t="s">
        <v>48</v>
      </c>
      <c r="M2000" s="2">
        <v>4</v>
      </c>
      <c r="N2000" s="2" t="s">
        <v>33</v>
      </c>
      <c r="O2000" s="2" t="s">
        <v>70</v>
      </c>
      <c r="P2000" s="2" t="s">
        <v>49</v>
      </c>
    </row>
    <row r="2001" spans="1:16" x14ac:dyDescent="0.25">
      <c r="A2001" s="2" t="s">
        <v>4639</v>
      </c>
      <c r="B2001" s="2" t="s">
        <v>2180</v>
      </c>
      <c r="C2001" s="2">
        <v>4133</v>
      </c>
      <c r="D2001" s="2" t="s">
        <v>8972</v>
      </c>
      <c r="E2001" s="2" t="s">
        <v>38</v>
      </c>
      <c r="F2001" s="2" t="s">
        <v>47</v>
      </c>
      <c r="G2001" s="2">
        <v>9794.93</v>
      </c>
      <c r="H2001" s="2">
        <v>5831.68</v>
      </c>
      <c r="I2001" s="2" t="s">
        <v>120</v>
      </c>
      <c r="J2001" s="2" t="s">
        <v>21</v>
      </c>
      <c r="K2001" s="2" t="s">
        <v>22</v>
      </c>
      <c r="L2001" s="2" t="s">
        <v>55</v>
      </c>
      <c r="M2001" s="2">
        <v>1</v>
      </c>
      <c r="N2001" s="2" t="s">
        <v>33</v>
      </c>
      <c r="O2001" s="2" t="s">
        <v>70</v>
      </c>
      <c r="P2001" s="2" t="s">
        <v>34</v>
      </c>
    </row>
    <row r="2002" spans="1:16" x14ac:dyDescent="0.25">
      <c r="A2002" s="2" t="s">
        <v>4641</v>
      </c>
      <c r="B2002" s="2" t="s">
        <v>1903</v>
      </c>
      <c r="C2002" s="2">
        <v>3084</v>
      </c>
      <c r="D2002" s="2" t="s">
        <v>8973</v>
      </c>
      <c r="E2002" s="2" t="s">
        <v>18</v>
      </c>
      <c r="F2002" s="2" t="s">
        <v>19</v>
      </c>
      <c r="G2002" s="2">
        <v>7780.19</v>
      </c>
      <c r="H2002" s="2">
        <v>4987.2700000000004</v>
      </c>
      <c r="I2002" s="2" t="s">
        <v>20</v>
      </c>
      <c r="J2002" s="2" t="s">
        <v>21</v>
      </c>
      <c r="K2002" s="2" t="s">
        <v>80</v>
      </c>
      <c r="L2002" s="2" t="s">
        <v>23</v>
      </c>
      <c r="M2002" s="2">
        <v>1</v>
      </c>
      <c r="N2002" s="2" t="s">
        <v>69</v>
      </c>
      <c r="O2002" s="2" t="s">
        <v>25</v>
      </c>
      <c r="P2002" s="2" t="s">
        <v>34</v>
      </c>
    </row>
    <row r="2003" spans="1:16" x14ac:dyDescent="0.25">
      <c r="A2003" s="2" t="s">
        <v>4644</v>
      </c>
      <c r="B2003" s="2" t="s">
        <v>6905</v>
      </c>
      <c r="C2003" s="2">
        <v>5992</v>
      </c>
      <c r="D2003" s="2" t="s">
        <v>8974</v>
      </c>
      <c r="E2003" s="2" t="s">
        <v>38</v>
      </c>
      <c r="F2003" s="2" t="s">
        <v>39</v>
      </c>
      <c r="G2003" s="2">
        <v>20763.39</v>
      </c>
      <c r="H2003" s="2">
        <v>10102.93</v>
      </c>
      <c r="I2003" s="2" t="s">
        <v>31</v>
      </c>
      <c r="J2003" s="2" t="s">
        <v>21</v>
      </c>
      <c r="K2003" s="2" t="s">
        <v>22</v>
      </c>
      <c r="L2003" s="2" t="s">
        <v>55</v>
      </c>
      <c r="M2003" s="2">
        <v>4</v>
      </c>
      <c r="N2003" s="2" t="s">
        <v>33</v>
      </c>
      <c r="O2003" s="2" t="s">
        <v>25</v>
      </c>
      <c r="P2003" s="2" t="s">
        <v>49</v>
      </c>
    </row>
    <row r="2004" spans="1:16" x14ac:dyDescent="0.25">
      <c r="A2004" s="2" t="s">
        <v>4646</v>
      </c>
      <c r="B2004" s="2" t="s">
        <v>8975</v>
      </c>
      <c r="C2004" s="2">
        <v>3154</v>
      </c>
      <c r="D2004" s="2" t="s">
        <v>8976</v>
      </c>
      <c r="E2004" s="2" t="s">
        <v>6680</v>
      </c>
      <c r="F2004" s="2" t="s">
        <v>39</v>
      </c>
      <c r="G2004" s="2">
        <v>12916.2</v>
      </c>
      <c r="H2004" s="2">
        <v>6433.77</v>
      </c>
      <c r="I2004" s="2" t="s">
        <v>6695</v>
      </c>
      <c r="J2004" s="2" t="s">
        <v>21</v>
      </c>
      <c r="K2004" s="2" t="s">
        <v>22</v>
      </c>
      <c r="L2004" s="2" t="s">
        <v>88</v>
      </c>
      <c r="M2004" s="2">
        <v>1</v>
      </c>
      <c r="N2004" s="2" t="s">
        <v>33</v>
      </c>
      <c r="O2004" s="2" t="s">
        <v>70</v>
      </c>
      <c r="P2004" s="2" t="s">
        <v>34</v>
      </c>
    </row>
    <row r="2005" spans="1:16" x14ac:dyDescent="0.25">
      <c r="A2005" s="2" t="s">
        <v>4649</v>
      </c>
      <c r="B2005" s="2" t="s">
        <v>107</v>
      </c>
      <c r="C2005" s="2">
        <v>4106</v>
      </c>
      <c r="D2005" s="2" t="s">
        <v>8977</v>
      </c>
      <c r="E2005" s="2" t="s">
        <v>38</v>
      </c>
      <c r="F2005" s="2" t="s">
        <v>58</v>
      </c>
      <c r="G2005" s="2">
        <v>12278.75</v>
      </c>
      <c r="H2005" s="2">
        <v>6213.1</v>
      </c>
      <c r="I2005" s="2" t="s">
        <v>20</v>
      </c>
      <c r="J2005" s="2" t="s">
        <v>21</v>
      </c>
      <c r="K2005" s="2" t="s">
        <v>22</v>
      </c>
      <c r="L2005" s="2" t="s">
        <v>48</v>
      </c>
      <c r="M2005" s="2">
        <v>5</v>
      </c>
      <c r="N2005" s="2" t="s">
        <v>33</v>
      </c>
      <c r="O2005" s="2" t="s">
        <v>70</v>
      </c>
      <c r="P2005" s="2" t="s">
        <v>26</v>
      </c>
    </row>
    <row r="2006" spans="1:16" x14ac:dyDescent="0.25">
      <c r="A2006" s="2" t="s">
        <v>4652</v>
      </c>
      <c r="B2006" s="2" t="s">
        <v>8978</v>
      </c>
      <c r="C2006" s="2">
        <v>3289</v>
      </c>
      <c r="D2006" s="2" t="s">
        <v>8979</v>
      </c>
      <c r="E2006" s="2" t="s">
        <v>6719</v>
      </c>
      <c r="F2006" s="2" t="s">
        <v>47</v>
      </c>
      <c r="G2006" s="2">
        <v>5065.3500000000004</v>
      </c>
      <c r="H2006" s="2">
        <v>2585.64</v>
      </c>
      <c r="I2006" s="2" t="s">
        <v>6777</v>
      </c>
      <c r="J2006" s="2" t="s">
        <v>6713</v>
      </c>
      <c r="K2006" s="2" t="s">
        <v>32</v>
      </c>
      <c r="L2006" s="2" t="s">
        <v>55</v>
      </c>
      <c r="M2006" s="2">
        <v>1</v>
      </c>
      <c r="N2006" s="2" t="s">
        <v>69</v>
      </c>
      <c r="O2006" s="2" t="s">
        <v>25</v>
      </c>
      <c r="P2006" s="2" t="s">
        <v>34</v>
      </c>
    </row>
    <row r="2007" spans="1:16" x14ac:dyDescent="0.25">
      <c r="A2007" s="2" t="s">
        <v>4654</v>
      </c>
      <c r="B2007" s="2" t="s">
        <v>843</v>
      </c>
      <c r="C2007" s="2">
        <v>4614</v>
      </c>
      <c r="D2007" s="2" t="s">
        <v>8980</v>
      </c>
      <c r="E2007" s="2" t="s">
        <v>38</v>
      </c>
      <c r="F2007" s="2" t="s">
        <v>19</v>
      </c>
      <c r="G2007" s="2">
        <v>11298.05</v>
      </c>
      <c r="H2007" s="2">
        <v>5859.5</v>
      </c>
      <c r="I2007" s="2" t="s">
        <v>20</v>
      </c>
      <c r="J2007" s="2" t="s">
        <v>21</v>
      </c>
      <c r="K2007" s="2" t="s">
        <v>80</v>
      </c>
      <c r="L2007" s="2" t="s">
        <v>64</v>
      </c>
      <c r="M2007" s="2">
        <v>1</v>
      </c>
      <c r="N2007" s="2" t="s">
        <v>33</v>
      </c>
      <c r="O2007" s="2" t="s">
        <v>25</v>
      </c>
      <c r="P2007" s="2" t="s">
        <v>34</v>
      </c>
    </row>
    <row r="2008" spans="1:16" x14ac:dyDescent="0.25">
      <c r="A2008" s="2" t="s">
        <v>4656</v>
      </c>
      <c r="B2008" s="2" t="s">
        <v>5838</v>
      </c>
      <c r="C2008" s="2">
        <v>3944</v>
      </c>
      <c r="D2008" s="2" t="s">
        <v>7121</v>
      </c>
      <c r="E2008" s="2" t="s">
        <v>38</v>
      </c>
      <c r="F2008" s="2" t="s">
        <v>30</v>
      </c>
      <c r="G2008" s="2">
        <v>42492.1</v>
      </c>
      <c r="H2008" s="2">
        <v>20020.18</v>
      </c>
      <c r="I2008" s="2" t="s">
        <v>53</v>
      </c>
      <c r="J2008" s="2" t="s">
        <v>54</v>
      </c>
      <c r="K2008" s="2" t="s">
        <v>32</v>
      </c>
      <c r="L2008" s="2" t="s">
        <v>43</v>
      </c>
      <c r="M2008" s="2">
        <v>2</v>
      </c>
      <c r="N2008" s="2" t="s">
        <v>24</v>
      </c>
      <c r="O2008" s="2" t="s">
        <v>25</v>
      </c>
      <c r="P2008" s="2" t="s">
        <v>26</v>
      </c>
    </row>
    <row r="2009" spans="1:16" x14ac:dyDescent="0.25">
      <c r="A2009" s="2" t="s">
        <v>4658</v>
      </c>
      <c r="B2009" s="2" t="s">
        <v>8981</v>
      </c>
      <c r="C2009" s="2">
        <v>1964</v>
      </c>
      <c r="D2009" s="2" t="s">
        <v>8982</v>
      </c>
      <c r="E2009" s="2" t="s">
        <v>18</v>
      </c>
      <c r="F2009" s="2" t="s">
        <v>58</v>
      </c>
      <c r="G2009" s="2">
        <v>15998.37</v>
      </c>
      <c r="H2009" s="2">
        <v>8014.17</v>
      </c>
      <c r="I2009" s="2" t="s">
        <v>84</v>
      </c>
      <c r="J2009" s="2" t="s">
        <v>54</v>
      </c>
      <c r="K2009" s="2" t="s">
        <v>32</v>
      </c>
      <c r="L2009" s="2" t="s">
        <v>48</v>
      </c>
      <c r="M2009" s="2">
        <v>2</v>
      </c>
      <c r="N2009" s="2" t="s">
        <v>24</v>
      </c>
      <c r="O2009" s="2" t="s">
        <v>25</v>
      </c>
      <c r="P2009" s="2" t="s">
        <v>34</v>
      </c>
    </row>
    <row r="2010" spans="1:16" x14ac:dyDescent="0.25">
      <c r="A2010" s="2" t="s">
        <v>4660</v>
      </c>
      <c r="B2010" s="2" t="s">
        <v>3209</v>
      </c>
      <c r="C2010" s="2">
        <v>8314</v>
      </c>
      <c r="D2010" s="2" t="s">
        <v>1784</v>
      </c>
      <c r="E2010" s="2" t="s">
        <v>38</v>
      </c>
      <c r="F2010" s="2" t="s">
        <v>19</v>
      </c>
      <c r="G2010" s="2">
        <v>6239.69</v>
      </c>
      <c r="H2010" s="2">
        <v>3687.48</v>
      </c>
      <c r="I2010" s="2" t="s">
        <v>31</v>
      </c>
      <c r="J2010" s="2" t="s">
        <v>6802</v>
      </c>
      <c r="K2010" s="2" t="s">
        <v>22</v>
      </c>
      <c r="L2010" s="2" t="s">
        <v>23</v>
      </c>
      <c r="M2010" s="2">
        <v>5</v>
      </c>
      <c r="N2010" s="2" t="s">
        <v>69</v>
      </c>
      <c r="O2010" s="2" t="s">
        <v>70</v>
      </c>
      <c r="P2010" s="2" t="s">
        <v>26</v>
      </c>
    </row>
    <row r="2011" spans="1:16" x14ac:dyDescent="0.25">
      <c r="A2011" s="2" t="s">
        <v>4662</v>
      </c>
      <c r="B2011" s="2" t="s">
        <v>8983</v>
      </c>
      <c r="C2011" s="2">
        <v>8568</v>
      </c>
      <c r="D2011" s="2" t="s">
        <v>8984</v>
      </c>
      <c r="E2011" s="2" t="s">
        <v>6756</v>
      </c>
      <c r="F2011" s="2" t="s">
        <v>30</v>
      </c>
      <c r="G2011" s="2">
        <v>70097.320000000007</v>
      </c>
      <c r="H2011" s="2">
        <v>42787.98</v>
      </c>
      <c r="I2011" s="2" t="s">
        <v>6681</v>
      </c>
      <c r="J2011" s="2" t="s">
        <v>6793</v>
      </c>
      <c r="K2011" s="2" t="s">
        <v>22</v>
      </c>
      <c r="L2011" s="2" t="s">
        <v>48</v>
      </c>
      <c r="M2011" s="2">
        <v>1</v>
      </c>
      <c r="N2011" s="2" t="s">
        <v>33</v>
      </c>
      <c r="O2011" s="2" t="s">
        <v>70</v>
      </c>
      <c r="P2011" s="2" t="s">
        <v>26</v>
      </c>
    </row>
    <row r="2012" spans="1:16" x14ac:dyDescent="0.25">
      <c r="A2012" s="2" t="s">
        <v>4665</v>
      </c>
      <c r="B2012" s="2" t="s">
        <v>1237</v>
      </c>
      <c r="C2012" s="2">
        <v>5115</v>
      </c>
      <c r="D2012" s="2" t="s">
        <v>8985</v>
      </c>
      <c r="E2012" s="2" t="s">
        <v>6756</v>
      </c>
      <c r="F2012" s="2" t="s">
        <v>19</v>
      </c>
      <c r="G2012" s="2">
        <v>13782.44</v>
      </c>
      <c r="H2012" s="2">
        <v>7001.76</v>
      </c>
      <c r="I2012" s="2" t="s">
        <v>63</v>
      </c>
      <c r="J2012" s="2" t="s">
        <v>6686</v>
      </c>
      <c r="K2012" s="2" t="s">
        <v>32</v>
      </c>
      <c r="L2012" s="2" t="s">
        <v>23</v>
      </c>
      <c r="M2012" s="2">
        <v>5</v>
      </c>
      <c r="N2012" s="2" t="s">
        <v>69</v>
      </c>
      <c r="O2012" s="2" t="s">
        <v>25</v>
      </c>
      <c r="P2012" s="2" t="s">
        <v>26</v>
      </c>
    </row>
    <row r="2013" spans="1:16" x14ac:dyDescent="0.25">
      <c r="A2013" s="2" t="s">
        <v>4667</v>
      </c>
      <c r="B2013" s="2" t="s">
        <v>8986</v>
      </c>
      <c r="C2013" s="2">
        <v>9195</v>
      </c>
      <c r="D2013" s="2" t="s">
        <v>556</v>
      </c>
      <c r="E2013" s="2" t="s">
        <v>18</v>
      </c>
      <c r="F2013" s="2" t="s">
        <v>58</v>
      </c>
      <c r="G2013" s="2">
        <v>29712.28</v>
      </c>
      <c r="H2013" s="2">
        <v>16114.84</v>
      </c>
      <c r="I2013" s="2" t="s">
        <v>84</v>
      </c>
      <c r="J2013" s="2" t="s">
        <v>6691</v>
      </c>
      <c r="K2013" s="2" t="s">
        <v>22</v>
      </c>
      <c r="L2013" s="2" t="s">
        <v>48</v>
      </c>
      <c r="M2013" s="2">
        <v>5</v>
      </c>
      <c r="N2013" s="2" t="s">
        <v>69</v>
      </c>
      <c r="O2013" s="2" t="s">
        <v>70</v>
      </c>
      <c r="P2013" s="2" t="s">
        <v>49</v>
      </c>
    </row>
    <row r="2014" spans="1:16" x14ac:dyDescent="0.25">
      <c r="A2014" s="2" t="s">
        <v>4669</v>
      </c>
      <c r="B2014" s="2" t="s">
        <v>2693</v>
      </c>
      <c r="C2014" s="2">
        <v>1714</v>
      </c>
      <c r="D2014" s="2" t="s">
        <v>8987</v>
      </c>
      <c r="E2014" s="2" t="s">
        <v>18</v>
      </c>
      <c r="F2014" s="2" t="s">
        <v>30</v>
      </c>
      <c r="G2014" s="2">
        <v>58248.3</v>
      </c>
      <c r="H2014" s="2">
        <v>33965.769999999997</v>
      </c>
      <c r="I2014" s="2" t="s">
        <v>68</v>
      </c>
      <c r="J2014" s="2" t="s">
        <v>41</v>
      </c>
      <c r="K2014" s="2" t="s">
        <v>32</v>
      </c>
      <c r="L2014" s="2" t="s">
        <v>48</v>
      </c>
      <c r="M2014" s="2">
        <v>2</v>
      </c>
      <c r="N2014" s="2" t="s">
        <v>33</v>
      </c>
      <c r="O2014" s="2" t="s">
        <v>70</v>
      </c>
      <c r="P2014" s="2" t="s">
        <v>34</v>
      </c>
    </row>
    <row r="2015" spans="1:16" x14ac:dyDescent="0.25">
      <c r="A2015" s="2" t="s">
        <v>4671</v>
      </c>
      <c r="B2015" s="2" t="s">
        <v>5596</v>
      </c>
      <c r="C2015" s="2">
        <v>7769</v>
      </c>
      <c r="D2015" s="2" t="s">
        <v>8988</v>
      </c>
      <c r="E2015" s="2" t="s">
        <v>18</v>
      </c>
      <c r="F2015" s="2" t="s">
        <v>47</v>
      </c>
      <c r="G2015" s="2">
        <v>8492.93</v>
      </c>
      <c r="H2015" s="2">
        <v>4760.6899999999996</v>
      </c>
      <c r="I2015" s="2" t="s">
        <v>120</v>
      </c>
      <c r="J2015" s="2" t="s">
        <v>21</v>
      </c>
      <c r="K2015" s="2" t="s">
        <v>42</v>
      </c>
      <c r="L2015" s="2" t="s">
        <v>64</v>
      </c>
      <c r="M2015" s="2">
        <v>1</v>
      </c>
      <c r="N2015" s="2" t="s">
        <v>33</v>
      </c>
      <c r="O2015" s="2" t="s">
        <v>25</v>
      </c>
      <c r="P2015" s="2" t="s">
        <v>34</v>
      </c>
    </row>
    <row r="2016" spans="1:16" x14ac:dyDescent="0.25">
      <c r="A2016" s="2" t="s">
        <v>4673</v>
      </c>
      <c r="B2016" s="2" t="s">
        <v>8989</v>
      </c>
      <c r="C2016" s="2">
        <v>7768</v>
      </c>
      <c r="D2016" s="2" t="s">
        <v>306</v>
      </c>
      <c r="E2016" s="2" t="s">
        <v>6698</v>
      </c>
      <c r="F2016" s="2" t="s">
        <v>39</v>
      </c>
      <c r="G2016" s="2">
        <v>45555.67</v>
      </c>
      <c r="H2016" s="2">
        <v>27526.78</v>
      </c>
      <c r="I2016" s="2" t="s">
        <v>84</v>
      </c>
      <c r="J2016" s="2" t="s">
        <v>6691</v>
      </c>
      <c r="K2016" s="2" t="s">
        <v>42</v>
      </c>
      <c r="L2016" s="2" t="s">
        <v>88</v>
      </c>
      <c r="M2016" s="2">
        <v>4</v>
      </c>
      <c r="N2016" s="2" t="s">
        <v>24</v>
      </c>
      <c r="O2016" s="2" t="s">
        <v>25</v>
      </c>
      <c r="P2016" s="2" t="s">
        <v>34</v>
      </c>
    </row>
    <row r="2017" spans="1:16" x14ac:dyDescent="0.25">
      <c r="A2017" s="2" t="s">
        <v>4675</v>
      </c>
      <c r="B2017" s="2" t="s">
        <v>5104</v>
      </c>
      <c r="C2017" s="2">
        <v>7334</v>
      </c>
      <c r="D2017" s="2" t="s">
        <v>4690</v>
      </c>
      <c r="E2017" s="2" t="s">
        <v>38</v>
      </c>
      <c r="F2017" s="2" t="s">
        <v>47</v>
      </c>
      <c r="G2017" s="2">
        <v>15587.71</v>
      </c>
      <c r="H2017" s="2">
        <v>8780</v>
      </c>
      <c r="I2017" s="2" t="s">
        <v>84</v>
      </c>
      <c r="J2017" s="2" t="s">
        <v>54</v>
      </c>
      <c r="K2017" s="2" t="s">
        <v>80</v>
      </c>
      <c r="L2017" s="2" t="s">
        <v>88</v>
      </c>
      <c r="M2017" s="2">
        <v>4</v>
      </c>
      <c r="N2017" s="2" t="s">
        <v>33</v>
      </c>
      <c r="O2017" s="2" t="s">
        <v>70</v>
      </c>
      <c r="P2017" s="2" t="s">
        <v>49</v>
      </c>
    </row>
    <row r="2018" spans="1:16" x14ac:dyDescent="0.25">
      <c r="A2018" s="2" t="s">
        <v>4676</v>
      </c>
      <c r="B2018" s="2" t="s">
        <v>8990</v>
      </c>
      <c r="C2018" s="2">
        <v>3987</v>
      </c>
      <c r="D2018" s="2" t="s">
        <v>5443</v>
      </c>
      <c r="E2018" s="2" t="s">
        <v>6698</v>
      </c>
      <c r="F2018" s="2" t="s">
        <v>19</v>
      </c>
      <c r="G2018" s="2">
        <v>10637.3</v>
      </c>
      <c r="H2018" s="2">
        <v>5884.21</v>
      </c>
      <c r="I2018" s="2" t="s">
        <v>6704</v>
      </c>
      <c r="J2018" s="2" t="s">
        <v>6682</v>
      </c>
      <c r="K2018" s="2" t="s">
        <v>32</v>
      </c>
      <c r="L2018" s="2" t="s">
        <v>55</v>
      </c>
      <c r="M2018" s="2">
        <v>1</v>
      </c>
      <c r="N2018" s="2" t="s">
        <v>24</v>
      </c>
      <c r="O2018" s="2" t="s">
        <v>25</v>
      </c>
      <c r="P2018" s="2" t="s">
        <v>26</v>
      </c>
    </row>
    <row r="2019" spans="1:16" x14ac:dyDescent="0.25">
      <c r="A2019" s="2" t="s">
        <v>4678</v>
      </c>
      <c r="B2019" s="2" t="s">
        <v>8991</v>
      </c>
      <c r="C2019" s="2">
        <v>3137</v>
      </c>
      <c r="D2019" s="2" t="s">
        <v>8695</v>
      </c>
      <c r="E2019" s="2" t="s">
        <v>18</v>
      </c>
      <c r="F2019" s="2" t="s">
        <v>19</v>
      </c>
      <c r="G2019" s="2">
        <v>13159.7</v>
      </c>
      <c r="H2019" s="2">
        <v>7009.42</v>
      </c>
      <c r="I2019" s="2" t="s">
        <v>6867</v>
      </c>
      <c r="J2019" s="2" t="s">
        <v>6724</v>
      </c>
      <c r="K2019" s="2" t="s">
        <v>42</v>
      </c>
      <c r="L2019" s="2" t="s">
        <v>55</v>
      </c>
      <c r="M2019" s="2">
        <v>3</v>
      </c>
      <c r="N2019" s="2" t="s">
        <v>33</v>
      </c>
      <c r="O2019" s="2" t="s">
        <v>25</v>
      </c>
      <c r="P2019" s="2" t="s">
        <v>26</v>
      </c>
    </row>
    <row r="2020" spans="1:16" x14ac:dyDescent="0.25">
      <c r="A2020" s="2" t="s">
        <v>4680</v>
      </c>
      <c r="B2020" s="2" t="s">
        <v>8992</v>
      </c>
      <c r="C2020" s="2">
        <v>6926</v>
      </c>
      <c r="D2020" s="2" t="s">
        <v>8993</v>
      </c>
      <c r="E2020" s="2" t="s">
        <v>6743</v>
      </c>
      <c r="F2020" s="2" t="s">
        <v>30</v>
      </c>
      <c r="G2020" s="2">
        <v>35426.639999999999</v>
      </c>
      <c r="H2020" s="2">
        <v>22878.1</v>
      </c>
      <c r="I2020" s="2" t="s">
        <v>6752</v>
      </c>
      <c r="J2020" s="2" t="s">
        <v>6729</v>
      </c>
      <c r="K2020" s="2" t="s">
        <v>32</v>
      </c>
      <c r="L2020" s="2" t="s">
        <v>43</v>
      </c>
      <c r="M2020" s="2">
        <v>2</v>
      </c>
      <c r="N2020" s="2" t="s">
        <v>33</v>
      </c>
      <c r="O2020" s="2" t="s">
        <v>70</v>
      </c>
      <c r="P2020" s="2" t="s">
        <v>26</v>
      </c>
    </row>
    <row r="2021" spans="1:16" x14ac:dyDescent="0.25">
      <c r="A2021" s="2" t="s">
        <v>4681</v>
      </c>
      <c r="B2021" s="2" t="s">
        <v>2102</v>
      </c>
      <c r="C2021" s="2">
        <v>6380</v>
      </c>
      <c r="D2021" s="2" t="s">
        <v>4475</v>
      </c>
      <c r="E2021" s="2" t="s">
        <v>6756</v>
      </c>
      <c r="F2021" s="2" t="s">
        <v>30</v>
      </c>
      <c r="G2021" s="2">
        <v>56052.39</v>
      </c>
      <c r="H2021" s="2">
        <v>35550.080000000002</v>
      </c>
      <c r="I2021" s="2" t="s">
        <v>6910</v>
      </c>
      <c r="J2021" s="2" t="s">
        <v>21</v>
      </c>
      <c r="K2021" s="2" t="s">
        <v>80</v>
      </c>
      <c r="L2021" s="2" t="s">
        <v>43</v>
      </c>
      <c r="M2021" s="2">
        <v>2</v>
      </c>
      <c r="N2021" s="2" t="s">
        <v>24</v>
      </c>
      <c r="O2021" s="2" t="s">
        <v>70</v>
      </c>
      <c r="P2021" s="2" t="s">
        <v>34</v>
      </c>
    </row>
    <row r="2022" spans="1:16" x14ac:dyDescent="0.25">
      <c r="A2022" s="2" t="s">
        <v>4682</v>
      </c>
      <c r="B2022" s="2" t="s">
        <v>8994</v>
      </c>
      <c r="C2022" s="2">
        <v>7424</v>
      </c>
      <c r="D2022" s="2" t="s">
        <v>8995</v>
      </c>
      <c r="E2022" s="2" t="s">
        <v>6719</v>
      </c>
      <c r="F2022" s="2" t="s">
        <v>30</v>
      </c>
      <c r="G2022" s="2">
        <v>67622.8</v>
      </c>
      <c r="H2022" s="2">
        <v>39732.9</v>
      </c>
      <c r="I2022" s="2" t="s">
        <v>6812</v>
      </c>
      <c r="J2022" s="2" t="s">
        <v>6686</v>
      </c>
      <c r="K2022" s="2" t="s">
        <v>32</v>
      </c>
      <c r="L2022" s="2" t="s">
        <v>64</v>
      </c>
      <c r="M2022" s="2">
        <v>1</v>
      </c>
      <c r="N2022" s="2" t="s">
        <v>24</v>
      </c>
      <c r="O2022" s="2" t="s">
        <v>25</v>
      </c>
      <c r="P2022" s="2" t="s">
        <v>34</v>
      </c>
    </row>
    <row r="2023" spans="1:16" x14ac:dyDescent="0.25">
      <c r="A2023" s="2" t="s">
        <v>4684</v>
      </c>
      <c r="B2023" s="2" t="s">
        <v>2431</v>
      </c>
      <c r="C2023" s="2">
        <v>3706</v>
      </c>
      <c r="D2023" s="2" t="s">
        <v>8996</v>
      </c>
      <c r="E2023" s="2" t="s">
        <v>6748</v>
      </c>
      <c r="F2023" s="2" t="s">
        <v>39</v>
      </c>
      <c r="G2023" s="2">
        <v>33824.199999999997</v>
      </c>
      <c r="H2023" s="2">
        <v>17771.259999999998</v>
      </c>
      <c r="I2023" s="2" t="s">
        <v>6812</v>
      </c>
      <c r="J2023" s="2" t="s">
        <v>6686</v>
      </c>
      <c r="K2023" s="2" t="s">
        <v>32</v>
      </c>
      <c r="L2023" s="2" t="s">
        <v>23</v>
      </c>
      <c r="M2023" s="2">
        <v>2</v>
      </c>
      <c r="N2023" s="2" t="s">
        <v>33</v>
      </c>
      <c r="O2023" s="2" t="s">
        <v>70</v>
      </c>
      <c r="P2023" s="2" t="s">
        <v>26</v>
      </c>
    </row>
    <row r="2024" spans="1:16" x14ac:dyDescent="0.25">
      <c r="A2024" s="2" t="s">
        <v>4686</v>
      </c>
      <c r="B2024" s="2" t="s">
        <v>6072</v>
      </c>
      <c r="C2024" s="2">
        <v>8759</v>
      </c>
      <c r="D2024" s="2" t="s">
        <v>8997</v>
      </c>
      <c r="E2024" s="2" t="s">
        <v>18</v>
      </c>
      <c r="F2024" s="2" t="s">
        <v>47</v>
      </c>
      <c r="G2024" s="2">
        <v>10870.96</v>
      </c>
      <c r="H2024" s="2">
        <v>5480.01</v>
      </c>
      <c r="I2024" s="2" t="s">
        <v>59</v>
      </c>
      <c r="J2024" s="2" t="s">
        <v>6682</v>
      </c>
      <c r="K2024" s="2" t="s">
        <v>32</v>
      </c>
      <c r="L2024" s="2" t="s">
        <v>23</v>
      </c>
      <c r="M2024" s="2">
        <v>2</v>
      </c>
      <c r="N2024" s="2" t="s">
        <v>33</v>
      </c>
      <c r="O2024" s="2" t="s">
        <v>25</v>
      </c>
      <c r="P2024" s="2" t="s">
        <v>34</v>
      </c>
    </row>
    <row r="2025" spans="1:16" x14ac:dyDescent="0.25">
      <c r="A2025" s="2" t="s">
        <v>4688</v>
      </c>
      <c r="B2025" s="2" t="s">
        <v>547</v>
      </c>
      <c r="C2025" s="2">
        <v>1789</v>
      </c>
      <c r="D2025" s="2" t="s">
        <v>8998</v>
      </c>
      <c r="E2025" s="2" t="s">
        <v>38</v>
      </c>
      <c r="F2025" s="2" t="s">
        <v>30</v>
      </c>
      <c r="G2025" s="2">
        <v>113274.74</v>
      </c>
      <c r="H2025" s="2">
        <v>59941.72</v>
      </c>
      <c r="I2025" s="2" t="s">
        <v>53</v>
      </c>
      <c r="J2025" s="2" t="s">
        <v>54</v>
      </c>
      <c r="K2025" s="2" t="s">
        <v>80</v>
      </c>
      <c r="L2025" s="2" t="s">
        <v>48</v>
      </c>
      <c r="M2025" s="2">
        <v>5</v>
      </c>
      <c r="N2025" s="2" t="s">
        <v>24</v>
      </c>
      <c r="O2025" s="2" t="s">
        <v>70</v>
      </c>
      <c r="P2025" s="2" t="s">
        <v>49</v>
      </c>
    </row>
    <row r="2026" spans="1:16" x14ac:dyDescent="0.25">
      <c r="A2026" s="2" t="s">
        <v>4689</v>
      </c>
      <c r="B2026" s="2" t="s">
        <v>6418</v>
      </c>
      <c r="C2026" s="2">
        <v>6901</v>
      </c>
      <c r="D2026" s="2" t="s">
        <v>8999</v>
      </c>
      <c r="E2026" s="2" t="s">
        <v>18</v>
      </c>
      <c r="F2026" s="2" t="s">
        <v>30</v>
      </c>
      <c r="G2026" s="2">
        <v>74955.490000000005</v>
      </c>
      <c r="H2026" s="2">
        <v>40134.83</v>
      </c>
      <c r="I2026" s="2" t="s">
        <v>53</v>
      </c>
      <c r="J2026" s="2" t="s">
        <v>54</v>
      </c>
      <c r="K2026" s="2" t="s">
        <v>42</v>
      </c>
      <c r="L2026" s="2" t="s">
        <v>64</v>
      </c>
      <c r="M2026" s="2">
        <v>1</v>
      </c>
      <c r="N2026" s="2" t="s">
        <v>33</v>
      </c>
      <c r="O2026" s="2" t="s">
        <v>25</v>
      </c>
      <c r="P2026" s="2" t="s">
        <v>26</v>
      </c>
    </row>
    <row r="2027" spans="1:16" x14ac:dyDescent="0.25">
      <c r="A2027" s="2" t="s">
        <v>4691</v>
      </c>
      <c r="B2027" s="2" t="s">
        <v>9000</v>
      </c>
      <c r="C2027" s="2">
        <v>5056</v>
      </c>
      <c r="D2027" s="2" t="s">
        <v>5466</v>
      </c>
      <c r="E2027" s="2" t="s">
        <v>18</v>
      </c>
      <c r="F2027" s="2" t="s">
        <v>19</v>
      </c>
      <c r="G2027" s="2">
        <v>3352.56</v>
      </c>
      <c r="H2027" s="2">
        <v>1897.08</v>
      </c>
      <c r="I2027" s="2" t="s">
        <v>68</v>
      </c>
      <c r="J2027" s="2" t="s">
        <v>41</v>
      </c>
      <c r="K2027" s="2" t="s">
        <v>32</v>
      </c>
      <c r="L2027" s="2" t="s">
        <v>88</v>
      </c>
      <c r="M2027" s="2">
        <v>4</v>
      </c>
      <c r="N2027" s="2" t="s">
        <v>33</v>
      </c>
      <c r="O2027" s="2" t="s">
        <v>25</v>
      </c>
      <c r="P2027" s="2" t="s">
        <v>26</v>
      </c>
    </row>
    <row r="2028" spans="1:16" x14ac:dyDescent="0.25">
      <c r="A2028" s="2" t="s">
        <v>4693</v>
      </c>
      <c r="B2028" s="2" t="s">
        <v>396</v>
      </c>
      <c r="C2028" s="2">
        <v>1038</v>
      </c>
      <c r="D2028" s="2" t="s">
        <v>9001</v>
      </c>
      <c r="E2028" s="2" t="s">
        <v>6703</v>
      </c>
      <c r="F2028" s="2" t="s">
        <v>30</v>
      </c>
      <c r="G2028" s="2">
        <v>78936.44</v>
      </c>
      <c r="H2028" s="2">
        <v>49361.45</v>
      </c>
      <c r="I2028" s="2" t="s">
        <v>6918</v>
      </c>
      <c r="J2028" s="2" t="s">
        <v>6789</v>
      </c>
      <c r="K2028" s="2" t="s">
        <v>32</v>
      </c>
      <c r="L2028" s="2" t="s">
        <v>55</v>
      </c>
      <c r="M2028" s="2">
        <v>1</v>
      </c>
      <c r="N2028" s="2" t="s">
        <v>33</v>
      </c>
      <c r="O2028" s="2" t="s">
        <v>25</v>
      </c>
      <c r="P2028" s="2" t="s">
        <v>34</v>
      </c>
    </row>
    <row r="2029" spans="1:16" x14ac:dyDescent="0.25">
      <c r="A2029" s="2" t="s">
        <v>4695</v>
      </c>
      <c r="B2029" s="2" t="s">
        <v>3772</v>
      </c>
      <c r="C2029" s="2">
        <v>4552</v>
      </c>
      <c r="D2029" s="2" t="s">
        <v>595</v>
      </c>
      <c r="E2029" s="2" t="s">
        <v>18</v>
      </c>
      <c r="F2029" s="2" t="s">
        <v>58</v>
      </c>
      <c r="G2029" s="2">
        <v>28155.43</v>
      </c>
      <c r="H2029" s="2">
        <v>12697.37</v>
      </c>
      <c r="I2029" s="2" t="s">
        <v>63</v>
      </c>
      <c r="J2029" s="2" t="s">
        <v>54</v>
      </c>
      <c r="K2029" s="2" t="s">
        <v>32</v>
      </c>
      <c r="L2029" s="2" t="s">
        <v>55</v>
      </c>
      <c r="M2029" s="2">
        <v>2</v>
      </c>
      <c r="N2029" s="2" t="s">
        <v>24</v>
      </c>
      <c r="O2029" s="2" t="s">
        <v>25</v>
      </c>
      <c r="P2029" s="2" t="s">
        <v>26</v>
      </c>
    </row>
    <row r="2030" spans="1:16" x14ac:dyDescent="0.25">
      <c r="A2030" s="2" t="s">
        <v>4698</v>
      </c>
      <c r="B2030" s="2" t="s">
        <v>2093</v>
      </c>
      <c r="C2030" s="2">
        <v>6696</v>
      </c>
      <c r="D2030" s="2" t="s">
        <v>9002</v>
      </c>
      <c r="E2030" s="2" t="s">
        <v>18</v>
      </c>
      <c r="F2030" s="2" t="s">
        <v>58</v>
      </c>
      <c r="G2030" s="2">
        <v>38634.31</v>
      </c>
      <c r="H2030" s="2">
        <v>24714.99</v>
      </c>
      <c r="I2030" s="2" t="s">
        <v>59</v>
      </c>
      <c r="J2030" s="2" t="s">
        <v>41</v>
      </c>
      <c r="K2030" s="2" t="s">
        <v>22</v>
      </c>
      <c r="L2030" s="2" t="s">
        <v>48</v>
      </c>
      <c r="M2030" s="2">
        <v>4</v>
      </c>
      <c r="N2030" s="2" t="s">
        <v>24</v>
      </c>
      <c r="O2030" s="2" t="s">
        <v>25</v>
      </c>
      <c r="P2030" s="2" t="s">
        <v>49</v>
      </c>
    </row>
    <row r="2031" spans="1:16" x14ac:dyDescent="0.25">
      <c r="A2031" s="2" t="s">
        <v>4701</v>
      </c>
      <c r="B2031" s="2" t="s">
        <v>2085</v>
      </c>
      <c r="C2031" s="2">
        <v>2297</v>
      </c>
      <c r="D2031" s="2" t="s">
        <v>9003</v>
      </c>
      <c r="E2031" s="2" t="s">
        <v>38</v>
      </c>
      <c r="F2031" s="2" t="s">
        <v>58</v>
      </c>
      <c r="G2031" s="2">
        <v>22358.47</v>
      </c>
      <c r="H2031" s="2">
        <v>11594</v>
      </c>
      <c r="I2031" s="2" t="s">
        <v>84</v>
      </c>
      <c r="J2031" s="2" t="s">
        <v>54</v>
      </c>
      <c r="K2031" s="2" t="s">
        <v>32</v>
      </c>
      <c r="L2031" s="2" t="s">
        <v>23</v>
      </c>
      <c r="M2031" s="2">
        <v>3</v>
      </c>
      <c r="N2031" s="2" t="s">
        <v>69</v>
      </c>
      <c r="O2031" s="2" t="s">
        <v>25</v>
      </c>
      <c r="P2031" s="2" t="s">
        <v>34</v>
      </c>
    </row>
    <row r="2032" spans="1:16" x14ac:dyDescent="0.25">
      <c r="A2032" s="2" t="s">
        <v>4704</v>
      </c>
      <c r="B2032" s="2" t="s">
        <v>2136</v>
      </c>
      <c r="C2032" s="2">
        <v>6121</v>
      </c>
      <c r="D2032" s="2" t="s">
        <v>7801</v>
      </c>
      <c r="E2032" s="2" t="s">
        <v>38</v>
      </c>
      <c r="F2032" s="2" t="s">
        <v>47</v>
      </c>
      <c r="G2032" s="2">
        <v>13207.5</v>
      </c>
      <c r="H2032" s="2">
        <v>6747.57</v>
      </c>
      <c r="I2032" s="2" t="s">
        <v>31</v>
      </c>
      <c r="J2032" s="2" t="s">
        <v>21</v>
      </c>
      <c r="K2032" s="2" t="s">
        <v>22</v>
      </c>
      <c r="L2032" s="2" t="s">
        <v>55</v>
      </c>
      <c r="M2032" s="2">
        <v>4</v>
      </c>
      <c r="N2032" s="2" t="s">
        <v>69</v>
      </c>
      <c r="O2032" s="2" t="s">
        <v>25</v>
      </c>
      <c r="P2032" s="2" t="s">
        <v>49</v>
      </c>
    </row>
    <row r="2033" spans="1:16" x14ac:dyDescent="0.25">
      <c r="A2033" s="2" t="s">
        <v>4706</v>
      </c>
      <c r="B2033" s="2" t="s">
        <v>370</v>
      </c>
      <c r="C2033" s="2">
        <v>5169</v>
      </c>
      <c r="D2033" s="2" t="s">
        <v>9004</v>
      </c>
      <c r="E2033" s="2" t="s">
        <v>18</v>
      </c>
      <c r="F2033" s="2" t="s">
        <v>30</v>
      </c>
      <c r="G2033" s="2">
        <v>17710.98</v>
      </c>
      <c r="H2033" s="2">
        <v>8810.91</v>
      </c>
      <c r="I2033" s="2" t="s">
        <v>6723</v>
      </c>
      <c r="J2033" s="2" t="s">
        <v>6795</v>
      </c>
      <c r="K2033" s="2" t="s">
        <v>22</v>
      </c>
      <c r="L2033" s="2" t="s">
        <v>43</v>
      </c>
      <c r="M2033" s="2">
        <v>2</v>
      </c>
      <c r="N2033" s="2" t="s">
        <v>33</v>
      </c>
      <c r="O2033" s="2" t="s">
        <v>70</v>
      </c>
      <c r="P2033" s="2" t="s">
        <v>49</v>
      </c>
    </row>
    <row r="2034" spans="1:16" x14ac:dyDescent="0.25">
      <c r="A2034" s="2" t="s">
        <v>4709</v>
      </c>
      <c r="B2034" s="2" t="s">
        <v>8737</v>
      </c>
      <c r="C2034" s="2">
        <v>3915</v>
      </c>
      <c r="D2034" s="2" t="s">
        <v>9005</v>
      </c>
      <c r="E2034" s="2" t="s">
        <v>38</v>
      </c>
      <c r="F2034" s="2" t="s">
        <v>39</v>
      </c>
      <c r="G2034" s="2">
        <v>34535.08</v>
      </c>
      <c r="H2034" s="2">
        <v>19314.669999999998</v>
      </c>
      <c r="I2034" s="2" t="s">
        <v>6918</v>
      </c>
      <c r="J2034" s="2" t="s">
        <v>21</v>
      </c>
      <c r="K2034" s="2" t="s">
        <v>32</v>
      </c>
      <c r="L2034" s="2" t="s">
        <v>48</v>
      </c>
      <c r="M2034" s="2">
        <v>3</v>
      </c>
      <c r="N2034" s="2" t="s">
        <v>33</v>
      </c>
      <c r="O2034" s="2" t="s">
        <v>25</v>
      </c>
      <c r="P2034" s="2" t="s">
        <v>26</v>
      </c>
    </row>
    <row r="2035" spans="1:16" x14ac:dyDescent="0.25">
      <c r="A2035" s="2" t="s">
        <v>4711</v>
      </c>
      <c r="B2035" s="2" t="s">
        <v>2857</v>
      </c>
      <c r="C2035" s="2">
        <v>9669</v>
      </c>
      <c r="D2035" s="2" t="s">
        <v>8997</v>
      </c>
      <c r="E2035" s="2" t="s">
        <v>18</v>
      </c>
      <c r="F2035" s="2" t="s">
        <v>30</v>
      </c>
      <c r="G2035" s="2">
        <v>33430.449999999997</v>
      </c>
      <c r="H2035" s="2">
        <v>17626.400000000001</v>
      </c>
      <c r="I2035" s="2" t="s">
        <v>63</v>
      </c>
      <c r="J2035" s="2" t="s">
        <v>54</v>
      </c>
      <c r="K2035" s="2" t="s">
        <v>22</v>
      </c>
      <c r="L2035" s="2" t="s">
        <v>55</v>
      </c>
      <c r="M2035" s="2">
        <v>1</v>
      </c>
      <c r="N2035" s="2" t="s">
        <v>33</v>
      </c>
      <c r="O2035" s="2" t="s">
        <v>25</v>
      </c>
      <c r="P2035" s="2" t="s">
        <v>26</v>
      </c>
    </row>
    <row r="2036" spans="1:16" x14ac:dyDescent="0.25">
      <c r="A2036" s="2" t="s">
        <v>4713</v>
      </c>
      <c r="B2036" s="2" t="s">
        <v>1162</v>
      </c>
      <c r="C2036" s="2">
        <v>1115</v>
      </c>
      <c r="D2036" s="2" t="s">
        <v>9006</v>
      </c>
      <c r="E2036" s="2" t="s">
        <v>6694</v>
      </c>
      <c r="F2036" s="2" t="s">
        <v>19</v>
      </c>
      <c r="G2036" s="2">
        <v>7629.33</v>
      </c>
      <c r="H2036" s="2">
        <v>3941.45</v>
      </c>
      <c r="I2036" s="2" t="s">
        <v>6681</v>
      </c>
      <c r="J2036" s="2" t="s">
        <v>41</v>
      </c>
      <c r="K2036" s="2" t="s">
        <v>80</v>
      </c>
      <c r="L2036" s="2" t="s">
        <v>88</v>
      </c>
      <c r="M2036" s="2">
        <v>2</v>
      </c>
      <c r="N2036" s="2" t="s">
        <v>33</v>
      </c>
      <c r="O2036" s="2" t="s">
        <v>25</v>
      </c>
      <c r="P2036" s="2" t="s">
        <v>26</v>
      </c>
    </row>
    <row r="2037" spans="1:16" x14ac:dyDescent="0.25">
      <c r="A2037" s="2" t="s">
        <v>4715</v>
      </c>
      <c r="B2037" s="2" t="s">
        <v>871</v>
      </c>
      <c r="C2037" s="2">
        <v>1195</v>
      </c>
      <c r="D2037" s="2" t="s">
        <v>9007</v>
      </c>
      <c r="E2037" s="2" t="s">
        <v>38</v>
      </c>
      <c r="F2037" s="2" t="s">
        <v>58</v>
      </c>
      <c r="G2037" s="2">
        <v>46627.27</v>
      </c>
      <c r="H2037" s="2">
        <v>21705.96</v>
      </c>
      <c r="I2037" s="2" t="s">
        <v>120</v>
      </c>
      <c r="J2037" s="2" t="s">
        <v>21</v>
      </c>
      <c r="K2037" s="2" t="s">
        <v>42</v>
      </c>
      <c r="L2037" s="2" t="s">
        <v>55</v>
      </c>
      <c r="M2037" s="2">
        <v>1</v>
      </c>
      <c r="N2037" s="2" t="s">
        <v>24</v>
      </c>
      <c r="O2037" s="2" t="s">
        <v>25</v>
      </c>
      <c r="P2037" s="2" t="s">
        <v>34</v>
      </c>
    </row>
    <row r="2038" spans="1:16" x14ac:dyDescent="0.25">
      <c r="A2038" s="2" t="s">
        <v>4717</v>
      </c>
      <c r="B2038" s="2" t="s">
        <v>581</v>
      </c>
      <c r="C2038" s="2">
        <v>9018</v>
      </c>
      <c r="D2038" s="2" t="s">
        <v>9008</v>
      </c>
      <c r="E2038" s="2" t="s">
        <v>38</v>
      </c>
      <c r="F2038" s="2" t="s">
        <v>30</v>
      </c>
      <c r="G2038" s="2">
        <v>16877.72</v>
      </c>
      <c r="H2038" s="2">
        <v>10233.530000000001</v>
      </c>
      <c r="I2038" s="2" t="s">
        <v>53</v>
      </c>
      <c r="J2038" s="2" t="s">
        <v>54</v>
      </c>
      <c r="K2038" s="2" t="s">
        <v>42</v>
      </c>
      <c r="L2038" s="2" t="s">
        <v>64</v>
      </c>
      <c r="M2038" s="2">
        <v>4</v>
      </c>
      <c r="N2038" s="2" t="s">
        <v>24</v>
      </c>
      <c r="O2038" s="2" t="s">
        <v>25</v>
      </c>
      <c r="P2038" s="2" t="s">
        <v>26</v>
      </c>
    </row>
    <row r="2039" spans="1:16" x14ac:dyDescent="0.25">
      <c r="A2039" s="2" t="s">
        <v>4719</v>
      </c>
      <c r="B2039" s="2" t="s">
        <v>9009</v>
      </c>
      <c r="C2039" s="2">
        <v>1660</v>
      </c>
      <c r="D2039" s="2" t="s">
        <v>9010</v>
      </c>
      <c r="E2039" s="2" t="s">
        <v>6708</v>
      </c>
      <c r="F2039" s="2" t="s">
        <v>19</v>
      </c>
      <c r="G2039" s="2">
        <v>17039.580000000002</v>
      </c>
      <c r="H2039" s="2">
        <v>8459.44</v>
      </c>
      <c r="I2039" s="2" t="s">
        <v>6918</v>
      </c>
      <c r="J2039" s="2" t="s">
        <v>6795</v>
      </c>
      <c r="K2039" s="2" t="s">
        <v>42</v>
      </c>
      <c r="L2039" s="2" t="s">
        <v>48</v>
      </c>
      <c r="M2039" s="2">
        <v>1</v>
      </c>
      <c r="N2039" s="2" t="s">
        <v>33</v>
      </c>
      <c r="O2039" s="2" t="s">
        <v>70</v>
      </c>
      <c r="P2039" s="2" t="s">
        <v>34</v>
      </c>
    </row>
    <row r="2040" spans="1:16" x14ac:dyDescent="0.25">
      <c r="A2040" s="2" t="s">
        <v>4720</v>
      </c>
      <c r="B2040" s="2" t="s">
        <v>1317</v>
      </c>
      <c r="C2040" s="2">
        <v>4870</v>
      </c>
      <c r="D2040" s="2" t="s">
        <v>9011</v>
      </c>
      <c r="E2040" s="2" t="s">
        <v>18</v>
      </c>
      <c r="F2040" s="2" t="s">
        <v>30</v>
      </c>
      <c r="G2040" s="2">
        <v>13050.29</v>
      </c>
      <c r="H2040" s="2">
        <v>6154.36</v>
      </c>
      <c r="I2040" s="2" t="s">
        <v>63</v>
      </c>
      <c r="J2040" s="2" t="s">
        <v>54</v>
      </c>
      <c r="K2040" s="2" t="s">
        <v>32</v>
      </c>
      <c r="L2040" s="2" t="s">
        <v>55</v>
      </c>
      <c r="M2040" s="2">
        <v>2</v>
      </c>
      <c r="N2040" s="2" t="s">
        <v>33</v>
      </c>
      <c r="O2040" s="2" t="s">
        <v>25</v>
      </c>
      <c r="P2040" s="2" t="s">
        <v>26</v>
      </c>
    </row>
    <row r="2041" spans="1:16" x14ac:dyDescent="0.25">
      <c r="A2041" s="2" t="s">
        <v>4722</v>
      </c>
      <c r="B2041" s="2" t="s">
        <v>299</v>
      </c>
      <c r="C2041" s="2">
        <v>3928</v>
      </c>
      <c r="D2041" s="2" t="s">
        <v>2694</v>
      </c>
      <c r="E2041" s="2" t="s">
        <v>38</v>
      </c>
      <c r="F2041" s="2" t="s">
        <v>47</v>
      </c>
      <c r="G2041" s="2">
        <v>3470.95</v>
      </c>
      <c r="H2041" s="2">
        <v>1780.46</v>
      </c>
      <c r="I2041" s="2" t="s">
        <v>20</v>
      </c>
      <c r="J2041" s="2" t="s">
        <v>21</v>
      </c>
      <c r="K2041" s="2" t="s">
        <v>22</v>
      </c>
      <c r="L2041" s="2" t="s">
        <v>48</v>
      </c>
      <c r="M2041" s="2">
        <v>4</v>
      </c>
      <c r="N2041" s="2" t="s">
        <v>24</v>
      </c>
      <c r="O2041" s="2" t="s">
        <v>70</v>
      </c>
      <c r="P2041" s="2" t="s">
        <v>34</v>
      </c>
    </row>
    <row r="2042" spans="1:16" x14ac:dyDescent="0.25">
      <c r="A2042" s="2" t="s">
        <v>4724</v>
      </c>
      <c r="B2042" s="2" t="s">
        <v>146</v>
      </c>
      <c r="C2042" s="2">
        <v>8207</v>
      </c>
      <c r="D2042" s="2" t="s">
        <v>9012</v>
      </c>
      <c r="E2042" s="2" t="s">
        <v>38</v>
      </c>
      <c r="F2042" s="2" t="s">
        <v>58</v>
      </c>
      <c r="G2042" s="2">
        <v>41757.29</v>
      </c>
      <c r="H2042" s="2">
        <v>23435.45</v>
      </c>
      <c r="I2042" s="2" t="s">
        <v>120</v>
      </c>
      <c r="J2042" s="2" t="s">
        <v>21</v>
      </c>
      <c r="K2042" s="2" t="s">
        <v>32</v>
      </c>
      <c r="L2042" s="2" t="s">
        <v>48</v>
      </c>
      <c r="M2042" s="2">
        <v>1</v>
      </c>
      <c r="N2042" s="2" t="s">
        <v>33</v>
      </c>
      <c r="O2042" s="2" t="s">
        <v>70</v>
      </c>
      <c r="P2042" s="2" t="s">
        <v>34</v>
      </c>
    </row>
    <row r="2043" spans="1:16" x14ac:dyDescent="0.25">
      <c r="A2043" s="2" t="s">
        <v>4727</v>
      </c>
      <c r="B2043" s="2" t="s">
        <v>1212</v>
      </c>
      <c r="C2043" s="2">
        <v>2314</v>
      </c>
      <c r="D2043" s="2" t="s">
        <v>9013</v>
      </c>
      <c r="E2043" s="2" t="s">
        <v>18</v>
      </c>
      <c r="F2043" s="2" t="s">
        <v>30</v>
      </c>
      <c r="G2043" s="2">
        <v>61915</v>
      </c>
      <c r="H2043" s="2">
        <v>36005.360000000001</v>
      </c>
      <c r="I2043" s="2" t="s">
        <v>84</v>
      </c>
      <c r="J2043" s="2" t="s">
        <v>54</v>
      </c>
      <c r="K2043" s="2" t="s">
        <v>22</v>
      </c>
      <c r="L2043" s="2" t="s">
        <v>43</v>
      </c>
      <c r="M2043" s="2">
        <v>1</v>
      </c>
      <c r="N2043" s="2" t="s">
        <v>69</v>
      </c>
      <c r="O2043" s="2" t="s">
        <v>25</v>
      </c>
      <c r="P2043" s="2" t="s">
        <v>34</v>
      </c>
    </row>
    <row r="2044" spans="1:16" x14ac:dyDescent="0.25">
      <c r="A2044" s="2" t="s">
        <v>4729</v>
      </c>
      <c r="B2044" s="2" t="s">
        <v>3470</v>
      </c>
      <c r="C2044" s="2">
        <v>7817</v>
      </c>
      <c r="D2044" s="2" t="s">
        <v>9014</v>
      </c>
      <c r="E2044" s="2" t="s">
        <v>18</v>
      </c>
      <c r="F2044" s="2" t="s">
        <v>30</v>
      </c>
      <c r="G2044" s="2">
        <v>75439.649999999994</v>
      </c>
      <c r="H2044" s="2">
        <v>39052.51</v>
      </c>
      <c r="I2044" s="2" t="s">
        <v>53</v>
      </c>
      <c r="J2044" s="2" t="s">
        <v>54</v>
      </c>
      <c r="K2044" s="2" t="s">
        <v>42</v>
      </c>
      <c r="L2044" s="2" t="s">
        <v>43</v>
      </c>
      <c r="M2044" s="2">
        <v>4</v>
      </c>
      <c r="N2044" s="2" t="s">
        <v>24</v>
      </c>
      <c r="O2044" s="2" t="s">
        <v>25</v>
      </c>
      <c r="P2044" s="2" t="s">
        <v>26</v>
      </c>
    </row>
    <row r="2045" spans="1:16" x14ac:dyDescent="0.25">
      <c r="A2045" s="2" t="s">
        <v>4731</v>
      </c>
      <c r="B2045" s="2" t="s">
        <v>1766</v>
      </c>
      <c r="C2045" s="2">
        <v>1657</v>
      </c>
      <c r="D2045" s="2" t="s">
        <v>9015</v>
      </c>
      <c r="E2045" s="2" t="s">
        <v>18</v>
      </c>
      <c r="F2045" s="2" t="s">
        <v>30</v>
      </c>
      <c r="G2045" s="2">
        <v>76554.63</v>
      </c>
      <c r="H2045" s="2">
        <v>44638.71</v>
      </c>
      <c r="I2045" s="2" t="s">
        <v>120</v>
      </c>
      <c r="J2045" s="2" t="s">
        <v>21</v>
      </c>
      <c r="K2045" s="2" t="s">
        <v>22</v>
      </c>
      <c r="L2045" s="2" t="s">
        <v>88</v>
      </c>
      <c r="M2045" s="2">
        <v>3</v>
      </c>
      <c r="N2045" s="2" t="s">
        <v>69</v>
      </c>
      <c r="O2045" s="2" t="s">
        <v>25</v>
      </c>
      <c r="P2045" s="2" t="s">
        <v>49</v>
      </c>
    </row>
    <row r="2046" spans="1:16" x14ac:dyDescent="0.25">
      <c r="A2046" s="2" t="s">
        <v>4733</v>
      </c>
      <c r="B2046" s="2" t="s">
        <v>4220</v>
      </c>
      <c r="C2046" s="2">
        <v>6788</v>
      </c>
      <c r="D2046" s="2" t="s">
        <v>5509</v>
      </c>
      <c r="E2046" s="2" t="s">
        <v>18</v>
      </c>
      <c r="F2046" s="2" t="s">
        <v>58</v>
      </c>
      <c r="G2046" s="2">
        <v>41532.400000000001</v>
      </c>
      <c r="H2046" s="2">
        <v>23043.29</v>
      </c>
      <c r="I2046" s="2" t="s">
        <v>84</v>
      </c>
      <c r="J2046" s="2" t="s">
        <v>54</v>
      </c>
      <c r="K2046" s="2" t="s">
        <v>80</v>
      </c>
      <c r="L2046" s="2" t="s">
        <v>23</v>
      </c>
      <c r="M2046" s="2">
        <v>3</v>
      </c>
      <c r="N2046" s="2" t="s">
        <v>24</v>
      </c>
      <c r="O2046" s="2" t="s">
        <v>25</v>
      </c>
      <c r="P2046" s="2" t="s">
        <v>34</v>
      </c>
    </row>
    <row r="2047" spans="1:16" x14ac:dyDescent="0.25">
      <c r="A2047" s="2" t="s">
        <v>4734</v>
      </c>
      <c r="B2047" s="2" t="s">
        <v>1329</v>
      </c>
      <c r="C2047" s="2">
        <v>1260</v>
      </c>
      <c r="D2047" s="2" t="s">
        <v>5941</v>
      </c>
      <c r="E2047" s="2" t="s">
        <v>18</v>
      </c>
      <c r="F2047" s="2" t="s">
        <v>58</v>
      </c>
      <c r="G2047" s="2">
        <v>42376.28</v>
      </c>
      <c r="H2047" s="2">
        <v>21229.97</v>
      </c>
      <c r="I2047" s="2" t="s">
        <v>20</v>
      </c>
      <c r="J2047" s="2" t="s">
        <v>21</v>
      </c>
      <c r="K2047" s="2" t="s">
        <v>32</v>
      </c>
      <c r="L2047" s="2" t="s">
        <v>43</v>
      </c>
      <c r="M2047" s="2">
        <v>5</v>
      </c>
      <c r="N2047" s="2" t="s">
        <v>33</v>
      </c>
      <c r="O2047" s="2" t="s">
        <v>25</v>
      </c>
      <c r="P2047" s="2" t="s">
        <v>49</v>
      </c>
    </row>
    <row r="2048" spans="1:16" x14ac:dyDescent="0.25">
      <c r="A2048" s="2" t="s">
        <v>4735</v>
      </c>
      <c r="B2048" s="2" t="s">
        <v>5095</v>
      </c>
      <c r="C2048" s="2">
        <v>8453</v>
      </c>
      <c r="D2048" s="2" t="s">
        <v>132</v>
      </c>
      <c r="E2048" s="2" t="s">
        <v>18</v>
      </c>
      <c r="F2048" s="2" t="s">
        <v>39</v>
      </c>
      <c r="G2048" s="2">
        <v>26322.69</v>
      </c>
      <c r="H2048" s="2">
        <v>13069.31</v>
      </c>
      <c r="I2048" s="2" t="s">
        <v>120</v>
      </c>
      <c r="J2048" s="2" t="s">
        <v>21</v>
      </c>
      <c r="K2048" s="2" t="s">
        <v>80</v>
      </c>
      <c r="L2048" s="2" t="s">
        <v>48</v>
      </c>
      <c r="M2048" s="2">
        <v>3</v>
      </c>
      <c r="N2048" s="2" t="s">
        <v>33</v>
      </c>
      <c r="O2048" s="2" t="s">
        <v>25</v>
      </c>
      <c r="P2048" s="2" t="s">
        <v>26</v>
      </c>
    </row>
    <row r="2049" spans="1:16" x14ac:dyDescent="0.25">
      <c r="A2049" s="2" t="s">
        <v>4737</v>
      </c>
      <c r="B2049" s="2" t="s">
        <v>5978</v>
      </c>
      <c r="C2049" s="2">
        <v>5078</v>
      </c>
      <c r="D2049" s="2" t="s">
        <v>9016</v>
      </c>
      <c r="E2049" s="2" t="s">
        <v>38</v>
      </c>
      <c r="F2049" s="2" t="s">
        <v>30</v>
      </c>
      <c r="G2049" s="2">
        <v>70593.86</v>
      </c>
      <c r="H2049" s="2">
        <v>44001.45</v>
      </c>
      <c r="I2049" s="2" t="s">
        <v>31</v>
      </c>
      <c r="J2049" s="2" t="s">
        <v>21</v>
      </c>
      <c r="K2049" s="2" t="s">
        <v>32</v>
      </c>
      <c r="L2049" s="2" t="s">
        <v>88</v>
      </c>
      <c r="M2049" s="2">
        <v>1</v>
      </c>
      <c r="N2049" s="2" t="s">
        <v>69</v>
      </c>
      <c r="O2049" s="2" t="s">
        <v>70</v>
      </c>
      <c r="P2049" s="2" t="s">
        <v>26</v>
      </c>
    </row>
    <row r="2050" spans="1:16" x14ac:dyDescent="0.25">
      <c r="A2050" s="2" t="s">
        <v>4739</v>
      </c>
      <c r="B2050" s="2" t="s">
        <v>3874</v>
      </c>
      <c r="C2050" s="2">
        <v>3182</v>
      </c>
      <c r="D2050" s="2" t="s">
        <v>7182</v>
      </c>
      <c r="E2050" s="2" t="s">
        <v>6694</v>
      </c>
      <c r="F2050" s="2" t="s">
        <v>39</v>
      </c>
      <c r="G2050" s="2">
        <v>29032.75</v>
      </c>
      <c r="H2050" s="2">
        <v>17069.59</v>
      </c>
      <c r="I2050" s="2" t="s">
        <v>6736</v>
      </c>
      <c r="J2050" s="2" t="s">
        <v>6753</v>
      </c>
      <c r="K2050" s="2" t="s">
        <v>42</v>
      </c>
      <c r="L2050" s="2" t="s">
        <v>48</v>
      </c>
      <c r="M2050" s="2">
        <v>3</v>
      </c>
      <c r="N2050" s="2" t="s">
        <v>33</v>
      </c>
      <c r="O2050" s="2" t="s">
        <v>70</v>
      </c>
      <c r="P2050" s="2" t="s">
        <v>26</v>
      </c>
    </row>
    <row r="2051" spans="1:16" x14ac:dyDescent="0.25">
      <c r="A2051" s="2" t="s">
        <v>4742</v>
      </c>
      <c r="B2051" s="2" t="s">
        <v>9017</v>
      </c>
      <c r="C2051" s="2">
        <v>5363</v>
      </c>
      <c r="D2051" s="2" t="s">
        <v>9018</v>
      </c>
      <c r="E2051" s="2" t="s">
        <v>6698</v>
      </c>
      <c r="F2051" s="2" t="s">
        <v>58</v>
      </c>
      <c r="G2051" s="2">
        <v>29578.34</v>
      </c>
      <c r="H2051" s="2">
        <v>17549.43</v>
      </c>
      <c r="I2051" s="2" t="s">
        <v>6736</v>
      </c>
      <c r="J2051" s="2" t="s">
        <v>6700</v>
      </c>
      <c r="K2051" s="2" t="s">
        <v>42</v>
      </c>
      <c r="L2051" s="2" t="s">
        <v>23</v>
      </c>
      <c r="M2051" s="2">
        <v>3</v>
      </c>
      <c r="N2051" s="2" t="s">
        <v>69</v>
      </c>
      <c r="O2051" s="2" t="s">
        <v>70</v>
      </c>
      <c r="P2051" s="2" t="s">
        <v>26</v>
      </c>
    </row>
    <row r="2052" spans="1:16" x14ac:dyDescent="0.25">
      <c r="A2052" s="2" t="s">
        <v>4743</v>
      </c>
      <c r="B2052" s="2" t="s">
        <v>2918</v>
      </c>
      <c r="C2052" s="2">
        <v>9707</v>
      </c>
      <c r="D2052" s="2" t="s">
        <v>5522</v>
      </c>
      <c r="E2052" s="2" t="s">
        <v>6708</v>
      </c>
      <c r="F2052" s="2" t="s">
        <v>39</v>
      </c>
      <c r="G2052" s="2">
        <v>17840.43</v>
      </c>
      <c r="H2052" s="2">
        <v>10259.89</v>
      </c>
      <c r="I2052" s="2" t="s">
        <v>6739</v>
      </c>
      <c r="J2052" s="2" t="s">
        <v>6753</v>
      </c>
      <c r="K2052" s="2" t="s">
        <v>42</v>
      </c>
      <c r="L2052" s="2" t="s">
        <v>64</v>
      </c>
      <c r="M2052" s="2">
        <v>2</v>
      </c>
      <c r="N2052" s="2" t="s">
        <v>24</v>
      </c>
      <c r="O2052" s="2" t="s">
        <v>70</v>
      </c>
      <c r="P2052" s="2" t="s">
        <v>26</v>
      </c>
    </row>
    <row r="2053" spans="1:16" x14ac:dyDescent="0.25">
      <c r="A2053" s="2" t="s">
        <v>4745</v>
      </c>
      <c r="B2053" s="2" t="s">
        <v>2255</v>
      </c>
      <c r="C2053" s="2">
        <v>9210</v>
      </c>
      <c r="D2053" s="2" t="s">
        <v>9019</v>
      </c>
      <c r="E2053" s="2" t="s">
        <v>38</v>
      </c>
      <c r="F2053" s="2" t="s">
        <v>47</v>
      </c>
      <c r="G2053" s="2">
        <v>5369.49</v>
      </c>
      <c r="H2053" s="2">
        <v>2889.78</v>
      </c>
      <c r="I2053" s="2" t="s">
        <v>20</v>
      </c>
      <c r="J2053" s="2" t="s">
        <v>21</v>
      </c>
      <c r="K2053" s="2" t="s">
        <v>32</v>
      </c>
      <c r="L2053" s="2" t="s">
        <v>88</v>
      </c>
      <c r="M2053" s="2">
        <v>2</v>
      </c>
      <c r="N2053" s="2" t="s">
        <v>24</v>
      </c>
      <c r="O2053" s="2" t="s">
        <v>70</v>
      </c>
      <c r="P2053" s="2" t="s">
        <v>49</v>
      </c>
    </row>
    <row r="2054" spans="1:16" x14ac:dyDescent="0.25">
      <c r="A2054" s="2" t="s">
        <v>4748</v>
      </c>
      <c r="B2054" s="2" t="s">
        <v>4723</v>
      </c>
      <c r="C2054" s="2">
        <v>2001</v>
      </c>
      <c r="D2054" s="2" t="s">
        <v>9020</v>
      </c>
      <c r="E2054" s="2" t="s">
        <v>6680</v>
      </c>
      <c r="F2054" s="2" t="s">
        <v>30</v>
      </c>
      <c r="G2054" s="2">
        <v>35775.64</v>
      </c>
      <c r="H2054" s="2">
        <v>16952.14</v>
      </c>
      <c r="I2054" s="2" t="s">
        <v>6699</v>
      </c>
      <c r="J2054" s="2" t="s">
        <v>6686</v>
      </c>
      <c r="K2054" s="2" t="s">
        <v>42</v>
      </c>
      <c r="L2054" s="2" t="s">
        <v>48</v>
      </c>
      <c r="M2054" s="2">
        <v>1</v>
      </c>
      <c r="N2054" s="2" t="s">
        <v>24</v>
      </c>
      <c r="O2054" s="2" t="s">
        <v>25</v>
      </c>
      <c r="P2054" s="2" t="s">
        <v>34</v>
      </c>
    </row>
    <row r="2055" spans="1:16" x14ac:dyDescent="0.25">
      <c r="A2055" s="2" t="s">
        <v>4750</v>
      </c>
      <c r="B2055" s="2" t="s">
        <v>2821</v>
      </c>
      <c r="C2055" s="2">
        <v>5261</v>
      </c>
      <c r="D2055" s="2" t="s">
        <v>8974</v>
      </c>
      <c r="E2055" s="2" t="s">
        <v>38</v>
      </c>
      <c r="F2055" s="2" t="s">
        <v>39</v>
      </c>
      <c r="G2055" s="2">
        <v>27104.03</v>
      </c>
      <c r="H2055" s="2">
        <v>17604.84</v>
      </c>
      <c r="I2055" s="2" t="s">
        <v>68</v>
      </c>
      <c r="J2055" s="2" t="s">
        <v>41</v>
      </c>
      <c r="K2055" s="2" t="s">
        <v>22</v>
      </c>
      <c r="L2055" s="2" t="s">
        <v>48</v>
      </c>
      <c r="M2055" s="2">
        <v>5</v>
      </c>
      <c r="N2055" s="2" t="s">
        <v>33</v>
      </c>
      <c r="O2055" s="2" t="s">
        <v>25</v>
      </c>
      <c r="P2055" s="2" t="s">
        <v>34</v>
      </c>
    </row>
    <row r="2056" spans="1:16" x14ac:dyDescent="0.25">
      <c r="A2056" s="2" t="s">
        <v>4752</v>
      </c>
      <c r="B2056" s="2" t="s">
        <v>3721</v>
      </c>
      <c r="C2056" s="2">
        <v>6055</v>
      </c>
      <c r="D2056" s="2" t="s">
        <v>9021</v>
      </c>
      <c r="E2056" s="2" t="s">
        <v>18</v>
      </c>
      <c r="F2056" s="2" t="s">
        <v>30</v>
      </c>
      <c r="G2056" s="2">
        <v>91588.85</v>
      </c>
      <c r="H2056" s="2">
        <v>59309.02</v>
      </c>
      <c r="I2056" s="2" t="s">
        <v>53</v>
      </c>
      <c r="J2056" s="2" t="s">
        <v>54</v>
      </c>
      <c r="K2056" s="2" t="s">
        <v>22</v>
      </c>
      <c r="L2056" s="2" t="s">
        <v>88</v>
      </c>
      <c r="M2056" s="2">
        <v>4</v>
      </c>
      <c r="N2056" s="2" t="s">
        <v>33</v>
      </c>
      <c r="O2056" s="2" t="s">
        <v>25</v>
      </c>
      <c r="P2056" s="2" t="s">
        <v>49</v>
      </c>
    </row>
    <row r="2057" spans="1:16" x14ac:dyDescent="0.25">
      <c r="A2057" s="2" t="s">
        <v>4754</v>
      </c>
      <c r="B2057" s="2" t="s">
        <v>483</v>
      </c>
      <c r="C2057" s="2">
        <v>4970</v>
      </c>
      <c r="D2057" s="2" t="s">
        <v>9022</v>
      </c>
      <c r="E2057" s="2" t="s">
        <v>38</v>
      </c>
      <c r="F2057" s="2" t="s">
        <v>39</v>
      </c>
      <c r="G2057" s="2">
        <v>55700.17</v>
      </c>
      <c r="H2057" s="2">
        <v>31828.59</v>
      </c>
      <c r="I2057" s="2" t="s">
        <v>63</v>
      </c>
      <c r="J2057" s="2" t="s">
        <v>54</v>
      </c>
      <c r="K2057" s="2" t="s">
        <v>32</v>
      </c>
      <c r="L2057" s="2" t="s">
        <v>55</v>
      </c>
      <c r="M2057" s="2">
        <v>5</v>
      </c>
      <c r="N2057" s="2" t="s">
        <v>69</v>
      </c>
      <c r="O2057" s="2" t="s">
        <v>25</v>
      </c>
      <c r="P2057" s="2" t="s">
        <v>49</v>
      </c>
    </row>
    <row r="2058" spans="1:16" x14ac:dyDescent="0.25">
      <c r="A2058" s="2" t="s">
        <v>4756</v>
      </c>
      <c r="B2058" s="2" t="s">
        <v>3292</v>
      </c>
      <c r="C2058" s="2">
        <v>2368</v>
      </c>
      <c r="D2058" s="2" t="s">
        <v>5534</v>
      </c>
      <c r="E2058" s="2" t="s">
        <v>38</v>
      </c>
      <c r="F2058" s="2" t="s">
        <v>30</v>
      </c>
      <c r="G2058" s="2">
        <v>81653.259999999995</v>
      </c>
      <c r="H2058" s="2">
        <v>38415.82</v>
      </c>
      <c r="I2058" s="2" t="s">
        <v>6720</v>
      </c>
      <c r="J2058" s="2" t="s">
        <v>54</v>
      </c>
      <c r="K2058" s="2" t="s">
        <v>32</v>
      </c>
      <c r="L2058" s="2" t="s">
        <v>88</v>
      </c>
      <c r="M2058" s="2">
        <v>1</v>
      </c>
      <c r="N2058" s="2" t="s">
        <v>33</v>
      </c>
      <c r="O2058" s="2" t="s">
        <v>70</v>
      </c>
      <c r="P2058" s="2" t="s">
        <v>26</v>
      </c>
    </row>
    <row r="2059" spans="1:16" x14ac:dyDescent="0.25">
      <c r="A2059" s="2" t="s">
        <v>4758</v>
      </c>
      <c r="B2059" s="2" t="s">
        <v>2656</v>
      </c>
      <c r="C2059" s="2">
        <v>7809</v>
      </c>
      <c r="D2059" s="2" t="s">
        <v>9023</v>
      </c>
      <c r="E2059" s="2" t="s">
        <v>18</v>
      </c>
      <c r="F2059" s="2" t="s">
        <v>58</v>
      </c>
      <c r="G2059" s="2">
        <v>47457.38</v>
      </c>
      <c r="H2059" s="2">
        <v>22426.65</v>
      </c>
      <c r="I2059" s="2" t="s">
        <v>53</v>
      </c>
      <c r="J2059" s="2" t="s">
        <v>54</v>
      </c>
      <c r="K2059" s="2" t="s">
        <v>32</v>
      </c>
      <c r="L2059" s="2" t="s">
        <v>55</v>
      </c>
      <c r="M2059" s="2">
        <v>5</v>
      </c>
      <c r="N2059" s="2" t="s">
        <v>33</v>
      </c>
      <c r="O2059" s="2" t="s">
        <v>25</v>
      </c>
      <c r="P2059" s="2" t="s">
        <v>49</v>
      </c>
    </row>
    <row r="2060" spans="1:16" x14ac:dyDescent="0.25">
      <c r="A2060" s="2" t="s">
        <v>4760</v>
      </c>
      <c r="B2060" s="2" t="s">
        <v>9024</v>
      </c>
      <c r="C2060" s="2">
        <v>7237</v>
      </c>
      <c r="D2060" s="2" t="s">
        <v>1473</v>
      </c>
      <c r="E2060" s="2" t="s">
        <v>6748</v>
      </c>
      <c r="F2060" s="2" t="s">
        <v>39</v>
      </c>
      <c r="G2060" s="2">
        <v>29591.77</v>
      </c>
      <c r="H2060" s="2">
        <v>14862.58</v>
      </c>
      <c r="I2060" s="2" t="s">
        <v>6723</v>
      </c>
      <c r="J2060" s="2" t="s">
        <v>6802</v>
      </c>
      <c r="K2060" s="2" t="s">
        <v>22</v>
      </c>
      <c r="L2060" s="2" t="s">
        <v>55</v>
      </c>
      <c r="M2060" s="2">
        <v>1</v>
      </c>
      <c r="N2060" s="2" t="s">
        <v>33</v>
      </c>
      <c r="O2060" s="2" t="s">
        <v>25</v>
      </c>
      <c r="P2060" s="2" t="s">
        <v>34</v>
      </c>
    </row>
    <row r="2061" spans="1:16" x14ac:dyDescent="0.25">
      <c r="A2061" s="2" t="s">
        <v>4762</v>
      </c>
      <c r="B2061" s="2" t="s">
        <v>9025</v>
      </c>
      <c r="C2061" s="2">
        <v>6799</v>
      </c>
      <c r="D2061" s="2" t="s">
        <v>6234</v>
      </c>
      <c r="E2061" s="2" t="s">
        <v>38</v>
      </c>
      <c r="F2061" s="2" t="s">
        <v>39</v>
      </c>
      <c r="G2061" s="2">
        <v>11811.27</v>
      </c>
      <c r="H2061" s="2">
        <v>6979.59</v>
      </c>
      <c r="I2061" s="2" t="s">
        <v>68</v>
      </c>
      <c r="J2061" s="2" t="s">
        <v>41</v>
      </c>
      <c r="K2061" s="2" t="s">
        <v>42</v>
      </c>
      <c r="L2061" s="2" t="s">
        <v>48</v>
      </c>
      <c r="M2061" s="2">
        <v>5</v>
      </c>
      <c r="N2061" s="2" t="s">
        <v>24</v>
      </c>
      <c r="O2061" s="2" t="s">
        <v>25</v>
      </c>
      <c r="P2061" s="2" t="s">
        <v>34</v>
      </c>
    </row>
    <row r="2062" spans="1:16" x14ac:dyDescent="0.25">
      <c r="A2062" s="2" t="s">
        <v>4764</v>
      </c>
      <c r="B2062" s="2" t="s">
        <v>164</v>
      </c>
      <c r="C2062" s="2">
        <v>9254</v>
      </c>
      <c r="D2062" s="2" t="s">
        <v>5544</v>
      </c>
      <c r="E2062" s="2" t="s">
        <v>18</v>
      </c>
      <c r="F2062" s="2" t="s">
        <v>30</v>
      </c>
      <c r="G2062" s="2">
        <v>69114.3</v>
      </c>
      <c r="H2062" s="2">
        <v>31498.36</v>
      </c>
      <c r="I2062" s="2" t="s">
        <v>31</v>
      </c>
      <c r="J2062" s="2" t="s">
        <v>21</v>
      </c>
      <c r="K2062" s="2" t="s">
        <v>42</v>
      </c>
      <c r="L2062" s="2" t="s">
        <v>64</v>
      </c>
      <c r="M2062" s="2">
        <v>4</v>
      </c>
      <c r="N2062" s="2" t="s">
        <v>24</v>
      </c>
      <c r="O2062" s="2" t="s">
        <v>70</v>
      </c>
      <c r="P2062" s="2" t="s">
        <v>49</v>
      </c>
    </row>
    <row r="2063" spans="1:16" x14ac:dyDescent="0.25">
      <c r="A2063" s="2" t="s">
        <v>4767</v>
      </c>
      <c r="B2063" s="2" t="s">
        <v>331</v>
      </c>
      <c r="C2063" s="2">
        <v>2633</v>
      </c>
      <c r="D2063" s="2" t="s">
        <v>1956</v>
      </c>
      <c r="E2063" s="2" t="s">
        <v>18</v>
      </c>
      <c r="F2063" s="2" t="s">
        <v>39</v>
      </c>
      <c r="G2063" s="2">
        <v>14382.05</v>
      </c>
      <c r="H2063" s="2">
        <v>7100.18</v>
      </c>
      <c r="I2063" s="2" t="s">
        <v>68</v>
      </c>
      <c r="J2063" s="2" t="s">
        <v>41</v>
      </c>
      <c r="K2063" s="2" t="s">
        <v>42</v>
      </c>
      <c r="L2063" s="2" t="s">
        <v>48</v>
      </c>
      <c r="M2063" s="2">
        <v>5</v>
      </c>
      <c r="N2063" s="2" t="s">
        <v>33</v>
      </c>
      <c r="O2063" s="2" t="s">
        <v>25</v>
      </c>
      <c r="P2063" s="2" t="s">
        <v>34</v>
      </c>
    </row>
    <row r="2064" spans="1:16" x14ac:dyDescent="0.25">
      <c r="A2064" s="2" t="s">
        <v>4769</v>
      </c>
      <c r="B2064" s="2" t="s">
        <v>9026</v>
      </c>
      <c r="C2064" s="2">
        <v>3185</v>
      </c>
      <c r="D2064" s="2" t="s">
        <v>2157</v>
      </c>
      <c r="E2064" s="2" t="s">
        <v>6708</v>
      </c>
      <c r="F2064" s="2" t="s">
        <v>47</v>
      </c>
      <c r="G2064" s="2">
        <v>14512.48</v>
      </c>
      <c r="H2064" s="2">
        <v>8366.9500000000007</v>
      </c>
      <c r="I2064" s="2" t="s">
        <v>63</v>
      </c>
      <c r="J2064" s="2" t="s">
        <v>6753</v>
      </c>
      <c r="K2064" s="2" t="s">
        <v>80</v>
      </c>
      <c r="L2064" s="2" t="s">
        <v>64</v>
      </c>
      <c r="M2064" s="2">
        <v>1</v>
      </c>
      <c r="N2064" s="2" t="s">
        <v>69</v>
      </c>
      <c r="O2064" s="2" t="s">
        <v>25</v>
      </c>
      <c r="P2064" s="2" t="s">
        <v>34</v>
      </c>
    </row>
    <row r="2065" spans="1:16" x14ac:dyDescent="0.25">
      <c r="A2065" s="2" t="s">
        <v>4771</v>
      </c>
      <c r="B2065" s="2" t="s">
        <v>3391</v>
      </c>
      <c r="C2065" s="2">
        <v>5767</v>
      </c>
      <c r="D2065" s="2" t="s">
        <v>9027</v>
      </c>
      <c r="E2065" s="2" t="s">
        <v>18</v>
      </c>
      <c r="F2065" s="2" t="s">
        <v>19</v>
      </c>
      <c r="G2065" s="2">
        <v>8231.93</v>
      </c>
      <c r="H2065" s="2">
        <v>4796.3900000000003</v>
      </c>
      <c r="I2065" s="2" t="s">
        <v>63</v>
      </c>
      <c r="J2065" s="2" t="s">
        <v>54</v>
      </c>
      <c r="K2065" s="2" t="s">
        <v>80</v>
      </c>
      <c r="L2065" s="2" t="s">
        <v>88</v>
      </c>
      <c r="M2065" s="2">
        <v>3</v>
      </c>
      <c r="N2065" s="2" t="s">
        <v>69</v>
      </c>
      <c r="O2065" s="2" t="s">
        <v>25</v>
      </c>
      <c r="P2065" s="2" t="s">
        <v>26</v>
      </c>
    </row>
    <row r="2066" spans="1:16" x14ac:dyDescent="0.25">
      <c r="A2066" s="2" t="s">
        <v>4772</v>
      </c>
      <c r="B2066" s="2" t="s">
        <v>3899</v>
      </c>
      <c r="C2066" s="2">
        <v>4836</v>
      </c>
      <c r="D2066" s="2" t="s">
        <v>9028</v>
      </c>
      <c r="E2066" s="2" t="s">
        <v>38</v>
      </c>
      <c r="F2066" s="2" t="s">
        <v>58</v>
      </c>
      <c r="G2066" s="2">
        <v>27594.42</v>
      </c>
      <c r="H2066" s="2">
        <v>13744.24</v>
      </c>
      <c r="I2066" s="2" t="s">
        <v>53</v>
      </c>
      <c r="J2066" s="2" t="s">
        <v>54</v>
      </c>
      <c r="K2066" s="2" t="s">
        <v>32</v>
      </c>
      <c r="L2066" s="2" t="s">
        <v>88</v>
      </c>
      <c r="M2066" s="2">
        <v>2</v>
      </c>
      <c r="N2066" s="2" t="s">
        <v>24</v>
      </c>
      <c r="O2066" s="2" t="s">
        <v>25</v>
      </c>
      <c r="P2066" s="2" t="s">
        <v>49</v>
      </c>
    </row>
    <row r="2067" spans="1:16" x14ac:dyDescent="0.25">
      <c r="A2067" s="2" t="s">
        <v>4774</v>
      </c>
      <c r="B2067" s="2" t="s">
        <v>9029</v>
      </c>
      <c r="C2067" s="2">
        <v>6287</v>
      </c>
      <c r="D2067" s="2" t="s">
        <v>9030</v>
      </c>
      <c r="E2067" s="2" t="s">
        <v>6748</v>
      </c>
      <c r="F2067" s="2" t="s">
        <v>19</v>
      </c>
      <c r="G2067" s="2">
        <v>19791.29</v>
      </c>
      <c r="H2067" s="2">
        <v>10829.16</v>
      </c>
      <c r="I2067" s="2" t="s">
        <v>6812</v>
      </c>
      <c r="J2067" s="2" t="s">
        <v>6753</v>
      </c>
      <c r="K2067" s="2" t="s">
        <v>42</v>
      </c>
      <c r="L2067" s="2" t="s">
        <v>43</v>
      </c>
      <c r="M2067" s="2">
        <v>3</v>
      </c>
      <c r="N2067" s="2" t="s">
        <v>24</v>
      </c>
      <c r="O2067" s="2" t="s">
        <v>70</v>
      </c>
      <c r="P2067" s="2" t="s">
        <v>34</v>
      </c>
    </row>
    <row r="2068" spans="1:16" x14ac:dyDescent="0.25">
      <c r="A2068" s="2" t="s">
        <v>4776</v>
      </c>
      <c r="B2068" s="2" t="s">
        <v>1641</v>
      </c>
      <c r="C2068" s="2">
        <v>6318</v>
      </c>
      <c r="D2068" s="2" t="s">
        <v>3475</v>
      </c>
      <c r="E2068" s="2" t="s">
        <v>6703</v>
      </c>
      <c r="F2068" s="2" t="s">
        <v>47</v>
      </c>
      <c r="G2068" s="2">
        <v>9863.44</v>
      </c>
      <c r="H2068" s="2">
        <v>6119.12</v>
      </c>
      <c r="I2068" s="2" t="s">
        <v>6771</v>
      </c>
      <c r="J2068" s="2" t="s">
        <v>6724</v>
      </c>
      <c r="K2068" s="2" t="s">
        <v>32</v>
      </c>
      <c r="L2068" s="2" t="s">
        <v>43</v>
      </c>
      <c r="M2068" s="2">
        <v>3</v>
      </c>
      <c r="N2068" s="2" t="s">
        <v>24</v>
      </c>
      <c r="O2068" s="2" t="s">
        <v>70</v>
      </c>
      <c r="P2068" s="2" t="s">
        <v>34</v>
      </c>
    </row>
    <row r="2069" spans="1:16" x14ac:dyDescent="0.25">
      <c r="A2069" s="2" t="s">
        <v>4778</v>
      </c>
      <c r="B2069" s="2" t="s">
        <v>9031</v>
      </c>
      <c r="C2069" s="2">
        <v>1986</v>
      </c>
      <c r="D2069" s="2" t="s">
        <v>9032</v>
      </c>
      <c r="E2069" s="2" t="s">
        <v>18</v>
      </c>
      <c r="F2069" s="2" t="s">
        <v>47</v>
      </c>
      <c r="G2069" s="2">
        <v>14917.34</v>
      </c>
      <c r="H2069" s="2">
        <v>7725.45</v>
      </c>
      <c r="I2069" s="2" t="s">
        <v>6699</v>
      </c>
      <c r="J2069" s="2" t="s">
        <v>6700</v>
      </c>
      <c r="K2069" s="2" t="s">
        <v>22</v>
      </c>
      <c r="L2069" s="2" t="s">
        <v>64</v>
      </c>
      <c r="M2069" s="2">
        <v>1</v>
      </c>
      <c r="N2069" s="2" t="s">
        <v>33</v>
      </c>
      <c r="O2069" s="2" t="s">
        <v>25</v>
      </c>
      <c r="P2069" s="2" t="s">
        <v>26</v>
      </c>
    </row>
    <row r="2070" spans="1:16" x14ac:dyDescent="0.25">
      <c r="A2070" s="2" t="s">
        <v>4780</v>
      </c>
      <c r="B2070" s="2" t="s">
        <v>9033</v>
      </c>
      <c r="C2070" s="2">
        <v>9902</v>
      </c>
      <c r="D2070" s="2" t="s">
        <v>9034</v>
      </c>
      <c r="E2070" s="2" t="s">
        <v>6708</v>
      </c>
      <c r="F2070" s="2" t="s">
        <v>19</v>
      </c>
      <c r="G2070" s="2">
        <v>6214.5</v>
      </c>
      <c r="H2070" s="2">
        <v>4030.96</v>
      </c>
      <c r="I2070" s="2" t="s">
        <v>6699</v>
      </c>
      <c r="J2070" s="2" t="s">
        <v>54</v>
      </c>
      <c r="K2070" s="2" t="s">
        <v>80</v>
      </c>
      <c r="L2070" s="2" t="s">
        <v>64</v>
      </c>
      <c r="M2070" s="2">
        <v>2</v>
      </c>
      <c r="N2070" s="2" t="s">
        <v>33</v>
      </c>
      <c r="O2070" s="2" t="s">
        <v>70</v>
      </c>
      <c r="P2070" s="2" t="s">
        <v>34</v>
      </c>
    </row>
    <row r="2071" spans="1:16" x14ac:dyDescent="0.25">
      <c r="A2071" s="2" t="s">
        <v>4782</v>
      </c>
      <c r="B2071" s="2" t="s">
        <v>3017</v>
      </c>
      <c r="C2071" s="2">
        <v>5316</v>
      </c>
      <c r="D2071" s="2" t="s">
        <v>9035</v>
      </c>
      <c r="E2071" s="2" t="s">
        <v>38</v>
      </c>
      <c r="F2071" s="2" t="s">
        <v>39</v>
      </c>
      <c r="G2071" s="2">
        <v>8564.02</v>
      </c>
      <c r="H2071" s="2">
        <v>4756.82</v>
      </c>
      <c r="I2071" s="2" t="s">
        <v>84</v>
      </c>
      <c r="J2071" s="2" t="s">
        <v>54</v>
      </c>
      <c r="K2071" s="2" t="s">
        <v>80</v>
      </c>
      <c r="L2071" s="2" t="s">
        <v>43</v>
      </c>
      <c r="M2071" s="2">
        <v>4</v>
      </c>
      <c r="N2071" s="2" t="s">
        <v>33</v>
      </c>
      <c r="O2071" s="2" t="s">
        <v>25</v>
      </c>
      <c r="P2071" s="2" t="s">
        <v>26</v>
      </c>
    </row>
    <row r="2072" spans="1:16" x14ac:dyDescent="0.25">
      <c r="A2072" s="2" t="s">
        <v>4784</v>
      </c>
      <c r="B2072" s="2" t="s">
        <v>2666</v>
      </c>
      <c r="C2072" s="2">
        <v>1672</v>
      </c>
      <c r="D2072" s="2" t="s">
        <v>9036</v>
      </c>
      <c r="E2072" s="2" t="s">
        <v>38</v>
      </c>
      <c r="F2072" s="2" t="s">
        <v>47</v>
      </c>
      <c r="G2072" s="2">
        <v>2409.83</v>
      </c>
      <c r="H2072" s="2">
        <v>1544.44</v>
      </c>
      <c r="I2072" s="2" t="s">
        <v>40</v>
      </c>
      <c r="J2072" s="2" t="s">
        <v>41</v>
      </c>
      <c r="K2072" s="2" t="s">
        <v>22</v>
      </c>
      <c r="L2072" s="2" t="s">
        <v>64</v>
      </c>
      <c r="M2072" s="2">
        <v>1</v>
      </c>
      <c r="N2072" s="2" t="s">
        <v>69</v>
      </c>
      <c r="O2072" s="2" t="s">
        <v>70</v>
      </c>
      <c r="P2072" s="2" t="s">
        <v>26</v>
      </c>
    </row>
    <row r="2073" spans="1:16" x14ac:dyDescent="0.25">
      <c r="A2073" s="2" t="s">
        <v>4787</v>
      </c>
      <c r="B2073" s="2" t="s">
        <v>1372</v>
      </c>
      <c r="C2073" s="2">
        <v>5782</v>
      </c>
      <c r="D2073" s="2" t="s">
        <v>3935</v>
      </c>
      <c r="E2073" s="2" t="s">
        <v>38</v>
      </c>
      <c r="F2073" s="2" t="s">
        <v>47</v>
      </c>
      <c r="G2073" s="2">
        <v>3657.17</v>
      </c>
      <c r="H2073" s="2">
        <v>2121.2399999999998</v>
      </c>
      <c r="I2073" s="2" t="s">
        <v>84</v>
      </c>
      <c r="J2073" s="2" t="s">
        <v>54</v>
      </c>
      <c r="K2073" s="2" t="s">
        <v>32</v>
      </c>
      <c r="L2073" s="2" t="s">
        <v>64</v>
      </c>
      <c r="M2073" s="2">
        <v>4</v>
      </c>
      <c r="N2073" s="2" t="s">
        <v>33</v>
      </c>
      <c r="O2073" s="2" t="s">
        <v>25</v>
      </c>
      <c r="P2073" s="2" t="s">
        <v>26</v>
      </c>
    </row>
    <row r="2074" spans="1:16" x14ac:dyDescent="0.25">
      <c r="A2074" s="2" t="s">
        <v>4788</v>
      </c>
      <c r="B2074" s="2" t="s">
        <v>1093</v>
      </c>
      <c r="C2074" s="2">
        <v>3594</v>
      </c>
      <c r="D2074" s="2" t="s">
        <v>9037</v>
      </c>
      <c r="E2074" s="2" t="s">
        <v>32</v>
      </c>
      <c r="F2074" s="2" t="s">
        <v>39</v>
      </c>
      <c r="G2074" s="2">
        <v>7534.4</v>
      </c>
      <c r="H2074" s="2">
        <v>3752.58</v>
      </c>
      <c r="I2074" s="2" t="s">
        <v>6704</v>
      </c>
      <c r="J2074" s="2" t="s">
        <v>6732</v>
      </c>
      <c r="K2074" s="2" t="s">
        <v>80</v>
      </c>
      <c r="L2074" s="2" t="s">
        <v>64</v>
      </c>
      <c r="M2074" s="2">
        <v>4</v>
      </c>
      <c r="N2074" s="2" t="s">
        <v>24</v>
      </c>
      <c r="O2074" s="2" t="s">
        <v>25</v>
      </c>
      <c r="P2074" s="2" t="s">
        <v>34</v>
      </c>
    </row>
    <row r="2075" spans="1:16" x14ac:dyDescent="0.25">
      <c r="A2075" s="2" t="s">
        <v>4789</v>
      </c>
      <c r="B2075" s="2" t="s">
        <v>1973</v>
      </c>
      <c r="C2075" s="2">
        <v>5099</v>
      </c>
      <c r="D2075" s="2" t="s">
        <v>9038</v>
      </c>
      <c r="E2075" s="2" t="s">
        <v>18</v>
      </c>
      <c r="F2075" s="2" t="s">
        <v>39</v>
      </c>
      <c r="G2075" s="2">
        <v>32689.87</v>
      </c>
      <c r="H2075" s="2">
        <v>19979.54</v>
      </c>
      <c r="I2075" s="2" t="s">
        <v>53</v>
      </c>
      <c r="J2075" s="2" t="s">
        <v>54</v>
      </c>
      <c r="K2075" s="2" t="s">
        <v>42</v>
      </c>
      <c r="L2075" s="2" t="s">
        <v>23</v>
      </c>
      <c r="M2075" s="2">
        <v>3</v>
      </c>
      <c r="N2075" s="2" t="s">
        <v>24</v>
      </c>
      <c r="O2075" s="2" t="s">
        <v>70</v>
      </c>
      <c r="P2075" s="2" t="s">
        <v>26</v>
      </c>
    </row>
    <row r="2076" spans="1:16" x14ac:dyDescent="0.25">
      <c r="A2076" s="2" t="s">
        <v>4791</v>
      </c>
      <c r="B2076" s="2" t="s">
        <v>805</v>
      </c>
      <c r="C2076" s="2">
        <v>1807</v>
      </c>
      <c r="D2076" s="2" t="s">
        <v>7643</v>
      </c>
      <c r="E2076" s="2" t="s">
        <v>18</v>
      </c>
      <c r="F2076" s="2" t="s">
        <v>58</v>
      </c>
      <c r="G2076" s="2">
        <v>18131.05</v>
      </c>
      <c r="H2076" s="2">
        <v>9063.67</v>
      </c>
      <c r="I2076" s="2" t="s">
        <v>84</v>
      </c>
      <c r="J2076" s="2" t="s">
        <v>54</v>
      </c>
      <c r="K2076" s="2" t="s">
        <v>22</v>
      </c>
      <c r="L2076" s="2" t="s">
        <v>23</v>
      </c>
      <c r="M2076" s="2">
        <v>3</v>
      </c>
      <c r="N2076" s="2" t="s">
        <v>24</v>
      </c>
      <c r="O2076" s="2" t="s">
        <v>70</v>
      </c>
      <c r="P2076" s="2" t="s">
        <v>34</v>
      </c>
    </row>
    <row r="2077" spans="1:16" x14ac:dyDescent="0.25">
      <c r="A2077" s="2" t="s">
        <v>4793</v>
      </c>
      <c r="B2077" s="2" t="s">
        <v>7855</v>
      </c>
      <c r="C2077" s="2">
        <v>7168</v>
      </c>
      <c r="D2077" s="2" t="s">
        <v>9039</v>
      </c>
      <c r="E2077" s="2" t="s">
        <v>38</v>
      </c>
      <c r="F2077" s="2" t="s">
        <v>19</v>
      </c>
      <c r="G2077" s="2">
        <v>2813.83</v>
      </c>
      <c r="H2077" s="2">
        <v>1344.23</v>
      </c>
      <c r="I2077" s="2" t="s">
        <v>120</v>
      </c>
      <c r="J2077" s="2" t="s">
        <v>21</v>
      </c>
      <c r="K2077" s="2" t="s">
        <v>80</v>
      </c>
      <c r="L2077" s="2" t="s">
        <v>55</v>
      </c>
      <c r="M2077" s="2">
        <v>4</v>
      </c>
      <c r="N2077" s="2" t="s">
        <v>33</v>
      </c>
      <c r="O2077" s="2" t="s">
        <v>70</v>
      </c>
      <c r="P2077" s="2" t="s">
        <v>34</v>
      </c>
    </row>
    <row r="2078" spans="1:16" x14ac:dyDescent="0.25">
      <c r="A2078" s="2" t="s">
        <v>4795</v>
      </c>
      <c r="B2078" s="2" t="s">
        <v>3717</v>
      </c>
      <c r="C2078" s="2">
        <v>2759</v>
      </c>
      <c r="D2078" s="2" t="s">
        <v>9040</v>
      </c>
      <c r="E2078" s="2" t="s">
        <v>38</v>
      </c>
      <c r="F2078" s="2" t="s">
        <v>39</v>
      </c>
      <c r="G2078" s="2">
        <v>53341.23</v>
      </c>
      <c r="H2078" s="2">
        <v>30004.3</v>
      </c>
      <c r="I2078" s="2" t="s">
        <v>6728</v>
      </c>
      <c r="J2078" s="2" t="s">
        <v>6691</v>
      </c>
      <c r="K2078" s="2" t="s">
        <v>32</v>
      </c>
      <c r="L2078" s="2" t="s">
        <v>48</v>
      </c>
      <c r="M2078" s="2">
        <v>3</v>
      </c>
      <c r="N2078" s="2" t="s">
        <v>24</v>
      </c>
      <c r="O2078" s="2" t="s">
        <v>25</v>
      </c>
      <c r="P2078" s="2" t="s">
        <v>49</v>
      </c>
    </row>
    <row r="2079" spans="1:16" x14ac:dyDescent="0.25">
      <c r="A2079" s="2" t="s">
        <v>4797</v>
      </c>
      <c r="B2079" s="2" t="s">
        <v>9041</v>
      </c>
      <c r="C2079" s="2">
        <v>3748</v>
      </c>
      <c r="D2079" s="2" t="s">
        <v>9042</v>
      </c>
      <c r="E2079" s="2" t="s">
        <v>6694</v>
      </c>
      <c r="F2079" s="2" t="s">
        <v>30</v>
      </c>
      <c r="G2079" s="2">
        <v>35266.300000000003</v>
      </c>
      <c r="H2079" s="2">
        <v>21092.959999999999</v>
      </c>
      <c r="I2079" s="2" t="s">
        <v>6812</v>
      </c>
      <c r="J2079" s="2" t="s">
        <v>6691</v>
      </c>
      <c r="K2079" s="2" t="s">
        <v>42</v>
      </c>
      <c r="L2079" s="2" t="s">
        <v>43</v>
      </c>
      <c r="M2079" s="2">
        <v>5</v>
      </c>
      <c r="N2079" s="2" t="s">
        <v>33</v>
      </c>
      <c r="O2079" s="2" t="s">
        <v>25</v>
      </c>
      <c r="P2079" s="2" t="s">
        <v>26</v>
      </c>
    </row>
    <row r="2080" spans="1:16" x14ac:dyDescent="0.25">
      <c r="A2080" s="2" t="s">
        <v>4799</v>
      </c>
      <c r="B2080" s="2" t="s">
        <v>9043</v>
      </c>
      <c r="C2080" s="2">
        <v>5917</v>
      </c>
      <c r="D2080" s="2" t="s">
        <v>9044</v>
      </c>
      <c r="E2080" s="2" t="s">
        <v>6698</v>
      </c>
      <c r="F2080" s="2" t="s">
        <v>30</v>
      </c>
      <c r="G2080" s="2">
        <v>45829.120000000003</v>
      </c>
      <c r="H2080" s="2">
        <v>24143.63</v>
      </c>
      <c r="I2080" s="2" t="s">
        <v>6777</v>
      </c>
      <c r="J2080" s="2" t="s">
        <v>6732</v>
      </c>
      <c r="K2080" s="2" t="s">
        <v>42</v>
      </c>
      <c r="L2080" s="2" t="s">
        <v>43</v>
      </c>
      <c r="M2080" s="2">
        <v>5</v>
      </c>
      <c r="N2080" s="2" t="s">
        <v>33</v>
      </c>
      <c r="O2080" s="2" t="s">
        <v>70</v>
      </c>
      <c r="P2080" s="2" t="s">
        <v>49</v>
      </c>
    </row>
    <row r="2081" spans="1:16" x14ac:dyDescent="0.25">
      <c r="A2081" s="2" t="s">
        <v>4801</v>
      </c>
      <c r="B2081" s="2" t="s">
        <v>4924</v>
      </c>
      <c r="C2081" s="2">
        <v>5224</v>
      </c>
      <c r="D2081" s="2" t="s">
        <v>5748</v>
      </c>
      <c r="E2081" s="2" t="s">
        <v>6694</v>
      </c>
      <c r="F2081" s="2" t="s">
        <v>58</v>
      </c>
      <c r="G2081" s="2">
        <v>65753.679999999993</v>
      </c>
      <c r="H2081" s="2">
        <v>31823.14</v>
      </c>
      <c r="I2081" s="2" t="s">
        <v>6759</v>
      </c>
      <c r="J2081" s="2" t="s">
        <v>6753</v>
      </c>
      <c r="K2081" s="2" t="s">
        <v>32</v>
      </c>
      <c r="L2081" s="2" t="s">
        <v>48</v>
      </c>
      <c r="M2081" s="2">
        <v>5</v>
      </c>
      <c r="N2081" s="2" t="s">
        <v>33</v>
      </c>
      <c r="O2081" s="2" t="s">
        <v>25</v>
      </c>
      <c r="P2081" s="2" t="s">
        <v>34</v>
      </c>
    </row>
    <row r="2082" spans="1:16" x14ac:dyDescent="0.25">
      <c r="A2082" s="2" t="s">
        <v>4803</v>
      </c>
      <c r="B2082" s="2" t="s">
        <v>464</v>
      </c>
      <c r="C2082" s="2">
        <v>7156</v>
      </c>
      <c r="D2082" s="2" t="s">
        <v>8877</v>
      </c>
      <c r="E2082" s="2" t="s">
        <v>38</v>
      </c>
      <c r="F2082" s="2" t="s">
        <v>19</v>
      </c>
      <c r="G2082" s="2">
        <v>14546.77</v>
      </c>
      <c r="H2082" s="2">
        <v>8724.02</v>
      </c>
      <c r="I2082" s="2" t="s">
        <v>120</v>
      </c>
      <c r="J2082" s="2" t="s">
        <v>21</v>
      </c>
      <c r="K2082" s="2" t="s">
        <v>32</v>
      </c>
      <c r="L2082" s="2" t="s">
        <v>64</v>
      </c>
      <c r="M2082" s="2">
        <v>4</v>
      </c>
      <c r="N2082" s="2" t="s">
        <v>33</v>
      </c>
      <c r="O2082" s="2" t="s">
        <v>70</v>
      </c>
      <c r="P2082" s="2" t="s">
        <v>34</v>
      </c>
    </row>
    <row r="2083" spans="1:16" x14ac:dyDescent="0.25">
      <c r="A2083" s="2" t="s">
        <v>4805</v>
      </c>
      <c r="B2083" s="2" t="s">
        <v>9045</v>
      </c>
      <c r="C2083" s="2">
        <v>2256</v>
      </c>
      <c r="D2083" s="2" t="s">
        <v>6188</v>
      </c>
      <c r="E2083" s="2" t="s">
        <v>6719</v>
      </c>
      <c r="F2083" s="2" t="s">
        <v>19</v>
      </c>
      <c r="G2083" s="2">
        <v>7883.69</v>
      </c>
      <c r="H2083" s="2">
        <v>4668.8599999999997</v>
      </c>
      <c r="I2083" s="2" t="s">
        <v>6695</v>
      </c>
      <c r="J2083" s="2" t="s">
        <v>21</v>
      </c>
      <c r="K2083" s="2" t="s">
        <v>80</v>
      </c>
      <c r="L2083" s="2" t="s">
        <v>23</v>
      </c>
      <c r="M2083" s="2">
        <v>3</v>
      </c>
      <c r="N2083" s="2" t="s">
        <v>24</v>
      </c>
      <c r="O2083" s="2" t="s">
        <v>25</v>
      </c>
      <c r="P2083" s="2" t="s">
        <v>49</v>
      </c>
    </row>
    <row r="2084" spans="1:16" x14ac:dyDescent="0.25">
      <c r="A2084" s="2" t="s">
        <v>4808</v>
      </c>
      <c r="B2084" s="2" t="s">
        <v>547</v>
      </c>
      <c r="C2084" s="2">
        <v>5394</v>
      </c>
      <c r="D2084" s="2" t="s">
        <v>7940</v>
      </c>
      <c r="E2084" s="2" t="s">
        <v>38</v>
      </c>
      <c r="F2084" s="2" t="s">
        <v>30</v>
      </c>
      <c r="G2084" s="2">
        <v>58930.62</v>
      </c>
      <c r="H2084" s="2">
        <v>36454.86</v>
      </c>
      <c r="I2084" s="2" t="s">
        <v>31</v>
      </c>
      <c r="J2084" s="2" t="s">
        <v>21</v>
      </c>
      <c r="K2084" s="2" t="s">
        <v>80</v>
      </c>
      <c r="L2084" s="2" t="s">
        <v>88</v>
      </c>
      <c r="M2084" s="2">
        <v>3</v>
      </c>
      <c r="N2084" s="2" t="s">
        <v>24</v>
      </c>
      <c r="O2084" s="2" t="s">
        <v>70</v>
      </c>
      <c r="P2084" s="2" t="s">
        <v>49</v>
      </c>
    </row>
    <row r="2085" spans="1:16" x14ac:dyDescent="0.25">
      <c r="A2085" s="2" t="s">
        <v>4809</v>
      </c>
      <c r="B2085" s="2" t="s">
        <v>9046</v>
      </c>
      <c r="C2085" s="2">
        <v>9226</v>
      </c>
      <c r="D2085" s="2" t="s">
        <v>9047</v>
      </c>
      <c r="E2085" s="2" t="s">
        <v>38</v>
      </c>
      <c r="F2085" s="2" t="s">
        <v>19</v>
      </c>
      <c r="G2085" s="2">
        <v>15793.29</v>
      </c>
      <c r="H2085" s="2">
        <v>10137.620000000001</v>
      </c>
      <c r="I2085" s="2" t="s">
        <v>6704</v>
      </c>
      <c r="J2085" s="2" t="s">
        <v>6682</v>
      </c>
      <c r="K2085" s="2" t="s">
        <v>22</v>
      </c>
      <c r="L2085" s="2" t="s">
        <v>64</v>
      </c>
      <c r="M2085" s="2">
        <v>4</v>
      </c>
      <c r="N2085" s="2" t="s">
        <v>24</v>
      </c>
      <c r="O2085" s="2" t="s">
        <v>25</v>
      </c>
      <c r="P2085" s="2" t="s">
        <v>34</v>
      </c>
    </row>
    <row r="2086" spans="1:16" x14ac:dyDescent="0.25">
      <c r="A2086" s="2" t="s">
        <v>4812</v>
      </c>
      <c r="B2086" s="2" t="s">
        <v>3159</v>
      </c>
      <c r="C2086" s="2">
        <v>5940</v>
      </c>
      <c r="D2086" s="2" t="s">
        <v>9048</v>
      </c>
      <c r="E2086" s="2" t="s">
        <v>18</v>
      </c>
      <c r="F2086" s="2" t="s">
        <v>39</v>
      </c>
      <c r="G2086" s="2">
        <v>24063.01</v>
      </c>
      <c r="H2086" s="2">
        <v>12852.43</v>
      </c>
      <c r="I2086" s="2" t="s">
        <v>40</v>
      </c>
      <c r="J2086" s="2" t="s">
        <v>41</v>
      </c>
      <c r="K2086" s="2" t="s">
        <v>32</v>
      </c>
      <c r="L2086" s="2" t="s">
        <v>64</v>
      </c>
      <c r="M2086" s="2">
        <v>3</v>
      </c>
      <c r="N2086" s="2" t="s">
        <v>33</v>
      </c>
      <c r="O2086" s="2" t="s">
        <v>25</v>
      </c>
      <c r="P2086" s="2" t="s">
        <v>49</v>
      </c>
    </row>
    <row r="2087" spans="1:16" x14ac:dyDescent="0.25">
      <c r="A2087" s="2" t="s">
        <v>4813</v>
      </c>
      <c r="B2087" s="2" t="s">
        <v>9049</v>
      </c>
      <c r="C2087" s="2">
        <v>4392</v>
      </c>
      <c r="D2087" s="2" t="s">
        <v>9050</v>
      </c>
      <c r="E2087" s="2" t="s">
        <v>38</v>
      </c>
      <c r="F2087" s="2" t="s">
        <v>39</v>
      </c>
      <c r="G2087" s="2">
        <v>31058.639999999999</v>
      </c>
      <c r="H2087" s="2">
        <v>15143.45</v>
      </c>
      <c r="I2087" s="2" t="s">
        <v>6699</v>
      </c>
      <c r="J2087" s="2" t="s">
        <v>54</v>
      </c>
      <c r="K2087" s="2" t="s">
        <v>32</v>
      </c>
      <c r="L2087" s="2" t="s">
        <v>88</v>
      </c>
      <c r="M2087" s="2">
        <v>3</v>
      </c>
      <c r="N2087" s="2" t="s">
        <v>69</v>
      </c>
      <c r="O2087" s="2" t="s">
        <v>25</v>
      </c>
      <c r="P2087" s="2" t="s">
        <v>34</v>
      </c>
    </row>
    <row r="2088" spans="1:16" x14ac:dyDescent="0.25">
      <c r="A2088" s="2" t="s">
        <v>4814</v>
      </c>
      <c r="B2088" s="2" t="s">
        <v>9051</v>
      </c>
      <c r="C2088" s="2">
        <v>7354</v>
      </c>
      <c r="D2088" s="2" t="s">
        <v>9052</v>
      </c>
      <c r="E2088" s="2" t="s">
        <v>6748</v>
      </c>
      <c r="F2088" s="2" t="s">
        <v>19</v>
      </c>
      <c r="G2088" s="2">
        <v>-10804.66</v>
      </c>
      <c r="H2088" s="2">
        <v>5997.87</v>
      </c>
      <c r="I2088" s="2" t="s">
        <v>6761</v>
      </c>
      <c r="J2088" s="2" t="s">
        <v>6732</v>
      </c>
      <c r="K2088" s="2" t="s">
        <v>80</v>
      </c>
      <c r="L2088" s="2" t="s">
        <v>48</v>
      </c>
      <c r="M2088" s="2">
        <v>2</v>
      </c>
      <c r="N2088" s="2" t="s">
        <v>33</v>
      </c>
      <c r="O2088" s="2" t="s">
        <v>25</v>
      </c>
      <c r="P2088" s="2" t="s">
        <v>26</v>
      </c>
    </row>
    <row r="2089" spans="1:16" x14ac:dyDescent="0.25">
      <c r="A2089" s="2" t="s">
        <v>4816</v>
      </c>
      <c r="B2089" s="2" t="s">
        <v>3483</v>
      </c>
      <c r="C2089" s="2">
        <v>7913</v>
      </c>
      <c r="D2089" s="2" t="s">
        <v>9053</v>
      </c>
      <c r="E2089" s="2" t="s">
        <v>38</v>
      </c>
      <c r="F2089" s="2" t="s">
        <v>58</v>
      </c>
      <c r="G2089" s="2">
        <v>12926.44</v>
      </c>
      <c r="H2089" s="2">
        <v>5828.08</v>
      </c>
      <c r="I2089" s="2" t="s">
        <v>20</v>
      </c>
      <c r="J2089" s="2" t="s">
        <v>21</v>
      </c>
      <c r="K2089" s="2" t="s">
        <v>22</v>
      </c>
      <c r="L2089" s="2" t="s">
        <v>23</v>
      </c>
      <c r="M2089" s="2">
        <v>4</v>
      </c>
      <c r="N2089" s="2" t="s">
        <v>33</v>
      </c>
      <c r="O2089" s="2" t="s">
        <v>25</v>
      </c>
      <c r="P2089" s="2" t="s">
        <v>49</v>
      </c>
    </row>
    <row r="2090" spans="1:16" x14ac:dyDescent="0.25">
      <c r="A2090" s="2" t="s">
        <v>4817</v>
      </c>
      <c r="B2090" s="2" t="s">
        <v>1758</v>
      </c>
      <c r="C2090" s="2">
        <v>9231</v>
      </c>
      <c r="D2090" s="2" t="s">
        <v>9054</v>
      </c>
      <c r="E2090" s="2" t="s">
        <v>6719</v>
      </c>
      <c r="F2090" s="2" t="s">
        <v>58</v>
      </c>
      <c r="G2090" s="2" t="s">
        <v>9055</v>
      </c>
      <c r="H2090" s="2">
        <v>11269.41</v>
      </c>
      <c r="I2090" s="2" t="s">
        <v>6728</v>
      </c>
      <c r="J2090" s="2" t="s">
        <v>6700</v>
      </c>
      <c r="K2090" s="2" t="s">
        <v>22</v>
      </c>
      <c r="L2090" s="2" t="s">
        <v>43</v>
      </c>
      <c r="M2090" s="2">
        <v>3</v>
      </c>
      <c r="N2090" s="2" t="s">
        <v>24</v>
      </c>
      <c r="O2090" s="2" t="s">
        <v>25</v>
      </c>
      <c r="P2090" s="2" t="s">
        <v>34</v>
      </c>
    </row>
    <row r="2091" spans="1:16" x14ac:dyDescent="0.25">
      <c r="A2091" s="2" t="s">
        <v>4819</v>
      </c>
      <c r="B2091" s="2" t="s">
        <v>9056</v>
      </c>
      <c r="C2091" s="2">
        <v>7415</v>
      </c>
      <c r="D2091" s="2" t="s">
        <v>9057</v>
      </c>
      <c r="E2091" s="2" t="s">
        <v>6708</v>
      </c>
      <c r="F2091" s="2" t="s">
        <v>19</v>
      </c>
      <c r="G2091" s="2">
        <v>7091.9</v>
      </c>
      <c r="H2091" s="2">
        <v>4053.71</v>
      </c>
      <c r="I2091" s="2" t="s">
        <v>6808</v>
      </c>
      <c r="J2091" s="2" t="s">
        <v>6729</v>
      </c>
      <c r="K2091" s="2" t="s">
        <v>42</v>
      </c>
      <c r="L2091" s="2" t="s">
        <v>55</v>
      </c>
      <c r="M2091" s="2">
        <v>1</v>
      </c>
      <c r="N2091" s="2" t="s">
        <v>24</v>
      </c>
      <c r="O2091" s="2" t="s">
        <v>70</v>
      </c>
      <c r="P2091" s="2" t="s">
        <v>49</v>
      </c>
    </row>
    <row r="2092" spans="1:16" x14ac:dyDescent="0.25">
      <c r="A2092" s="2" t="s">
        <v>4821</v>
      </c>
      <c r="B2092" s="2" t="s">
        <v>9058</v>
      </c>
      <c r="C2092" s="2">
        <v>4391</v>
      </c>
      <c r="D2092" s="2" t="s">
        <v>9059</v>
      </c>
      <c r="E2092" s="2" t="s">
        <v>38</v>
      </c>
      <c r="F2092" s="2" t="s">
        <v>58</v>
      </c>
      <c r="G2092" s="2">
        <v>15253.22</v>
      </c>
      <c r="H2092" s="2">
        <v>9074.5300000000007</v>
      </c>
      <c r="I2092" s="2" t="s">
        <v>6752</v>
      </c>
      <c r="J2092" s="2" t="s">
        <v>6686</v>
      </c>
      <c r="K2092" s="2" t="s">
        <v>42</v>
      </c>
      <c r="L2092" s="2" t="s">
        <v>64</v>
      </c>
      <c r="M2092" s="2">
        <v>1</v>
      </c>
      <c r="N2092" s="2" t="s">
        <v>33</v>
      </c>
      <c r="O2092" s="2" t="s">
        <v>25</v>
      </c>
      <c r="P2092" s="2" t="s">
        <v>26</v>
      </c>
    </row>
    <row r="2093" spans="1:16" x14ac:dyDescent="0.25">
      <c r="A2093" s="2" t="s">
        <v>4822</v>
      </c>
      <c r="B2093" s="2" t="s">
        <v>987</v>
      </c>
      <c r="C2093" s="2">
        <v>2099</v>
      </c>
      <c r="D2093" s="2" t="s">
        <v>323</v>
      </c>
      <c r="E2093" s="2" t="s">
        <v>38</v>
      </c>
      <c r="F2093" s="2" t="s">
        <v>39</v>
      </c>
      <c r="G2093" s="2">
        <v>15635.09</v>
      </c>
      <c r="H2093" s="2">
        <v>9066.59</v>
      </c>
      <c r="I2093" s="2" t="s">
        <v>31</v>
      </c>
      <c r="J2093" s="2" t="s">
        <v>21</v>
      </c>
      <c r="K2093" s="2" t="s">
        <v>22</v>
      </c>
      <c r="L2093" s="2" t="s">
        <v>48</v>
      </c>
      <c r="M2093" s="2">
        <v>1</v>
      </c>
      <c r="N2093" s="2" t="s">
        <v>33</v>
      </c>
      <c r="O2093" s="2" t="s">
        <v>70</v>
      </c>
      <c r="P2093" s="2" t="s">
        <v>49</v>
      </c>
    </row>
    <row r="2094" spans="1:16" x14ac:dyDescent="0.25">
      <c r="A2094" s="2" t="s">
        <v>4823</v>
      </c>
      <c r="B2094" s="2" t="s">
        <v>356</v>
      </c>
      <c r="C2094" s="2">
        <v>7945</v>
      </c>
      <c r="D2094" s="2" t="s">
        <v>2253</v>
      </c>
      <c r="E2094" s="2" t="s">
        <v>6698</v>
      </c>
      <c r="F2094" s="2" t="s">
        <v>58</v>
      </c>
      <c r="G2094" s="2">
        <v>28187.53</v>
      </c>
      <c r="H2094" s="2">
        <v>14895.89</v>
      </c>
      <c r="I2094" s="2" t="s">
        <v>6695</v>
      </c>
      <c r="J2094" s="2" t="s">
        <v>6696</v>
      </c>
      <c r="K2094" s="2" t="s">
        <v>42</v>
      </c>
      <c r="L2094" s="2" t="s">
        <v>64</v>
      </c>
      <c r="M2094" s="2">
        <v>2</v>
      </c>
      <c r="N2094" s="2" t="s">
        <v>24</v>
      </c>
      <c r="O2094" s="2" t="s">
        <v>70</v>
      </c>
      <c r="P2094" s="2" t="s">
        <v>26</v>
      </c>
    </row>
    <row r="2095" spans="1:16" x14ac:dyDescent="0.25">
      <c r="A2095" s="2" t="s">
        <v>4825</v>
      </c>
      <c r="B2095" s="2" t="s">
        <v>9060</v>
      </c>
      <c r="C2095" s="2">
        <v>5556</v>
      </c>
      <c r="D2095" s="2" t="s">
        <v>9061</v>
      </c>
      <c r="E2095" s="2" t="s">
        <v>6743</v>
      </c>
      <c r="F2095" s="2" t="s">
        <v>47</v>
      </c>
      <c r="G2095" s="2">
        <v>17812.400000000001</v>
      </c>
      <c r="H2095" s="2">
        <v>9763.2199999999993</v>
      </c>
      <c r="I2095" s="2" t="s">
        <v>6808</v>
      </c>
      <c r="J2095" s="2" t="s">
        <v>6686</v>
      </c>
      <c r="K2095" s="2" t="s">
        <v>32</v>
      </c>
      <c r="L2095" s="2" t="s">
        <v>88</v>
      </c>
      <c r="M2095" s="2">
        <v>2</v>
      </c>
      <c r="N2095" s="2" t="s">
        <v>24</v>
      </c>
      <c r="O2095" s="2" t="s">
        <v>25</v>
      </c>
      <c r="P2095" s="2" t="s">
        <v>26</v>
      </c>
    </row>
    <row r="2096" spans="1:16" x14ac:dyDescent="0.25">
      <c r="A2096" s="2" t="s">
        <v>4827</v>
      </c>
      <c r="B2096" s="2" t="s">
        <v>7516</v>
      </c>
      <c r="C2096" s="2">
        <v>6608</v>
      </c>
      <c r="D2096" s="2" t="s">
        <v>4322</v>
      </c>
      <c r="E2096" s="2" t="s">
        <v>18</v>
      </c>
      <c r="F2096" s="2" t="s">
        <v>39</v>
      </c>
      <c r="G2096" s="2">
        <v>46697.3</v>
      </c>
      <c r="H2096" s="2">
        <v>28749.97</v>
      </c>
      <c r="I2096" s="2" t="s">
        <v>6699</v>
      </c>
      <c r="J2096" s="2" t="s">
        <v>6686</v>
      </c>
      <c r="K2096" s="2" t="s">
        <v>32</v>
      </c>
      <c r="L2096" s="2" t="s">
        <v>55</v>
      </c>
      <c r="M2096" s="2">
        <v>3</v>
      </c>
      <c r="N2096" s="2" t="s">
        <v>33</v>
      </c>
      <c r="O2096" s="2" t="s">
        <v>25</v>
      </c>
      <c r="P2096" s="2" t="s">
        <v>26</v>
      </c>
    </row>
    <row r="2097" spans="1:16" x14ac:dyDescent="0.25">
      <c r="A2097" s="2" t="s">
        <v>4829</v>
      </c>
      <c r="B2097" s="2" t="s">
        <v>9062</v>
      </c>
      <c r="C2097" s="2">
        <v>9877</v>
      </c>
      <c r="D2097" s="2" t="s">
        <v>9063</v>
      </c>
      <c r="E2097" s="2" t="s">
        <v>6694</v>
      </c>
      <c r="F2097" s="2" t="s">
        <v>39</v>
      </c>
      <c r="G2097" s="2">
        <v>17637.310000000001</v>
      </c>
      <c r="H2097" s="2">
        <v>8501.09</v>
      </c>
      <c r="I2097" s="2" t="s">
        <v>6681</v>
      </c>
      <c r="J2097" s="2" t="s">
        <v>6732</v>
      </c>
      <c r="K2097" s="2" t="s">
        <v>32</v>
      </c>
      <c r="L2097" s="2" t="s">
        <v>43</v>
      </c>
      <c r="M2097" s="2">
        <v>5</v>
      </c>
      <c r="N2097" s="2" t="s">
        <v>69</v>
      </c>
      <c r="O2097" s="2" t="s">
        <v>70</v>
      </c>
      <c r="P2097" s="2" t="s">
        <v>49</v>
      </c>
    </row>
    <row r="2098" spans="1:16" x14ac:dyDescent="0.25">
      <c r="A2098" s="2" t="s">
        <v>4831</v>
      </c>
      <c r="B2098" s="2" t="s">
        <v>4204</v>
      </c>
      <c r="C2098" s="2">
        <v>6767</v>
      </c>
      <c r="D2098" s="2" t="s">
        <v>9064</v>
      </c>
      <c r="E2098" s="2" t="s">
        <v>38</v>
      </c>
      <c r="F2098" s="2" t="s">
        <v>30</v>
      </c>
      <c r="G2098" s="2">
        <v>35884.410000000003</v>
      </c>
      <c r="H2098" s="2">
        <v>18633.91</v>
      </c>
      <c r="I2098" s="2" t="s">
        <v>120</v>
      </c>
      <c r="J2098" s="2" t="s">
        <v>21</v>
      </c>
      <c r="K2098" s="2" t="s">
        <v>32</v>
      </c>
      <c r="L2098" s="2" t="s">
        <v>23</v>
      </c>
      <c r="M2098" s="2">
        <v>4</v>
      </c>
      <c r="N2098" s="2" t="s">
        <v>33</v>
      </c>
      <c r="O2098" s="2" t="s">
        <v>25</v>
      </c>
      <c r="P2098" s="2" t="s">
        <v>34</v>
      </c>
    </row>
    <row r="2099" spans="1:16" x14ac:dyDescent="0.25">
      <c r="A2099" s="2" t="s">
        <v>4834</v>
      </c>
      <c r="B2099" s="2" t="s">
        <v>426</v>
      </c>
      <c r="C2099" s="2">
        <v>5995</v>
      </c>
      <c r="D2099" s="2" t="s">
        <v>5630</v>
      </c>
      <c r="E2099" s="2" t="s">
        <v>38</v>
      </c>
      <c r="F2099" s="2" t="s">
        <v>19</v>
      </c>
      <c r="G2099" s="2">
        <v>8936.86</v>
      </c>
      <c r="H2099" s="2">
        <v>4551.55</v>
      </c>
      <c r="I2099" s="2" t="s">
        <v>31</v>
      </c>
      <c r="J2099" s="2" t="s">
        <v>21</v>
      </c>
      <c r="K2099" s="2" t="s">
        <v>42</v>
      </c>
      <c r="L2099" s="2" t="s">
        <v>48</v>
      </c>
      <c r="M2099" s="2">
        <v>3</v>
      </c>
      <c r="N2099" s="2" t="s">
        <v>24</v>
      </c>
      <c r="O2099" s="2" t="s">
        <v>70</v>
      </c>
      <c r="P2099" s="2" t="s">
        <v>34</v>
      </c>
    </row>
    <row r="2100" spans="1:16" x14ac:dyDescent="0.25">
      <c r="A2100" s="2" t="s">
        <v>4837</v>
      </c>
      <c r="B2100" s="2" t="s">
        <v>9065</v>
      </c>
      <c r="C2100" s="2">
        <v>6569</v>
      </c>
      <c r="D2100" s="2" t="s">
        <v>9066</v>
      </c>
      <c r="E2100" s="2" t="s">
        <v>6756</v>
      </c>
      <c r="F2100" s="2" t="s">
        <v>47</v>
      </c>
      <c r="G2100" s="2">
        <v>16852.28</v>
      </c>
      <c r="H2100" s="2">
        <v>10807.76</v>
      </c>
      <c r="I2100" s="2" t="s">
        <v>6690</v>
      </c>
      <c r="J2100" s="2" t="s">
        <v>6691</v>
      </c>
      <c r="K2100" s="2" t="s">
        <v>22</v>
      </c>
      <c r="L2100" s="2" t="s">
        <v>48</v>
      </c>
      <c r="M2100" s="2">
        <v>5</v>
      </c>
      <c r="N2100" s="2" t="s">
        <v>69</v>
      </c>
      <c r="O2100" s="2" t="s">
        <v>70</v>
      </c>
      <c r="P2100" s="2" t="s">
        <v>49</v>
      </c>
    </row>
    <row r="2101" spans="1:16" x14ac:dyDescent="0.25">
      <c r="A2101" s="2" t="s">
        <v>4839</v>
      </c>
      <c r="B2101" s="2" t="s">
        <v>9067</v>
      </c>
      <c r="C2101" s="2">
        <v>4084</v>
      </c>
      <c r="D2101" s="2" t="s">
        <v>9068</v>
      </c>
      <c r="E2101" s="2" t="s">
        <v>6719</v>
      </c>
      <c r="F2101" s="2" t="s">
        <v>30</v>
      </c>
      <c r="G2101" s="2">
        <v>97863.88</v>
      </c>
      <c r="H2101" s="2">
        <v>62117.78</v>
      </c>
      <c r="I2101" s="2" t="s">
        <v>6690</v>
      </c>
      <c r="J2101" s="2" t="s">
        <v>54</v>
      </c>
      <c r="K2101" s="2" t="s">
        <v>42</v>
      </c>
      <c r="L2101" s="2" t="s">
        <v>55</v>
      </c>
      <c r="M2101" s="2">
        <v>2</v>
      </c>
      <c r="N2101" s="2" t="s">
        <v>24</v>
      </c>
      <c r="O2101" s="2" t="s">
        <v>25</v>
      </c>
      <c r="P2101" s="2" t="s">
        <v>34</v>
      </c>
    </row>
    <row r="2102" spans="1:16" x14ac:dyDescent="0.25">
      <c r="A2102" s="2" t="s">
        <v>4841</v>
      </c>
      <c r="B2102" s="2" t="s">
        <v>9069</v>
      </c>
      <c r="C2102" s="2">
        <v>1011</v>
      </c>
      <c r="D2102" s="2" t="s">
        <v>9070</v>
      </c>
      <c r="E2102" s="2" t="s">
        <v>32</v>
      </c>
      <c r="F2102" s="2" t="s">
        <v>30</v>
      </c>
      <c r="G2102" s="2">
        <v>17652.439999999999</v>
      </c>
      <c r="H2102" s="2">
        <v>10972.46</v>
      </c>
      <c r="I2102" s="2" t="s">
        <v>6794</v>
      </c>
      <c r="J2102" s="2" t="s">
        <v>6724</v>
      </c>
      <c r="K2102" s="2" t="s">
        <v>32</v>
      </c>
      <c r="L2102" s="2" t="s">
        <v>48</v>
      </c>
      <c r="M2102" s="2">
        <v>2</v>
      </c>
      <c r="N2102" s="2" t="s">
        <v>24</v>
      </c>
      <c r="O2102" s="2" t="s">
        <v>25</v>
      </c>
      <c r="P2102" s="2" t="s">
        <v>26</v>
      </c>
    </row>
    <row r="2103" spans="1:16" x14ac:dyDescent="0.25">
      <c r="A2103" s="2" t="s">
        <v>4843</v>
      </c>
      <c r="B2103" s="2" t="s">
        <v>9071</v>
      </c>
      <c r="C2103" s="2">
        <v>8271</v>
      </c>
      <c r="D2103" s="2" t="s">
        <v>9072</v>
      </c>
      <c r="E2103" s="2" t="s">
        <v>18</v>
      </c>
      <c r="F2103" s="2" t="s">
        <v>30</v>
      </c>
      <c r="G2103" s="2">
        <v>50328.57</v>
      </c>
      <c r="H2103" s="2">
        <v>25166.51</v>
      </c>
      <c r="I2103" s="2" t="s">
        <v>6720</v>
      </c>
      <c r="J2103" s="2" t="s">
        <v>6753</v>
      </c>
      <c r="K2103" s="2" t="s">
        <v>32</v>
      </c>
      <c r="L2103" s="2" t="s">
        <v>64</v>
      </c>
      <c r="M2103" s="2">
        <v>3</v>
      </c>
      <c r="N2103" s="2" t="s">
        <v>33</v>
      </c>
      <c r="O2103" s="2" t="s">
        <v>25</v>
      </c>
      <c r="P2103" s="2" t="s">
        <v>49</v>
      </c>
    </row>
    <row r="2104" spans="1:16" x14ac:dyDescent="0.25">
      <c r="A2104" s="2" t="s">
        <v>4845</v>
      </c>
      <c r="B2104" s="2" t="s">
        <v>5642</v>
      </c>
      <c r="C2104" s="2">
        <v>7685</v>
      </c>
      <c r="D2104" s="2" t="s">
        <v>5643</v>
      </c>
      <c r="E2104" s="2" t="s">
        <v>38</v>
      </c>
      <c r="F2104" s="2" t="s">
        <v>30</v>
      </c>
      <c r="G2104" s="2">
        <v>46917.08</v>
      </c>
      <c r="H2104" s="2">
        <v>24093.3</v>
      </c>
      <c r="I2104" s="2" t="s">
        <v>120</v>
      </c>
      <c r="J2104" s="2" t="s">
        <v>21</v>
      </c>
      <c r="K2104" s="2" t="s">
        <v>80</v>
      </c>
      <c r="L2104" s="2" t="s">
        <v>64</v>
      </c>
      <c r="M2104" s="2">
        <v>2</v>
      </c>
      <c r="N2104" s="2" t="s">
        <v>24</v>
      </c>
      <c r="O2104" s="2" t="s">
        <v>25</v>
      </c>
      <c r="P2104" s="2" t="s">
        <v>34</v>
      </c>
    </row>
    <row r="2105" spans="1:16" x14ac:dyDescent="0.25">
      <c r="A2105" s="2" t="s">
        <v>4846</v>
      </c>
      <c r="B2105" s="2" t="s">
        <v>1675</v>
      </c>
      <c r="C2105" s="2">
        <v>9727</v>
      </c>
      <c r="D2105" s="2" t="s">
        <v>9073</v>
      </c>
      <c r="E2105" s="2" t="s">
        <v>6719</v>
      </c>
      <c r="F2105" s="2" t="s">
        <v>47</v>
      </c>
      <c r="G2105" s="2">
        <v>14193.96</v>
      </c>
      <c r="H2105" s="2">
        <v>7071.68</v>
      </c>
      <c r="I2105" s="2" t="s">
        <v>6699</v>
      </c>
      <c r="J2105" s="2" t="s">
        <v>6691</v>
      </c>
      <c r="K2105" s="2" t="s">
        <v>22</v>
      </c>
      <c r="L2105" s="2" t="s">
        <v>88</v>
      </c>
      <c r="M2105" s="2">
        <v>5</v>
      </c>
      <c r="N2105" s="2" t="s">
        <v>69</v>
      </c>
      <c r="O2105" s="2" t="s">
        <v>25</v>
      </c>
      <c r="P2105" s="2" t="s">
        <v>26</v>
      </c>
    </row>
    <row r="2106" spans="1:16" x14ac:dyDescent="0.25">
      <c r="A2106" s="2" t="s">
        <v>4848</v>
      </c>
      <c r="B2106" s="2" t="s">
        <v>9074</v>
      </c>
      <c r="C2106" s="2">
        <v>9115</v>
      </c>
      <c r="D2106" s="2" t="s">
        <v>9075</v>
      </c>
      <c r="E2106" s="2" t="s">
        <v>32</v>
      </c>
      <c r="F2106" s="2" t="s">
        <v>47</v>
      </c>
      <c r="G2106" s="2">
        <v>8310.19</v>
      </c>
      <c r="H2106" s="2">
        <v>4676.2299999999996</v>
      </c>
      <c r="I2106" s="2" t="s">
        <v>6799</v>
      </c>
      <c r="J2106" s="2" t="s">
        <v>41</v>
      </c>
      <c r="K2106" s="2" t="s">
        <v>22</v>
      </c>
      <c r="L2106" s="2" t="s">
        <v>88</v>
      </c>
      <c r="M2106" s="2">
        <v>1</v>
      </c>
      <c r="N2106" s="2" t="s">
        <v>69</v>
      </c>
      <c r="O2106" s="2" t="s">
        <v>70</v>
      </c>
      <c r="P2106" s="2" t="s">
        <v>34</v>
      </c>
    </row>
    <row r="2107" spans="1:16" x14ac:dyDescent="0.25">
      <c r="A2107" s="2" t="s">
        <v>4850</v>
      </c>
      <c r="B2107" s="2" t="s">
        <v>1826</v>
      </c>
      <c r="C2107" s="2">
        <v>4434</v>
      </c>
      <c r="D2107" s="2" t="s">
        <v>9076</v>
      </c>
      <c r="E2107" s="2" t="s">
        <v>38</v>
      </c>
      <c r="F2107" s="2" t="s">
        <v>47</v>
      </c>
      <c r="G2107" s="2">
        <v>7894.17</v>
      </c>
      <c r="H2107" s="2">
        <v>4248.6899999999996</v>
      </c>
      <c r="I2107" s="2" t="s">
        <v>63</v>
      </c>
      <c r="J2107" s="2" t="s">
        <v>54</v>
      </c>
      <c r="K2107" s="2" t="s">
        <v>32</v>
      </c>
      <c r="L2107" s="2" t="s">
        <v>48</v>
      </c>
      <c r="M2107" s="2">
        <v>3</v>
      </c>
      <c r="N2107" s="2" t="s">
        <v>24</v>
      </c>
      <c r="O2107" s="2" t="s">
        <v>25</v>
      </c>
      <c r="P2107" s="2" t="s">
        <v>34</v>
      </c>
    </row>
    <row r="2108" spans="1:16" x14ac:dyDescent="0.25">
      <c r="A2108" s="2" t="s">
        <v>4851</v>
      </c>
      <c r="B2108" s="2" t="s">
        <v>1818</v>
      </c>
      <c r="C2108" s="2">
        <v>2714</v>
      </c>
      <c r="D2108" s="2" t="s">
        <v>5654</v>
      </c>
      <c r="E2108" s="2" t="s">
        <v>18</v>
      </c>
      <c r="F2108" s="2" t="s">
        <v>19</v>
      </c>
      <c r="G2108" s="2">
        <v>4550.43</v>
      </c>
      <c r="H2108" s="2">
        <v>2531.0700000000002</v>
      </c>
      <c r="I2108" s="2" t="s">
        <v>84</v>
      </c>
      <c r="J2108" s="2" t="s">
        <v>54</v>
      </c>
      <c r="K2108" s="2" t="s">
        <v>80</v>
      </c>
      <c r="L2108" s="2" t="s">
        <v>64</v>
      </c>
      <c r="M2108" s="2">
        <v>1</v>
      </c>
      <c r="N2108" s="2" t="s">
        <v>24</v>
      </c>
      <c r="O2108" s="2" t="s">
        <v>25</v>
      </c>
      <c r="P2108" s="2" t="s">
        <v>26</v>
      </c>
    </row>
    <row r="2109" spans="1:16" x14ac:dyDescent="0.25">
      <c r="A2109" s="2" t="s">
        <v>4854</v>
      </c>
      <c r="B2109" s="2" t="s">
        <v>2020</v>
      </c>
      <c r="C2109" s="2">
        <v>3869</v>
      </c>
      <c r="D2109" s="2" t="s">
        <v>9077</v>
      </c>
      <c r="E2109" s="2" t="s">
        <v>38</v>
      </c>
      <c r="F2109" s="2" t="s">
        <v>47</v>
      </c>
      <c r="G2109" s="2">
        <v>14321.96</v>
      </c>
      <c r="H2109" s="2">
        <v>6741.53</v>
      </c>
      <c r="I2109" s="2" t="s">
        <v>63</v>
      </c>
      <c r="J2109" s="2" t="s">
        <v>54</v>
      </c>
      <c r="K2109" s="2" t="s">
        <v>22</v>
      </c>
      <c r="L2109" s="2" t="s">
        <v>23</v>
      </c>
      <c r="M2109" s="2">
        <v>3</v>
      </c>
      <c r="N2109" s="2" t="s">
        <v>24</v>
      </c>
      <c r="O2109" s="2" t="s">
        <v>70</v>
      </c>
      <c r="P2109" s="2" t="s">
        <v>26</v>
      </c>
    </row>
    <row r="2110" spans="1:16" x14ac:dyDescent="0.25">
      <c r="A2110" s="2" t="s">
        <v>4856</v>
      </c>
      <c r="B2110" s="2" t="s">
        <v>1903</v>
      </c>
      <c r="C2110" s="2">
        <v>8347</v>
      </c>
      <c r="D2110" s="2" t="s">
        <v>9078</v>
      </c>
      <c r="E2110" s="2" t="s">
        <v>18</v>
      </c>
      <c r="F2110" s="2" t="s">
        <v>39</v>
      </c>
      <c r="G2110" s="2">
        <v>46570.55</v>
      </c>
      <c r="H2110" s="2">
        <v>23082.87</v>
      </c>
      <c r="I2110" s="2" t="s">
        <v>84</v>
      </c>
      <c r="J2110" s="2" t="s">
        <v>54</v>
      </c>
      <c r="K2110" s="2" t="s">
        <v>32</v>
      </c>
      <c r="L2110" s="2" t="s">
        <v>23</v>
      </c>
      <c r="M2110" s="2">
        <v>5</v>
      </c>
      <c r="N2110" s="2" t="s">
        <v>24</v>
      </c>
      <c r="O2110" s="2" t="s">
        <v>25</v>
      </c>
      <c r="P2110" s="2" t="s">
        <v>34</v>
      </c>
    </row>
    <row r="2111" spans="1:16" x14ac:dyDescent="0.25">
      <c r="A2111" s="2" t="s">
        <v>4857</v>
      </c>
      <c r="B2111" s="2" t="s">
        <v>1355</v>
      </c>
      <c r="C2111" s="2">
        <v>6245</v>
      </c>
      <c r="D2111" s="2" t="s">
        <v>9079</v>
      </c>
      <c r="E2111" s="2" t="s">
        <v>18</v>
      </c>
      <c r="F2111" s="2" t="s">
        <v>58</v>
      </c>
      <c r="G2111" s="2">
        <v>56700.08</v>
      </c>
      <c r="H2111" s="2">
        <v>34372.720000000001</v>
      </c>
      <c r="I2111" s="2" t="s">
        <v>53</v>
      </c>
      <c r="J2111" s="2" t="s">
        <v>54</v>
      </c>
      <c r="K2111" s="2" t="s">
        <v>42</v>
      </c>
      <c r="L2111" s="2" t="s">
        <v>55</v>
      </c>
      <c r="M2111" s="2">
        <v>2</v>
      </c>
      <c r="N2111" s="2" t="s">
        <v>24</v>
      </c>
      <c r="O2111" s="2" t="s">
        <v>70</v>
      </c>
      <c r="P2111" s="2" t="s">
        <v>34</v>
      </c>
    </row>
    <row r="2112" spans="1:16" x14ac:dyDescent="0.25">
      <c r="A2112" s="2" t="s">
        <v>4859</v>
      </c>
      <c r="B2112" s="2" t="s">
        <v>769</v>
      </c>
      <c r="C2112" s="2">
        <v>9651</v>
      </c>
      <c r="D2112" s="2" t="s">
        <v>8560</v>
      </c>
      <c r="E2112" s="2" t="s">
        <v>18</v>
      </c>
      <c r="F2112" s="2" t="s">
        <v>39</v>
      </c>
      <c r="G2112" s="2">
        <v>27424.74</v>
      </c>
      <c r="H2112" s="2">
        <v>14576.07</v>
      </c>
      <c r="I2112" s="2" t="s">
        <v>120</v>
      </c>
      <c r="J2112" s="2" t="s">
        <v>21</v>
      </c>
      <c r="K2112" s="2" t="s">
        <v>32</v>
      </c>
      <c r="L2112" s="2" t="s">
        <v>48</v>
      </c>
      <c r="M2112" s="2">
        <v>5</v>
      </c>
      <c r="N2112" s="2" t="s">
        <v>24</v>
      </c>
      <c r="O2112" s="2" t="s">
        <v>70</v>
      </c>
      <c r="P2112" s="2" t="s">
        <v>49</v>
      </c>
    </row>
    <row r="2113" spans="1:16" x14ac:dyDescent="0.25">
      <c r="A2113" s="2" t="s">
        <v>4861</v>
      </c>
      <c r="B2113" s="2" t="s">
        <v>9080</v>
      </c>
      <c r="C2113" s="2">
        <v>1072</v>
      </c>
      <c r="D2113" s="2" t="s">
        <v>9081</v>
      </c>
      <c r="E2113" s="2" t="s">
        <v>6708</v>
      </c>
      <c r="F2113" s="2" t="s">
        <v>39</v>
      </c>
      <c r="G2113" s="2">
        <v>11039.48</v>
      </c>
      <c r="H2113" s="2">
        <v>7028.63</v>
      </c>
      <c r="I2113" s="2" t="s">
        <v>20</v>
      </c>
      <c r="J2113" s="2" t="s">
        <v>6696</v>
      </c>
      <c r="K2113" s="2" t="s">
        <v>22</v>
      </c>
      <c r="L2113" s="2" t="s">
        <v>43</v>
      </c>
      <c r="M2113" s="2">
        <v>3</v>
      </c>
      <c r="N2113" s="2" t="s">
        <v>33</v>
      </c>
      <c r="O2113" s="2" t="s">
        <v>25</v>
      </c>
      <c r="P2113" s="2" t="s">
        <v>26</v>
      </c>
    </row>
    <row r="2114" spans="1:16" x14ac:dyDescent="0.25">
      <c r="A2114" s="2" t="s">
        <v>4863</v>
      </c>
      <c r="B2114" s="2" t="s">
        <v>553</v>
      </c>
      <c r="C2114" s="2">
        <v>3237</v>
      </c>
      <c r="D2114" s="2" t="s">
        <v>9082</v>
      </c>
      <c r="E2114" s="2" t="s">
        <v>18</v>
      </c>
      <c r="F2114" s="2" t="s">
        <v>39</v>
      </c>
      <c r="G2114" s="2">
        <v>44417.919999999998</v>
      </c>
      <c r="H2114" s="2">
        <v>27757.4</v>
      </c>
      <c r="I2114" s="2" t="s">
        <v>53</v>
      </c>
      <c r="J2114" s="2" t="s">
        <v>54</v>
      </c>
      <c r="K2114" s="2" t="s">
        <v>22</v>
      </c>
      <c r="L2114" s="2" t="s">
        <v>23</v>
      </c>
      <c r="M2114" s="2">
        <v>5</v>
      </c>
      <c r="N2114" s="2" t="s">
        <v>69</v>
      </c>
      <c r="O2114" s="2" t="s">
        <v>70</v>
      </c>
      <c r="P2114" s="2" t="s">
        <v>34</v>
      </c>
    </row>
    <row r="2115" spans="1:16" x14ac:dyDescent="0.25">
      <c r="A2115" s="2" t="s">
        <v>4865</v>
      </c>
      <c r="B2115" s="2" t="s">
        <v>7372</v>
      </c>
      <c r="C2115" s="2">
        <v>1211</v>
      </c>
      <c r="D2115" s="2" t="s">
        <v>9083</v>
      </c>
      <c r="E2115" s="2" t="s">
        <v>6756</v>
      </c>
      <c r="F2115" s="2" t="s">
        <v>30</v>
      </c>
      <c r="G2115" s="2">
        <v>63732.2</v>
      </c>
      <c r="H2115" s="2">
        <v>33498.550000000003</v>
      </c>
      <c r="I2115" s="2" t="s">
        <v>6728</v>
      </c>
      <c r="J2115" s="2" t="s">
        <v>6753</v>
      </c>
      <c r="K2115" s="2" t="s">
        <v>80</v>
      </c>
      <c r="L2115" s="2" t="s">
        <v>43</v>
      </c>
      <c r="M2115" s="2">
        <v>4</v>
      </c>
      <c r="N2115" s="2" t="s">
        <v>33</v>
      </c>
      <c r="O2115" s="2" t="s">
        <v>70</v>
      </c>
      <c r="P2115" s="2" t="s">
        <v>26</v>
      </c>
    </row>
    <row r="2116" spans="1:16" x14ac:dyDescent="0.25">
      <c r="A2116" s="2" t="s">
        <v>4868</v>
      </c>
      <c r="B2116" s="2" t="s">
        <v>9084</v>
      </c>
      <c r="C2116" s="2">
        <v>7786</v>
      </c>
      <c r="D2116" s="2" t="s">
        <v>3116</v>
      </c>
      <c r="E2116" s="2" t="s">
        <v>6698</v>
      </c>
      <c r="F2116" s="2" t="s">
        <v>58</v>
      </c>
      <c r="G2116" s="2">
        <v>64615.41</v>
      </c>
      <c r="H2116" s="2">
        <v>38097.42</v>
      </c>
      <c r="I2116" s="2" t="s">
        <v>6812</v>
      </c>
      <c r="J2116" s="2" t="s">
        <v>6686</v>
      </c>
      <c r="K2116" s="2" t="s">
        <v>22</v>
      </c>
      <c r="L2116" s="2" t="s">
        <v>48</v>
      </c>
      <c r="M2116" s="2">
        <v>3</v>
      </c>
      <c r="N2116" s="2" t="s">
        <v>33</v>
      </c>
      <c r="O2116" s="2" t="s">
        <v>25</v>
      </c>
      <c r="P2116" s="2" t="s">
        <v>26</v>
      </c>
    </row>
    <row r="2117" spans="1:16" x14ac:dyDescent="0.25">
      <c r="A2117" s="2" t="s">
        <v>4870</v>
      </c>
      <c r="B2117" s="2" t="s">
        <v>1059</v>
      </c>
      <c r="C2117" s="2">
        <v>7869</v>
      </c>
      <c r="D2117" s="2" t="s">
        <v>9085</v>
      </c>
      <c r="E2117" s="2" t="s">
        <v>6703</v>
      </c>
      <c r="F2117" s="2" t="s">
        <v>30</v>
      </c>
      <c r="G2117" s="2">
        <v>59648.74</v>
      </c>
      <c r="H2117" s="2">
        <v>36581.050000000003</v>
      </c>
      <c r="I2117" s="2" t="s">
        <v>6761</v>
      </c>
      <c r="J2117" s="2" t="s">
        <v>6793</v>
      </c>
      <c r="K2117" s="2" t="s">
        <v>42</v>
      </c>
      <c r="L2117" s="2" t="s">
        <v>55</v>
      </c>
      <c r="M2117" s="2">
        <v>1</v>
      </c>
      <c r="N2117" s="2" t="s">
        <v>69</v>
      </c>
      <c r="O2117" s="2" t="s">
        <v>25</v>
      </c>
      <c r="P2117" s="2" t="s">
        <v>34</v>
      </c>
    </row>
    <row r="2118" spans="1:16" x14ac:dyDescent="0.25">
      <c r="A2118" s="2" t="s">
        <v>4872</v>
      </c>
      <c r="B2118" s="2" t="s">
        <v>2131</v>
      </c>
      <c r="C2118" s="2">
        <v>1607</v>
      </c>
      <c r="D2118" s="2" t="s">
        <v>9086</v>
      </c>
      <c r="E2118" s="2" t="s">
        <v>38</v>
      </c>
      <c r="F2118" s="2" t="s">
        <v>39</v>
      </c>
      <c r="G2118" s="2">
        <v>6742.04</v>
      </c>
      <c r="H2118" s="2">
        <v>3591.76</v>
      </c>
      <c r="I2118" s="2" t="s">
        <v>68</v>
      </c>
      <c r="J2118" s="2" t="s">
        <v>41</v>
      </c>
      <c r="K2118" s="2" t="s">
        <v>22</v>
      </c>
      <c r="L2118" s="2" t="s">
        <v>43</v>
      </c>
      <c r="M2118" s="2">
        <v>5</v>
      </c>
      <c r="N2118" s="2" t="s">
        <v>33</v>
      </c>
      <c r="O2118" s="2" t="s">
        <v>70</v>
      </c>
      <c r="P2118" s="2" t="s">
        <v>26</v>
      </c>
    </row>
    <row r="2119" spans="1:16" x14ac:dyDescent="0.25">
      <c r="A2119" s="2" t="s">
        <v>4874</v>
      </c>
      <c r="B2119" s="2" t="s">
        <v>9087</v>
      </c>
      <c r="C2119" s="2">
        <v>9341</v>
      </c>
      <c r="D2119" s="2" t="s">
        <v>8098</v>
      </c>
      <c r="E2119" s="2" t="s">
        <v>38</v>
      </c>
      <c r="F2119" s="2" t="s">
        <v>39</v>
      </c>
      <c r="G2119" s="2">
        <v>7833.13</v>
      </c>
      <c r="H2119" s="2">
        <v>4968.93</v>
      </c>
      <c r="I2119" s="2" t="s">
        <v>53</v>
      </c>
      <c r="J2119" s="2" t="s">
        <v>54</v>
      </c>
      <c r="K2119" s="2" t="s">
        <v>42</v>
      </c>
      <c r="L2119" s="2" t="s">
        <v>48</v>
      </c>
      <c r="M2119" s="2">
        <v>3</v>
      </c>
      <c r="N2119" s="2" t="s">
        <v>33</v>
      </c>
      <c r="O2119" s="2" t="s">
        <v>70</v>
      </c>
      <c r="P2119" s="2" t="s">
        <v>26</v>
      </c>
    </row>
    <row r="2120" spans="1:16" x14ac:dyDescent="0.25">
      <c r="A2120" s="2" t="s">
        <v>4876</v>
      </c>
      <c r="B2120" s="2" t="s">
        <v>1614</v>
      </c>
      <c r="C2120" s="2">
        <v>5569</v>
      </c>
      <c r="D2120" s="2" t="s">
        <v>9088</v>
      </c>
      <c r="E2120" s="2" t="s">
        <v>6680</v>
      </c>
      <c r="F2120" s="2" t="s">
        <v>39</v>
      </c>
      <c r="G2120" s="2">
        <v>27397.9</v>
      </c>
      <c r="H2120" s="2">
        <v>14186.64</v>
      </c>
      <c r="I2120" s="2" t="s">
        <v>20</v>
      </c>
      <c r="J2120" s="2" t="s">
        <v>6795</v>
      </c>
      <c r="K2120" s="2" t="s">
        <v>42</v>
      </c>
      <c r="L2120" s="2" t="s">
        <v>88</v>
      </c>
      <c r="M2120" s="2">
        <v>4</v>
      </c>
      <c r="N2120" s="2" t="s">
        <v>69</v>
      </c>
      <c r="O2120" s="2" t="s">
        <v>70</v>
      </c>
      <c r="P2120" s="2" t="s">
        <v>49</v>
      </c>
    </row>
    <row r="2121" spans="1:16" x14ac:dyDescent="0.25">
      <c r="A2121" s="2" t="s">
        <v>4878</v>
      </c>
      <c r="B2121" s="2" t="s">
        <v>6862</v>
      </c>
      <c r="C2121" s="2">
        <v>2452</v>
      </c>
      <c r="D2121" s="2" t="s">
        <v>7410</v>
      </c>
      <c r="E2121" s="2" t="s">
        <v>38</v>
      </c>
      <c r="F2121" s="2" t="s">
        <v>47</v>
      </c>
      <c r="G2121" s="2">
        <v>5814.41</v>
      </c>
      <c r="H2121" s="2">
        <v>3227.39</v>
      </c>
      <c r="I2121" s="2" t="s">
        <v>63</v>
      </c>
      <c r="J2121" s="2" t="s">
        <v>54</v>
      </c>
      <c r="K2121" s="2" t="s">
        <v>80</v>
      </c>
      <c r="L2121" s="2" t="s">
        <v>23</v>
      </c>
      <c r="M2121" s="2">
        <v>5</v>
      </c>
      <c r="N2121" s="2" t="s">
        <v>69</v>
      </c>
      <c r="O2121" s="2" t="s">
        <v>25</v>
      </c>
      <c r="P2121" s="2" t="s">
        <v>34</v>
      </c>
    </row>
    <row r="2122" spans="1:16" x14ac:dyDescent="0.25">
      <c r="A2122" s="2" t="s">
        <v>4880</v>
      </c>
      <c r="B2122" s="2" t="s">
        <v>9089</v>
      </c>
      <c r="C2122" s="2">
        <v>8690</v>
      </c>
      <c r="D2122" s="2" t="s">
        <v>9090</v>
      </c>
      <c r="E2122" s="2" t="s">
        <v>6694</v>
      </c>
      <c r="F2122" s="2" t="s">
        <v>19</v>
      </c>
      <c r="G2122" s="2">
        <v>6662.85</v>
      </c>
      <c r="H2122" s="2">
        <v>3739.87</v>
      </c>
      <c r="I2122" s="2" t="s">
        <v>6728</v>
      </c>
      <c r="J2122" s="2" t="s">
        <v>54</v>
      </c>
      <c r="K2122" s="2" t="s">
        <v>42</v>
      </c>
      <c r="L2122" s="2" t="s">
        <v>64</v>
      </c>
      <c r="M2122" s="2">
        <v>5</v>
      </c>
      <c r="N2122" s="2" t="s">
        <v>24</v>
      </c>
      <c r="O2122" s="2" t="s">
        <v>70</v>
      </c>
      <c r="P2122" s="2" t="s">
        <v>49</v>
      </c>
    </row>
    <row r="2123" spans="1:16" x14ac:dyDescent="0.25">
      <c r="A2123" s="2" t="s">
        <v>4882</v>
      </c>
      <c r="B2123" s="2" t="s">
        <v>4347</v>
      </c>
      <c r="C2123" s="2">
        <v>3878</v>
      </c>
      <c r="D2123" s="2" t="s">
        <v>9091</v>
      </c>
      <c r="E2123" s="2" t="s">
        <v>18</v>
      </c>
      <c r="F2123" s="2" t="s">
        <v>58</v>
      </c>
      <c r="G2123" s="2">
        <v>15135.64</v>
      </c>
      <c r="H2123" s="2">
        <v>9092.49</v>
      </c>
      <c r="I2123" s="2" t="s">
        <v>20</v>
      </c>
      <c r="J2123" s="2" t="s">
        <v>21</v>
      </c>
      <c r="K2123" s="2" t="s">
        <v>22</v>
      </c>
      <c r="L2123" s="2" t="s">
        <v>64</v>
      </c>
      <c r="M2123" s="2">
        <v>2</v>
      </c>
      <c r="N2123" s="2" t="s">
        <v>33</v>
      </c>
      <c r="O2123" s="2" t="s">
        <v>70</v>
      </c>
      <c r="P2123" s="2" t="s">
        <v>34</v>
      </c>
    </row>
    <row r="2124" spans="1:16" x14ac:dyDescent="0.25">
      <c r="A2124" s="2" t="s">
        <v>4884</v>
      </c>
      <c r="B2124" s="2" t="s">
        <v>9092</v>
      </c>
      <c r="C2124" s="2">
        <v>9833</v>
      </c>
      <c r="D2124" s="2" t="s">
        <v>3005</v>
      </c>
      <c r="E2124" s="2" t="s">
        <v>18</v>
      </c>
      <c r="F2124" s="2" t="s">
        <v>39</v>
      </c>
      <c r="G2124" s="2">
        <v>21004.58</v>
      </c>
      <c r="H2124" s="2">
        <v>13222.56</v>
      </c>
      <c r="I2124" s="2" t="s">
        <v>6699</v>
      </c>
      <c r="J2124" s="2" t="s">
        <v>6729</v>
      </c>
      <c r="K2124" s="2" t="s">
        <v>32</v>
      </c>
      <c r="L2124" s="2" t="s">
        <v>55</v>
      </c>
      <c r="M2124" s="2">
        <v>3</v>
      </c>
      <c r="N2124" s="2" t="s">
        <v>24</v>
      </c>
      <c r="O2124" s="2" t="s">
        <v>25</v>
      </c>
      <c r="P2124" s="2" t="s">
        <v>26</v>
      </c>
    </row>
    <row r="2125" spans="1:16" x14ac:dyDescent="0.25">
      <c r="A2125" s="2" t="s">
        <v>4885</v>
      </c>
      <c r="B2125" s="2" t="s">
        <v>5697</v>
      </c>
      <c r="C2125" s="2">
        <v>1148</v>
      </c>
      <c r="D2125" s="2" t="s">
        <v>5698</v>
      </c>
      <c r="E2125" s="2" t="s">
        <v>38</v>
      </c>
      <c r="F2125" s="2" t="s">
        <v>30</v>
      </c>
      <c r="G2125" s="2">
        <v>83821.34</v>
      </c>
      <c r="H2125" s="2">
        <v>47435.7</v>
      </c>
      <c r="I2125" s="2" t="s">
        <v>120</v>
      </c>
      <c r="J2125" s="2" t="s">
        <v>21</v>
      </c>
      <c r="K2125" s="2" t="s">
        <v>80</v>
      </c>
      <c r="L2125" s="2" t="s">
        <v>88</v>
      </c>
      <c r="M2125" s="2">
        <v>4</v>
      </c>
      <c r="N2125" s="2" t="s">
        <v>33</v>
      </c>
      <c r="O2125" s="2" t="s">
        <v>70</v>
      </c>
      <c r="P2125" s="2" t="s">
        <v>49</v>
      </c>
    </row>
    <row r="2126" spans="1:16" x14ac:dyDescent="0.25">
      <c r="A2126" s="2" t="s">
        <v>4886</v>
      </c>
      <c r="B2126" s="2" t="s">
        <v>9093</v>
      </c>
      <c r="C2126" s="2">
        <v>9593</v>
      </c>
      <c r="D2126" s="2" t="s">
        <v>9094</v>
      </c>
      <c r="E2126" s="2" t="s">
        <v>6748</v>
      </c>
      <c r="F2126" s="2" t="s">
        <v>58</v>
      </c>
      <c r="G2126" s="2">
        <v>14674.64</v>
      </c>
      <c r="H2126" s="2">
        <v>8188.14</v>
      </c>
      <c r="I2126" s="2" t="s">
        <v>6736</v>
      </c>
      <c r="J2126" s="2" t="s">
        <v>6691</v>
      </c>
      <c r="K2126" s="2" t="s">
        <v>42</v>
      </c>
      <c r="L2126" s="2" t="s">
        <v>64</v>
      </c>
      <c r="M2126" s="2">
        <v>3</v>
      </c>
      <c r="N2126" s="2" t="s">
        <v>69</v>
      </c>
      <c r="O2126" s="2" t="s">
        <v>25</v>
      </c>
      <c r="P2126" s="2" t="s">
        <v>34</v>
      </c>
    </row>
    <row r="2127" spans="1:16" x14ac:dyDescent="0.25">
      <c r="A2127" s="2" t="s">
        <v>4888</v>
      </c>
      <c r="B2127" s="2" t="s">
        <v>3760</v>
      </c>
      <c r="C2127" s="2">
        <v>3901</v>
      </c>
      <c r="D2127" s="2" t="s">
        <v>9095</v>
      </c>
      <c r="E2127" s="2" t="s">
        <v>38</v>
      </c>
      <c r="F2127" s="2" t="s">
        <v>30</v>
      </c>
      <c r="G2127" s="2">
        <v>61259.1</v>
      </c>
      <c r="H2127" s="2">
        <v>38996.42</v>
      </c>
      <c r="I2127" s="2" t="s">
        <v>63</v>
      </c>
      <c r="J2127" s="2" t="s">
        <v>54</v>
      </c>
      <c r="K2127" s="2" t="s">
        <v>32</v>
      </c>
      <c r="L2127" s="2" t="s">
        <v>64</v>
      </c>
      <c r="M2127" s="2">
        <v>2</v>
      </c>
      <c r="N2127" s="2" t="s">
        <v>33</v>
      </c>
      <c r="O2127" s="2" t="s">
        <v>25</v>
      </c>
      <c r="P2127" s="2" t="s">
        <v>26</v>
      </c>
    </row>
    <row r="2128" spans="1:16" x14ac:dyDescent="0.25">
      <c r="A2128" s="2" t="s">
        <v>4890</v>
      </c>
      <c r="B2128" s="2" t="s">
        <v>1062</v>
      </c>
      <c r="C2128" s="2">
        <v>9423</v>
      </c>
      <c r="D2128" s="2" t="s">
        <v>7648</v>
      </c>
      <c r="E2128" s="2" t="s">
        <v>18</v>
      </c>
      <c r="F2128" s="2" t="s">
        <v>58</v>
      </c>
      <c r="G2128" s="2">
        <v>17052.169999999998</v>
      </c>
      <c r="H2128" s="2">
        <v>8381.09</v>
      </c>
      <c r="I2128" s="2" t="s">
        <v>63</v>
      </c>
      <c r="J2128" s="2" t="s">
        <v>54</v>
      </c>
      <c r="K2128" s="2" t="s">
        <v>80</v>
      </c>
      <c r="L2128" s="2" t="s">
        <v>88</v>
      </c>
      <c r="M2128" s="2">
        <v>5</v>
      </c>
      <c r="N2128" s="2" t="s">
        <v>33</v>
      </c>
      <c r="O2128" s="2" t="s">
        <v>70</v>
      </c>
      <c r="P2128" s="2" t="s">
        <v>34</v>
      </c>
    </row>
    <row r="2129" spans="1:16" x14ac:dyDescent="0.25">
      <c r="A2129" s="2" t="s">
        <v>4892</v>
      </c>
      <c r="B2129" s="2" t="s">
        <v>5032</v>
      </c>
      <c r="C2129" s="2">
        <v>5163</v>
      </c>
      <c r="D2129" s="2" t="s">
        <v>9096</v>
      </c>
      <c r="E2129" s="2" t="s">
        <v>32</v>
      </c>
      <c r="F2129" s="2" t="s">
        <v>30</v>
      </c>
      <c r="G2129" s="2">
        <v>85866.68</v>
      </c>
      <c r="H2129" s="2">
        <v>50314.65</v>
      </c>
      <c r="I2129" s="2" t="s">
        <v>6794</v>
      </c>
      <c r="J2129" s="2" t="s">
        <v>6802</v>
      </c>
      <c r="K2129" s="2" t="s">
        <v>32</v>
      </c>
      <c r="L2129" s="2" t="s">
        <v>55</v>
      </c>
      <c r="M2129" s="2">
        <v>1</v>
      </c>
      <c r="N2129" s="2" t="s">
        <v>24</v>
      </c>
      <c r="O2129" s="2" t="s">
        <v>70</v>
      </c>
      <c r="P2129" s="2" t="s">
        <v>34</v>
      </c>
    </row>
    <row r="2130" spans="1:16" x14ac:dyDescent="0.25">
      <c r="A2130" s="2" t="s">
        <v>4894</v>
      </c>
      <c r="B2130" s="2" t="s">
        <v>9097</v>
      </c>
      <c r="C2130" s="2">
        <v>2185</v>
      </c>
      <c r="D2130" s="2" t="s">
        <v>9098</v>
      </c>
      <c r="E2130" s="2" t="s">
        <v>38</v>
      </c>
      <c r="F2130" s="2" t="s">
        <v>30</v>
      </c>
      <c r="G2130" s="2">
        <v>50069.64</v>
      </c>
      <c r="H2130" s="2">
        <v>27872.99</v>
      </c>
      <c r="I2130" s="2" t="s">
        <v>68</v>
      </c>
      <c r="J2130" s="2" t="s">
        <v>6713</v>
      </c>
      <c r="K2130" s="2" t="s">
        <v>42</v>
      </c>
      <c r="L2130" s="2" t="s">
        <v>64</v>
      </c>
      <c r="M2130" s="2">
        <v>5</v>
      </c>
      <c r="N2130" s="2" t="s">
        <v>69</v>
      </c>
      <c r="O2130" s="2" t="s">
        <v>70</v>
      </c>
      <c r="P2130" s="2" t="s">
        <v>34</v>
      </c>
    </row>
    <row r="2131" spans="1:16" x14ac:dyDescent="0.25">
      <c r="A2131" s="2" t="s">
        <v>4895</v>
      </c>
      <c r="B2131" s="2" t="s">
        <v>9099</v>
      </c>
      <c r="C2131" s="2">
        <v>1716</v>
      </c>
      <c r="D2131" s="2" t="s">
        <v>9100</v>
      </c>
      <c r="E2131" s="2" t="s">
        <v>6703</v>
      </c>
      <c r="F2131" s="2" t="s">
        <v>30</v>
      </c>
      <c r="G2131" s="2">
        <v>22800.51</v>
      </c>
      <c r="H2131" s="2">
        <v>12036.23</v>
      </c>
      <c r="I2131" s="2" t="s">
        <v>53</v>
      </c>
      <c r="J2131" s="2" t="s">
        <v>6686</v>
      </c>
      <c r="K2131" s="2" t="s">
        <v>22</v>
      </c>
      <c r="L2131" s="2" t="s">
        <v>88</v>
      </c>
      <c r="M2131" s="2">
        <v>4</v>
      </c>
      <c r="N2131" s="2" t="s">
        <v>24</v>
      </c>
      <c r="O2131" s="2" t="s">
        <v>70</v>
      </c>
      <c r="P2131" s="2" t="s">
        <v>34</v>
      </c>
    </row>
    <row r="2132" spans="1:16" x14ac:dyDescent="0.25">
      <c r="A2132" s="2" t="s">
        <v>4898</v>
      </c>
      <c r="B2132" s="2" t="s">
        <v>1484</v>
      </c>
      <c r="C2132" s="2">
        <v>7371</v>
      </c>
      <c r="D2132" s="2" t="s">
        <v>5716</v>
      </c>
      <c r="E2132" s="2" t="s">
        <v>38</v>
      </c>
      <c r="F2132" s="2" t="s">
        <v>47</v>
      </c>
      <c r="G2132" s="2">
        <v>11185.33</v>
      </c>
      <c r="H2132" s="2">
        <v>5677.43</v>
      </c>
      <c r="I2132" s="2" t="s">
        <v>63</v>
      </c>
      <c r="J2132" s="2" t="s">
        <v>54</v>
      </c>
      <c r="K2132" s="2" t="s">
        <v>80</v>
      </c>
      <c r="L2132" s="2" t="s">
        <v>23</v>
      </c>
      <c r="M2132" s="2">
        <v>2</v>
      </c>
      <c r="N2132" s="2" t="s">
        <v>69</v>
      </c>
      <c r="O2132" s="2" t="s">
        <v>25</v>
      </c>
      <c r="P2132" s="2" t="s">
        <v>26</v>
      </c>
    </row>
    <row r="2133" spans="1:16" x14ac:dyDescent="0.25">
      <c r="A2133" s="2" t="s">
        <v>4900</v>
      </c>
      <c r="B2133" s="2" t="s">
        <v>2024</v>
      </c>
      <c r="C2133" s="2">
        <v>4195</v>
      </c>
      <c r="D2133" s="2" t="s">
        <v>5718</v>
      </c>
      <c r="E2133" s="2" t="s">
        <v>38</v>
      </c>
      <c r="F2133" s="2" t="s">
        <v>58</v>
      </c>
      <c r="G2133" s="2">
        <v>11376.09</v>
      </c>
      <c r="H2133" s="2">
        <v>5697.7</v>
      </c>
      <c r="I2133" s="2" t="s">
        <v>59</v>
      </c>
      <c r="J2133" s="2" t="s">
        <v>41</v>
      </c>
      <c r="K2133" s="2" t="s">
        <v>22</v>
      </c>
      <c r="L2133" s="2" t="s">
        <v>64</v>
      </c>
      <c r="M2133" s="2">
        <v>1</v>
      </c>
      <c r="N2133" s="2" t="s">
        <v>69</v>
      </c>
      <c r="O2133" s="2" t="s">
        <v>70</v>
      </c>
      <c r="P2133" s="2" t="s">
        <v>26</v>
      </c>
    </row>
    <row r="2134" spans="1:16" x14ac:dyDescent="0.25">
      <c r="A2134" s="2" t="s">
        <v>4902</v>
      </c>
      <c r="B2134" s="2" t="s">
        <v>4647</v>
      </c>
      <c r="C2134" s="2">
        <v>1418</v>
      </c>
      <c r="D2134" s="2" t="s">
        <v>9101</v>
      </c>
      <c r="E2134" s="2" t="s">
        <v>38</v>
      </c>
      <c r="F2134" s="2" t="s">
        <v>30</v>
      </c>
      <c r="G2134" s="2">
        <v>43968.5</v>
      </c>
      <c r="H2134" s="2">
        <v>26372.560000000001</v>
      </c>
      <c r="I2134" s="2" t="s">
        <v>31</v>
      </c>
      <c r="J2134" s="2" t="s">
        <v>21</v>
      </c>
      <c r="K2134" s="2" t="s">
        <v>80</v>
      </c>
      <c r="L2134" s="2" t="s">
        <v>64</v>
      </c>
      <c r="M2134" s="2">
        <v>4</v>
      </c>
      <c r="N2134" s="2" t="s">
        <v>33</v>
      </c>
      <c r="O2134" s="2" t="s">
        <v>25</v>
      </c>
      <c r="P2134" s="2" t="s">
        <v>26</v>
      </c>
    </row>
    <row r="2135" spans="1:16" x14ac:dyDescent="0.25">
      <c r="A2135" s="2" t="s">
        <v>4904</v>
      </c>
      <c r="B2135" s="2" t="s">
        <v>4533</v>
      </c>
      <c r="C2135" s="2">
        <v>6190</v>
      </c>
      <c r="D2135" s="2" t="s">
        <v>9102</v>
      </c>
      <c r="E2135" s="2" t="s">
        <v>6680</v>
      </c>
      <c r="F2135" s="2" t="s">
        <v>30</v>
      </c>
      <c r="G2135" s="2">
        <v>22986.86</v>
      </c>
      <c r="H2135" s="2">
        <v>14069.7</v>
      </c>
      <c r="I2135" s="2" t="s">
        <v>6910</v>
      </c>
      <c r="J2135" s="2" t="s">
        <v>21</v>
      </c>
      <c r="K2135" s="2" t="s">
        <v>32</v>
      </c>
      <c r="L2135" s="2" t="s">
        <v>43</v>
      </c>
      <c r="M2135" s="2">
        <v>5</v>
      </c>
      <c r="N2135" s="2" t="s">
        <v>24</v>
      </c>
      <c r="O2135" s="2" t="s">
        <v>25</v>
      </c>
      <c r="P2135" s="2" t="s">
        <v>49</v>
      </c>
    </row>
    <row r="2136" spans="1:16" x14ac:dyDescent="0.25">
      <c r="A2136" s="2" t="s">
        <v>4906</v>
      </c>
      <c r="B2136" s="2" t="s">
        <v>6145</v>
      </c>
      <c r="C2136" s="2">
        <v>3272</v>
      </c>
      <c r="D2136" s="2" t="s">
        <v>9103</v>
      </c>
      <c r="E2136" s="2" t="s">
        <v>18</v>
      </c>
      <c r="F2136" s="2" t="s">
        <v>58</v>
      </c>
      <c r="G2136" s="2">
        <v>54172.58</v>
      </c>
      <c r="H2136" s="2">
        <v>33835.54</v>
      </c>
      <c r="I2136" s="2" t="s">
        <v>84</v>
      </c>
      <c r="J2136" s="2" t="s">
        <v>54</v>
      </c>
      <c r="K2136" s="2" t="s">
        <v>22</v>
      </c>
      <c r="L2136" s="2" t="s">
        <v>55</v>
      </c>
      <c r="M2136" s="2">
        <v>2</v>
      </c>
      <c r="N2136" s="2" t="s">
        <v>33</v>
      </c>
      <c r="O2136" s="2" t="s">
        <v>25</v>
      </c>
      <c r="P2136" s="2" t="s">
        <v>34</v>
      </c>
    </row>
    <row r="2137" spans="1:16" x14ac:dyDescent="0.25">
      <c r="A2137" s="2" t="s">
        <v>4908</v>
      </c>
      <c r="B2137" s="2" t="s">
        <v>9104</v>
      </c>
      <c r="C2137" s="2">
        <v>5563</v>
      </c>
      <c r="D2137" s="2" t="s">
        <v>2467</v>
      </c>
      <c r="E2137" s="2" t="s">
        <v>6703</v>
      </c>
      <c r="F2137" s="2" t="s">
        <v>30</v>
      </c>
      <c r="G2137" s="2">
        <v>18431.990000000002</v>
      </c>
      <c r="H2137" s="2">
        <v>10509.13</v>
      </c>
      <c r="I2137" s="2" t="s">
        <v>6749</v>
      </c>
      <c r="J2137" s="2" t="s">
        <v>6682</v>
      </c>
      <c r="K2137" s="2" t="s">
        <v>32</v>
      </c>
      <c r="L2137" s="2" t="s">
        <v>55</v>
      </c>
      <c r="M2137" s="2">
        <v>2</v>
      </c>
      <c r="N2137" s="2" t="s">
        <v>69</v>
      </c>
      <c r="O2137" s="2" t="s">
        <v>70</v>
      </c>
      <c r="P2137" s="2" t="s">
        <v>26</v>
      </c>
    </row>
    <row r="2138" spans="1:16" x14ac:dyDescent="0.25">
      <c r="A2138" s="2" t="s">
        <v>4911</v>
      </c>
      <c r="B2138" s="2" t="s">
        <v>454</v>
      </c>
      <c r="C2138" s="2">
        <v>5615</v>
      </c>
      <c r="D2138" s="2" t="s">
        <v>5730</v>
      </c>
      <c r="E2138" s="2" t="s">
        <v>38</v>
      </c>
      <c r="F2138" s="2" t="s">
        <v>19</v>
      </c>
      <c r="G2138" s="2">
        <v>3557.64</v>
      </c>
      <c r="H2138" s="2">
        <v>2250.27</v>
      </c>
      <c r="I2138" s="2" t="s">
        <v>20</v>
      </c>
      <c r="J2138" s="2" t="s">
        <v>21</v>
      </c>
      <c r="K2138" s="2" t="s">
        <v>32</v>
      </c>
      <c r="L2138" s="2" t="s">
        <v>64</v>
      </c>
      <c r="M2138" s="2">
        <v>4</v>
      </c>
      <c r="N2138" s="2" t="s">
        <v>33</v>
      </c>
      <c r="O2138" s="2" t="s">
        <v>25</v>
      </c>
      <c r="P2138" s="2" t="s">
        <v>49</v>
      </c>
    </row>
    <row r="2139" spans="1:16" x14ac:dyDescent="0.25">
      <c r="A2139" s="2" t="s">
        <v>4913</v>
      </c>
      <c r="B2139" s="2" t="s">
        <v>5611</v>
      </c>
      <c r="C2139" s="2">
        <v>4130</v>
      </c>
      <c r="D2139" s="2" t="s">
        <v>9105</v>
      </c>
      <c r="E2139" s="2" t="s">
        <v>18</v>
      </c>
      <c r="F2139" s="2" t="s">
        <v>30</v>
      </c>
      <c r="G2139" s="2">
        <v>100715.76</v>
      </c>
      <c r="H2139" s="2">
        <v>55851.66</v>
      </c>
      <c r="I2139" s="2" t="s">
        <v>84</v>
      </c>
      <c r="J2139" s="2" t="s">
        <v>54</v>
      </c>
      <c r="K2139" s="2" t="s">
        <v>42</v>
      </c>
      <c r="L2139" s="2" t="s">
        <v>55</v>
      </c>
      <c r="M2139" s="2">
        <v>3</v>
      </c>
      <c r="N2139" s="2" t="s">
        <v>24</v>
      </c>
      <c r="O2139" s="2" t="s">
        <v>70</v>
      </c>
      <c r="P2139" s="2" t="s">
        <v>26</v>
      </c>
    </row>
    <row r="2140" spans="1:16" x14ac:dyDescent="0.25">
      <c r="A2140" s="2" t="s">
        <v>4915</v>
      </c>
      <c r="B2140" s="2" t="s">
        <v>1973</v>
      </c>
      <c r="C2140" s="2">
        <v>9374</v>
      </c>
      <c r="D2140" s="2" t="s">
        <v>3135</v>
      </c>
      <c r="E2140" s="2" t="s">
        <v>38</v>
      </c>
      <c r="F2140" s="2" t="s">
        <v>47</v>
      </c>
      <c r="G2140" s="2">
        <v>12911.86</v>
      </c>
      <c r="H2140" s="2">
        <v>6674.35</v>
      </c>
      <c r="I2140" s="2" t="s">
        <v>53</v>
      </c>
      <c r="J2140" s="2" t="s">
        <v>6691</v>
      </c>
      <c r="K2140" s="2" t="s">
        <v>22</v>
      </c>
      <c r="L2140" s="2" t="s">
        <v>88</v>
      </c>
      <c r="M2140" s="2">
        <v>1</v>
      </c>
      <c r="N2140" s="2" t="s">
        <v>24</v>
      </c>
      <c r="O2140" s="2" t="s">
        <v>70</v>
      </c>
      <c r="P2140" s="2" t="s">
        <v>34</v>
      </c>
    </row>
    <row r="2141" spans="1:16" x14ac:dyDescent="0.25">
      <c r="A2141" s="2" t="s">
        <v>4917</v>
      </c>
      <c r="B2141" s="2" t="s">
        <v>9106</v>
      </c>
      <c r="C2141" s="2">
        <v>2756</v>
      </c>
      <c r="D2141" s="2" t="s">
        <v>9107</v>
      </c>
      <c r="E2141" s="2" t="s">
        <v>6694</v>
      </c>
      <c r="F2141" s="2" t="s">
        <v>39</v>
      </c>
      <c r="G2141" s="2">
        <v>31139.65</v>
      </c>
      <c r="H2141" s="2">
        <v>17029.810000000001</v>
      </c>
      <c r="I2141" s="2" t="s">
        <v>6812</v>
      </c>
      <c r="J2141" s="2" t="s">
        <v>6691</v>
      </c>
      <c r="K2141" s="2" t="s">
        <v>42</v>
      </c>
      <c r="L2141" s="2" t="s">
        <v>48</v>
      </c>
      <c r="M2141" s="2">
        <v>1</v>
      </c>
      <c r="N2141" s="2" t="s">
        <v>33</v>
      </c>
      <c r="O2141" s="2" t="s">
        <v>70</v>
      </c>
      <c r="P2141" s="2" t="s">
        <v>34</v>
      </c>
    </row>
    <row r="2142" spans="1:16" x14ac:dyDescent="0.25">
      <c r="A2142" s="2" t="s">
        <v>4919</v>
      </c>
      <c r="B2142" s="2" t="s">
        <v>6882</v>
      </c>
      <c r="C2142" s="2">
        <v>5556</v>
      </c>
      <c r="D2142" s="2" t="s">
        <v>9108</v>
      </c>
      <c r="E2142" s="2" t="s">
        <v>38</v>
      </c>
      <c r="F2142" s="2" t="s">
        <v>47</v>
      </c>
      <c r="G2142" s="2">
        <v>11341.15</v>
      </c>
      <c r="H2142" s="2">
        <v>7248.42</v>
      </c>
      <c r="I2142" s="2" t="s">
        <v>84</v>
      </c>
      <c r="J2142" s="2" t="s">
        <v>54</v>
      </c>
      <c r="K2142" s="2" t="s">
        <v>80</v>
      </c>
      <c r="L2142" s="2" t="s">
        <v>23</v>
      </c>
      <c r="M2142" s="2">
        <v>2</v>
      </c>
      <c r="N2142" s="2" t="s">
        <v>33</v>
      </c>
      <c r="O2142" s="2" t="s">
        <v>70</v>
      </c>
      <c r="P2142" s="2" t="s">
        <v>34</v>
      </c>
    </row>
    <row r="2143" spans="1:16" x14ac:dyDescent="0.25">
      <c r="A2143" s="2" t="s">
        <v>4921</v>
      </c>
      <c r="B2143" s="2" t="s">
        <v>9109</v>
      </c>
      <c r="C2143" s="2">
        <v>1025</v>
      </c>
      <c r="D2143" s="2" t="s">
        <v>9110</v>
      </c>
      <c r="E2143" s="2" t="s">
        <v>18</v>
      </c>
      <c r="F2143" s="2" t="s">
        <v>58</v>
      </c>
      <c r="G2143" s="2">
        <v>18108.89</v>
      </c>
      <c r="H2143" s="2">
        <v>10301.1</v>
      </c>
      <c r="I2143" s="2" t="s">
        <v>120</v>
      </c>
      <c r="J2143" s="2" t="s">
        <v>21</v>
      </c>
      <c r="K2143" s="2" t="s">
        <v>32</v>
      </c>
      <c r="L2143" s="2" t="s">
        <v>88</v>
      </c>
      <c r="M2143" s="2">
        <v>2</v>
      </c>
      <c r="N2143" s="2" t="s">
        <v>24</v>
      </c>
      <c r="O2143" s="2" t="s">
        <v>70</v>
      </c>
      <c r="P2143" s="2" t="s">
        <v>49</v>
      </c>
    </row>
    <row r="2144" spans="1:16" x14ac:dyDescent="0.25">
      <c r="A2144" s="2" t="s">
        <v>4923</v>
      </c>
      <c r="B2144" s="2" t="s">
        <v>3874</v>
      </c>
      <c r="C2144" s="2">
        <v>1298</v>
      </c>
      <c r="D2144" s="2" t="s">
        <v>9111</v>
      </c>
      <c r="E2144" s="2" t="s">
        <v>6743</v>
      </c>
      <c r="F2144" s="2" t="s">
        <v>30</v>
      </c>
      <c r="G2144" s="2">
        <v>61353.65</v>
      </c>
      <c r="H2144" s="2">
        <v>37108.589999999997</v>
      </c>
      <c r="I2144" s="2" t="s">
        <v>6736</v>
      </c>
      <c r="J2144" s="2" t="s">
        <v>54</v>
      </c>
      <c r="K2144" s="2" t="s">
        <v>42</v>
      </c>
      <c r="L2144" s="2" t="s">
        <v>64</v>
      </c>
      <c r="M2144" s="2">
        <v>4</v>
      </c>
      <c r="N2144" s="2" t="s">
        <v>33</v>
      </c>
      <c r="O2144" s="2" t="s">
        <v>70</v>
      </c>
      <c r="P2144" s="2" t="s">
        <v>34</v>
      </c>
    </row>
    <row r="2145" spans="1:16" x14ac:dyDescent="0.25">
      <c r="A2145" s="2" t="s">
        <v>4926</v>
      </c>
      <c r="B2145" s="2" t="s">
        <v>9112</v>
      </c>
      <c r="C2145" s="2">
        <v>2138</v>
      </c>
      <c r="D2145" s="2" t="s">
        <v>9113</v>
      </c>
      <c r="E2145" s="2" t="s">
        <v>6680</v>
      </c>
      <c r="F2145" s="2" t="s">
        <v>58</v>
      </c>
      <c r="G2145" s="2">
        <v>20051.830000000002</v>
      </c>
      <c r="H2145" s="2">
        <v>10072.530000000001</v>
      </c>
      <c r="I2145" s="2" t="s">
        <v>6699</v>
      </c>
      <c r="J2145" s="2" t="s">
        <v>54</v>
      </c>
      <c r="K2145" s="2" t="s">
        <v>22</v>
      </c>
      <c r="L2145" s="2" t="s">
        <v>23</v>
      </c>
      <c r="M2145" s="2">
        <v>3</v>
      </c>
      <c r="N2145" s="2" t="s">
        <v>33</v>
      </c>
      <c r="O2145" s="2" t="s">
        <v>25</v>
      </c>
      <c r="P2145" s="2" t="s">
        <v>34</v>
      </c>
    </row>
    <row r="2146" spans="1:16" x14ac:dyDescent="0.25">
      <c r="A2146" s="2" t="s">
        <v>4928</v>
      </c>
      <c r="B2146" s="2" t="s">
        <v>1017</v>
      </c>
      <c r="C2146" s="2">
        <v>3222</v>
      </c>
      <c r="D2146" s="2" t="s">
        <v>5700</v>
      </c>
      <c r="E2146" s="2" t="s">
        <v>38</v>
      </c>
      <c r="F2146" s="2" t="s">
        <v>19</v>
      </c>
      <c r="G2146" s="2">
        <v>4926.74</v>
      </c>
      <c r="H2146" s="2">
        <v>2860.92</v>
      </c>
      <c r="I2146" s="2" t="s">
        <v>84</v>
      </c>
      <c r="J2146" s="2" t="s">
        <v>54</v>
      </c>
      <c r="K2146" s="2" t="s">
        <v>42</v>
      </c>
      <c r="L2146" s="2" t="s">
        <v>23</v>
      </c>
      <c r="M2146" s="2">
        <v>2</v>
      </c>
      <c r="N2146" s="2" t="s">
        <v>24</v>
      </c>
      <c r="O2146" s="2" t="s">
        <v>25</v>
      </c>
      <c r="P2146" s="2" t="s">
        <v>34</v>
      </c>
    </row>
    <row r="2147" spans="1:16" x14ac:dyDescent="0.25">
      <c r="A2147" s="2" t="s">
        <v>4930</v>
      </c>
      <c r="B2147" s="2" t="s">
        <v>3635</v>
      </c>
      <c r="C2147" s="2">
        <v>5990</v>
      </c>
      <c r="D2147" s="2" t="s">
        <v>4993</v>
      </c>
      <c r="E2147" s="2" t="s">
        <v>38</v>
      </c>
      <c r="F2147" s="2" t="s">
        <v>58</v>
      </c>
      <c r="G2147" s="2">
        <v>53035.38</v>
      </c>
      <c r="H2147" s="2">
        <v>26754.59</v>
      </c>
      <c r="I2147" s="2" t="s">
        <v>63</v>
      </c>
      <c r="J2147" s="2" t="s">
        <v>54</v>
      </c>
      <c r="K2147" s="2" t="s">
        <v>80</v>
      </c>
      <c r="L2147" s="2" t="s">
        <v>23</v>
      </c>
      <c r="M2147" s="2">
        <v>4</v>
      </c>
      <c r="N2147" s="2" t="s">
        <v>69</v>
      </c>
      <c r="O2147" s="2" t="s">
        <v>25</v>
      </c>
      <c r="P2147" s="2" t="s">
        <v>49</v>
      </c>
    </row>
    <row r="2149" spans="1:16" x14ac:dyDescent="0.25">
      <c r="A2149" s="2" t="s">
        <v>4933</v>
      </c>
      <c r="B2149" s="2" t="s">
        <v>7352</v>
      </c>
      <c r="C2149" s="2">
        <v>7379</v>
      </c>
      <c r="D2149" s="2" t="s">
        <v>9114</v>
      </c>
      <c r="E2149" s="2" t="s">
        <v>38</v>
      </c>
      <c r="F2149" s="2" t="s">
        <v>30</v>
      </c>
      <c r="G2149" s="2">
        <v>48575.14</v>
      </c>
      <c r="H2149" s="2">
        <v>31047.360000000001</v>
      </c>
      <c r="I2149" s="2" t="s">
        <v>6812</v>
      </c>
      <c r="J2149" s="2" t="s">
        <v>6753</v>
      </c>
      <c r="K2149" s="2" t="s">
        <v>32</v>
      </c>
      <c r="L2149" s="2" t="s">
        <v>43</v>
      </c>
      <c r="M2149" s="2">
        <v>4</v>
      </c>
      <c r="N2149" s="2" t="s">
        <v>33</v>
      </c>
      <c r="O2149" s="2" t="s">
        <v>70</v>
      </c>
      <c r="P2149" s="2" t="s">
        <v>49</v>
      </c>
    </row>
    <row r="2150" spans="1:16" x14ac:dyDescent="0.25">
      <c r="A2150" s="2" t="s">
        <v>4935</v>
      </c>
      <c r="B2150" s="2" t="s">
        <v>9115</v>
      </c>
      <c r="C2150" s="2">
        <v>1838</v>
      </c>
      <c r="D2150" s="2" t="s">
        <v>196</v>
      </c>
      <c r="E2150" s="2" t="s">
        <v>18</v>
      </c>
      <c r="F2150" s="2" t="s">
        <v>30</v>
      </c>
      <c r="G2150" s="2">
        <v>50120.5</v>
      </c>
      <c r="H2150" s="2">
        <v>23651.919999999998</v>
      </c>
      <c r="I2150" s="2" t="s">
        <v>6759</v>
      </c>
      <c r="J2150" s="2" t="s">
        <v>6686</v>
      </c>
      <c r="K2150" s="2" t="s">
        <v>80</v>
      </c>
      <c r="L2150" s="2" t="s">
        <v>88</v>
      </c>
      <c r="M2150" s="2">
        <v>4</v>
      </c>
      <c r="N2150" s="2" t="s">
        <v>24</v>
      </c>
      <c r="O2150" s="2" t="s">
        <v>25</v>
      </c>
      <c r="P2150" s="2" t="s">
        <v>26</v>
      </c>
    </row>
    <row r="2151" spans="1:16" x14ac:dyDescent="0.25">
      <c r="A2151" s="2" t="s">
        <v>4937</v>
      </c>
      <c r="B2151" s="2" t="s">
        <v>9116</v>
      </c>
      <c r="C2151" s="2">
        <v>2652</v>
      </c>
      <c r="D2151" s="2" t="s">
        <v>9117</v>
      </c>
      <c r="E2151" s="2" t="s">
        <v>6680</v>
      </c>
      <c r="F2151" s="2" t="s">
        <v>19</v>
      </c>
      <c r="G2151" s="2">
        <v>8143.98</v>
      </c>
      <c r="H2151" s="2">
        <v>4418.26</v>
      </c>
      <c r="I2151" s="2" t="s">
        <v>6723</v>
      </c>
      <c r="J2151" s="2" t="s">
        <v>6724</v>
      </c>
      <c r="K2151" s="2" t="s">
        <v>32</v>
      </c>
      <c r="L2151" s="2" t="s">
        <v>64</v>
      </c>
      <c r="M2151" s="2">
        <v>2</v>
      </c>
      <c r="N2151" s="2" t="s">
        <v>33</v>
      </c>
      <c r="O2151" s="2" t="s">
        <v>25</v>
      </c>
      <c r="P2151" s="2" t="s">
        <v>26</v>
      </c>
    </row>
    <row r="2152" spans="1:16" x14ac:dyDescent="0.25">
      <c r="A2152" s="2" t="s">
        <v>4939</v>
      </c>
      <c r="B2152" s="2" t="s">
        <v>679</v>
      </c>
      <c r="C2152" s="2">
        <v>9998</v>
      </c>
      <c r="D2152" s="2" t="s">
        <v>7613</v>
      </c>
      <c r="E2152" s="2" t="s">
        <v>18</v>
      </c>
      <c r="F2152" s="2" t="s">
        <v>47</v>
      </c>
      <c r="G2152" s="2">
        <v>7061.5</v>
      </c>
      <c r="H2152" s="2">
        <v>3380.44</v>
      </c>
      <c r="I2152" s="2" t="s">
        <v>68</v>
      </c>
      <c r="J2152" s="2" t="s">
        <v>41</v>
      </c>
      <c r="K2152" s="2" t="s">
        <v>22</v>
      </c>
      <c r="L2152" s="2" t="s">
        <v>23</v>
      </c>
      <c r="M2152" s="2">
        <v>4</v>
      </c>
      <c r="N2152" s="2" t="s">
        <v>24</v>
      </c>
      <c r="O2152" s="2" t="s">
        <v>70</v>
      </c>
      <c r="P2152" s="2" t="s">
        <v>49</v>
      </c>
    </row>
    <row r="2153" spans="1:16" x14ac:dyDescent="0.25">
      <c r="A2153" s="2" t="s">
        <v>4941</v>
      </c>
      <c r="B2153" s="2" t="s">
        <v>5107</v>
      </c>
      <c r="C2153" s="2">
        <v>7624</v>
      </c>
      <c r="D2153" s="2" t="s">
        <v>7260</v>
      </c>
      <c r="E2153" s="2" t="s">
        <v>6703</v>
      </c>
      <c r="F2153" s="2" t="s">
        <v>39</v>
      </c>
      <c r="G2153" s="2">
        <v>26306.07</v>
      </c>
      <c r="H2153" s="2">
        <v>13375.08</v>
      </c>
      <c r="I2153" s="2" t="s">
        <v>68</v>
      </c>
      <c r="J2153" s="2" t="s">
        <v>6713</v>
      </c>
      <c r="K2153" s="2" t="s">
        <v>42</v>
      </c>
      <c r="L2153" s="2" t="s">
        <v>48</v>
      </c>
      <c r="M2153" s="2">
        <v>5</v>
      </c>
      <c r="N2153" s="2" t="s">
        <v>24</v>
      </c>
      <c r="O2153" s="2" t="s">
        <v>70</v>
      </c>
      <c r="P2153" s="2" t="s">
        <v>26</v>
      </c>
    </row>
    <row r="2154" spans="1:16" x14ac:dyDescent="0.25">
      <c r="A2154" s="2" t="s">
        <v>4943</v>
      </c>
      <c r="B2154" s="2" t="s">
        <v>9118</v>
      </c>
      <c r="C2154" s="2">
        <v>6257</v>
      </c>
      <c r="D2154" s="2" t="s">
        <v>9119</v>
      </c>
      <c r="E2154" s="2" t="s">
        <v>6698</v>
      </c>
      <c r="F2154" s="2" t="s">
        <v>30</v>
      </c>
      <c r="G2154" s="2">
        <v>53280.44</v>
      </c>
      <c r="H2154" s="2">
        <v>34322.65</v>
      </c>
      <c r="I2154" s="2" t="s">
        <v>6915</v>
      </c>
      <c r="J2154" s="2" t="s">
        <v>21</v>
      </c>
      <c r="K2154" s="2" t="s">
        <v>22</v>
      </c>
      <c r="L2154" s="2" t="s">
        <v>64</v>
      </c>
      <c r="M2154" s="2">
        <v>1</v>
      </c>
      <c r="N2154" s="2" t="s">
        <v>33</v>
      </c>
      <c r="O2154" s="2" t="s">
        <v>70</v>
      </c>
      <c r="P2154" s="2" t="s">
        <v>34</v>
      </c>
    </row>
    <row r="2155" spans="1:16" x14ac:dyDescent="0.25">
      <c r="A2155" s="2" t="s">
        <v>4945</v>
      </c>
      <c r="B2155" s="2" t="s">
        <v>3024</v>
      </c>
      <c r="C2155" s="2">
        <v>7722</v>
      </c>
      <c r="D2155" s="2" t="s">
        <v>9120</v>
      </c>
      <c r="E2155" s="2" t="s">
        <v>18</v>
      </c>
      <c r="F2155" s="2" t="s">
        <v>19</v>
      </c>
      <c r="G2155" s="2">
        <v>5094.41</v>
      </c>
      <c r="H2155" s="2">
        <v>3081.33</v>
      </c>
      <c r="I2155" s="2" t="s">
        <v>84</v>
      </c>
      <c r="J2155" s="2" t="s">
        <v>54</v>
      </c>
      <c r="K2155" s="2" t="s">
        <v>22</v>
      </c>
      <c r="L2155" s="2" t="s">
        <v>55</v>
      </c>
      <c r="M2155" s="2">
        <v>4</v>
      </c>
      <c r="N2155" s="2" t="s">
        <v>33</v>
      </c>
      <c r="O2155" s="2" t="s">
        <v>70</v>
      </c>
      <c r="P2155" s="2" t="s">
        <v>34</v>
      </c>
    </row>
    <row r="2156" spans="1:16" x14ac:dyDescent="0.25">
      <c r="A2156" s="2" t="s">
        <v>4947</v>
      </c>
      <c r="B2156" s="2" t="s">
        <v>6745</v>
      </c>
      <c r="C2156" s="2">
        <v>9246</v>
      </c>
      <c r="D2156" s="2" t="s">
        <v>9121</v>
      </c>
      <c r="E2156" s="2" t="s">
        <v>38</v>
      </c>
      <c r="F2156" s="2" t="s">
        <v>30</v>
      </c>
      <c r="G2156" s="2">
        <v>76691.83</v>
      </c>
      <c r="H2156" s="2">
        <v>39197.26</v>
      </c>
      <c r="I2156" s="2" t="s">
        <v>20</v>
      </c>
      <c r="J2156" s="2" t="s">
        <v>21</v>
      </c>
      <c r="K2156" s="2" t="s">
        <v>80</v>
      </c>
      <c r="L2156" s="2" t="s">
        <v>23</v>
      </c>
      <c r="M2156" s="2">
        <v>3</v>
      </c>
      <c r="N2156" s="2" t="s">
        <v>33</v>
      </c>
      <c r="O2156" s="2" t="s">
        <v>25</v>
      </c>
      <c r="P2156" s="2" t="s">
        <v>34</v>
      </c>
    </row>
    <row r="2157" spans="1:16" x14ac:dyDescent="0.25">
      <c r="A2157" s="2" t="s">
        <v>4949</v>
      </c>
      <c r="B2157" s="2" t="s">
        <v>2156</v>
      </c>
      <c r="C2157" s="2">
        <v>8871</v>
      </c>
      <c r="D2157" s="2" t="s">
        <v>4877</v>
      </c>
      <c r="E2157" s="2" t="s">
        <v>18</v>
      </c>
      <c r="F2157" s="2" t="s">
        <v>47</v>
      </c>
      <c r="G2157" s="2">
        <v>12655.6</v>
      </c>
      <c r="H2157" s="2">
        <v>6727.38</v>
      </c>
      <c r="I2157" s="2" t="s">
        <v>20</v>
      </c>
      <c r="J2157" s="2" t="s">
        <v>21</v>
      </c>
      <c r="K2157" s="2" t="s">
        <v>42</v>
      </c>
      <c r="L2157" s="2" t="s">
        <v>88</v>
      </c>
      <c r="M2157" s="2">
        <v>4</v>
      </c>
      <c r="N2157" s="2" t="s">
        <v>24</v>
      </c>
      <c r="O2157" s="2" t="s">
        <v>25</v>
      </c>
      <c r="P2157" s="2" t="s">
        <v>34</v>
      </c>
    </row>
    <row r="2158" spans="1:16" x14ac:dyDescent="0.25">
      <c r="A2158" s="2" t="s">
        <v>4952</v>
      </c>
      <c r="B2158" s="2" t="s">
        <v>2815</v>
      </c>
      <c r="C2158" s="2">
        <v>2096</v>
      </c>
      <c r="D2158" s="2" t="s">
        <v>9122</v>
      </c>
      <c r="E2158" s="2" t="s">
        <v>6694</v>
      </c>
      <c r="F2158" s="2" t="s">
        <v>47</v>
      </c>
      <c r="G2158" s="2">
        <v>11044.77</v>
      </c>
      <c r="H2158" s="2">
        <v>5682.79</v>
      </c>
      <c r="I2158" s="2" t="s">
        <v>6695</v>
      </c>
      <c r="J2158" s="2" t="s">
        <v>6802</v>
      </c>
      <c r="K2158" s="2" t="s">
        <v>32</v>
      </c>
      <c r="L2158" s="2" t="s">
        <v>88</v>
      </c>
      <c r="M2158" s="2">
        <v>5</v>
      </c>
      <c r="N2158" s="2" t="s">
        <v>33</v>
      </c>
      <c r="O2158" s="2" t="s">
        <v>25</v>
      </c>
      <c r="P2158" s="2" t="s">
        <v>34</v>
      </c>
    </row>
    <row r="2159" spans="1:16" x14ac:dyDescent="0.25">
      <c r="A2159" s="2" t="s">
        <v>4954</v>
      </c>
      <c r="B2159" s="2" t="s">
        <v>980</v>
      </c>
      <c r="C2159" s="2">
        <v>1328</v>
      </c>
      <c r="D2159" s="2" t="s">
        <v>9123</v>
      </c>
      <c r="E2159" s="2" t="s">
        <v>6708</v>
      </c>
      <c r="F2159" s="2" t="s">
        <v>19</v>
      </c>
      <c r="G2159" s="2">
        <v>3730.12</v>
      </c>
      <c r="H2159" s="2">
        <v>2368.42</v>
      </c>
      <c r="I2159" s="2" t="s">
        <v>6723</v>
      </c>
      <c r="J2159" s="2" t="s">
        <v>6724</v>
      </c>
      <c r="K2159" s="2" t="s">
        <v>42</v>
      </c>
      <c r="L2159" s="2" t="s">
        <v>64</v>
      </c>
      <c r="M2159" s="2">
        <v>1</v>
      </c>
      <c r="N2159" s="2" t="s">
        <v>33</v>
      </c>
      <c r="O2159" s="2" t="s">
        <v>25</v>
      </c>
      <c r="P2159" s="2" t="s">
        <v>26</v>
      </c>
    </row>
    <row r="2160" spans="1:16" x14ac:dyDescent="0.25">
      <c r="A2160" s="2" t="s">
        <v>4956</v>
      </c>
      <c r="B2160" s="2" t="s">
        <v>2909</v>
      </c>
      <c r="C2160" s="2">
        <v>8338</v>
      </c>
      <c r="D2160" s="2" t="s">
        <v>9124</v>
      </c>
      <c r="E2160" s="2" t="s">
        <v>38</v>
      </c>
      <c r="F2160" s="2" t="s">
        <v>19</v>
      </c>
      <c r="G2160" s="2">
        <v>4488.75</v>
      </c>
      <c r="H2160" s="2">
        <v>2405.9499999999998</v>
      </c>
      <c r="I2160" s="2" t="s">
        <v>53</v>
      </c>
      <c r="J2160" s="2" t="s">
        <v>54</v>
      </c>
      <c r="K2160" s="2" t="s">
        <v>42</v>
      </c>
      <c r="L2160" s="2" t="s">
        <v>55</v>
      </c>
      <c r="M2160" s="2">
        <v>4</v>
      </c>
      <c r="N2160" s="2" t="s">
        <v>69</v>
      </c>
      <c r="O2160" s="2" t="s">
        <v>70</v>
      </c>
      <c r="P2160" s="2" t="s">
        <v>26</v>
      </c>
    </row>
    <row r="2161" spans="1:16" x14ac:dyDescent="0.25">
      <c r="A2161" s="2" t="s">
        <v>4957</v>
      </c>
      <c r="B2161" s="2" t="s">
        <v>9125</v>
      </c>
      <c r="C2161" s="2">
        <v>4451</v>
      </c>
      <c r="D2161" s="2" t="s">
        <v>9126</v>
      </c>
      <c r="E2161" s="2" t="s">
        <v>6743</v>
      </c>
      <c r="F2161" s="2" t="s">
        <v>19</v>
      </c>
      <c r="G2161" s="2">
        <v>13203.34</v>
      </c>
      <c r="H2161" s="2">
        <v>7840.91</v>
      </c>
      <c r="I2161" s="2" t="s">
        <v>31</v>
      </c>
      <c r="J2161" s="2" t="s">
        <v>6724</v>
      </c>
      <c r="K2161" s="2" t="s">
        <v>80</v>
      </c>
      <c r="L2161" s="2" t="s">
        <v>64</v>
      </c>
      <c r="M2161" s="2">
        <v>2</v>
      </c>
      <c r="N2161" s="2" t="s">
        <v>69</v>
      </c>
      <c r="O2161" s="2" t="s">
        <v>25</v>
      </c>
      <c r="P2161" s="2" t="s">
        <v>34</v>
      </c>
    </row>
    <row r="2162" spans="1:16" x14ac:dyDescent="0.25">
      <c r="A2162" s="2" t="s">
        <v>4959</v>
      </c>
      <c r="B2162" s="2" t="s">
        <v>6050</v>
      </c>
      <c r="C2162" s="2">
        <v>5468</v>
      </c>
      <c r="D2162" s="2" t="s">
        <v>9127</v>
      </c>
      <c r="E2162" s="2" t="s">
        <v>6680</v>
      </c>
      <c r="F2162" s="2" t="s">
        <v>30</v>
      </c>
      <c r="G2162" s="2" t="s">
        <v>9128</v>
      </c>
      <c r="H2162" s="2">
        <v>11317.86</v>
      </c>
      <c r="I2162" s="2" t="s">
        <v>20</v>
      </c>
      <c r="J2162" s="2" t="s">
        <v>6696</v>
      </c>
      <c r="K2162" s="2" t="s">
        <v>42</v>
      </c>
      <c r="L2162" s="2" t="s">
        <v>64</v>
      </c>
      <c r="M2162" s="2">
        <v>4</v>
      </c>
      <c r="N2162" s="2" t="s">
        <v>69</v>
      </c>
      <c r="O2162" s="2" t="s">
        <v>25</v>
      </c>
      <c r="P2162" s="2" t="s">
        <v>49</v>
      </c>
    </row>
    <row r="2163" spans="1:16" x14ac:dyDescent="0.25">
      <c r="A2163" s="2" t="s">
        <v>4962</v>
      </c>
      <c r="B2163" s="2" t="s">
        <v>9129</v>
      </c>
      <c r="C2163" s="2">
        <v>2059</v>
      </c>
      <c r="D2163" s="2" t="s">
        <v>9130</v>
      </c>
      <c r="E2163" s="2" t="s">
        <v>32</v>
      </c>
      <c r="F2163" s="2" t="s">
        <v>39</v>
      </c>
      <c r="G2163" s="2">
        <v>17817.05</v>
      </c>
      <c r="H2163" s="2">
        <v>10517.66</v>
      </c>
      <c r="I2163" s="2" t="s">
        <v>6771</v>
      </c>
      <c r="J2163" s="2" t="s">
        <v>6696</v>
      </c>
      <c r="K2163" s="2" t="s">
        <v>80</v>
      </c>
      <c r="L2163" s="2" t="s">
        <v>23</v>
      </c>
      <c r="M2163" s="2">
        <v>1</v>
      </c>
      <c r="N2163" s="2" t="s">
        <v>69</v>
      </c>
      <c r="O2163" s="2" t="s">
        <v>25</v>
      </c>
      <c r="P2163" s="2" t="s">
        <v>49</v>
      </c>
    </row>
    <row r="2164" spans="1:16" x14ac:dyDescent="0.25">
      <c r="A2164" s="2" t="s">
        <v>4964</v>
      </c>
      <c r="B2164" s="2" t="s">
        <v>461</v>
      </c>
      <c r="C2164" s="2">
        <v>3568</v>
      </c>
      <c r="D2164" s="2" t="s">
        <v>5788</v>
      </c>
      <c r="E2164" s="2" t="s">
        <v>18</v>
      </c>
      <c r="F2164" s="2" t="s">
        <v>39</v>
      </c>
      <c r="G2164" s="2">
        <v>44734.5</v>
      </c>
      <c r="H2164" s="2">
        <v>23815.52</v>
      </c>
      <c r="I2164" s="2" t="s">
        <v>63</v>
      </c>
      <c r="J2164" s="2" t="s">
        <v>54</v>
      </c>
      <c r="K2164" s="2" t="s">
        <v>42</v>
      </c>
      <c r="L2164" s="2" t="s">
        <v>23</v>
      </c>
      <c r="M2164" s="2">
        <v>3</v>
      </c>
      <c r="N2164" s="2" t="s">
        <v>33</v>
      </c>
      <c r="O2164" s="2" t="s">
        <v>25</v>
      </c>
      <c r="P2164" s="2" t="s">
        <v>49</v>
      </c>
    </row>
    <row r="2165" spans="1:16" x14ac:dyDescent="0.25">
      <c r="A2165" s="2" t="s">
        <v>4966</v>
      </c>
      <c r="B2165" s="2" t="s">
        <v>9131</v>
      </c>
      <c r="C2165" s="2">
        <v>4928</v>
      </c>
      <c r="D2165" s="2" t="s">
        <v>9132</v>
      </c>
      <c r="E2165" s="2" t="s">
        <v>18</v>
      </c>
      <c r="F2165" s="2" t="s">
        <v>30</v>
      </c>
      <c r="G2165" s="2">
        <v>45906.02</v>
      </c>
      <c r="H2165" s="2">
        <v>24817.57</v>
      </c>
      <c r="I2165" s="2" t="s">
        <v>59</v>
      </c>
      <c r="J2165" s="2" t="s">
        <v>41</v>
      </c>
      <c r="K2165" s="2" t="s">
        <v>32</v>
      </c>
      <c r="L2165" s="2" t="s">
        <v>55</v>
      </c>
      <c r="M2165" s="2">
        <v>2</v>
      </c>
      <c r="N2165" s="2" t="s">
        <v>33</v>
      </c>
      <c r="O2165" s="2" t="s">
        <v>70</v>
      </c>
      <c r="P2165" s="2" t="s">
        <v>49</v>
      </c>
    </row>
    <row r="2166" spans="1:16" x14ac:dyDescent="0.25">
      <c r="A2166" s="2" t="s">
        <v>4968</v>
      </c>
      <c r="B2166" s="2" t="s">
        <v>622</v>
      </c>
      <c r="C2166" s="2">
        <v>7697</v>
      </c>
      <c r="D2166" s="2" t="s">
        <v>6814</v>
      </c>
      <c r="E2166" s="2" t="s">
        <v>6694</v>
      </c>
      <c r="F2166" s="2" t="s">
        <v>39</v>
      </c>
      <c r="G2166" s="2">
        <v>13053.75</v>
      </c>
      <c r="H2166" s="2">
        <v>5952.96</v>
      </c>
      <c r="I2166" s="2" t="s">
        <v>6777</v>
      </c>
      <c r="J2166" s="2" t="s">
        <v>41</v>
      </c>
      <c r="K2166" s="2" t="s">
        <v>22</v>
      </c>
      <c r="L2166" s="2" t="s">
        <v>48</v>
      </c>
      <c r="M2166" s="2">
        <v>3</v>
      </c>
      <c r="N2166" s="2" t="s">
        <v>24</v>
      </c>
      <c r="O2166" s="2" t="s">
        <v>70</v>
      </c>
      <c r="P2166" s="2" t="s">
        <v>26</v>
      </c>
    </row>
    <row r="2167" spans="1:16" x14ac:dyDescent="0.25">
      <c r="A2167" s="2" t="s">
        <v>4970</v>
      </c>
      <c r="B2167" s="2" t="s">
        <v>4168</v>
      </c>
      <c r="C2167" s="2">
        <v>3075</v>
      </c>
      <c r="D2167" s="2" t="s">
        <v>9133</v>
      </c>
      <c r="E2167" s="2" t="s">
        <v>18</v>
      </c>
      <c r="F2167" s="2" t="s">
        <v>30</v>
      </c>
      <c r="G2167" s="2">
        <v>46360.15</v>
      </c>
      <c r="H2167" s="2">
        <v>27107.99</v>
      </c>
      <c r="I2167" s="2" t="s">
        <v>31</v>
      </c>
      <c r="J2167" s="2" t="s">
        <v>21</v>
      </c>
      <c r="K2167" s="2" t="s">
        <v>80</v>
      </c>
      <c r="L2167" s="2" t="s">
        <v>48</v>
      </c>
      <c r="M2167" s="2">
        <v>2</v>
      </c>
      <c r="N2167" s="2" t="s">
        <v>69</v>
      </c>
      <c r="O2167" s="2" t="s">
        <v>25</v>
      </c>
      <c r="P2167" s="2" t="s">
        <v>34</v>
      </c>
    </row>
    <row r="2168" spans="1:16" x14ac:dyDescent="0.25">
      <c r="A2168" s="2" t="s">
        <v>4972</v>
      </c>
      <c r="B2168" s="2" t="s">
        <v>9134</v>
      </c>
      <c r="C2168" s="2">
        <v>4065</v>
      </c>
      <c r="D2168" s="2" t="s">
        <v>9135</v>
      </c>
      <c r="E2168" s="2" t="s">
        <v>6708</v>
      </c>
      <c r="F2168" s="2" t="s">
        <v>39</v>
      </c>
      <c r="G2168" s="2">
        <v>16291.07</v>
      </c>
      <c r="H2168" s="2">
        <v>7535.95</v>
      </c>
      <c r="I2168" s="2" t="s">
        <v>6704</v>
      </c>
      <c r="J2168" s="2" t="s">
        <v>6793</v>
      </c>
      <c r="K2168" s="2" t="s">
        <v>22</v>
      </c>
      <c r="L2168" s="2" t="s">
        <v>64</v>
      </c>
      <c r="M2168" s="2">
        <v>5</v>
      </c>
      <c r="N2168" s="2" t="s">
        <v>69</v>
      </c>
      <c r="O2168" s="2" t="s">
        <v>25</v>
      </c>
      <c r="P2168" s="2" t="s">
        <v>34</v>
      </c>
    </row>
    <row r="2169" spans="1:16" x14ac:dyDescent="0.25">
      <c r="A2169" s="2" t="s">
        <v>4975</v>
      </c>
      <c r="B2169" s="2" t="s">
        <v>5000</v>
      </c>
      <c r="C2169" s="2">
        <v>5115</v>
      </c>
      <c r="D2169" s="2" t="s">
        <v>9136</v>
      </c>
      <c r="E2169" s="2" t="s">
        <v>38</v>
      </c>
      <c r="F2169" s="2" t="s">
        <v>47</v>
      </c>
      <c r="G2169" s="2">
        <v>9306.99</v>
      </c>
      <c r="H2169" s="2">
        <v>4225.18</v>
      </c>
      <c r="I2169" s="2" t="s">
        <v>63</v>
      </c>
      <c r="J2169" s="2" t="s">
        <v>54</v>
      </c>
      <c r="K2169" s="2" t="s">
        <v>22</v>
      </c>
      <c r="L2169" s="2" t="s">
        <v>43</v>
      </c>
      <c r="M2169" s="2">
        <v>4</v>
      </c>
      <c r="N2169" s="2" t="s">
        <v>33</v>
      </c>
      <c r="O2169" s="2" t="s">
        <v>25</v>
      </c>
      <c r="P2169" s="2" t="s">
        <v>26</v>
      </c>
    </row>
    <row r="2170" spans="1:16" x14ac:dyDescent="0.25">
      <c r="A2170" s="2" t="s">
        <v>4977</v>
      </c>
      <c r="B2170" s="2" t="s">
        <v>7348</v>
      </c>
      <c r="C2170" s="2">
        <v>3436</v>
      </c>
      <c r="D2170" s="2" t="s">
        <v>9137</v>
      </c>
      <c r="E2170" s="2" t="s">
        <v>38</v>
      </c>
      <c r="F2170" s="2" t="s">
        <v>39</v>
      </c>
      <c r="G2170" s="2">
        <v>44726.77</v>
      </c>
      <c r="H2170" s="2">
        <v>22347.83</v>
      </c>
      <c r="I2170" s="2" t="s">
        <v>63</v>
      </c>
      <c r="J2170" s="2" t="s">
        <v>54</v>
      </c>
      <c r="K2170" s="2" t="s">
        <v>32</v>
      </c>
      <c r="L2170" s="2" t="s">
        <v>23</v>
      </c>
      <c r="M2170" s="2">
        <v>3</v>
      </c>
      <c r="N2170" s="2" t="s">
        <v>69</v>
      </c>
      <c r="O2170" s="2" t="s">
        <v>70</v>
      </c>
      <c r="P2170" s="2" t="s">
        <v>26</v>
      </c>
    </row>
    <row r="2171" spans="1:16" x14ac:dyDescent="0.25">
      <c r="A2171" s="2" t="s">
        <v>4979</v>
      </c>
      <c r="B2171" s="2" t="s">
        <v>4492</v>
      </c>
      <c r="C2171" s="2">
        <v>8253</v>
      </c>
      <c r="D2171" s="2" t="s">
        <v>9138</v>
      </c>
      <c r="E2171" s="2" t="s">
        <v>6743</v>
      </c>
      <c r="F2171" s="2" t="s">
        <v>58</v>
      </c>
      <c r="G2171" s="2">
        <v>35386.269999999997</v>
      </c>
      <c r="H2171" s="2">
        <v>19711.88</v>
      </c>
      <c r="I2171" s="2" t="s">
        <v>6910</v>
      </c>
      <c r="J2171" s="2" t="s">
        <v>6795</v>
      </c>
      <c r="K2171" s="2" t="s">
        <v>22</v>
      </c>
      <c r="L2171" s="2" t="s">
        <v>43</v>
      </c>
      <c r="M2171" s="2">
        <v>5</v>
      </c>
      <c r="N2171" s="2" t="s">
        <v>69</v>
      </c>
      <c r="O2171" s="2" t="s">
        <v>70</v>
      </c>
      <c r="P2171" s="2" t="s">
        <v>26</v>
      </c>
    </row>
    <row r="2172" spans="1:16" x14ac:dyDescent="0.25">
      <c r="A2172" s="2" t="s">
        <v>4981</v>
      </c>
      <c r="B2172" s="2" t="s">
        <v>5808</v>
      </c>
      <c r="C2172" s="2">
        <v>7583</v>
      </c>
      <c r="D2172" s="2" t="s">
        <v>5809</v>
      </c>
      <c r="E2172" s="2" t="s">
        <v>18</v>
      </c>
      <c r="F2172" s="2" t="s">
        <v>19</v>
      </c>
      <c r="G2172" s="2">
        <v>13211.55</v>
      </c>
      <c r="H2172" s="2">
        <v>8391.85</v>
      </c>
      <c r="I2172" s="2" t="s">
        <v>31</v>
      </c>
      <c r="J2172" s="2" t="s">
        <v>21</v>
      </c>
      <c r="K2172" s="2" t="s">
        <v>32</v>
      </c>
      <c r="L2172" s="2" t="s">
        <v>55</v>
      </c>
      <c r="M2172" s="2">
        <v>1</v>
      </c>
      <c r="N2172" s="2" t="s">
        <v>24</v>
      </c>
      <c r="O2172" s="2" t="s">
        <v>25</v>
      </c>
      <c r="P2172" s="2" t="s">
        <v>49</v>
      </c>
    </row>
    <row r="2173" spans="1:16" x14ac:dyDescent="0.25">
      <c r="A2173" s="2" t="s">
        <v>4983</v>
      </c>
      <c r="B2173" s="2" t="s">
        <v>9139</v>
      </c>
      <c r="C2173" s="2">
        <v>9953</v>
      </c>
      <c r="D2173" s="2" t="s">
        <v>9140</v>
      </c>
      <c r="E2173" s="2" t="s">
        <v>6743</v>
      </c>
      <c r="F2173" s="2" t="s">
        <v>39</v>
      </c>
      <c r="G2173" s="2">
        <v>18211.900000000001</v>
      </c>
      <c r="H2173" s="2">
        <v>8896.84</v>
      </c>
      <c r="I2173" s="2" t="s">
        <v>6723</v>
      </c>
      <c r="J2173" s="2" t="s">
        <v>6795</v>
      </c>
      <c r="K2173" s="2" t="s">
        <v>42</v>
      </c>
      <c r="L2173" s="2" t="s">
        <v>48</v>
      </c>
      <c r="M2173" s="2">
        <v>1</v>
      </c>
      <c r="N2173" s="2" t="s">
        <v>33</v>
      </c>
      <c r="O2173" s="2" t="s">
        <v>25</v>
      </c>
      <c r="P2173" s="2" t="s">
        <v>49</v>
      </c>
    </row>
    <row r="2174" spans="1:16" x14ac:dyDescent="0.25">
      <c r="A2174" s="2" t="s">
        <v>4985</v>
      </c>
      <c r="B2174" s="2" t="s">
        <v>2507</v>
      </c>
      <c r="C2174" s="2">
        <v>1623</v>
      </c>
      <c r="D2174" s="2" t="s">
        <v>9141</v>
      </c>
      <c r="E2174" s="2" t="s">
        <v>18</v>
      </c>
      <c r="F2174" s="2" t="s">
        <v>30</v>
      </c>
      <c r="G2174" s="2">
        <v>123276.64</v>
      </c>
      <c r="H2174" s="2">
        <v>74653.7</v>
      </c>
      <c r="I2174" s="2" t="s">
        <v>6739</v>
      </c>
      <c r="J2174" s="2" t="s">
        <v>6753</v>
      </c>
      <c r="K2174" s="2" t="s">
        <v>22</v>
      </c>
      <c r="L2174" s="2" t="s">
        <v>55</v>
      </c>
      <c r="M2174" s="2">
        <v>4</v>
      </c>
      <c r="N2174" s="2" t="s">
        <v>24</v>
      </c>
      <c r="O2174" s="2" t="s">
        <v>25</v>
      </c>
      <c r="P2174" s="2" t="s">
        <v>34</v>
      </c>
    </row>
    <row r="2175" spans="1:16" x14ac:dyDescent="0.25">
      <c r="A2175" s="2" t="s">
        <v>4988</v>
      </c>
      <c r="B2175" s="2" t="s">
        <v>5221</v>
      </c>
      <c r="C2175" s="2">
        <v>6680</v>
      </c>
      <c r="D2175" s="2" t="s">
        <v>9142</v>
      </c>
      <c r="E2175" s="2" t="s">
        <v>18</v>
      </c>
      <c r="F2175" s="2" t="s">
        <v>19</v>
      </c>
      <c r="G2175" s="2">
        <v>5896.76</v>
      </c>
      <c r="H2175" s="2">
        <v>2840.7</v>
      </c>
      <c r="I2175" s="2" t="s">
        <v>59</v>
      </c>
      <c r="J2175" s="2" t="s">
        <v>41</v>
      </c>
      <c r="K2175" s="2" t="s">
        <v>80</v>
      </c>
      <c r="L2175" s="2" t="s">
        <v>88</v>
      </c>
      <c r="M2175" s="2">
        <v>5</v>
      </c>
      <c r="N2175" s="2" t="s">
        <v>24</v>
      </c>
      <c r="O2175" s="2" t="s">
        <v>25</v>
      </c>
      <c r="P2175" s="2" t="s">
        <v>34</v>
      </c>
    </row>
    <row r="2176" spans="1:16" x14ac:dyDescent="0.25">
      <c r="A2176" s="2" t="s">
        <v>4990</v>
      </c>
      <c r="B2176" s="2" t="s">
        <v>5660</v>
      </c>
      <c r="C2176" s="2">
        <v>3435</v>
      </c>
      <c r="D2176" s="2" t="s">
        <v>9143</v>
      </c>
      <c r="E2176" s="2" t="s">
        <v>18</v>
      </c>
      <c r="F2176" s="2" t="s">
        <v>30</v>
      </c>
      <c r="G2176" s="2">
        <v>37328.089999999997</v>
      </c>
      <c r="H2176" s="2">
        <v>17387.689999999999</v>
      </c>
      <c r="I2176" s="2" t="s">
        <v>6794</v>
      </c>
      <c r="J2176" s="2" t="s">
        <v>6724</v>
      </c>
      <c r="K2176" s="2" t="s">
        <v>42</v>
      </c>
      <c r="L2176" s="2" t="s">
        <v>48</v>
      </c>
      <c r="M2176" s="2">
        <v>4</v>
      </c>
      <c r="N2176" s="2" t="s">
        <v>33</v>
      </c>
      <c r="O2176" s="2" t="s">
        <v>70</v>
      </c>
      <c r="P2176" s="2" t="s">
        <v>34</v>
      </c>
    </row>
    <row r="2177" spans="1:16" x14ac:dyDescent="0.25">
      <c r="A2177" s="2" t="s">
        <v>4992</v>
      </c>
      <c r="B2177" s="2" t="s">
        <v>9144</v>
      </c>
      <c r="C2177" s="2">
        <v>6658</v>
      </c>
      <c r="D2177" s="2" t="s">
        <v>6330</v>
      </c>
      <c r="E2177" s="2" t="s">
        <v>6756</v>
      </c>
      <c r="F2177" s="2" t="s">
        <v>19</v>
      </c>
      <c r="G2177" s="2">
        <v>8054.42</v>
      </c>
      <c r="H2177" s="2">
        <v>5117.97</v>
      </c>
      <c r="I2177" s="2" t="s">
        <v>6739</v>
      </c>
      <c r="J2177" s="2" t="s">
        <v>6729</v>
      </c>
      <c r="K2177" s="2" t="s">
        <v>80</v>
      </c>
      <c r="L2177" s="2" t="s">
        <v>88</v>
      </c>
      <c r="M2177" s="2">
        <v>1</v>
      </c>
      <c r="N2177" s="2" t="s">
        <v>33</v>
      </c>
      <c r="O2177" s="2" t="s">
        <v>25</v>
      </c>
      <c r="P2177" s="2" t="s">
        <v>49</v>
      </c>
    </row>
    <row r="2178" spans="1:16" x14ac:dyDescent="0.25">
      <c r="A2178" s="2" t="s">
        <v>4994</v>
      </c>
      <c r="B2178" s="2" t="s">
        <v>434</v>
      </c>
      <c r="C2178" s="2">
        <v>3420</v>
      </c>
      <c r="D2178" s="2" t="s">
        <v>1830</v>
      </c>
      <c r="E2178" s="2" t="s">
        <v>38</v>
      </c>
      <c r="F2178" s="2" t="s">
        <v>19</v>
      </c>
      <c r="G2178" s="2">
        <v>20566.89</v>
      </c>
      <c r="H2178" s="2">
        <v>13282.04</v>
      </c>
      <c r="I2178" s="2" t="s">
        <v>20</v>
      </c>
      <c r="J2178" s="2" t="s">
        <v>21</v>
      </c>
      <c r="K2178" s="2" t="s">
        <v>80</v>
      </c>
      <c r="L2178" s="2" t="s">
        <v>64</v>
      </c>
      <c r="M2178" s="2">
        <v>3</v>
      </c>
      <c r="N2178" s="2" t="s">
        <v>33</v>
      </c>
      <c r="O2178" s="2" t="s">
        <v>25</v>
      </c>
      <c r="P2178" s="2" t="s">
        <v>26</v>
      </c>
    </row>
    <row r="2179" spans="1:16" x14ac:dyDescent="0.25">
      <c r="A2179" s="2" t="s">
        <v>4997</v>
      </c>
      <c r="B2179" s="2" t="s">
        <v>1237</v>
      </c>
      <c r="C2179" s="2">
        <v>5117</v>
      </c>
      <c r="D2179" s="2" t="s">
        <v>4998</v>
      </c>
      <c r="E2179" s="2" t="s">
        <v>6680</v>
      </c>
      <c r="F2179" s="2" t="s">
        <v>39</v>
      </c>
      <c r="G2179" s="2">
        <v>31193.63</v>
      </c>
      <c r="H2179" s="2">
        <v>14776.86</v>
      </c>
      <c r="I2179" s="2" t="s">
        <v>6867</v>
      </c>
      <c r="J2179" s="2" t="s">
        <v>6696</v>
      </c>
      <c r="K2179" s="2" t="s">
        <v>22</v>
      </c>
      <c r="L2179" s="2" t="s">
        <v>48</v>
      </c>
      <c r="M2179" s="2">
        <v>3</v>
      </c>
      <c r="N2179" s="2" t="s">
        <v>69</v>
      </c>
      <c r="O2179" s="2" t="s">
        <v>25</v>
      </c>
      <c r="P2179" s="2" t="s">
        <v>26</v>
      </c>
    </row>
    <row r="2180" spans="1:16" x14ac:dyDescent="0.25">
      <c r="A2180" s="2" t="s">
        <v>4999</v>
      </c>
      <c r="B2180" s="2" t="s">
        <v>9145</v>
      </c>
      <c r="C2180" s="2">
        <v>9690</v>
      </c>
      <c r="D2180" s="2" t="s">
        <v>9146</v>
      </c>
      <c r="E2180" s="2" t="s">
        <v>6719</v>
      </c>
      <c r="F2180" s="2" t="s">
        <v>47</v>
      </c>
      <c r="G2180" s="2">
        <v>13189.32</v>
      </c>
      <c r="H2180" s="2">
        <v>8382.7999999999993</v>
      </c>
      <c r="I2180" s="2" t="s">
        <v>6812</v>
      </c>
      <c r="J2180" s="2" t="s">
        <v>6686</v>
      </c>
      <c r="K2180" s="2" t="s">
        <v>22</v>
      </c>
      <c r="L2180" s="2" t="s">
        <v>43</v>
      </c>
      <c r="M2180" s="2">
        <v>2</v>
      </c>
      <c r="N2180" s="2" t="s">
        <v>33</v>
      </c>
      <c r="O2180" s="2" t="s">
        <v>70</v>
      </c>
      <c r="P2180" s="2" t="s">
        <v>34</v>
      </c>
    </row>
    <row r="2181" spans="1:16" x14ac:dyDescent="0.25">
      <c r="A2181" s="2" t="s">
        <v>5002</v>
      </c>
      <c r="B2181" s="2" t="s">
        <v>339</v>
      </c>
      <c r="C2181" s="2">
        <v>3674</v>
      </c>
      <c r="D2181" s="2" t="s">
        <v>2429</v>
      </c>
      <c r="E2181" s="2" t="s">
        <v>18</v>
      </c>
      <c r="F2181" s="2" t="s">
        <v>47</v>
      </c>
      <c r="G2181" s="2">
        <v>5156.16</v>
      </c>
      <c r="H2181" s="2">
        <v>2875.97</v>
      </c>
      <c r="I2181" s="2" t="s">
        <v>59</v>
      </c>
      <c r="J2181" s="2" t="s">
        <v>41</v>
      </c>
      <c r="K2181" s="2" t="s">
        <v>22</v>
      </c>
      <c r="L2181" s="2" t="s">
        <v>23</v>
      </c>
      <c r="M2181" s="2">
        <v>4</v>
      </c>
      <c r="N2181" s="2" t="s">
        <v>33</v>
      </c>
      <c r="O2181" s="2" t="s">
        <v>70</v>
      </c>
      <c r="P2181" s="2" t="s">
        <v>26</v>
      </c>
    </row>
    <row r="2182" spans="1:16" x14ac:dyDescent="0.25">
      <c r="A2182" s="2" t="s">
        <v>5003</v>
      </c>
      <c r="B2182" s="2" t="s">
        <v>4101</v>
      </c>
      <c r="C2182" s="2">
        <v>8705</v>
      </c>
      <c r="D2182" s="2" t="s">
        <v>9147</v>
      </c>
      <c r="E2182" s="2" t="s">
        <v>18</v>
      </c>
      <c r="F2182" s="2" t="s">
        <v>19</v>
      </c>
      <c r="G2182" s="2">
        <v>7293.11</v>
      </c>
      <c r="H2182" s="2">
        <v>4684.95</v>
      </c>
      <c r="I2182" s="2" t="s">
        <v>31</v>
      </c>
      <c r="J2182" s="2" t="s">
        <v>21</v>
      </c>
      <c r="K2182" s="2" t="s">
        <v>32</v>
      </c>
      <c r="L2182" s="2" t="s">
        <v>43</v>
      </c>
      <c r="M2182" s="2">
        <v>1</v>
      </c>
      <c r="N2182" s="2" t="s">
        <v>33</v>
      </c>
      <c r="O2182" s="2" t="s">
        <v>25</v>
      </c>
      <c r="P2182" s="2" t="s">
        <v>26</v>
      </c>
    </row>
    <row r="2183" spans="1:16" x14ac:dyDescent="0.25">
      <c r="A2183" s="2" t="s">
        <v>5006</v>
      </c>
      <c r="B2183" s="2" t="s">
        <v>8892</v>
      </c>
      <c r="C2183" s="2">
        <v>7333</v>
      </c>
      <c r="D2183" s="2" t="s">
        <v>9148</v>
      </c>
      <c r="E2183" s="2" t="s">
        <v>38</v>
      </c>
      <c r="F2183" s="2" t="s">
        <v>30</v>
      </c>
      <c r="G2183" s="2">
        <v>37829.17</v>
      </c>
      <c r="H2183" s="2">
        <v>18711.89</v>
      </c>
      <c r="I2183" s="2" t="s">
        <v>63</v>
      </c>
      <c r="J2183" s="2" t="s">
        <v>6686</v>
      </c>
      <c r="K2183" s="2" t="s">
        <v>42</v>
      </c>
      <c r="L2183" s="2" t="s">
        <v>48</v>
      </c>
      <c r="M2183" s="2">
        <v>2</v>
      </c>
      <c r="N2183" s="2" t="s">
        <v>33</v>
      </c>
      <c r="O2183" s="2" t="s">
        <v>70</v>
      </c>
      <c r="P2183" s="2" t="s">
        <v>49</v>
      </c>
    </row>
    <row r="2184" spans="1:16" x14ac:dyDescent="0.25">
      <c r="A2184" s="2" t="s">
        <v>5008</v>
      </c>
      <c r="B2184" s="2" t="s">
        <v>9149</v>
      </c>
      <c r="C2184" s="2">
        <v>7995</v>
      </c>
      <c r="D2184" s="2" t="s">
        <v>9150</v>
      </c>
      <c r="E2184" s="2" t="s">
        <v>38</v>
      </c>
      <c r="F2184" s="2" t="s">
        <v>19</v>
      </c>
      <c r="G2184" s="2">
        <v>16241.26</v>
      </c>
      <c r="H2184" s="2">
        <v>9378.19</v>
      </c>
      <c r="I2184" s="2" t="s">
        <v>63</v>
      </c>
      <c r="J2184" s="2" t="s">
        <v>54</v>
      </c>
      <c r="K2184" s="2" t="s">
        <v>80</v>
      </c>
      <c r="L2184" s="2" t="s">
        <v>64</v>
      </c>
      <c r="M2184" s="2">
        <v>4</v>
      </c>
      <c r="N2184" s="2" t="s">
        <v>69</v>
      </c>
      <c r="O2184" s="2" t="s">
        <v>25</v>
      </c>
      <c r="P2184" s="2" t="s">
        <v>34</v>
      </c>
    </row>
    <row r="2185" spans="1:16" x14ac:dyDescent="0.25">
      <c r="A2185" s="2" t="s">
        <v>5010</v>
      </c>
      <c r="B2185" s="2" t="s">
        <v>7817</v>
      </c>
      <c r="C2185" s="2">
        <v>5837</v>
      </c>
      <c r="D2185" s="2" t="s">
        <v>9151</v>
      </c>
      <c r="E2185" s="2" t="s">
        <v>18</v>
      </c>
      <c r="F2185" s="2" t="s">
        <v>19</v>
      </c>
      <c r="G2185" s="2">
        <v>10344.52</v>
      </c>
      <c r="H2185" s="2">
        <v>5708.72</v>
      </c>
      <c r="I2185" s="2" t="s">
        <v>63</v>
      </c>
      <c r="J2185" s="2" t="s">
        <v>54</v>
      </c>
      <c r="K2185" s="2" t="s">
        <v>32</v>
      </c>
      <c r="L2185" s="2" t="s">
        <v>48</v>
      </c>
      <c r="M2185" s="2">
        <v>4</v>
      </c>
      <c r="N2185" s="2" t="s">
        <v>69</v>
      </c>
      <c r="O2185" s="2" t="s">
        <v>25</v>
      </c>
      <c r="P2185" s="2" t="s">
        <v>26</v>
      </c>
    </row>
    <row r="2186" spans="1:16" x14ac:dyDescent="0.25">
      <c r="A2186" s="2" t="s">
        <v>5011</v>
      </c>
      <c r="B2186" s="2" t="s">
        <v>9152</v>
      </c>
      <c r="C2186" s="2">
        <v>4632</v>
      </c>
      <c r="D2186" s="2" t="s">
        <v>9153</v>
      </c>
      <c r="E2186" s="2" t="s">
        <v>6743</v>
      </c>
      <c r="F2186" s="2" t="s">
        <v>30</v>
      </c>
      <c r="G2186" s="2">
        <v>86541.15</v>
      </c>
      <c r="H2186" s="2">
        <v>51872.33</v>
      </c>
      <c r="I2186" s="2" t="s">
        <v>6794</v>
      </c>
      <c r="J2186" s="2" t="s">
        <v>6724</v>
      </c>
      <c r="K2186" s="2" t="s">
        <v>42</v>
      </c>
      <c r="L2186" s="2" t="s">
        <v>23</v>
      </c>
      <c r="M2186" s="2">
        <v>2</v>
      </c>
      <c r="N2186" s="2" t="s">
        <v>33</v>
      </c>
      <c r="O2186" s="2" t="s">
        <v>25</v>
      </c>
      <c r="P2186" s="2" t="s">
        <v>49</v>
      </c>
    </row>
    <row r="2187" spans="1:16" x14ac:dyDescent="0.25">
      <c r="A2187" s="2" t="s">
        <v>5013</v>
      </c>
      <c r="B2187" s="2" t="s">
        <v>1065</v>
      </c>
      <c r="C2187" s="2">
        <v>6555</v>
      </c>
      <c r="D2187" s="2" t="s">
        <v>9154</v>
      </c>
      <c r="E2187" s="2" t="s">
        <v>6703</v>
      </c>
      <c r="F2187" s="2" t="s">
        <v>30</v>
      </c>
      <c r="G2187" s="2">
        <v>24034.45</v>
      </c>
      <c r="H2187" s="2">
        <v>11328.16</v>
      </c>
      <c r="I2187" s="2" t="s">
        <v>6723</v>
      </c>
      <c r="J2187" s="2" t="s">
        <v>6802</v>
      </c>
      <c r="K2187" s="2" t="s">
        <v>42</v>
      </c>
      <c r="L2187" s="2" t="s">
        <v>23</v>
      </c>
      <c r="M2187" s="2">
        <v>1</v>
      </c>
      <c r="N2187" s="2" t="s">
        <v>33</v>
      </c>
      <c r="O2187" s="2" t="s">
        <v>70</v>
      </c>
      <c r="P2187" s="2" t="s">
        <v>49</v>
      </c>
    </row>
    <row r="2188" spans="1:16" x14ac:dyDescent="0.25">
      <c r="A2188" s="2" t="s">
        <v>5015</v>
      </c>
      <c r="B2188" s="2" t="s">
        <v>9155</v>
      </c>
      <c r="C2188" s="2">
        <v>9880</v>
      </c>
      <c r="D2188" s="2" t="s">
        <v>9156</v>
      </c>
      <c r="E2188" s="2" t="s">
        <v>38</v>
      </c>
      <c r="F2188" s="2" t="s">
        <v>47</v>
      </c>
      <c r="G2188" s="2">
        <v>5880.41</v>
      </c>
      <c r="H2188" s="2">
        <v>3567.96</v>
      </c>
      <c r="I2188" s="2" t="s">
        <v>31</v>
      </c>
      <c r="J2188" s="2" t="s">
        <v>21</v>
      </c>
      <c r="K2188" s="2" t="s">
        <v>42</v>
      </c>
      <c r="L2188" s="2" t="s">
        <v>64</v>
      </c>
      <c r="M2188" s="2">
        <v>3</v>
      </c>
      <c r="N2188" s="2" t="s">
        <v>69</v>
      </c>
      <c r="O2188" s="2" t="s">
        <v>70</v>
      </c>
      <c r="P2188" s="2" t="s">
        <v>49</v>
      </c>
    </row>
    <row r="2189" spans="1:16" x14ac:dyDescent="0.25">
      <c r="A2189" s="2" t="s">
        <v>5017</v>
      </c>
      <c r="B2189" s="2" t="s">
        <v>4405</v>
      </c>
      <c r="C2189" s="2">
        <v>1917</v>
      </c>
      <c r="D2189" s="2" t="s">
        <v>9157</v>
      </c>
      <c r="E2189" s="2" t="s">
        <v>38</v>
      </c>
      <c r="F2189" s="2" t="s">
        <v>30</v>
      </c>
      <c r="G2189" s="2">
        <v>74609.240000000005</v>
      </c>
      <c r="H2189" s="2">
        <v>47782.44</v>
      </c>
      <c r="I2189" s="2" t="s">
        <v>84</v>
      </c>
      <c r="J2189" s="2" t="s">
        <v>54</v>
      </c>
      <c r="K2189" s="2" t="s">
        <v>32</v>
      </c>
      <c r="L2189" s="2" t="s">
        <v>48</v>
      </c>
      <c r="M2189" s="2">
        <v>5</v>
      </c>
      <c r="N2189" s="2" t="s">
        <v>33</v>
      </c>
      <c r="O2189" s="2" t="s">
        <v>25</v>
      </c>
      <c r="P2189" s="2" t="s">
        <v>26</v>
      </c>
    </row>
    <row r="2190" spans="1:16" x14ac:dyDescent="0.25">
      <c r="A2190" s="2" t="s">
        <v>5019</v>
      </c>
      <c r="B2190" s="2" t="s">
        <v>8299</v>
      </c>
      <c r="C2190" s="2">
        <v>8769</v>
      </c>
      <c r="D2190" s="2" t="s">
        <v>9158</v>
      </c>
      <c r="E2190" s="2" t="s">
        <v>38</v>
      </c>
      <c r="F2190" s="2" t="s">
        <v>39</v>
      </c>
      <c r="G2190" s="2">
        <v>18521.830000000002</v>
      </c>
      <c r="H2190" s="2">
        <v>11991.62</v>
      </c>
      <c r="I2190" s="2" t="s">
        <v>53</v>
      </c>
      <c r="J2190" s="2" t="s">
        <v>54</v>
      </c>
      <c r="K2190" s="2" t="s">
        <v>80</v>
      </c>
      <c r="L2190" s="2" t="s">
        <v>43</v>
      </c>
      <c r="M2190" s="2">
        <v>1</v>
      </c>
      <c r="N2190" s="2" t="s">
        <v>24</v>
      </c>
      <c r="O2190" s="2" t="s">
        <v>70</v>
      </c>
      <c r="P2190" s="2" t="s">
        <v>49</v>
      </c>
    </row>
    <row r="2191" spans="1:16" x14ac:dyDescent="0.25">
      <c r="A2191" s="2" t="s">
        <v>5022</v>
      </c>
      <c r="B2191" s="2" t="s">
        <v>9159</v>
      </c>
      <c r="C2191" s="2">
        <v>6334</v>
      </c>
      <c r="D2191" s="2" t="s">
        <v>4056</v>
      </c>
      <c r="E2191" s="2" t="s">
        <v>6719</v>
      </c>
      <c r="F2191" s="2" t="s">
        <v>19</v>
      </c>
      <c r="G2191" s="2">
        <v>13332.5</v>
      </c>
      <c r="H2191" s="2">
        <v>6874.32</v>
      </c>
      <c r="I2191" s="2" t="s">
        <v>6812</v>
      </c>
      <c r="J2191" s="2" t="s">
        <v>6686</v>
      </c>
      <c r="K2191" s="2" t="s">
        <v>32</v>
      </c>
      <c r="L2191" s="2" t="s">
        <v>48</v>
      </c>
      <c r="M2191" s="2">
        <v>1</v>
      </c>
      <c r="N2191" s="2" t="s">
        <v>33</v>
      </c>
      <c r="O2191" s="2" t="s">
        <v>25</v>
      </c>
      <c r="P2191" s="2" t="s">
        <v>49</v>
      </c>
    </row>
    <row r="2192" spans="1:16" x14ac:dyDescent="0.25">
      <c r="A2192" s="2" t="s">
        <v>5023</v>
      </c>
      <c r="B2192" s="2" t="s">
        <v>2088</v>
      </c>
      <c r="C2192" s="2">
        <v>7922</v>
      </c>
      <c r="D2192" s="2" t="s">
        <v>9160</v>
      </c>
      <c r="E2192" s="2" t="s">
        <v>18</v>
      </c>
      <c r="F2192" s="2" t="s">
        <v>39</v>
      </c>
      <c r="G2192" s="2">
        <v>20638.62</v>
      </c>
      <c r="H2192" s="2">
        <v>10099.31</v>
      </c>
      <c r="I2192" s="2" t="s">
        <v>84</v>
      </c>
      <c r="J2192" s="2" t="s">
        <v>54</v>
      </c>
      <c r="K2192" s="2" t="s">
        <v>80</v>
      </c>
      <c r="L2192" s="2" t="s">
        <v>88</v>
      </c>
      <c r="M2192" s="2">
        <v>3</v>
      </c>
      <c r="N2192" s="2" t="s">
        <v>24</v>
      </c>
      <c r="O2192" s="2" t="s">
        <v>25</v>
      </c>
      <c r="P2192" s="2" t="s">
        <v>49</v>
      </c>
    </row>
    <row r="2193" spans="1:16" x14ac:dyDescent="0.25">
      <c r="A2193" s="2" t="s">
        <v>5024</v>
      </c>
      <c r="B2193" s="2" t="s">
        <v>2170</v>
      </c>
      <c r="C2193" s="2">
        <v>3518</v>
      </c>
      <c r="D2193" s="2" t="s">
        <v>9161</v>
      </c>
      <c r="E2193" s="2" t="s">
        <v>18</v>
      </c>
      <c r="F2193" s="2" t="s">
        <v>58</v>
      </c>
      <c r="G2193" s="2">
        <v>10064.84</v>
      </c>
      <c r="H2193" s="2">
        <v>5636.59</v>
      </c>
      <c r="I2193" s="2" t="s">
        <v>31</v>
      </c>
      <c r="J2193" s="2" t="s">
        <v>21</v>
      </c>
      <c r="K2193" s="2" t="s">
        <v>22</v>
      </c>
      <c r="L2193" s="2" t="s">
        <v>55</v>
      </c>
      <c r="M2193" s="2">
        <v>1</v>
      </c>
      <c r="N2193" s="2" t="s">
        <v>33</v>
      </c>
      <c r="O2193" s="2" t="s">
        <v>25</v>
      </c>
      <c r="P2193" s="2" t="s">
        <v>49</v>
      </c>
    </row>
    <row r="2194" spans="1:16" x14ac:dyDescent="0.25">
      <c r="A2194" s="2" t="s">
        <v>5027</v>
      </c>
      <c r="B2194" s="2" t="s">
        <v>4204</v>
      </c>
      <c r="C2194" s="2">
        <v>9002</v>
      </c>
      <c r="D2194" s="2" t="s">
        <v>9162</v>
      </c>
      <c r="E2194" s="2" t="s">
        <v>38</v>
      </c>
      <c r="F2194" s="2" t="s">
        <v>58</v>
      </c>
      <c r="G2194" s="2">
        <v>25235.15</v>
      </c>
      <c r="H2194" s="2">
        <v>11899.28</v>
      </c>
      <c r="I2194" s="2" t="s">
        <v>31</v>
      </c>
      <c r="J2194" s="2" t="s">
        <v>21</v>
      </c>
      <c r="K2194" s="2" t="s">
        <v>22</v>
      </c>
      <c r="L2194" s="2" t="s">
        <v>43</v>
      </c>
      <c r="M2194" s="2">
        <v>4</v>
      </c>
      <c r="N2194" s="2" t="s">
        <v>33</v>
      </c>
      <c r="O2194" s="2" t="s">
        <v>70</v>
      </c>
      <c r="P2194" s="2" t="s">
        <v>49</v>
      </c>
    </row>
    <row r="2195" spans="1:16" x14ac:dyDescent="0.25">
      <c r="A2195" s="2" t="s">
        <v>5028</v>
      </c>
      <c r="B2195" s="2" t="s">
        <v>5687</v>
      </c>
      <c r="C2195" s="2">
        <v>9435</v>
      </c>
      <c r="D2195" s="2" t="s">
        <v>9163</v>
      </c>
      <c r="E2195" s="2" t="s">
        <v>38</v>
      </c>
      <c r="F2195" s="2" t="s">
        <v>58</v>
      </c>
      <c r="G2195" s="2">
        <v>61961.7</v>
      </c>
      <c r="H2195" s="2">
        <v>31264.6</v>
      </c>
      <c r="I2195" s="2" t="s">
        <v>84</v>
      </c>
      <c r="J2195" s="2" t="s">
        <v>54</v>
      </c>
      <c r="K2195" s="2" t="s">
        <v>32</v>
      </c>
      <c r="L2195" s="2" t="s">
        <v>64</v>
      </c>
      <c r="M2195" s="2">
        <v>3</v>
      </c>
      <c r="N2195" s="2" t="s">
        <v>69</v>
      </c>
      <c r="O2195" s="2" t="s">
        <v>70</v>
      </c>
      <c r="P2195" s="2" t="s">
        <v>49</v>
      </c>
    </row>
    <row r="2196" spans="1:16" x14ac:dyDescent="0.25">
      <c r="A2196" s="2" t="s">
        <v>5029</v>
      </c>
      <c r="B2196" s="2" t="s">
        <v>9164</v>
      </c>
      <c r="C2196" s="2">
        <v>1735</v>
      </c>
      <c r="D2196" s="2" t="s">
        <v>9165</v>
      </c>
      <c r="E2196" s="2" t="s">
        <v>6719</v>
      </c>
      <c r="F2196" s="2" t="s">
        <v>19</v>
      </c>
      <c r="G2196" s="2">
        <v>7130.49</v>
      </c>
      <c r="H2196" s="2">
        <v>3385.98</v>
      </c>
      <c r="I2196" s="2" t="s">
        <v>6752</v>
      </c>
      <c r="J2196" s="2" t="s">
        <v>6753</v>
      </c>
      <c r="K2196" s="2" t="s">
        <v>80</v>
      </c>
      <c r="L2196" s="2" t="s">
        <v>23</v>
      </c>
      <c r="M2196" s="2">
        <v>3</v>
      </c>
      <c r="N2196" s="2" t="s">
        <v>33</v>
      </c>
      <c r="O2196" s="2" t="s">
        <v>70</v>
      </c>
      <c r="P2196" s="2" t="s">
        <v>34</v>
      </c>
    </row>
    <row r="2197" spans="1:16" x14ac:dyDescent="0.25">
      <c r="A2197" s="2" t="s">
        <v>5031</v>
      </c>
      <c r="B2197" s="2" t="s">
        <v>3934</v>
      </c>
      <c r="C2197" s="2">
        <v>3131</v>
      </c>
      <c r="D2197" s="2" t="s">
        <v>9166</v>
      </c>
      <c r="E2197" s="2" t="s">
        <v>38</v>
      </c>
      <c r="F2197" s="2" t="s">
        <v>19</v>
      </c>
      <c r="G2197" s="2">
        <v>20821.310000000001</v>
      </c>
      <c r="H2197" s="2">
        <v>12572.07</v>
      </c>
      <c r="I2197" s="2" t="s">
        <v>53</v>
      </c>
      <c r="J2197" s="2" t="s">
        <v>54</v>
      </c>
      <c r="K2197" s="2" t="s">
        <v>80</v>
      </c>
      <c r="L2197" s="2" t="s">
        <v>88</v>
      </c>
      <c r="M2197" s="2">
        <v>1</v>
      </c>
      <c r="N2197" s="2" t="s">
        <v>33</v>
      </c>
      <c r="O2197" s="2" t="s">
        <v>25</v>
      </c>
      <c r="P2197" s="2" t="s">
        <v>34</v>
      </c>
    </row>
    <row r="2198" spans="1:16" x14ac:dyDescent="0.25">
      <c r="A2198" s="2" t="s">
        <v>5033</v>
      </c>
      <c r="B2198" s="2" t="s">
        <v>4896</v>
      </c>
      <c r="C2198" s="2">
        <v>3987</v>
      </c>
      <c r="D2198" s="2" t="s">
        <v>9167</v>
      </c>
      <c r="E2198" s="2" t="s">
        <v>18</v>
      </c>
      <c r="F2198" s="2" t="s">
        <v>58</v>
      </c>
      <c r="G2198" s="2">
        <v>32517.1</v>
      </c>
      <c r="H2198" s="2">
        <v>17318.189999999999</v>
      </c>
      <c r="I2198" s="2" t="s">
        <v>31</v>
      </c>
      <c r="J2198" s="2" t="s">
        <v>21</v>
      </c>
      <c r="K2198" s="2" t="s">
        <v>22</v>
      </c>
      <c r="L2198" s="2" t="s">
        <v>64</v>
      </c>
      <c r="M2198" s="2">
        <v>3</v>
      </c>
      <c r="N2198" s="2" t="s">
        <v>69</v>
      </c>
      <c r="O2198" s="2" t="s">
        <v>25</v>
      </c>
      <c r="P2198" s="2" t="s">
        <v>49</v>
      </c>
    </row>
    <row r="2199" spans="1:16" x14ac:dyDescent="0.25">
      <c r="A2199" s="2" t="s">
        <v>5036</v>
      </c>
      <c r="B2199" s="2" t="s">
        <v>2278</v>
      </c>
      <c r="C2199" s="2">
        <v>8527</v>
      </c>
      <c r="D2199" s="2" t="s">
        <v>3537</v>
      </c>
      <c r="E2199" s="2" t="s">
        <v>18</v>
      </c>
      <c r="F2199" s="2" t="s">
        <v>47</v>
      </c>
      <c r="G2199" s="2">
        <v>11883.73</v>
      </c>
      <c r="H2199" s="2">
        <v>5752.39</v>
      </c>
      <c r="I2199" s="2" t="s">
        <v>120</v>
      </c>
      <c r="J2199" s="2" t="s">
        <v>21</v>
      </c>
      <c r="K2199" s="2" t="s">
        <v>32</v>
      </c>
      <c r="L2199" s="2" t="s">
        <v>88</v>
      </c>
      <c r="M2199" s="2">
        <v>4</v>
      </c>
      <c r="N2199" s="2" t="s">
        <v>33</v>
      </c>
      <c r="O2199" s="2" t="s">
        <v>70</v>
      </c>
      <c r="P2199" s="2" t="s">
        <v>26</v>
      </c>
    </row>
    <row r="2200" spans="1:16" x14ac:dyDescent="0.25">
      <c r="A2200" s="2" t="s">
        <v>5038</v>
      </c>
      <c r="B2200" s="2" t="s">
        <v>4046</v>
      </c>
      <c r="C2200" s="2">
        <v>7090</v>
      </c>
      <c r="D2200" s="2" t="s">
        <v>9168</v>
      </c>
      <c r="E2200" s="2" t="s">
        <v>6694</v>
      </c>
      <c r="F2200" s="2" t="s">
        <v>58</v>
      </c>
      <c r="G2200" s="2">
        <v>50865.45</v>
      </c>
      <c r="H2200" s="2">
        <v>26205.11</v>
      </c>
      <c r="I2200" s="2" t="s">
        <v>20</v>
      </c>
      <c r="J2200" s="2" t="s">
        <v>6795</v>
      </c>
      <c r="K2200" s="2" t="s">
        <v>80</v>
      </c>
      <c r="L2200" s="2" t="s">
        <v>48</v>
      </c>
      <c r="M2200" s="2">
        <v>4</v>
      </c>
      <c r="N2200" s="2" t="s">
        <v>24</v>
      </c>
      <c r="O2200" s="2" t="s">
        <v>25</v>
      </c>
      <c r="P2200" s="2" t="s">
        <v>26</v>
      </c>
    </row>
    <row r="2201" spans="1:16" x14ac:dyDescent="0.25">
      <c r="A2201" s="2" t="s">
        <v>5040</v>
      </c>
      <c r="B2201" s="2" t="s">
        <v>2053</v>
      </c>
      <c r="C2201" s="2">
        <v>5874</v>
      </c>
      <c r="D2201" s="2" t="s">
        <v>9169</v>
      </c>
      <c r="E2201" s="2" t="s">
        <v>38</v>
      </c>
      <c r="F2201" s="2" t="s">
        <v>58</v>
      </c>
      <c r="G2201" s="2">
        <v>53988.480000000003</v>
      </c>
      <c r="H2201" s="2">
        <v>27188.92</v>
      </c>
      <c r="I2201" s="2" t="s">
        <v>53</v>
      </c>
      <c r="J2201" s="2" t="s">
        <v>54</v>
      </c>
      <c r="K2201" s="2" t="s">
        <v>80</v>
      </c>
      <c r="L2201" s="2" t="s">
        <v>48</v>
      </c>
      <c r="M2201" s="2">
        <v>1</v>
      </c>
      <c r="N2201" s="2" t="s">
        <v>33</v>
      </c>
      <c r="O2201" s="2" t="s">
        <v>25</v>
      </c>
      <c r="P2201" s="2" t="s">
        <v>34</v>
      </c>
    </row>
    <row r="2202" spans="1:16" x14ac:dyDescent="0.25">
      <c r="A2202" s="2" t="s">
        <v>5042</v>
      </c>
      <c r="B2202" s="2" t="s">
        <v>6710</v>
      </c>
      <c r="C2202" s="2">
        <v>7469</v>
      </c>
      <c r="D2202" s="2" t="s">
        <v>9170</v>
      </c>
      <c r="E2202" s="2" t="s">
        <v>18</v>
      </c>
      <c r="F2202" s="2" t="s">
        <v>58</v>
      </c>
      <c r="G2202" s="2">
        <v>39843.43</v>
      </c>
      <c r="H2202" s="2">
        <v>25233.07</v>
      </c>
      <c r="I2202" s="2" t="s">
        <v>31</v>
      </c>
      <c r="J2202" s="2" t="s">
        <v>21</v>
      </c>
      <c r="K2202" s="2" t="s">
        <v>42</v>
      </c>
      <c r="L2202" s="2" t="s">
        <v>64</v>
      </c>
      <c r="M2202" s="2">
        <v>3</v>
      </c>
      <c r="N2202" s="2" t="s">
        <v>33</v>
      </c>
      <c r="O2202" s="2" t="s">
        <v>25</v>
      </c>
      <c r="P2202" s="2" t="s">
        <v>26</v>
      </c>
    </row>
    <row r="2203" spans="1:16" x14ac:dyDescent="0.25">
      <c r="A2203" s="2" t="s">
        <v>5043</v>
      </c>
      <c r="B2203" s="2" t="s">
        <v>9171</v>
      </c>
      <c r="C2203" s="2">
        <v>1270</v>
      </c>
      <c r="D2203" s="2" t="s">
        <v>4786</v>
      </c>
      <c r="E2203" s="2" t="s">
        <v>32</v>
      </c>
      <c r="F2203" s="2" t="s">
        <v>47</v>
      </c>
      <c r="G2203" s="2">
        <v>12779.18</v>
      </c>
      <c r="H2203" s="2">
        <v>6263.97</v>
      </c>
      <c r="I2203" s="2" t="s">
        <v>6752</v>
      </c>
      <c r="J2203" s="2" t="s">
        <v>6686</v>
      </c>
      <c r="K2203" s="2" t="s">
        <v>32</v>
      </c>
      <c r="L2203" s="2" t="s">
        <v>48</v>
      </c>
      <c r="M2203" s="2">
        <v>1</v>
      </c>
      <c r="N2203" s="2" t="s">
        <v>24</v>
      </c>
      <c r="O2203" s="2" t="s">
        <v>25</v>
      </c>
      <c r="P2203" s="2" t="s">
        <v>49</v>
      </c>
    </row>
    <row r="2204" spans="1:16" x14ac:dyDescent="0.25">
      <c r="A2204" s="2" t="s">
        <v>5045</v>
      </c>
      <c r="B2204" s="2" t="s">
        <v>9172</v>
      </c>
      <c r="C2204" s="2">
        <v>2771</v>
      </c>
      <c r="D2204" s="2" t="s">
        <v>9173</v>
      </c>
      <c r="E2204" s="2" t="s">
        <v>6703</v>
      </c>
      <c r="F2204" s="2" t="s">
        <v>47</v>
      </c>
      <c r="G2204" s="2">
        <v>2844.01</v>
      </c>
      <c r="H2204" s="2">
        <v>1651.82</v>
      </c>
      <c r="I2204" s="2" t="s">
        <v>6712</v>
      </c>
      <c r="J2204" s="2" t="s">
        <v>6713</v>
      </c>
      <c r="K2204" s="2" t="s">
        <v>32</v>
      </c>
      <c r="L2204" s="2" t="s">
        <v>48</v>
      </c>
      <c r="M2204" s="2">
        <v>4</v>
      </c>
      <c r="N2204" s="2" t="s">
        <v>24</v>
      </c>
      <c r="O2204" s="2" t="s">
        <v>70</v>
      </c>
      <c r="P2204" s="2" t="s">
        <v>49</v>
      </c>
    </row>
    <row r="2205" spans="1:16" x14ac:dyDescent="0.25">
      <c r="A2205" s="2" t="s">
        <v>5047</v>
      </c>
      <c r="B2205" s="2" t="s">
        <v>9174</v>
      </c>
      <c r="C2205" s="2">
        <v>8549</v>
      </c>
      <c r="D2205" s="2" t="s">
        <v>9175</v>
      </c>
      <c r="E2205" s="2" t="s">
        <v>6680</v>
      </c>
      <c r="F2205" s="2" t="s">
        <v>39</v>
      </c>
      <c r="G2205" s="2">
        <v>28125.1</v>
      </c>
      <c r="H2205" s="2">
        <v>14538.65</v>
      </c>
      <c r="I2205" s="2" t="s">
        <v>6712</v>
      </c>
      <c r="J2205" s="2" t="s">
        <v>6793</v>
      </c>
      <c r="K2205" s="2" t="s">
        <v>42</v>
      </c>
      <c r="L2205" s="2" t="s">
        <v>43</v>
      </c>
      <c r="M2205" s="2">
        <v>5</v>
      </c>
      <c r="N2205" s="2" t="s">
        <v>24</v>
      </c>
      <c r="O2205" s="2" t="s">
        <v>70</v>
      </c>
      <c r="P2205" s="2" t="s">
        <v>34</v>
      </c>
    </row>
    <row r="2206" spans="1:16" x14ac:dyDescent="0.25">
      <c r="A2206" s="2" t="s">
        <v>5049</v>
      </c>
      <c r="B2206" s="2" t="s">
        <v>2093</v>
      </c>
      <c r="C2206" s="2">
        <v>1155</v>
      </c>
      <c r="D2206" s="2" t="s">
        <v>6152</v>
      </c>
      <c r="E2206" s="2" t="s">
        <v>18</v>
      </c>
      <c r="F2206" s="2" t="s">
        <v>39</v>
      </c>
      <c r="G2206" s="2">
        <v>35845.39</v>
      </c>
      <c r="H2206" s="2">
        <v>20244.62</v>
      </c>
      <c r="I2206" s="2" t="s">
        <v>20</v>
      </c>
      <c r="J2206" s="2" t="s">
        <v>21</v>
      </c>
      <c r="K2206" s="2" t="s">
        <v>32</v>
      </c>
      <c r="L2206" s="2" t="s">
        <v>48</v>
      </c>
      <c r="M2206" s="2">
        <v>1</v>
      </c>
      <c r="N2206" s="2" t="s">
        <v>33</v>
      </c>
      <c r="O2206" s="2" t="s">
        <v>25</v>
      </c>
      <c r="P2206" s="2" t="s">
        <v>49</v>
      </c>
    </row>
    <row r="2207" spans="1:16" x14ac:dyDescent="0.25">
      <c r="A2207" s="2" t="s">
        <v>5051</v>
      </c>
      <c r="B2207" s="2" t="s">
        <v>9176</v>
      </c>
      <c r="C2207" s="2">
        <v>9929</v>
      </c>
      <c r="D2207" s="2" t="s">
        <v>9177</v>
      </c>
      <c r="E2207" s="2" t="s">
        <v>6748</v>
      </c>
      <c r="F2207" s="2" t="s">
        <v>30</v>
      </c>
      <c r="G2207" s="2">
        <v>14899.82</v>
      </c>
      <c r="H2207" s="2">
        <v>8194.07</v>
      </c>
      <c r="I2207" s="2" t="s">
        <v>6845</v>
      </c>
      <c r="J2207" s="2" t="s">
        <v>21</v>
      </c>
      <c r="K2207" s="2" t="s">
        <v>22</v>
      </c>
      <c r="L2207" s="2" t="s">
        <v>48</v>
      </c>
      <c r="M2207" s="2">
        <v>2</v>
      </c>
      <c r="N2207" s="2" t="s">
        <v>24</v>
      </c>
      <c r="O2207" s="2" t="s">
        <v>70</v>
      </c>
      <c r="P2207" s="2" t="s">
        <v>49</v>
      </c>
    </row>
    <row r="2208" spans="1:16" x14ac:dyDescent="0.25">
      <c r="A2208" s="2" t="s">
        <v>5054</v>
      </c>
      <c r="B2208" s="2" t="s">
        <v>9178</v>
      </c>
      <c r="C2208" s="2">
        <v>6973</v>
      </c>
      <c r="D2208" s="2" t="s">
        <v>9179</v>
      </c>
      <c r="E2208" s="2" t="s">
        <v>6748</v>
      </c>
      <c r="F2208" s="2" t="s">
        <v>19</v>
      </c>
      <c r="G2208" s="2">
        <v>14488.3</v>
      </c>
      <c r="H2208" s="2">
        <v>6973.25</v>
      </c>
      <c r="I2208" s="2" t="s">
        <v>120</v>
      </c>
      <c r="J2208" s="2" t="s">
        <v>6724</v>
      </c>
      <c r="K2208" s="2" t="s">
        <v>32</v>
      </c>
      <c r="L2208" s="2" t="s">
        <v>48</v>
      </c>
      <c r="M2208" s="2">
        <v>3</v>
      </c>
      <c r="N2208" s="2" t="s">
        <v>33</v>
      </c>
      <c r="O2208" s="2" t="s">
        <v>25</v>
      </c>
      <c r="P2208" s="2" t="s">
        <v>49</v>
      </c>
    </row>
    <row r="2209" spans="1:16" x14ac:dyDescent="0.25">
      <c r="A2209" s="2" t="s">
        <v>5057</v>
      </c>
      <c r="B2209" s="2" t="s">
        <v>9180</v>
      </c>
      <c r="C2209" s="2">
        <v>4650</v>
      </c>
      <c r="D2209" s="2" t="s">
        <v>9181</v>
      </c>
      <c r="E2209" s="2" t="s">
        <v>6756</v>
      </c>
      <c r="F2209" s="2" t="s">
        <v>58</v>
      </c>
      <c r="G2209" s="2">
        <v>21626.18</v>
      </c>
      <c r="H2209" s="2">
        <v>10353.4</v>
      </c>
      <c r="I2209" s="2" t="s">
        <v>6752</v>
      </c>
      <c r="J2209" s="2" t="s">
        <v>6700</v>
      </c>
      <c r="K2209" s="2" t="s">
        <v>80</v>
      </c>
      <c r="L2209" s="2" t="s">
        <v>43</v>
      </c>
      <c r="M2209" s="2">
        <v>5</v>
      </c>
      <c r="N2209" s="2" t="s">
        <v>24</v>
      </c>
      <c r="O2209" s="2" t="s">
        <v>25</v>
      </c>
      <c r="P2209" s="2" t="s">
        <v>26</v>
      </c>
    </row>
    <row r="2210" spans="1:16" x14ac:dyDescent="0.25">
      <c r="A2210" s="2" t="s">
        <v>5060</v>
      </c>
      <c r="B2210" s="2" t="s">
        <v>597</v>
      </c>
      <c r="C2210" s="2">
        <v>7756</v>
      </c>
      <c r="D2210" s="2" t="s">
        <v>9182</v>
      </c>
      <c r="E2210" s="2" t="s">
        <v>38</v>
      </c>
      <c r="F2210" s="2" t="s">
        <v>39</v>
      </c>
      <c r="G2210" s="2">
        <v>33699.96</v>
      </c>
      <c r="H2210" s="2">
        <v>17328.240000000002</v>
      </c>
      <c r="I2210" s="2" t="s">
        <v>20</v>
      </c>
      <c r="J2210" s="2" t="s">
        <v>21</v>
      </c>
      <c r="K2210" s="2" t="s">
        <v>80</v>
      </c>
      <c r="L2210" s="2" t="s">
        <v>48</v>
      </c>
      <c r="M2210" s="2">
        <v>2</v>
      </c>
      <c r="N2210" s="2" t="s">
        <v>69</v>
      </c>
      <c r="O2210" s="2" t="s">
        <v>25</v>
      </c>
      <c r="P2210" s="2" t="s">
        <v>26</v>
      </c>
    </row>
    <row r="2211" spans="1:16" x14ac:dyDescent="0.25">
      <c r="A2211" s="2" t="s">
        <v>5061</v>
      </c>
      <c r="B2211" s="2" t="s">
        <v>4439</v>
      </c>
      <c r="C2211" s="2">
        <v>9951</v>
      </c>
      <c r="D2211" s="2" t="s">
        <v>9183</v>
      </c>
      <c r="E2211" s="2" t="s">
        <v>18</v>
      </c>
      <c r="F2211" s="2" t="s">
        <v>47</v>
      </c>
      <c r="G2211" s="2">
        <v>21274.31</v>
      </c>
      <c r="H2211" s="2">
        <v>11616.55</v>
      </c>
      <c r="I2211" s="2" t="s">
        <v>84</v>
      </c>
      <c r="J2211" s="2" t="s">
        <v>54</v>
      </c>
      <c r="K2211" s="2" t="s">
        <v>80</v>
      </c>
      <c r="L2211" s="2" t="s">
        <v>48</v>
      </c>
      <c r="M2211" s="2">
        <v>3</v>
      </c>
      <c r="N2211" s="2" t="s">
        <v>69</v>
      </c>
      <c r="O2211" s="2" t="s">
        <v>70</v>
      </c>
      <c r="P2211" s="2" t="s">
        <v>26</v>
      </c>
    </row>
    <row r="2212" spans="1:16" x14ac:dyDescent="0.25">
      <c r="A2212" s="2" t="s">
        <v>5064</v>
      </c>
      <c r="B2212" s="2" t="s">
        <v>496</v>
      </c>
      <c r="C2212" s="2">
        <v>1024</v>
      </c>
      <c r="D2212" s="2" t="s">
        <v>9184</v>
      </c>
      <c r="E2212" s="2" t="s">
        <v>38</v>
      </c>
      <c r="F2212" s="2" t="s">
        <v>19</v>
      </c>
      <c r="G2212" s="2">
        <v>12664.78</v>
      </c>
      <c r="H2212" s="2">
        <v>6944.92</v>
      </c>
      <c r="I2212" s="2" t="s">
        <v>63</v>
      </c>
      <c r="J2212" s="2" t="s">
        <v>54</v>
      </c>
      <c r="K2212" s="2" t="s">
        <v>42</v>
      </c>
      <c r="L2212" s="2" t="s">
        <v>88</v>
      </c>
      <c r="M2212" s="2">
        <v>4</v>
      </c>
      <c r="N2212" s="2" t="s">
        <v>33</v>
      </c>
      <c r="O2212" s="2" t="s">
        <v>25</v>
      </c>
      <c r="P2212" s="2" t="s">
        <v>34</v>
      </c>
    </row>
    <row r="2213" spans="1:16" x14ac:dyDescent="0.25">
      <c r="A2213" s="2" t="s">
        <v>5066</v>
      </c>
      <c r="B2213" s="2" t="s">
        <v>8587</v>
      </c>
      <c r="C2213" s="2">
        <v>5844</v>
      </c>
      <c r="D2213" s="2" t="s">
        <v>3397</v>
      </c>
      <c r="E2213" s="2" t="s">
        <v>38</v>
      </c>
      <c r="F2213" s="2" t="s">
        <v>47</v>
      </c>
      <c r="G2213" s="2">
        <v>12034.92</v>
      </c>
      <c r="H2213" s="2">
        <v>5998.77</v>
      </c>
      <c r="I2213" s="2" t="s">
        <v>31</v>
      </c>
      <c r="J2213" s="2" t="s">
        <v>21</v>
      </c>
      <c r="K2213" s="2" t="s">
        <v>32</v>
      </c>
      <c r="L2213" s="2" t="s">
        <v>23</v>
      </c>
      <c r="M2213" s="2">
        <v>3</v>
      </c>
      <c r="N2213" s="2" t="s">
        <v>69</v>
      </c>
      <c r="O2213" s="2" t="s">
        <v>25</v>
      </c>
      <c r="P2213" s="2" t="s">
        <v>49</v>
      </c>
    </row>
    <row r="2214" spans="1:16" x14ac:dyDescent="0.25">
      <c r="A2214" s="2" t="s">
        <v>5068</v>
      </c>
      <c r="B2214" s="2" t="s">
        <v>926</v>
      </c>
      <c r="C2214" s="2">
        <v>8051</v>
      </c>
      <c r="D2214" s="2" t="s">
        <v>9185</v>
      </c>
      <c r="E2214" s="2" t="s">
        <v>18</v>
      </c>
      <c r="F2214" s="2" t="s">
        <v>47</v>
      </c>
      <c r="G2214" s="2">
        <v>7568.42</v>
      </c>
      <c r="H2214" s="2">
        <v>4338.42</v>
      </c>
      <c r="I2214" s="2" t="s">
        <v>68</v>
      </c>
      <c r="J2214" s="2" t="s">
        <v>41</v>
      </c>
      <c r="K2214" s="2" t="s">
        <v>22</v>
      </c>
      <c r="L2214" s="2" t="s">
        <v>88</v>
      </c>
      <c r="M2214" s="2">
        <v>1</v>
      </c>
      <c r="N2214" s="2" t="s">
        <v>33</v>
      </c>
      <c r="O2214" s="2" t="s">
        <v>25</v>
      </c>
      <c r="P2214" s="2" t="s">
        <v>26</v>
      </c>
    </row>
    <row r="2215" spans="1:16" x14ac:dyDescent="0.25">
      <c r="A2215" s="2" t="s">
        <v>5070</v>
      </c>
      <c r="B2215" s="2" t="s">
        <v>960</v>
      </c>
      <c r="C2215" s="2">
        <v>2889</v>
      </c>
      <c r="D2215" s="2" t="s">
        <v>9186</v>
      </c>
      <c r="E2215" s="2" t="s">
        <v>6748</v>
      </c>
      <c r="F2215" s="2" t="s">
        <v>39</v>
      </c>
      <c r="G2215" s="2">
        <v>7286.21</v>
      </c>
      <c r="H2215" s="2">
        <v>4602.38</v>
      </c>
      <c r="I2215" s="2" t="s">
        <v>6910</v>
      </c>
      <c r="J2215" s="2" t="s">
        <v>6724</v>
      </c>
      <c r="K2215" s="2" t="s">
        <v>22</v>
      </c>
      <c r="L2215" s="2" t="s">
        <v>88</v>
      </c>
      <c r="M2215" s="2">
        <v>4</v>
      </c>
      <c r="N2215" s="2" t="s">
        <v>33</v>
      </c>
      <c r="O2215" s="2" t="s">
        <v>25</v>
      </c>
      <c r="P2215" s="2" t="s">
        <v>49</v>
      </c>
    </row>
    <row r="2216" spans="1:16" x14ac:dyDescent="0.25">
      <c r="A2216" s="2" t="s">
        <v>5073</v>
      </c>
      <c r="B2216" s="2" t="s">
        <v>1688</v>
      </c>
      <c r="C2216" s="2">
        <v>4870</v>
      </c>
      <c r="D2216" s="2" t="s">
        <v>961</v>
      </c>
      <c r="E2216" s="2" t="s">
        <v>6748</v>
      </c>
      <c r="F2216" s="2" t="s">
        <v>39</v>
      </c>
      <c r="G2216" s="2">
        <v>29193.63</v>
      </c>
      <c r="H2216" s="2">
        <v>16477.7</v>
      </c>
      <c r="I2216" s="2" t="s">
        <v>6808</v>
      </c>
      <c r="J2216" s="2" t="s">
        <v>6753</v>
      </c>
      <c r="K2216" s="2" t="s">
        <v>42</v>
      </c>
      <c r="L2216" s="2" t="s">
        <v>43</v>
      </c>
      <c r="M2216" s="2">
        <v>1</v>
      </c>
      <c r="N2216" s="2" t="s">
        <v>24</v>
      </c>
      <c r="O2216" s="2" t="s">
        <v>25</v>
      </c>
      <c r="P2216" s="2" t="s">
        <v>34</v>
      </c>
    </row>
    <row r="2217" spans="1:16" x14ac:dyDescent="0.25">
      <c r="A2217" s="2" t="s">
        <v>5074</v>
      </c>
      <c r="B2217" s="2" t="s">
        <v>278</v>
      </c>
      <c r="C2217" s="2">
        <v>9584</v>
      </c>
      <c r="D2217" s="2" t="s">
        <v>6441</v>
      </c>
      <c r="E2217" s="2" t="s">
        <v>38</v>
      </c>
      <c r="F2217" s="2" t="s">
        <v>30</v>
      </c>
      <c r="G2217" s="2">
        <v>97780.51</v>
      </c>
      <c r="H2217" s="2">
        <v>53895.94</v>
      </c>
      <c r="I2217" s="2" t="s">
        <v>63</v>
      </c>
      <c r="J2217" s="2" t="s">
        <v>54</v>
      </c>
      <c r="K2217" s="2" t="s">
        <v>42</v>
      </c>
      <c r="L2217" s="2" t="s">
        <v>48</v>
      </c>
      <c r="M2217" s="2">
        <v>3</v>
      </c>
      <c r="N2217" s="2" t="s">
        <v>24</v>
      </c>
      <c r="O2217" s="2" t="s">
        <v>25</v>
      </c>
      <c r="P2217" s="2" t="s">
        <v>49</v>
      </c>
    </row>
    <row r="2218" spans="1:16" x14ac:dyDescent="0.25">
      <c r="A2218" s="2" t="s">
        <v>5077</v>
      </c>
      <c r="B2218" s="2" t="s">
        <v>9187</v>
      </c>
      <c r="C2218" s="2">
        <v>2057</v>
      </c>
      <c r="D2218" s="2" t="s">
        <v>9188</v>
      </c>
      <c r="E2218" s="2" t="s">
        <v>38</v>
      </c>
      <c r="F2218" s="2" t="s">
        <v>39</v>
      </c>
      <c r="G2218" s="2">
        <v>22536.34</v>
      </c>
      <c r="H2218" s="2">
        <v>12685.65</v>
      </c>
      <c r="I2218" s="2" t="s">
        <v>6728</v>
      </c>
      <c r="J2218" s="2" t="s">
        <v>6729</v>
      </c>
      <c r="K2218" s="2" t="s">
        <v>32</v>
      </c>
      <c r="L2218" s="2" t="s">
        <v>88</v>
      </c>
      <c r="M2218" s="2">
        <v>4</v>
      </c>
      <c r="N2218" s="2" t="s">
        <v>33</v>
      </c>
      <c r="O2218" s="2" t="s">
        <v>25</v>
      </c>
      <c r="P2218" s="2" t="s">
        <v>34</v>
      </c>
    </row>
    <row r="2219" spans="1:16" x14ac:dyDescent="0.25">
      <c r="A2219" s="2" t="s">
        <v>5079</v>
      </c>
      <c r="B2219" s="2" t="s">
        <v>4666</v>
      </c>
      <c r="C2219" s="2">
        <v>2333</v>
      </c>
      <c r="D2219" s="2" t="s">
        <v>5910</v>
      </c>
      <c r="E2219" s="2" t="s">
        <v>38</v>
      </c>
      <c r="F2219" s="2" t="s">
        <v>30</v>
      </c>
      <c r="G2219" s="2">
        <v>36244.04</v>
      </c>
      <c r="H2219" s="2">
        <v>19881.86</v>
      </c>
      <c r="I2219" s="2" t="s">
        <v>31</v>
      </c>
      <c r="J2219" s="2" t="s">
        <v>21</v>
      </c>
      <c r="K2219" s="2" t="s">
        <v>32</v>
      </c>
      <c r="L2219" s="2" t="s">
        <v>23</v>
      </c>
      <c r="M2219" s="2">
        <v>2</v>
      </c>
      <c r="N2219" s="2" t="s">
        <v>69</v>
      </c>
      <c r="O2219" s="2" t="s">
        <v>25</v>
      </c>
      <c r="P2219" s="2" t="s">
        <v>26</v>
      </c>
    </row>
    <row r="2220" spans="1:16" x14ac:dyDescent="0.25">
      <c r="A2220" s="2" t="s">
        <v>5081</v>
      </c>
      <c r="B2220" s="2" t="s">
        <v>4696</v>
      </c>
      <c r="C2220" s="2">
        <v>4770</v>
      </c>
      <c r="D2220" s="2" t="s">
        <v>7965</v>
      </c>
      <c r="E2220" s="2" t="s">
        <v>38</v>
      </c>
      <c r="F2220" s="2" t="s">
        <v>39</v>
      </c>
      <c r="G2220" s="2">
        <v>21154.54</v>
      </c>
      <c r="H2220" s="2">
        <v>11060.95</v>
      </c>
      <c r="I2220" s="2" t="s">
        <v>63</v>
      </c>
      <c r="J2220" s="2" t="s">
        <v>54</v>
      </c>
      <c r="K2220" s="2" t="s">
        <v>22</v>
      </c>
      <c r="L2220" s="2" t="s">
        <v>88</v>
      </c>
      <c r="M2220" s="2">
        <v>5</v>
      </c>
      <c r="N2220" s="2" t="s">
        <v>33</v>
      </c>
      <c r="O2220" s="2" t="s">
        <v>25</v>
      </c>
      <c r="P2220" s="2" t="s">
        <v>34</v>
      </c>
    </row>
    <row r="2221" spans="1:16" x14ac:dyDescent="0.25">
      <c r="A2221" s="2" t="s">
        <v>5083</v>
      </c>
      <c r="B2221" s="2" t="s">
        <v>313</v>
      </c>
      <c r="C2221" s="2">
        <v>3207</v>
      </c>
      <c r="D2221" s="2" t="s">
        <v>9189</v>
      </c>
      <c r="E2221" s="2" t="s">
        <v>18</v>
      </c>
      <c r="F2221" s="2" t="s">
        <v>47</v>
      </c>
      <c r="G2221" s="2">
        <v>15188.77</v>
      </c>
      <c r="H2221" s="2">
        <v>7585.16</v>
      </c>
      <c r="I2221" s="2" t="s">
        <v>63</v>
      </c>
      <c r="J2221" s="2" t="s">
        <v>54</v>
      </c>
      <c r="K2221" s="2" t="s">
        <v>22</v>
      </c>
      <c r="L2221" s="2" t="s">
        <v>64</v>
      </c>
      <c r="M2221" s="2">
        <v>3</v>
      </c>
      <c r="N2221" s="2" t="s">
        <v>33</v>
      </c>
      <c r="O2221" s="2" t="s">
        <v>25</v>
      </c>
      <c r="P2221" s="2" t="s">
        <v>26</v>
      </c>
    </row>
    <row r="2222" spans="1:16" x14ac:dyDescent="0.25">
      <c r="A2222" s="2" t="s">
        <v>5084</v>
      </c>
      <c r="B2222" s="2" t="s">
        <v>1300</v>
      </c>
      <c r="C2222" s="2">
        <v>9875</v>
      </c>
      <c r="D2222" s="2" t="s">
        <v>5916</v>
      </c>
      <c r="E2222" s="2" t="s">
        <v>18</v>
      </c>
      <c r="F2222" s="2" t="s">
        <v>39</v>
      </c>
      <c r="G2222" s="2">
        <v>38730.92</v>
      </c>
      <c r="H2222" s="2">
        <v>25155.98</v>
      </c>
      <c r="I2222" s="2" t="s">
        <v>53</v>
      </c>
      <c r="J2222" s="2" t="s">
        <v>54</v>
      </c>
      <c r="K2222" s="2" t="s">
        <v>32</v>
      </c>
      <c r="L2222" s="2" t="s">
        <v>43</v>
      </c>
      <c r="M2222" s="2">
        <v>2</v>
      </c>
      <c r="N2222" s="2" t="s">
        <v>24</v>
      </c>
      <c r="O2222" s="2" t="s">
        <v>25</v>
      </c>
      <c r="P2222" s="2" t="s">
        <v>34</v>
      </c>
    </row>
    <row r="2223" spans="1:16" x14ac:dyDescent="0.25">
      <c r="A2223" s="2" t="s">
        <v>5086</v>
      </c>
      <c r="B2223" s="2" t="s">
        <v>9190</v>
      </c>
      <c r="C2223" s="2">
        <v>9261</v>
      </c>
      <c r="D2223" s="2" t="s">
        <v>9191</v>
      </c>
      <c r="E2223" s="2" t="s">
        <v>6694</v>
      </c>
      <c r="F2223" s="2" t="s">
        <v>30</v>
      </c>
      <c r="G2223" s="2">
        <v>79135.56</v>
      </c>
      <c r="H2223" s="2">
        <v>48063.28</v>
      </c>
      <c r="I2223" s="2" t="s">
        <v>6867</v>
      </c>
      <c r="J2223" s="2" t="s">
        <v>6724</v>
      </c>
      <c r="K2223" s="2" t="s">
        <v>32</v>
      </c>
      <c r="L2223" s="2" t="s">
        <v>64</v>
      </c>
      <c r="M2223" s="2">
        <v>4</v>
      </c>
      <c r="N2223" s="2" t="s">
        <v>33</v>
      </c>
      <c r="O2223" s="2" t="s">
        <v>25</v>
      </c>
      <c r="P2223" s="2" t="s">
        <v>34</v>
      </c>
    </row>
    <row r="2224" spans="1:16" x14ac:dyDescent="0.25">
      <c r="A2224" s="2" t="s">
        <v>5089</v>
      </c>
      <c r="B2224" s="2" t="s">
        <v>5104</v>
      </c>
      <c r="C2224" s="2">
        <v>9245</v>
      </c>
      <c r="D2224" s="2" t="s">
        <v>9192</v>
      </c>
      <c r="E2224" s="2" t="s">
        <v>6719</v>
      </c>
      <c r="F2224" s="2" t="s">
        <v>58</v>
      </c>
      <c r="G2224" s="2">
        <v>36576.49</v>
      </c>
      <c r="H2224" s="2">
        <v>23599.75</v>
      </c>
      <c r="I2224" s="2" t="s">
        <v>6799</v>
      </c>
      <c r="J2224" s="2" t="s">
        <v>6732</v>
      </c>
      <c r="K2224" s="2" t="s">
        <v>22</v>
      </c>
      <c r="L2224" s="2" t="s">
        <v>48</v>
      </c>
      <c r="M2224" s="2">
        <v>3</v>
      </c>
      <c r="N2224" s="2" t="s">
        <v>33</v>
      </c>
      <c r="O2224" s="2" t="s">
        <v>25</v>
      </c>
      <c r="P2224" s="2" t="s">
        <v>26</v>
      </c>
    </row>
    <row r="2225" spans="1:16" x14ac:dyDescent="0.25">
      <c r="A2225" s="2" t="s">
        <v>5091</v>
      </c>
      <c r="B2225" s="2" t="s">
        <v>9193</v>
      </c>
      <c r="C2225" s="2">
        <v>2338</v>
      </c>
      <c r="D2225" s="2" t="s">
        <v>9194</v>
      </c>
      <c r="E2225" s="2" t="s">
        <v>6703</v>
      </c>
      <c r="F2225" s="2" t="s">
        <v>47</v>
      </c>
      <c r="G2225" s="2">
        <v>21170.25</v>
      </c>
      <c r="H2225" s="2">
        <v>12118.5</v>
      </c>
      <c r="I2225" s="2" t="s">
        <v>84</v>
      </c>
      <c r="J2225" s="2" t="s">
        <v>6700</v>
      </c>
      <c r="K2225" s="2" t="s">
        <v>32</v>
      </c>
      <c r="L2225" s="2" t="s">
        <v>48</v>
      </c>
      <c r="M2225" s="2">
        <v>2</v>
      </c>
      <c r="N2225" s="2" t="s">
        <v>33</v>
      </c>
      <c r="O2225" s="2" t="s">
        <v>25</v>
      </c>
      <c r="P2225" s="2" t="s">
        <v>49</v>
      </c>
    </row>
    <row r="2226" spans="1:16" x14ac:dyDescent="0.25">
      <c r="A2226" s="2" t="s">
        <v>5094</v>
      </c>
      <c r="B2226" s="2" t="s">
        <v>3445</v>
      </c>
      <c r="C2226" s="2">
        <v>2108</v>
      </c>
      <c r="D2226" s="2" t="s">
        <v>1819</v>
      </c>
      <c r="E2226" s="2" t="s">
        <v>38</v>
      </c>
      <c r="F2226" s="2" t="s">
        <v>58</v>
      </c>
      <c r="G2226" s="2">
        <v>24356.84</v>
      </c>
      <c r="H2226" s="2">
        <v>11950.91</v>
      </c>
      <c r="I2226" s="2" t="s">
        <v>31</v>
      </c>
      <c r="J2226" s="2" t="s">
        <v>21</v>
      </c>
      <c r="K2226" s="2" t="s">
        <v>80</v>
      </c>
      <c r="L2226" s="2" t="s">
        <v>23</v>
      </c>
      <c r="M2226" s="2">
        <v>3</v>
      </c>
      <c r="N2226" s="2" t="s">
        <v>69</v>
      </c>
      <c r="O2226" s="2" t="s">
        <v>25</v>
      </c>
      <c r="P2226" s="2" t="s">
        <v>26</v>
      </c>
    </row>
    <row r="2227" spans="1:16" x14ac:dyDescent="0.25">
      <c r="A2227" s="2" t="s">
        <v>5097</v>
      </c>
      <c r="B2227" s="2" t="s">
        <v>9195</v>
      </c>
      <c r="C2227" s="2">
        <v>9205</v>
      </c>
      <c r="D2227" s="2" t="s">
        <v>9196</v>
      </c>
      <c r="E2227" s="2" t="s">
        <v>6748</v>
      </c>
      <c r="F2227" s="2" t="s">
        <v>30</v>
      </c>
      <c r="G2227" s="2">
        <v>9391.24</v>
      </c>
      <c r="H2227" s="2">
        <v>4844.62</v>
      </c>
      <c r="I2227" s="2" t="s">
        <v>6771</v>
      </c>
      <c r="J2227" s="2" t="s">
        <v>6802</v>
      </c>
      <c r="K2227" s="2" t="s">
        <v>42</v>
      </c>
      <c r="L2227" s="2" t="s">
        <v>23</v>
      </c>
      <c r="M2227" s="2">
        <v>5</v>
      </c>
      <c r="N2227" s="2" t="s">
        <v>69</v>
      </c>
      <c r="O2227" s="2" t="s">
        <v>25</v>
      </c>
      <c r="P2227" s="2" t="s">
        <v>49</v>
      </c>
    </row>
    <row r="2228" spans="1:16" x14ac:dyDescent="0.25">
      <c r="A2228" s="2" t="s">
        <v>5100</v>
      </c>
      <c r="B2228" s="2" t="s">
        <v>3344</v>
      </c>
      <c r="C2228" s="2">
        <v>1393</v>
      </c>
      <c r="D2228" s="2" t="s">
        <v>5929</v>
      </c>
      <c r="E2228" s="2" t="s">
        <v>38</v>
      </c>
      <c r="F2228" s="2" t="s">
        <v>47</v>
      </c>
      <c r="G2228" s="2">
        <v>5288.84</v>
      </c>
      <c r="H2228" s="2">
        <v>2580.83</v>
      </c>
      <c r="I2228" s="2" t="s">
        <v>63</v>
      </c>
      <c r="J2228" s="2" t="s">
        <v>54</v>
      </c>
      <c r="K2228" s="2" t="s">
        <v>22</v>
      </c>
      <c r="L2228" s="2" t="s">
        <v>64</v>
      </c>
      <c r="M2228" s="2">
        <v>5</v>
      </c>
      <c r="N2228" s="2" t="s">
        <v>33</v>
      </c>
      <c r="O2228" s="2" t="s">
        <v>25</v>
      </c>
      <c r="P2228" s="2" t="s">
        <v>26</v>
      </c>
    </row>
    <row r="2229" spans="1:16" x14ac:dyDescent="0.25">
      <c r="A2229" s="2" t="s">
        <v>5103</v>
      </c>
      <c r="B2229" s="2" t="s">
        <v>9197</v>
      </c>
      <c r="C2229" s="2">
        <v>8921</v>
      </c>
      <c r="D2229" s="2" t="s">
        <v>9198</v>
      </c>
      <c r="E2229" s="2" t="s">
        <v>6708</v>
      </c>
      <c r="F2229" s="2" t="s">
        <v>39</v>
      </c>
      <c r="G2229" s="2">
        <v>17286.02</v>
      </c>
      <c r="H2229" s="2">
        <v>9746.42</v>
      </c>
      <c r="I2229" s="2" t="s">
        <v>84</v>
      </c>
      <c r="J2229" s="2" t="s">
        <v>6753</v>
      </c>
      <c r="K2229" s="2" t="s">
        <v>32</v>
      </c>
      <c r="L2229" s="2" t="s">
        <v>55</v>
      </c>
      <c r="M2229" s="2">
        <v>3</v>
      </c>
      <c r="N2229" s="2" t="s">
        <v>69</v>
      </c>
      <c r="O2229" s="2" t="s">
        <v>70</v>
      </c>
      <c r="P2229" s="2" t="s">
        <v>26</v>
      </c>
    </row>
    <row r="2230" spans="1:16" x14ac:dyDescent="0.25">
      <c r="A2230" s="2" t="s">
        <v>5106</v>
      </c>
      <c r="B2230" s="2" t="s">
        <v>9199</v>
      </c>
      <c r="C2230" s="2">
        <v>9694</v>
      </c>
      <c r="D2230" s="2" t="s">
        <v>9200</v>
      </c>
      <c r="E2230" s="2" t="s">
        <v>6743</v>
      </c>
      <c r="F2230" s="2" t="s">
        <v>19</v>
      </c>
      <c r="G2230" s="2">
        <v>5497.12</v>
      </c>
      <c r="H2230" s="2">
        <v>3088.58</v>
      </c>
      <c r="I2230" s="2" t="s">
        <v>6759</v>
      </c>
      <c r="J2230" s="2" t="s">
        <v>54</v>
      </c>
      <c r="K2230" s="2" t="s">
        <v>32</v>
      </c>
      <c r="L2230" s="2" t="s">
        <v>64</v>
      </c>
      <c r="M2230" s="2">
        <v>5</v>
      </c>
      <c r="N2230" s="2" t="s">
        <v>69</v>
      </c>
      <c r="O2230" s="2" t="s">
        <v>25</v>
      </c>
      <c r="P2230" s="2" t="s">
        <v>26</v>
      </c>
    </row>
    <row r="2231" spans="1:16" x14ac:dyDescent="0.25">
      <c r="A2231" s="2" t="s">
        <v>5109</v>
      </c>
      <c r="B2231" s="2" t="s">
        <v>2540</v>
      </c>
      <c r="C2231" s="2">
        <v>6828</v>
      </c>
      <c r="D2231" s="2" t="s">
        <v>1901</v>
      </c>
      <c r="E2231" s="2" t="s">
        <v>38</v>
      </c>
      <c r="F2231" s="2" t="s">
        <v>30</v>
      </c>
      <c r="G2231" s="2">
        <v>64950.31</v>
      </c>
      <c r="H2231" s="2">
        <v>38775.51</v>
      </c>
      <c r="I2231" s="2" t="s">
        <v>59</v>
      </c>
      <c r="J2231" s="2" t="s">
        <v>41</v>
      </c>
      <c r="K2231" s="2" t="s">
        <v>42</v>
      </c>
      <c r="L2231" s="2" t="s">
        <v>88</v>
      </c>
      <c r="M2231" s="2">
        <v>1</v>
      </c>
      <c r="N2231" s="2" t="s">
        <v>69</v>
      </c>
      <c r="O2231" s="2" t="s">
        <v>25</v>
      </c>
      <c r="P2231" s="2" t="s">
        <v>49</v>
      </c>
    </row>
    <row r="2232" spans="1:16" x14ac:dyDescent="0.25">
      <c r="A2232" s="2" t="s">
        <v>5110</v>
      </c>
      <c r="B2232" s="2" t="s">
        <v>116</v>
      </c>
      <c r="C2232" s="2">
        <v>5811</v>
      </c>
      <c r="D2232" s="2" t="s">
        <v>4370</v>
      </c>
      <c r="E2232" s="2" t="s">
        <v>6703</v>
      </c>
      <c r="F2232" s="2" t="s">
        <v>30</v>
      </c>
      <c r="G2232" s="2">
        <v>28813.24</v>
      </c>
      <c r="H2232" s="2">
        <v>16933.23</v>
      </c>
      <c r="I2232" s="2" t="s">
        <v>6845</v>
      </c>
      <c r="J2232" s="2" t="s">
        <v>6724</v>
      </c>
      <c r="K2232" s="2" t="s">
        <v>22</v>
      </c>
      <c r="L2232" s="2" t="s">
        <v>55</v>
      </c>
      <c r="M2232" s="2">
        <v>5</v>
      </c>
      <c r="N2232" s="2" t="s">
        <v>69</v>
      </c>
      <c r="O2232" s="2" t="s">
        <v>70</v>
      </c>
      <c r="P2232" s="2" t="s">
        <v>49</v>
      </c>
    </row>
    <row r="2233" spans="1:16" x14ac:dyDescent="0.25">
      <c r="A2233" s="2" t="s">
        <v>5112</v>
      </c>
      <c r="B2233" s="2" t="s">
        <v>569</v>
      </c>
      <c r="C2233" s="2">
        <v>1348</v>
      </c>
      <c r="D2233" s="2" t="s">
        <v>5552</v>
      </c>
      <c r="E2233" s="2" t="s">
        <v>18</v>
      </c>
      <c r="F2233" s="2" t="s">
        <v>19</v>
      </c>
      <c r="G2233" s="2">
        <v>8829.57</v>
      </c>
      <c r="H2233" s="2">
        <v>4174.87</v>
      </c>
      <c r="I2233" s="2" t="s">
        <v>120</v>
      </c>
      <c r="J2233" s="2" t="s">
        <v>21</v>
      </c>
      <c r="K2233" s="2" t="s">
        <v>42</v>
      </c>
      <c r="L2233" s="2" t="s">
        <v>55</v>
      </c>
      <c r="M2233" s="2">
        <v>3</v>
      </c>
      <c r="N2233" s="2" t="s">
        <v>33</v>
      </c>
      <c r="O2233" s="2" t="s">
        <v>25</v>
      </c>
      <c r="P2233" s="2" t="s">
        <v>34</v>
      </c>
    </row>
    <row r="2234" spans="1:16" x14ac:dyDescent="0.25">
      <c r="A2234" s="2" t="s">
        <v>5114</v>
      </c>
      <c r="B2234" s="2" t="s">
        <v>9201</v>
      </c>
      <c r="C2234" s="2">
        <v>2877</v>
      </c>
      <c r="D2234" s="2" t="s">
        <v>9202</v>
      </c>
      <c r="E2234" s="2" t="s">
        <v>6743</v>
      </c>
      <c r="F2234" s="2" t="s">
        <v>58</v>
      </c>
      <c r="G2234" s="2">
        <v>28567.69</v>
      </c>
      <c r="H2234" s="2">
        <v>14950.75</v>
      </c>
      <c r="I2234" s="2" t="s">
        <v>53</v>
      </c>
      <c r="J2234" s="2" t="s">
        <v>54</v>
      </c>
      <c r="K2234" s="2" t="s">
        <v>80</v>
      </c>
      <c r="L2234" s="2" t="s">
        <v>64</v>
      </c>
      <c r="M2234" s="2">
        <v>1</v>
      </c>
      <c r="N2234" s="2" t="s">
        <v>33</v>
      </c>
      <c r="O2234" s="2" t="s">
        <v>25</v>
      </c>
      <c r="P2234" s="2" t="s">
        <v>49</v>
      </c>
    </row>
    <row r="2235" spans="1:16" x14ac:dyDescent="0.25">
      <c r="A2235" s="2" t="s">
        <v>5117</v>
      </c>
      <c r="B2235" s="2" t="s">
        <v>9203</v>
      </c>
      <c r="C2235" s="2">
        <v>3257</v>
      </c>
      <c r="D2235" s="2" t="s">
        <v>9204</v>
      </c>
      <c r="E2235" s="2" t="s">
        <v>6743</v>
      </c>
      <c r="F2235" s="2" t="s">
        <v>39</v>
      </c>
      <c r="G2235" s="2">
        <v>33197.25</v>
      </c>
      <c r="H2235" s="2">
        <v>15092.16</v>
      </c>
      <c r="I2235" s="2" t="s">
        <v>53</v>
      </c>
      <c r="J2235" s="2" t="s">
        <v>6686</v>
      </c>
      <c r="K2235" s="2" t="s">
        <v>22</v>
      </c>
      <c r="L2235" s="2" t="s">
        <v>48</v>
      </c>
      <c r="M2235" s="2">
        <v>4</v>
      </c>
      <c r="N2235" s="2" t="s">
        <v>33</v>
      </c>
      <c r="O2235" s="2" t="s">
        <v>70</v>
      </c>
      <c r="P2235" s="2" t="s">
        <v>49</v>
      </c>
    </row>
    <row r="2236" spans="1:16" x14ac:dyDescent="0.25">
      <c r="A2236" s="2" t="s">
        <v>5119</v>
      </c>
      <c r="B2236" s="2" t="s">
        <v>7414</v>
      </c>
      <c r="C2236" s="2">
        <v>8982</v>
      </c>
      <c r="D2236" s="2" t="s">
        <v>9205</v>
      </c>
      <c r="E2236" s="2" t="s">
        <v>6756</v>
      </c>
      <c r="F2236" s="2" t="s">
        <v>39</v>
      </c>
      <c r="G2236" s="2">
        <v>49317.49</v>
      </c>
      <c r="H2236" s="2">
        <v>25195.33</v>
      </c>
      <c r="I2236" s="2" t="s">
        <v>6699</v>
      </c>
      <c r="J2236" s="2" t="s">
        <v>6700</v>
      </c>
      <c r="K2236" s="2" t="s">
        <v>42</v>
      </c>
      <c r="L2236" s="2" t="s">
        <v>43</v>
      </c>
      <c r="M2236" s="2">
        <v>1</v>
      </c>
      <c r="N2236" s="2" t="s">
        <v>24</v>
      </c>
      <c r="O2236" s="2" t="s">
        <v>25</v>
      </c>
      <c r="P2236" s="2" t="s">
        <v>26</v>
      </c>
    </row>
    <row r="2237" spans="1:16" x14ac:dyDescent="0.25">
      <c r="A2237" s="2" t="s">
        <v>5121</v>
      </c>
      <c r="B2237" s="2" t="s">
        <v>1150</v>
      </c>
      <c r="C2237" s="2">
        <v>7576</v>
      </c>
      <c r="D2237" s="2" t="s">
        <v>9206</v>
      </c>
      <c r="E2237" s="2" t="s">
        <v>18</v>
      </c>
      <c r="F2237" s="2" t="s">
        <v>47</v>
      </c>
      <c r="G2237" s="2">
        <v>15028.09</v>
      </c>
      <c r="H2237" s="2">
        <v>6868.49</v>
      </c>
      <c r="I2237" s="2" t="s">
        <v>84</v>
      </c>
      <c r="J2237" s="2" t="s">
        <v>54</v>
      </c>
      <c r="K2237" s="2" t="s">
        <v>22</v>
      </c>
      <c r="L2237" s="2" t="s">
        <v>48</v>
      </c>
      <c r="M2237" s="2">
        <v>1</v>
      </c>
      <c r="N2237" s="2" t="s">
        <v>33</v>
      </c>
      <c r="O2237" s="2" t="s">
        <v>25</v>
      </c>
      <c r="P2237" s="2" t="s">
        <v>49</v>
      </c>
    </row>
    <row r="2238" spans="1:16" x14ac:dyDescent="0.25">
      <c r="A2238" s="2" t="s">
        <v>5122</v>
      </c>
      <c r="B2238" s="2" t="s">
        <v>9207</v>
      </c>
      <c r="C2238" s="2">
        <v>3715</v>
      </c>
      <c r="D2238" s="2" t="s">
        <v>484</v>
      </c>
      <c r="E2238" s="2" t="s">
        <v>6680</v>
      </c>
      <c r="F2238" s="2" t="s">
        <v>30</v>
      </c>
      <c r="G2238" s="2">
        <v>29441.63</v>
      </c>
      <c r="H2238" s="2">
        <v>13309.06</v>
      </c>
      <c r="I2238" s="2" t="s">
        <v>84</v>
      </c>
      <c r="J2238" s="2" t="s">
        <v>6753</v>
      </c>
      <c r="K2238" s="2" t="s">
        <v>80</v>
      </c>
      <c r="L2238" s="2" t="s">
        <v>55</v>
      </c>
      <c r="M2238" s="2">
        <v>4</v>
      </c>
      <c r="N2238" s="2" t="s">
        <v>33</v>
      </c>
      <c r="O2238" s="2" t="s">
        <v>25</v>
      </c>
      <c r="P2238" s="2" t="s">
        <v>34</v>
      </c>
    </row>
    <row r="2239" spans="1:16" x14ac:dyDescent="0.25">
      <c r="A2239" s="2" t="s">
        <v>5125</v>
      </c>
      <c r="B2239" s="2" t="s">
        <v>9208</v>
      </c>
      <c r="C2239" s="2">
        <v>9938</v>
      </c>
      <c r="D2239" s="2" t="s">
        <v>9209</v>
      </c>
      <c r="E2239" s="2" t="s">
        <v>6708</v>
      </c>
      <c r="F2239" s="2" t="s">
        <v>47</v>
      </c>
      <c r="G2239" s="2">
        <v>4619.71</v>
      </c>
      <c r="H2239" s="2">
        <v>2179.19</v>
      </c>
      <c r="I2239" s="2" t="s">
        <v>6761</v>
      </c>
      <c r="J2239" s="2" t="s">
        <v>6682</v>
      </c>
      <c r="K2239" s="2" t="s">
        <v>32</v>
      </c>
      <c r="L2239" s="2" t="s">
        <v>43</v>
      </c>
      <c r="M2239" s="2">
        <v>1</v>
      </c>
      <c r="N2239" s="2" t="s">
        <v>33</v>
      </c>
      <c r="O2239" s="2" t="s">
        <v>25</v>
      </c>
      <c r="P2239" s="2" t="s">
        <v>34</v>
      </c>
    </row>
    <row r="2240" spans="1:16" x14ac:dyDescent="0.25">
      <c r="A2240" s="2" t="s">
        <v>5127</v>
      </c>
      <c r="B2240" s="2" t="s">
        <v>9210</v>
      </c>
      <c r="C2240" s="2">
        <v>3084</v>
      </c>
      <c r="D2240" s="2" t="s">
        <v>9211</v>
      </c>
      <c r="E2240" s="2" t="s">
        <v>6748</v>
      </c>
      <c r="F2240" s="2" t="s">
        <v>58</v>
      </c>
      <c r="G2240" s="2">
        <v>27468.1</v>
      </c>
      <c r="H2240" s="2">
        <v>15110.63</v>
      </c>
      <c r="I2240" s="2" t="s">
        <v>6736</v>
      </c>
      <c r="J2240" s="2" t="s">
        <v>6700</v>
      </c>
      <c r="K2240" s="2" t="s">
        <v>80</v>
      </c>
      <c r="L2240" s="2" t="s">
        <v>23</v>
      </c>
      <c r="M2240" s="2">
        <v>2</v>
      </c>
      <c r="N2240" s="2" t="s">
        <v>24</v>
      </c>
      <c r="O2240" s="2" t="s">
        <v>70</v>
      </c>
      <c r="P2240" s="2" t="s">
        <v>49</v>
      </c>
    </row>
    <row r="2241" spans="1:16" x14ac:dyDescent="0.25">
      <c r="A2241" s="2" t="s">
        <v>5129</v>
      </c>
      <c r="B2241" s="2" t="s">
        <v>9212</v>
      </c>
      <c r="C2241" s="2">
        <v>9283</v>
      </c>
      <c r="D2241" s="2" t="s">
        <v>9213</v>
      </c>
      <c r="E2241" s="2" t="s">
        <v>6708</v>
      </c>
      <c r="F2241" s="2" t="s">
        <v>58</v>
      </c>
      <c r="G2241" s="2">
        <v>9322.59</v>
      </c>
      <c r="H2241" s="2">
        <v>5880.21</v>
      </c>
      <c r="I2241" s="2" t="s">
        <v>120</v>
      </c>
      <c r="J2241" s="2" t="s">
        <v>6696</v>
      </c>
      <c r="K2241" s="2" t="s">
        <v>32</v>
      </c>
      <c r="L2241" s="2" t="s">
        <v>55</v>
      </c>
      <c r="M2241" s="2">
        <v>3</v>
      </c>
      <c r="N2241" s="2" t="s">
        <v>24</v>
      </c>
      <c r="O2241" s="2" t="s">
        <v>25</v>
      </c>
      <c r="P2241" s="2" t="s">
        <v>34</v>
      </c>
    </row>
    <row r="2242" spans="1:16" x14ac:dyDescent="0.25">
      <c r="A2242" s="2" t="s">
        <v>5132</v>
      </c>
      <c r="B2242" s="2" t="s">
        <v>1978</v>
      </c>
      <c r="C2242" s="2">
        <v>5340</v>
      </c>
      <c r="D2242" s="2" t="s">
        <v>9214</v>
      </c>
      <c r="E2242" s="2" t="s">
        <v>38</v>
      </c>
      <c r="F2242" s="2" t="s">
        <v>30</v>
      </c>
      <c r="G2242" s="2">
        <v>63677.32</v>
      </c>
      <c r="H2242" s="2">
        <v>33366.65</v>
      </c>
      <c r="I2242" s="2" t="s">
        <v>59</v>
      </c>
      <c r="J2242" s="2" t="s">
        <v>41</v>
      </c>
      <c r="K2242" s="2" t="s">
        <v>80</v>
      </c>
      <c r="L2242" s="2" t="s">
        <v>88</v>
      </c>
      <c r="M2242" s="2">
        <v>3</v>
      </c>
      <c r="N2242" s="2" t="s">
        <v>69</v>
      </c>
      <c r="O2242" s="2" t="s">
        <v>70</v>
      </c>
      <c r="P2242" s="2" t="s">
        <v>49</v>
      </c>
    </row>
    <row r="2243" spans="1:16" x14ac:dyDescent="0.25">
      <c r="A2243" s="2" t="s">
        <v>5135</v>
      </c>
      <c r="B2243" s="2" t="s">
        <v>9215</v>
      </c>
      <c r="C2243" s="2">
        <v>2414</v>
      </c>
      <c r="D2243" s="2" t="s">
        <v>7533</v>
      </c>
      <c r="E2243" s="2" t="s">
        <v>6694</v>
      </c>
      <c r="F2243" s="2" t="s">
        <v>19</v>
      </c>
      <c r="G2243" s="2">
        <v>18732.900000000001</v>
      </c>
      <c r="H2243" s="2">
        <v>11921.72</v>
      </c>
      <c r="I2243" s="2" t="s">
        <v>6728</v>
      </c>
      <c r="J2243" s="2" t="s">
        <v>6753</v>
      </c>
      <c r="K2243" s="2" t="s">
        <v>80</v>
      </c>
      <c r="L2243" s="2" t="s">
        <v>43</v>
      </c>
      <c r="M2243" s="2">
        <v>1</v>
      </c>
      <c r="N2243" s="2" t="s">
        <v>33</v>
      </c>
      <c r="O2243" s="2" t="s">
        <v>25</v>
      </c>
      <c r="P2243" s="2" t="s">
        <v>34</v>
      </c>
    </row>
    <row r="2244" spans="1:16" x14ac:dyDescent="0.25">
      <c r="A2244" s="2" t="s">
        <v>5137</v>
      </c>
      <c r="B2244" s="2" t="s">
        <v>3254</v>
      </c>
      <c r="C2244" s="2">
        <v>8786</v>
      </c>
      <c r="D2244" s="2" t="s">
        <v>9216</v>
      </c>
      <c r="E2244" s="2" t="s">
        <v>6748</v>
      </c>
      <c r="F2244" s="2" t="s">
        <v>47</v>
      </c>
      <c r="G2244" s="2">
        <v>3795.58</v>
      </c>
      <c r="H2244" s="2">
        <v>2316.5500000000002</v>
      </c>
      <c r="I2244" s="2" t="s">
        <v>6812</v>
      </c>
      <c r="J2244" s="2" t="s">
        <v>6729</v>
      </c>
      <c r="K2244" s="2" t="s">
        <v>42</v>
      </c>
      <c r="L2244" s="2" t="s">
        <v>48</v>
      </c>
      <c r="M2244" s="2">
        <v>1</v>
      </c>
      <c r="N2244" s="2" t="s">
        <v>33</v>
      </c>
      <c r="O2244" s="2" t="s">
        <v>25</v>
      </c>
      <c r="P2244" s="2" t="s">
        <v>34</v>
      </c>
    </row>
    <row r="2245" spans="1:16" x14ac:dyDescent="0.25">
      <c r="A2245" s="2" t="s">
        <v>5139</v>
      </c>
      <c r="B2245" s="2" t="s">
        <v>808</v>
      </c>
      <c r="C2245" s="2">
        <v>3349</v>
      </c>
      <c r="D2245" s="2" t="s">
        <v>4594</v>
      </c>
      <c r="E2245" s="2" t="s">
        <v>6680</v>
      </c>
      <c r="F2245" s="2" t="s">
        <v>39</v>
      </c>
      <c r="G2245" s="2">
        <v>36906.949999999997</v>
      </c>
      <c r="H2245" s="2">
        <v>22742.959999999999</v>
      </c>
      <c r="I2245" s="2" t="s">
        <v>6812</v>
      </c>
      <c r="J2245" s="2" t="s">
        <v>6700</v>
      </c>
      <c r="K2245" s="2" t="s">
        <v>32</v>
      </c>
      <c r="L2245" s="2" t="s">
        <v>43</v>
      </c>
      <c r="M2245" s="2">
        <v>3</v>
      </c>
      <c r="N2245" s="2" t="s">
        <v>69</v>
      </c>
      <c r="O2245" s="2" t="s">
        <v>70</v>
      </c>
      <c r="P2245" s="2" t="s">
        <v>34</v>
      </c>
    </row>
    <row r="2246" spans="1:16" x14ac:dyDescent="0.25">
      <c r="A2246" s="2" t="s">
        <v>5141</v>
      </c>
      <c r="B2246" s="2" t="s">
        <v>7005</v>
      </c>
      <c r="C2246" s="2">
        <v>1108</v>
      </c>
      <c r="D2246" s="2" t="s">
        <v>9217</v>
      </c>
      <c r="E2246" s="2" t="s">
        <v>38</v>
      </c>
      <c r="F2246" s="2" t="s">
        <v>39</v>
      </c>
      <c r="G2246" s="2">
        <v>12918.8</v>
      </c>
      <c r="H2246" s="2">
        <v>7211.71</v>
      </c>
      <c r="I2246" s="2" t="s">
        <v>40</v>
      </c>
      <c r="J2246" s="2" t="s">
        <v>41</v>
      </c>
      <c r="K2246" s="2" t="s">
        <v>22</v>
      </c>
      <c r="L2246" s="2" t="s">
        <v>43</v>
      </c>
      <c r="M2246" s="2">
        <v>3</v>
      </c>
      <c r="N2246" s="2" t="s">
        <v>24</v>
      </c>
      <c r="O2246" s="2" t="s">
        <v>25</v>
      </c>
      <c r="P2246" s="2" t="s">
        <v>26</v>
      </c>
    </row>
    <row r="2247" spans="1:16" x14ac:dyDescent="0.25">
      <c r="A2247" s="2" t="s">
        <v>5143</v>
      </c>
      <c r="B2247" s="2" t="s">
        <v>9218</v>
      </c>
      <c r="C2247" s="2">
        <v>1534</v>
      </c>
      <c r="D2247" s="2" t="s">
        <v>9219</v>
      </c>
      <c r="E2247" s="2" t="s">
        <v>6703</v>
      </c>
      <c r="F2247" s="2" t="s">
        <v>58</v>
      </c>
      <c r="G2247" s="2">
        <v>38751.94</v>
      </c>
      <c r="H2247" s="2">
        <v>19080.61</v>
      </c>
      <c r="I2247" s="2" t="s">
        <v>6759</v>
      </c>
      <c r="J2247" s="2" t="s">
        <v>6753</v>
      </c>
      <c r="K2247" s="2" t="s">
        <v>22</v>
      </c>
      <c r="L2247" s="2" t="s">
        <v>48</v>
      </c>
      <c r="M2247" s="2">
        <v>2</v>
      </c>
      <c r="N2247" s="2" t="s">
        <v>33</v>
      </c>
      <c r="O2247" s="2" t="s">
        <v>25</v>
      </c>
      <c r="P2247" s="2" t="s">
        <v>34</v>
      </c>
    </row>
    <row r="2248" spans="1:16" x14ac:dyDescent="0.25">
      <c r="A2248" s="2" t="s">
        <v>5145</v>
      </c>
      <c r="B2248" s="2" t="s">
        <v>3852</v>
      </c>
      <c r="C2248" s="2">
        <v>9300</v>
      </c>
      <c r="D2248" s="2" t="s">
        <v>9220</v>
      </c>
      <c r="E2248" s="2" t="s">
        <v>18</v>
      </c>
      <c r="F2248" s="2" t="s">
        <v>30</v>
      </c>
      <c r="G2248" s="2">
        <v>40789.72</v>
      </c>
      <c r="H2248" s="2">
        <v>25244.95</v>
      </c>
      <c r="I2248" s="2" t="s">
        <v>59</v>
      </c>
      <c r="J2248" s="2" t="s">
        <v>41</v>
      </c>
      <c r="K2248" s="2" t="s">
        <v>80</v>
      </c>
      <c r="L2248" s="2" t="s">
        <v>43</v>
      </c>
      <c r="M2248" s="2">
        <v>4</v>
      </c>
      <c r="N2248" s="2" t="s">
        <v>24</v>
      </c>
      <c r="O2248" s="2" t="s">
        <v>25</v>
      </c>
      <c r="P2248" s="2" t="s">
        <v>34</v>
      </c>
    </row>
    <row r="2249" spans="1:16" x14ac:dyDescent="0.25">
      <c r="A2249" s="2" t="s">
        <v>5148</v>
      </c>
      <c r="B2249" s="2" t="s">
        <v>769</v>
      </c>
      <c r="C2249" s="2">
        <v>4297</v>
      </c>
      <c r="D2249" s="2" t="s">
        <v>1847</v>
      </c>
      <c r="E2249" s="2" t="s">
        <v>38</v>
      </c>
      <c r="F2249" s="2" t="s">
        <v>39</v>
      </c>
      <c r="G2249" s="2">
        <v>31928.32</v>
      </c>
      <c r="H2249" s="2">
        <v>18436.73</v>
      </c>
      <c r="I2249" s="2" t="s">
        <v>84</v>
      </c>
      <c r="J2249" s="2" t="s">
        <v>54</v>
      </c>
      <c r="K2249" s="2" t="s">
        <v>80</v>
      </c>
      <c r="L2249" s="2" t="s">
        <v>23</v>
      </c>
      <c r="M2249" s="2">
        <v>4</v>
      </c>
      <c r="N2249" s="2" t="s">
        <v>33</v>
      </c>
      <c r="O2249" s="2" t="s">
        <v>25</v>
      </c>
      <c r="P2249" s="2" t="s">
        <v>49</v>
      </c>
    </row>
    <row r="2250" spans="1:16" x14ac:dyDescent="0.25">
      <c r="A2250" s="2" t="s">
        <v>5150</v>
      </c>
      <c r="B2250" s="2" t="s">
        <v>9221</v>
      </c>
      <c r="C2250" s="2">
        <v>9214</v>
      </c>
      <c r="D2250" s="2" t="s">
        <v>9222</v>
      </c>
      <c r="E2250" s="2" t="s">
        <v>18</v>
      </c>
      <c r="F2250" s="2" t="s">
        <v>39</v>
      </c>
      <c r="G2250" s="2">
        <v>38624.959999999999</v>
      </c>
      <c r="H2250" s="2">
        <v>17626.490000000002</v>
      </c>
      <c r="I2250" s="2" t="s">
        <v>84</v>
      </c>
      <c r="J2250" s="2" t="s">
        <v>54</v>
      </c>
      <c r="K2250" s="2" t="s">
        <v>22</v>
      </c>
      <c r="L2250" s="2" t="s">
        <v>64</v>
      </c>
      <c r="M2250" s="2">
        <v>1</v>
      </c>
      <c r="N2250" s="2" t="s">
        <v>69</v>
      </c>
      <c r="O2250" s="2" t="s">
        <v>70</v>
      </c>
      <c r="P2250" s="2" t="s">
        <v>26</v>
      </c>
    </row>
    <row r="2251" spans="1:16" x14ac:dyDescent="0.25">
      <c r="A2251" s="2" t="s">
        <v>5152</v>
      </c>
      <c r="B2251" s="2" t="s">
        <v>9223</v>
      </c>
      <c r="C2251" s="2">
        <v>9749</v>
      </c>
      <c r="D2251" s="2" t="s">
        <v>9224</v>
      </c>
      <c r="E2251" s="2" t="s">
        <v>6703</v>
      </c>
      <c r="F2251" s="2" t="s">
        <v>58</v>
      </c>
      <c r="G2251" s="2">
        <v>12756.99</v>
      </c>
      <c r="H2251" s="2">
        <v>6000.4</v>
      </c>
      <c r="I2251" s="2" t="s">
        <v>6771</v>
      </c>
      <c r="J2251" s="2" t="s">
        <v>6802</v>
      </c>
      <c r="K2251" s="2" t="s">
        <v>42</v>
      </c>
      <c r="L2251" s="2" t="s">
        <v>48</v>
      </c>
      <c r="M2251" s="2">
        <v>1</v>
      </c>
      <c r="N2251" s="2" t="s">
        <v>24</v>
      </c>
      <c r="O2251" s="2" t="s">
        <v>25</v>
      </c>
      <c r="P2251" s="2" t="s">
        <v>34</v>
      </c>
    </row>
    <row r="2252" spans="1:16" x14ac:dyDescent="0.25">
      <c r="A2252" s="2" t="s">
        <v>5154</v>
      </c>
      <c r="B2252" s="2" t="s">
        <v>9149</v>
      </c>
      <c r="C2252" s="2">
        <v>6986</v>
      </c>
      <c r="D2252" s="2" t="s">
        <v>9225</v>
      </c>
      <c r="E2252" s="2" t="s">
        <v>6694</v>
      </c>
      <c r="F2252" s="2" t="s">
        <v>47</v>
      </c>
      <c r="G2252" s="2">
        <v>2889.6</v>
      </c>
      <c r="H2252" s="2">
        <v>1504.68</v>
      </c>
      <c r="I2252" s="2" t="s">
        <v>20</v>
      </c>
      <c r="J2252" s="2" t="s">
        <v>21</v>
      </c>
      <c r="K2252" s="2" t="s">
        <v>32</v>
      </c>
      <c r="L2252" s="2" t="s">
        <v>43</v>
      </c>
      <c r="M2252" s="2">
        <v>4</v>
      </c>
      <c r="N2252" s="2" t="s">
        <v>24</v>
      </c>
      <c r="O2252" s="2" t="s">
        <v>25</v>
      </c>
      <c r="P2252" s="2" t="s">
        <v>34</v>
      </c>
    </row>
    <row r="2253" spans="1:16" x14ac:dyDescent="0.25">
      <c r="A2253" s="2" t="s">
        <v>5156</v>
      </c>
      <c r="B2253" s="2" t="s">
        <v>2998</v>
      </c>
      <c r="C2253" s="2">
        <v>7226</v>
      </c>
      <c r="D2253" s="2" t="s">
        <v>9226</v>
      </c>
      <c r="E2253" s="2" t="s">
        <v>38</v>
      </c>
      <c r="F2253" s="2" t="s">
        <v>58</v>
      </c>
      <c r="G2253" s="2">
        <v>10205.370000000001</v>
      </c>
      <c r="H2253" s="2">
        <v>5403.09</v>
      </c>
      <c r="I2253" s="2" t="s">
        <v>120</v>
      </c>
      <c r="J2253" s="2" t="s">
        <v>21</v>
      </c>
      <c r="K2253" s="2" t="s">
        <v>32</v>
      </c>
      <c r="L2253" s="2" t="s">
        <v>64</v>
      </c>
      <c r="M2253" s="2">
        <v>2</v>
      </c>
      <c r="N2253" s="2" t="s">
        <v>69</v>
      </c>
      <c r="O2253" s="2" t="s">
        <v>25</v>
      </c>
      <c r="P2253" s="2" t="s">
        <v>34</v>
      </c>
    </row>
    <row r="2254" spans="1:16" x14ac:dyDescent="0.25">
      <c r="A2254" s="2" t="s">
        <v>5158</v>
      </c>
      <c r="B2254" s="2" t="s">
        <v>693</v>
      </c>
      <c r="C2254" s="2">
        <v>3398</v>
      </c>
      <c r="D2254" s="2" t="s">
        <v>9227</v>
      </c>
      <c r="E2254" s="2" t="s">
        <v>38</v>
      </c>
      <c r="F2254" s="2" t="s">
        <v>47</v>
      </c>
      <c r="G2254" s="2">
        <v>18151.04</v>
      </c>
      <c r="H2254" s="2">
        <v>8528.4500000000007</v>
      </c>
      <c r="I2254" s="2" t="s">
        <v>20</v>
      </c>
      <c r="J2254" s="2" t="s">
        <v>21</v>
      </c>
      <c r="K2254" s="2" t="s">
        <v>32</v>
      </c>
      <c r="L2254" s="2" t="s">
        <v>88</v>
      </c>
      <c r="M2254" s="2">
        <v>1</v>
      </c>
      <c r="N2254" s="2" t="s">
        <v>69</v>
      </c>
      <c r="O2254" s="2" t="s">
        <v>25</v>
      </c>
      <c r="P2254" s="2" t="s">
        <v>26</v>
      </c>
    </row>
    <row r="2255" spans="1:16" x14ac:dyDescent="0.25">
      <c r="A2255" s="2" t="s">
        <v>5160</v>
      </c>
      <c r="B2255" s="2" t="s">
        <v>9228</v>
      </c>
      <c r="C2255" s="2">
        <v>1289</v>
      </c>
      <c r="D2255" s="2" t="s">
        <v>9229</v>
      </c>
      <c r="E2255" s="2" t="s">
        <v>6708</v>
      </c>
      <c r="F2255" s="2" t="s">
        <v>47</v>
      </c>
      <c r="G2255" s="2">
        <v>6299.03</v>
      </c>
      <c r="H2255" s="2">
        <v>3609.51</v>
      </c>
      <c r="I2255" s="2" t="s">
        <v>6759</v>
      </c>
      <c r="J2255" s="2" t="s">
        <v>6700</v>
      </c>
      <c r="K2255" s="2" t="s">
        <v>22</v>
      </c>
      <c r="L2255" s="2" t="s">
        <v>55</v>
      </c>
      <c r="M2255" s="2">
        <v>5</v>
      </c>
      <c r="N2255" s="2" t="s">
        <v>69</v>
      </c>
      <c r="O2255" s="2" t="s">
        <v>25</v>
      </c>
      <c r="P2255" s="2" t="s">
        <v>34</v>
      </c>
    </row>
    <row r="2256" spans="1:16" x14ac:dyDescent="0.25">
      <c r="A2256" s="2" t="s">
        <v>5162</v>
      </c>
      <c r="B2256" s="2" t="s">
        <v>9230</v>
      </c>
      <c r="C2256" s="2">
        <v>3686</v>
      </c>
      <c r="D2256" s="2" t="s">
        <v>9231</v>
      </c>
      <c r="E2256" s="2" t="s">
        <v>6694</v>
      </c>
      <c r="F2256" s="2" t="s">
        <v>58</v>
      </c>
      <c r="G2256" s="2">
        <v>25893.9</v>
      </c>
      <c r="H2256" s="2">
        <v>13943.99</v>
      </c>
      <c r="I2256" s="2" t="s">
        <v>84</v>
      </c>
      <c r="J2256" s="2" t="s">
        <v>6729</v>
      </c>
      <c r="K2256" s="2" t="s">
        <v>32</v>
      </c>
      <c r="L2256" s="2" t="s">
        <v>64</v>
      </c>
      <c r="M2256" s="2">
        <v>2</v>
      </c>
      <c r="N2256" s="2" t="s">
        <v>33</v>
      </c>
      <c r="O2256" s="2" t="s">
        <v>70</v>
      </c>
      <c r="P2256" s="2" t="s">
        <v>34</v>
      </c>
    </row>
    <row r="2257" spans="1:16" x14ac:dyDescent="0.25">
      <c r="A2257" s="2" t="s">
        <v>5164</v>
      </c>
      <c r="B2257" s="2" t="s">
        <v>9232</v>
      </c>
      <c r="C2257" s="2">
        <v>7408</v>
      </c>
      <c r="D2257" s="2" t="s">
        <v>9233</v>
      </c>
      <c r="E2257" s="2" t="s">
        <v>32</v>
      </c>
      <c r="F2257" s="2" t="s">
        <v>47</v>
      </c>
      <c r="G2257" s="2">
        <v>6351.67</v>
      </c>
      <c r="H2257" s="2">
        <v>2908.51</v>
      </c>
      <c r="I2257" s="2" t="s">
        <v>6867</v>
      </c>
      <c r="J2257" s="2" t="s">
        <v>21</v>
      </c>
      <c r="K2257" s="2" t="s">
        <v>22</v>
      </c>
      <c r="L2257" s="2" t="s">
        <v>48</v>
      </c>
      <c r="M2257" s="2">
        <v>2</v>
      </c>
      <c r="N2257" s="2" t="s">
        <v>69</v>
      </c>
      <c r="O2257" s="2" t="s">
        <v>70</v>
      </c>
      <c r="P2257" s="2" t="s">
        <v>34</v>
      </c>
    </row>
    <row r="2258" spans="1:16" x14ac:dyDescent="0.25">
      <c r="A2258" s="2" t="s">
        <v>5165</v>
      </c>
      <c r="B2258" s="2" t="s">
        <v>2678</v>
      </c>
      <c r="C2258" s="2">
        <v>3501</v>
      </c>
      <c r="D2258" s="2" t="s">
        <v>357</v>
      </c>
      <c r="E2258" s="2" t="s">
        <v>18</v>
      </c>
      <c r="F2258" s="2" t="s">
        <v>39</v>
      </c>
      <c r="G2258" s="2">
        <v>12960.51</v>
      </c>
      <c r="H2258" s="2">
        <v>7322.42</v>
      </c>
      <c r="I2258" s="2" t="s">
        <v>53</v>
      </c>
      <c r="J2258" s="2" t="s">
        <v>54</v>
      </c>
      <c r="K2258" s="2" t="s">
        <v>32</v>
      </c>
      <c r="L2258" s="2" t="s">
        <v>88</v>
      </c>
      <c r="M2258" s="2">
        <v>3</v>
      </c>
      <c r="N2258" s="2" t="s">
        <v>33</v>
      </c>
      <c r="O2258" s="2" t="s">
        <v>25</v>
      </c>
      <c r="P2258" s="2" t="s">
        <v>49</v>
      </c>
    </row>
    <row r="2259" spans="1:16" x14ac:dyDescent="0.25">
      <c r="A2259" s="2" t="s">
        <v>5167</v>
      </c>
      <c r="B2259" s="2" t="s">
        <v>9234</v>
      </c>
      <c r="C2259" s="2">
        <v>5778</v>
      </c>
      <c r="D2259" s="2" t="s">
        <v>9235</v>
      </c>
      <c r="E2259" s="2" t="s">
        <v>6703</v>
      </c>
      <c r="F2259" s="2" t="s">
        <v>47</v>
      </c>
      <c r="G2259" s="2">
        <v>15766.57</v>
      </c>
      <c r="H2259" s="2">
        <v>8690.09</v>
      </c>
      <c r="I2259" s="2" t="s">
        <v>6739</v>
      </c>
      <c r="J2259" s="2" t="s">
        <v>6753</v>
      </c>
      <c r="K2259" s="2" t="s">
        <v>80</v>
      </c>
      <c r="L2259" s="2" t="s">
        <v>88</v>
      </c>
      <c r="M2259" s="2">
        <v>3</v>
      </c>
      <c r="N2259" s="2" t="s">
        <v>24</v>
      </c>
      <c r="O2259" s="2" t="s">
        <v>25</v>
      </c>
      <c r="P2259" s="2" t="s">
        <v>26</v>
      </c>
    </row>
    <row r="2260" spans="1:16" x14ac:dyDescent="0.25">
      <c r="A2260" s="2" t="s">
        <v>5169</v>
      </c>
      <c r="B2260" s="2" t="s">
        <v>8615</v>
      </c>
      <c r="C2260" s="2">
        <v>6740</v>
      </c>
      <c r="D2260" s="2" t="s">
        <v>9236</v>
      </c>
      <c r="E2260" s="2" t="s">
        <v>6748</v>
      </c>
      <c r="F2260" s="2" t="s">
        <v>47</v>
      </c>
      <c r="G2260" s="2">
        <v>22088.81</v>
      </c>
      <c r="H2260" s="2">
        <v>12809.6</v>
      </c>
      <c r="I2260" s="2" t="s">
        <v>53</v>
      </c>
      <c r="J2260" s="2" t="s">
        <v>6691</v>
      </c>
      <c r="K2260" s="2" t="s">
        <v>22</v>
      </c>
      <c r="L2260" s="2" t="s">
        <v>88</v>
      </c>
      <c r="M2260" s="2">
        <v>3</v>
      </c>
      <c r="N2260" s="2" t="s">
        <v>24</v>
      </c>
      <c r="O2260" s="2" t="s">
        <v>25</v>
      </c>
      <c r="P2260" s="2" t="s">
        <v>34</v>
      </c>
    </row>
    <row r="2261" spans="1:16" x14ac:dyDescent="0.25">
      <c r="A2261" s="2" t="s">
        <v>5171</v>
      </c>
      <c r="B2261" s="2" t="s">
        <v>943</v>
      </c>
      <c r="C2261" s="2">
        <v>2274</v>
      </c>
      <c r="D2261" s="2" t="s">
        <v>9237</v>
      </c>
      <c r="E2261" s="2" t="s">
        <v>18</v>
      </c>
      <c r="F2261" s="2" t="s">
        <v>58</v>
      </c>
      <c r="G2261" s="2">
        <v>36337.730000000003</v>
      </c>
      <c r="H2261" s="2">
        <v>23556.86</v>
      </c>
      <c r="I2261" s="2" t="s">
        <v>31</v>
      </c>
      <c r="J2261" s="2" t="s">
        <v>21</v>
      </c>
      <c r="K2261" s="2" t="s">
        <v>22</v>
      </c>
      <c r="L2261" s="2" t="s">
        <v>88</v>
      </c>
      <c r="M2261" s="2">
        <v>2</v>
      </c>
      <c r="N2261" s="2" t="s">
        <v>33</v>
      </c>
      <c r="O2261" s="2" t="s">
        <v>25</v>
      </c>
      <c r="P2261" s="2" t="s">
        <v>34</v>
      </c>
    </row>
    <row r="2262" spans="1:16" x14ac:dyDescent="0.25">
      <c r="A2262" s="2" t="s">
        <v>5174</v>
      </c>
      <c r="B2262" s="2" t="s">
        <v>8278</v>
      </c>
      <c r="C2262" s="2">
        <v>1507</v>
      </c>
      <c r="D2262" s="2" t="s">
        <v>9238</v>
      </c>
      <c r="E2262" s="2" t="s">
        <v>18</v>
      </c>
      <c r="F2262" s="2" t="s">
        <v>58</v>
      </c>
      <c r="G2262" s="2">
        <v>30604.7</v>
      </c>
      <c r="H2262" s="2">
        <v>17917.080000000002</v>
      </c>
      <c r="I2262" s="2" t="s">
        <v>120</v>
      </c>
      <c r="J2262" s="2" t="s">
        <v>21</v>
      </c>
      <c r="K2262" s="2" t="s">
        <v>32</v>
      </c>
      <c r="L2262" s="2" t="s">
        <v>88</v>
      </c>
      <c r="M2262" s="2">
        <v>2</v>
      </c>
      <c r="N2262" s="2" t="s">
        <v>33</v>
      </c>
      <c r="O2262" s="2" t="s">
        <v>70</v>
      </c>
      <c r="P2262" s="2" t="s">
        <v>26</v>
      </c>
    </row>
    <row r="2263" spans="1:16" x14ac:dyDescent="0.25">
      <c r="A2263" s="2" t="s">
        <v>5176</v>
      </c>
      <c r="B2263" s="2" t="s">
        <v>7348</v>
      </c>
      <c r="C2263" s="2">
        <v>5527</v>
      </c>
      <c r="D2263" s="2" t="s">
        <v>9239</v>
      </c>
      <c r="E2263" s="2" t="s">
        <v>18</v>
      </c>
      <c r="F2263" s="2" t="s">
        <v>58</v>
      </c>
      <c r="G2263" s="2">
        <v>31170.51</v>
      </c>
      <c r="H2263" s="2">
        <v>16511.689999999999</v>
      </c>
      <c r="I2263" s="2" t="s">
        <v>59</v>
      </c>
      <c r="J2263" s="2" t="s">
        <v>41</v>
      </c>
      <c r="K2263" s="2" t="s">
        <v>32</v>
      </c>
      <c r="L2263" s="2" t="s">
        <v>23</v>
      </c>
      <c r="M2263" s="2">
        <v>1</v>
      </c>
      <c r="N2263" s="2" t="s">
        <v>33</v>
      </c>
      <c r="O2263" s="2" t="s">
        <v>25</v>
      </c>
      <c r="P2263" s="2" t="s">
        <v>49</v>
      </c>
    </row>
    <row r="2264" spans="1:16" x14ac:dyDescent="0.25">
      <c r="A2264" s="2" t="s">
        <v>5177</v>
      </c>
      <c r="B2264" s="2" t="s">
        <v>9240</v>
      </c>
      <c r="C2264" s="2">
        <v>5834</v>
      </c>
      <c r="D2264" s="2" t="s">
        <v>9241</v>
      </c>
      <c r="E2264" s="2" t="s">
        <v>6748</v>
      </c>
      <c r="F2264" s="2" t="s">
        <v>58</v>
      </c>
      <c r="G2264" s="2" t="s">
        <v>9242</v>
      </c>
      <c r="H2264" s="2">
        <v>13560.6</v>
      </c>
      <c r="I2264" s="2" t="s">
        <v>6720</v>
      </c>
      <c r="J2264" s="2" t="s">
        <v>6753</v>
      </c>
      <c r="K2264" s="2" t="s">
        <v>22</v>
      </c>
      <c r="L2264" s="2" t="s">
        <v>88</v>
      </c>
      <c r="M2264" s="2">
        <v>1</v>
      </c>
      <c r="N2264" s="2" t="s">
        <v>24</v>
      </c>
      <c r="O2264" s="2" t="s">
        <v>70</v>
      </c>
      <c r="P2264" s="2" t="s">
        <v>34</v>
      </c>
    </row>
    <row r="2265" spans="1:16" x14ac:dyDescent="0.25">
      <c r="A2265" s="2" t="s">
        <v>5179</v>
      </c>
      <c r="B2265" s="2" t="s">
        <v>3228</v>
      </c>
      <c r="C2265" s="2">
        <v>6976</v>
      </c>
      <c r="D2265" s="2" t="s">
        <v>9243</v>
      </c>
      <c r="E2265" s="2" t="s">
        <v>6708</v>
      </c>
      <c r="F2265" s="2" t="s">
        <v>19</v>
      </c>
      <c r="G2265" s="2">
        <v>4047.62</v>
      </c>
      <c r="H2265" s="2">
        <v>2468.87</v>
      </c>
      <c r="I2265" s="2" t="s">
        <v>6723</v>
      </c>
      <c r="J2265" s="2" t="s">
        <v>21</v>
      </c>
      <c r="K2265" s="2" t="s">
        <v>32</v>
      </c>
      <c r="L2265" s="2" t="s">
        <v>88</v>
      </c>
      <c r="M2265" s="2">
        <v>2</v>
      </c>
      <c r="N2265" s="2" t="s">
        <v>33</v>
      </c>
      <c r="O2265" s="2" t="s">
        <v>25</v>
      </c>
      <c r="P2265" s="2" t="s">
        <v>26</v>
      </c>
    </row>
    <row r="2266" spans="1:16" x14ac:dyDescent="0.25">
      <c r="A2266" s="2" t="s">
        <v>5181</v>
      </c>
      <c r="B2266" s="2" t="s">
        <v>5720</v>
      </c>
      <c r="C2266" s="2">
        <v>3746</v>
      </c>
      <c r="D2266" s="2" t="s">
        <v>9244</v>
      </c>
      <c r="E2266" s="2" t="s">
        <v>32</v>
      </c>
      <c r="F2266" s="2" t="s">
        <v>39</v>
      </c>
      <c r="G2266" s="2">
        <v>22906.76</v>
      </c>
      <c r="H2266" s="2">
        <v>12350.19</v>
      </c>
      <c r="I2266" s="2" t="s">
        <v>6812</v>
      </c>
      <c r="J2266" s="2" t="s">
        <v>6729</v>
      </c>
      <c r="K2266" s="2" t="s">
        <v>80</v>
      </c>
      <c r="L2266" s="2" t="s">
        <v>88</v>
      </c>
      <c r="M2266" s="2">
        <v>1</v>
      </c>
      <c r="N2266" s="2" t="s">
        <v>24</v>
      </c>
      <c r="O2266" s="2" t="s">
        <v>25</v>
      </c>
      <c r="P2266" s="2" t="s">
        <v>34</v>
      </c>
    </row>
    <row r="2267" spans="1:16" x14ac:dyDescent="0.25">
      <c r="A2267" s="2" t="s">
        <v>5184</v>
      </c>
      <c r="B2267" s="2" t="s">
        <v>2050</v>
      </c>
      <c r="C2267" s="2">
        <v>6699</v>
      </c>
      <c r="D2267" s="2" t="s">
        <v>9245</v>
      </c>
      <c r="E2267" s="2" t="s">
        <v>18</v>
      </c>
      <c r="F2267" s="2" t="s">
        <v>30</v>
      </c>
      <c r="G2267" s="2">
        <v>56227.9</v>
      </c>
      <c r="H2267" s="2">
        <v>26674.77</v>
      </c>
      <c r="I2267" s="2" t="s">
        <v>84</v>
      </c>
      <c r="J2267" s="2" t="s">
        <v>54</v>
      </c>
      <c r="K2267" s="2" t="s">
        <v>80</v>
      </c>
      <c r="L2267" s="2" t="s">
        <v>43</v>
      </c>
      <c r="M2267" s="2">
        <v>5</v>
      </c>
      <c r="N2267" s="2" t="s">
        <v>24</v>
      </c>
      <c r="O2267" s="2" t="s">
        <v>70</v>
      </c>
      <c r="P2267" s="2" t="s">
        <v>49</v>
      </c>
    </row>
    <row r="2268" spans="1:16" x14ac:dyDescent="0.25">
      <c r="A2268" s="2" t="s">
        <v>5186</v>
      </c>
      <c r="B2268" s="2" t="s">
        <v>9246</v>
      </c>
      <c r="C2268" s="2">
        <v>8820</v>
      </c>
      <c r="D2268" s="2" t="s">
        <v>9247</v>
      </c>
      <c r="E2268" s="2" t="s">
        <v>6743</v>
      </c>
      <c r="F2268" s="2" t="s">
        <v>47</v>
      </c>
      <c r="G2268" s="2">
        <v>7435.45</v>
      </c>
      <c r="H2268" s="2">
        <v>4769.25</v>
      </c>
      <c r="I2268" s="2" t="s">
        <v>6845</v>
      </c>
      <c r="J2268" s="2" t="s">
        <v>6724</v>
      </c>
      <c r="K2268" s="2" t="s">
        <v>22</v>
      </c>
      <c r="L2268" s="2" t="s">
        <v>55</v>
      </c>
      <c r="M2268" s="2">
        <v>3</v>
      </c>
      <c r="N2268" s="2" t="s">
        <v>33</v>
      </c>
      <c r="O2268" s="2" t="s">
        <v>25</v>
      </c>
      <c r="P2268" s="2" t="s">
        <v>26</v>
      </c>
    </row>
    <row r="2269" spans="1:16" x14ac:dyDescent="0.25">
      <c r="A2269" s="2" t="s">
        <v>5188</v>
      </c>
      <c r="B2269" s="2" t="s">
        <v>1132</v>
      </c>
      <c r="C2269" s="2">
        <v>8699</v>
      </c>
      <c r="D2269" s="2" t="s">
        <v>2550</v>
      </c>
      <c r="E2269" s="2" t="s">
        <v>38</v>
      </c>
      <c r="F2269" s="2" t="s">
        <v>47</v>
      </c>
      <c r="G2269" s="2">
        <v>5482.65</v>
      </c>
      <c r="H2269" s="2">
        <v>3444.59</v>
      </c>
      <c r="I2269" s="2" t="s">
        <v>63</v>
      </c>
      <c r="J2269" s="2" t="s">
        <v>54</v>
      </c>
      <c r="K2269" s="2" t="s">
        <v>22</v>
      </c>
      <c r="L2269" s="2" t="s">
        <v>48</v>
      </c>
      <c r="M2269" s="2">
        <v>4</v>
      </c>
      <c r="N2269" s="2" t="s">
        <v>33</v>
      </c>
      <c r="O2269" s="2" t="s">
        <v>25</v>
      </c>
      <c r="P2269" s="2" t="s">
        <v>34</v>
      </c>
    </row>
    <row r="2270" spans="1:16" x14ac:dyDescent="0.25">
      <c r="A2270" s="2" t="s">
        <v>5190</v>
      </c>
      <c r="B2270" s="2" t="s">
        <v>9248</v>
      </c>
      <c r="C2270" s="2">
        <v>3002</v>
      </c>
      <c r="D2270" s="2" t="s">
        <v>1651</v>
      </c>
      <c r="E2270" s="2" t="s">
        <v>32</v>
      </c>
      <c r="F2270" s="2" t="s">
        <v>19</v>
      </c>
      <c r="G2270" s="2">
        <v>12772.89</v>
      </c>
      <c r="H2270" s="2">
        <v>6778.11</v>
      </c>
      <c r="I2270" s="2" t="s">
        <v>6726</v>
      </c>
      <c r="J2270" s="2" t="s">
        <v>6789</v>
      </c>
      <c r="K2270" s="2" t="s">
        <v>22</v>
      </c>
      <c r="L2270" s="2" t="s">
        <v>64</v>
      </c>
      <c r="M2270" s="2">
        <v>1</v>
      </c>
      <c r="N2270" s="2" t="s">
        <v>33</v>
      </c>
      <c r="O2270" s="2" t="s">
        <v>25</v>
      </c>
      <c r="P2270" s="2" t="s">
        <v>26</v>
      </c>
    </row>
    <row r="2271" spans="1:16" x14ac:dyDescent="0.25">
      <c r="A2271" s="2" t="s">
        <v>5192</v>
      </c>
      <c r="B2271" s="2" t="s">
        <v>4470</v>
      </c>
      <c r="C2271" s="2">
        <v>8455</v>
      </c>
      <c r="D2271" s="2" t="s">
        <v>9249</v>
      </c>
      <c r="E2271" s="2" t="s">
        <v>6694</v>
      </c>
      <c r="F2271" s="2" t="s">
        <v>19</v>
      </c>
      <c r="G2271" s="2">
        <v>5422.57</v>
      </c>
      <c r="H2271" s="2">
        <v>2705.2</v>
      </c>
      <c r="I2271" s="2" t="s">
        <v>63</v>
      </c>
      <c r="J2271" s="2" t="s">
        <v>6686</v>
      </c>
      <c r="K2271" s="2" t="s">
        <v>42</v>
      </c>
      <c r="L2271" s="2" t="s">
        <v>64</v>
      </c>
      <c r="M2271" s="2">
        <v>5</v>
      </c>
      <c r="N2271" s="2" t="s">
        <v>33</v>
      </c>
      <c r="O2271" s="2" t="s">
        <v>70</v>
      </c>
      <c r="P2271" s="2" t="s">
        <v>34</v>
      </c>
    </row>
    <row r="2272" spans="1:16" x14ac:dyDescent="0.25">
      <c r="A2272" s="2" t="s">
        <v>5194</v>
      </c>
      <c r="B2272" s="2" t="s">
        <v>9250</v>
      </c>
      <c r="C2272" s="2">
        <v>7534</v>
      </c>
      <c r="D2272" s="2" t="s">
        <v>9251</v>
      </c>
      <c r="E2272" s="2" t="s">
        <v>6743</v>
      </c>
      <c r="F2272" s="2" t="s">
        <v>47</v>
      </c>
      <c r="G2272" s="2">
        <v>14212.62</v>
      </c>
      <c r="H2272" s="2">
        <v>8877.6200000000008</v>
      </c>
      <c r="I2272" s="2" t="s">
        <v>31</v>
      </c>
      <c r="J2272" s="2" t="s">
        <v>21</v>
      </c>
      <c r="K2272" s="2" t="s">
        <v>32</v>
      </c>
      <c r="L2272" s="2" t="s">
        <v>88</v>
      </c>
      <c r="M2272" s="2">
        <v>1</v>
      </c>
      <c r="N2272" s="2" t="s">
        <v>33</v>
      </c>
      <c r="O2272" s="2" t="s">
        <v>70</v>
      </c>
      <c r="P2272" s="2" t="s">
        <v>26</v>
      </c>
    </row>
    <row r="2273" spans="1:16" x14ac:dyDescent="0.25">
      <c r="A2273" s="2" t="s">
        <v>5196</v>
      </c>
      <c r="B2273" s="2" t="s">
        <v>319</v>
      </c>
      <c r="C2273" s="2">
        <v>3367</v>
      </c>
      <c r="D2273" s="2" t="s">
        <v>9252</v>
      </c>
      <c r="E2273" s="2" t="s">
        <v>6708</v>
      </c>
      <c r="F2273" s="2" t="s">
        <v>39</v>
      </c>
      <c r="G2273" s="2">
        <v>44419.12</v>
      </c>
      <c r="H2273" s="2">
        <v>24680.77</v>
      </c>
      <c r="I2273" s="2" t="s">
        <v>6812</v>
      </c>
      <c r="J2273" s="2" t="s">
        <v>6753</v>
      </c>
      <c r="K2273" s="2" t="s">
        <v>32</v>
      </c>
      <c r="L2273" s="2" t="s">
        <v>23</v>
      </c>
      <c r="M2273" s="2">
        <v>1</v>
      </c>
      <c r="N2273" s="2" t="s">
        <v>24</v>
      </c>
      <c r="O2273" s="2" t="s">
        <v>70</v>
      </c>
      <c r="P2273" s="2" t="s">
        <v>34</v>
      </c>
    </row>
    <row r="2274" spans="1:16" x14ac:dyDescent="0.25">
      <c r="A2274" s="2" t="s">
        <v>5198</v>
      </c>
      <c r="B2274" s="2" t="s">
        <v>9253</v>
      </c>
      <c r="C2274" s="2">
        <v>6536</v>
      </c>
      <c r="D2274" s="2" t="s">
        <v>9254</v>
      </c>
      <c r="E2274" s="2" t="s">
        <v>6703</v>
      </c>
      <c r="F2274" s="2" t="s">
        <v>47</v>
      </c>
      <c r="G2274" s="2">
        <v>8213.74</v>
      </c>
      <c r="H2274" s="2">
        <v>5206.4399999999996</v>
      </c>
      <c r="I2274" s="2" t="s">
        <v>6699</v>
      </c>
      <c r="J2274" s="2" t="s">
        <v>54</v>
      </c>
      <c r="K2274" s="2" t="s">
        <v>80</v>
      </c>
      <c r="L2274" s="2" t="s">
        <v>64</v>
      </c>
      <c r="M2274" s="2">
        <v>3</v>
      </c>
      <c r="N2274" s="2" t="s">
        <v>33</v>
      </c>
      <c r="O2274" s="2" t="s">
        <v>70</v>
      </c>
      <c r="P2274" s="2" t="s">
        <v>34</v>
      </c>
    </row>
    <row r="2275" spans="1:16" x14ac:dyDescent="0.25">
      <c r="A2275" s="2" t="s">
        <v>5200</v>
      </c>
      <c r="B2275" s="2" t="s">
        <v>1699</v>
      </c>
      <c r="C2275" s="2">
        <v>6301</v>
      </c>
      <c r="D2275" s="2" t="s">
        <v>9255</v>
      </c>
      <c r="E2275" s="2" t="s">
        <v>38</v>
      </c>
      <c r="F2275" s="2" t="s">
        <v>30</v>
      </c>
      <c r="G2275" s="2">
        <v>14661.16</v>
      </c>
      <c r="H2275" s="2">
        <v>8623.7800000000007</v>
      </c>
      <c r="I2275" s="2" t="s">
        <v>59</v>
      </c>
      <c r="J2275" s="2" t="s">
        <v>41</v>
      </c>
      <c r="K2275" s="2" t="s">
        <v>32</v>
      </c>
      <c r="L2275" s="2" t="s">
        <v>64</v>
      </c>
      <c r="M2275" s="2">
        <v>1</v>
      </c>
      <c r="N2275" s="2" t="s">
        <v>69</v>
      </c>
      <c r="O2275" s="2" t="s">
        <v>70</v>
      </c>
      <c r="P2275" s="2" t="s">
        <v>34</v>
      </c>
    </row>
    <row r="2276" spans="1:16" x14ac:dyDescent="0.25">
      <c r="A2276" s="2" t="s">
        <v>5203</v>
      </c>
      <c r="B2276" s="2" t="s">
        <v>4445</v>
      </c>
      <c r="C2276" s="2">
        <v>9901</v>
      </c>
      <c r="D2276" s="2" t="s">
        <v>9256</v>
      </c>
      <c r="E2276" s="2" t="s">
        <v>18</v>
      </c>
      <c r="F2276" s="2" t="s">
        <v>19</v>
      </c>
      <c r="G2276" s="2">
        <v>15956.41</v>
      </c>
      <c r="H2276" s="2">
        <v>8889.41</v>
      </c>
      <c r="I2276" s="2" t="s">
        <v>6915</v>
      </c>
      <c r="J2276" s="2" t="s">
        <v>6795</v>
      </c>
      <c r="K2276" s="2" t="s">
        <v>42</v>
      </c>
      <c r="L2276" s="2" t="s">
        <v>64</v>
      </c>
      <c r="M2276" s="2">
        <v>4</v>
      </c>
      <c r="N2276" s="2" t="s">
        <v>33</v>
      </c>
      <c r="O2276" s="2" t="s">
        <v>25</v>
      </c>
      <c r="P2276" s="2" t="s">
        <v>49</v>
      </c>
    </row>
    <row r="2277" spans="1:16" x14ac:dyDescent="0.25">
      <c r="A2277" s="2" t="s">
        <v>5205</v>
      </c>
      <c r="B2277" s="2" t="s">
        <v>597</v>
      </c>
      <c r="C2277" s="2">
        <v>4901</v>
      </c>
      <c r="D2277" s="2" t="s">
        <v>9257</v>
      </c>
      <c r="E2277" s="2" t="s">
        <v>38</v>
      </c>
      <c r="F2277" s="2" t="s">
        <v>19</v>
      </c>
      <c r="G2277" s="2">
        <v>11799.82</v>
      </c>
      <c r="H2277" s="2">
        <v>6185.75</v>
      </c>
      <c r="I2277" s="2" t="s">
        <v>59</v>
      </c>
      <c r="J2277" s="2" t="s">
        <v>41</v>
      </c>
      <c r="K2277" s="2" t="s">
        <v>80</v>
      </c>
      <c r="L2277" s="2" t="s">
        <v>23</v>
      </c>
      <c r="M2277" s="2">
        <v>4</v>
      </c>
      <c r="N2277" s="2" t="s">
        <v>24</v>
      </c>
      <c r="O2277" s="2" t="s">
        <v>25</v>
      </c>
      <c r="P2277" s="2" t="s">
        <v>26</v>
      </c>
    </row>
    <row r="2278" spans="1:16" x14ac:dyDescent="0.25">
      <c r="A2278" s="2" t="s">
        <v>5207</v>
      </c>
      <c r="B2278" s="2" t="s">
        <v>9258</v>
      </c>
      <c r="C2278" s="2">
        <v>8924</v>
      </c>
      <c r="D2278" s="2" t="s">
        <v>4227</v>
      </c>
      <c r="E2278" s="2" t="s">
        <v>6680</v>
      </c>
      <c r="F2278" s="2" t="s">
        <v>58</v>
      </c>
      <c r="G2278" s="2">
        <v>12256.14</v>
      </c>
      <c r="H2278" s="2">
        <v>7926.02</v>
      </c>
      <c r="I2278" s="2" t="s">
        <v>6794</v>
      </c>
      <c r="J2278" s="2" t="s">
        <v>6696</v>
      </c>
      <c r="K2278" s="2" t="s">
        <v>32</v>
      </c>
      <c r="L2278" s="2" t="s">
        <v>64</v>
      </c>
      <c r="M2278" s="2">
        <v>1</v>
      </c>
      <c r="N2278" s="2" t="s">
        <v>33</v>
      </c>
      <c r="O2278" s="2" t="s">
        <v>70</v>
      </c>
      <c r="P2278" s="2" t="s">
        <v>49</v>
      </c>
    </row>
    <row r="2279" spans="1:16" x14ac:dyDescent="0.25">
      <c r="A2279" s="2" t="s">
        <v>5209</v>
      </c>
      <c r="B2279" s="2" t="s">
        <v>9259</v>
      </c>
      <c r="C2279" s="2">
        <v>6804</v>
      </c>
      <c r="D2279" s="2" t="s">
        <v>9260</v>
      </c>
      <c r="E2279" s="2" t="s">
        <v>18</v>
      </c>
      <c r="F2279" s="2" t="s">
        <v>19</v>
      </c>
      <c r="G2279" s="2">
        <v>10357.219999999999</v>
      </c>
      <c r="H2279" s="2">
        <v>5661.45</v>
      </c>
      <c r="I2279" s="2" t="s">
        <v>6771</v>
      </c>
      <c r="J2279" s="2" t="s">
        <v>6802</v>
      </c>
      <c r="K2279" s="2" t="s">
        <v>32</v>
      </c>
      <c r="L2279" s="2" t="s">
        <v>43</v>
      </c>
      <c r="M2279" s="2">
        <v>1</v>
      </c>
      <c r="N2279" s="2" t="s">
        <v>24</v>
      </c>
      <c r="O2279" s="2" t="s">
        <v>25</v>
      </c>
      <c r="P2279" s="2" t="s">
        <v>26</v>
      </c>
    </row>
    <row r="2280" spans="1:16" x14ac:dyDescent="0.25">
      <c r="A2280" s="2" t="s">
        <v>5210</v>
      </c>
      <c r="B2280" s="2" t="s">
        <v>4561</v>
      </c>
      <c r="C2280" s="2">
        <v>7979</v>
      </c>
      <c r="D2280" s="2" t="s">
        <v>9261</v>
      </c>
      <c r="E2280" s="2" t="s">
        <v>18</v>
      </c>
      <c r="F2280" s="2" t="s">
        <v>30</v>
      </c>
      <c r="G2280" s="2">
        <v>23247.66</v>
      </c>
      <c r="H2280" s="2">
        <v>12071.72</v>
      </c>
      <c r="I2280" s="2" t="s">
        <v>31</v>
      </c>
      <c r="J2280" s="2" t="s">
        <v>21</v>
      </c>
      <c r="K2280" s="2" t="s">
        <v>42</v>
      </c>
      <c r="L2280" s="2" t="s">
        <v>55</v>
      </c>
      <c r="M2280" s="2">
        <v>4</v>
      </c>
      <c r="N2280" s="2" t="s">
        <v>33</v>
      </c>
      <c r="O2280" s="2" t="s">
        <v>25</v>
      </c>
      <c r="P2280" s="2" t="s">
        <v>49</v>
      </c>
    </row>
    <row r="2281" spans="1:16" x14ac:dyDescent="0.25">
      <c r="A2281" s="2" t="s">
        <v>5212</v>
      </c>
      <c r="B2281" s="2" t="s">
        <v>434</v>
      </c>
      <c r="C2281" s="2">
        <v>7451</v>
      </c>
      <c r="D2281" s="2" t="s">
        <v>7383</v>
      </c>
      <c r="E2281" s="2" t="s">
        <v>6703</v>
      </c>
      <c r="F2281" s="2" t="s">
        <v>47</v>
      </c>
      <c r="G2281" s="2">
        <v>4516.09</v>
      </c>
      <c r="H2281" s="2">
        <v>2143.1</v>
      </c>
      <c r="I2281" s="2" t="s">
        <v>31</v>
      </c>
      <c r="J2281" s="2" t="s">
        <v>6802</v>
      </c>
      <c r="K2281" s="2" t="s">
        <v>22</v>
      </c>
      <c r="L2281" s="2" t="s">
        <v>64</v>
      </c>
      <c r="M2281" s="2">
        <v>5</v>
      </c>
      <c r="N2281" s="2" t="s">
        <v>33</v>
      </c>
      <c r="O2281" s="2" t="s">
        <v>25</v>
      </c>
      <c r="P2281" s="2" t="s">
        <v>49</v>
      </c>
    </row>
    <row r="2282" spans="1:16" x14ac:dyDescent="0.25">
      <c r="A2282" s="2" t="s">
        <v>5214</v>
      </c>
      <c r="B2282" s="2" t="s">
        <v>7053</v>
      </c>
      <c r="C2282" s="2">
        <v>9504</v>
      </c>
      <c r="D2282" s="2" t="s">
        <v>9262</v>
      </c>
      <c r="E2282" s="2" t="s">
        <v>6708</v>
      </c>
      <c r="F2282" s="2" t="s">
        <v>30</v>
      </c>
      <c r="G2282" s="2">
        <v>96995.839999999997</v>
      </c>
      <c r="H2282" s="2">
        <v>60950.63</v>
      </c>
      <c r="I2282" s="2" t="s">
        <v>6759</v>
      </c>
      <c r="J2282" s="2" t="s">
        <v>6729</v>
      </c>
      <c r="K2282" s="2" t="s">
        <v>22</v>
      </c>
      <c r="L2282" s="2" t="s">
        <v>64</v>
      </c>
      <c r="M2282" s="2">
        <v>2</v>
      </c>
      <c r="N2282" s="2" t="s">
        <v>24</v>
      </c>
      <c r="O2282" s="2" t="s">
        <v>70</v>
      </c>
      <c r="P2282" s="2" t="s">
        <v>34</v>
      </c>
    </row>
    <row r="2283" spans="1:16" x14ac:dyDescent="0.25">
      <c r="A2283" s="2" t="s">
        <v>5216</v>
      </c>
      <c r="B2283" s="2" t="s">
        <v>9263</v>
      </c>
      <c r="C2283" s="2">
        <v>3947</v>
      </c>
      <c r="D2283" s="2" t="s">
        <v>9264</v>
      </c>
      <c r="E2283" s="2" t="s">
        <v>18</v>
      </c>
      <c r="F2283" s="2" t="s">
        <v>19</v>
      </c>
      <c r="G2283" s="2">
        <v>13571.5</v>
      </c>
      <c r="H2283" s="2">
        <v>6947.3</v>
      </c>
      <c r="I2283" s="2" t="s">
        <v>6812</v>
      </c>
      <c r="J2283" s="2" t="s">
        <v>6686</v>
      </c>
      <c r="K2283" s="2" t="s">
        <v>32</v>
      </c>
      <c r="L2283" s="2" t="s">
        <v>55</v>
      </c>
      <c r="M2283" s="2">
        <v>5</v>
      </c>
      <c r="N2283" s="2" t="s">
        <v>33</v>
      </c>
      <c r="O2283" s="2" t="s">
        <v>25</v>
      </c>
      <c r="P2283" s="2" t="s">
        <v>49</v>
      </c>
    </row>
    <row r="2284" spans="1:16" x14ac:dyDescent="0.25">
      <c r="A2284" s="2" t="s">
        <v>5218</v>
      </c>
      <c r="B2284" s="2" t="s">
        <v>5994</v>
      </c>
      <c r="C2284" s="2">
        <v>1825</v>
      </c>
      <c r="D2284" s="2" t="s">
        <v>7529</v>
      </c>
      <c r="E2284" s="2" t="s">
        <v>38</v>
      </c>
      <c r="F2284" s="2" t="s">
        <v>30</v>
      </c>
      <c r="G2284" s="2">
        <v>97445.67</v>
      </c>
      <c r="H2284" s="2">
        <v>46499.94</v>
      </c>
      <c r="I2284" s="2" t="s">
        <v>20</v>
      </c>
      <c r="J2284" s="2" t="s">
        <v>21</v>
      </c>
      <c r="K2284" s="2" t="s">
        <v>42</v>
      </c>
      <c r="L2284" s="2" t="s">
        <v>23</v>
      </c>
      <c r="M2284" s="2">
        <v>1</v>
      </c>
      <c r="N2284" s="2" t="s">
        <v>69</v>
      </c>
      <c r="O2284" s="2" t="s">
        <v>25</v>
      </c>
      <c r="P2284" s="2" t="s">
        <v>34</v>
      </c>
    </row>
    <row r="2285" spans="1:16" x14ac:dyDescent="0.25">
      <c r="A2285" s="2" t="s">
        <v>5220</v>
      </c>
      <c r="B2285" s="2" t="s">
        <v>4172</v>
      </c>
      <c r="C2285" s="2">
        <v>4665</v>
      </c>
      <c r="D2285" s="2" t="s">
        <v>9265</v>
      </c>
      <c r="E2285" s="2" t="s">
        <v>38</v>
      </c>
      <c r="F2285" s="2" t="s">
        <v>30</v>
      </c>
      <c r="G2285" s="2">
        <v>38597.440000000002</v>
      </c>
      <c r="H2285" s="2">
        <v>23418.63</v>
      </c>
      <c r="I2285" s="2" t="s">
        <v>31</v>
      </c>
      <c r="J2285" s="2" t="s">
        <v>21</v>
      </c>
      <c r="K2285" s="2" t="s">
        <v>80</v>
      </c>
      <c r="L2285" s="2" t="s">
        <v>23</v>
      </c>
      <c r="M2285" s="2">
        <v>4</v>
      </c>
      <c r="N2285" s="2" t="s">
        <v>24</v>
      </c>
      <c r="O2285" s="2" t="s">
        <v>25</v>
      </c>
      <c r="P2285" s="2" t="s">
        <v>26</v>
      </c>
    </row>
    <row r="2286" spans="1:16" x14ac:dyDescent="0.25">
      <c r="A2286" s="2" t="s">
        <v>5223</v>
      </c>
      <c r="B2286" s="2" t="s">
        <v>9266</v>
      </c>
      <c r="C2286" s="2">
        <v>3434</v>
      </c>
      <c r="D2286" s="2" t="s">
        <v>6075</v>
      </c>
      <c r="E2286" s="2" t="s">
        <v>6703</v>
      </c>
      <c r="F2286" s="2" t="s">
        <v>47</v>
      </c>
      <c r="G2286" s="2">
        <v>6864.89</v>
      </c>
      <c r="H2286" s="2">
        <v>3231.54</v>
      </c>
      <c r="I2286" s="2" t="s">
        <v>6845</v>
      </c>
      <c r="J2286" s="2" t="s">
        <v>6724</v>
      </c>
      <c r="K2286" s="2" t="s">
        <v>22</v>
      </c>
      <c r="L2286" s="2" t="s">
        <v>23</v>
      </c>
      <c r="M2286" s="2">
        <v>2</v>
      </c>
      <c r="N2286" s="2" t="s">
        <v>33</v>
      </c>
      <c r="O2286" s="2" t="s">
        <v>25</v>
      </c>
      <c r="P2286" s="2" t="s">
        <v>34</v>
      </c>
    </row>
    <row r="2287" spans="1:16" x14ac:dyDescent="0.25">
      <c r="A2287" s="2" t="s">
        <v>5225</v>
      </c>
      <c r="B2287" s="2" t="s">
        <v>4561</v>
      </c>
      <c r="C2287" s="2">
        <v>3793</v>
      </c>
      <c r="D2287" s="2" t="s">
        <v>9267</v>
      </c>
      <c r="E2287" s="2" t="s">
        <v>18</v>
      </c>
      <c r="F2287" s="2" t="s">
        <v>47</v>
      </c>
      <c r="G2287" s="2">
        <v>3977.74</v>
      </c>
      <c r="H2287" s="2">
        <v>2370.16</v>
      </c>
      <c r="I2287" s="2" t="s">
        <v>59</v>
      </c>
      <c r="J2287" s="2" t="s">
        <v>41</v>
      </c>
      <c r="K2287" s="2" t="s">
        <v>32</v>
      </c>
      <c r="L2287" s="2" t="s">
        <v>23</v>
      </c>
      <c r="M2287" s="2">
        <v>2</v>
      </c>
      <c r="N2287" s="2" t="s">
        <v>69</v>
      </c>
      <c r="O2287" s="2" t="s">
        <v>25</v>
      </c>
      <c r="P2287" s="2" t="s">
        <v>26</v>
      </c>
    </row>
    <row r="2288" spans="1:16" x14ac:dyDescent="0.25">
      <c r="A2288" s="2" t="s">
        <v>5227</v>
      </c>
      <c r="B2288" s="2" t="s">
        <v>9268</v>
      </c>
      <c r="C2288" s="2">
        <v>4394</v>
      </c>
      <c r="D2288" s="2" t="s">
        <v>3151</v>
      </c>
      <c r="E2288" s="2" t="s">
        <v>32</v>
      </c>
      <c r="F2288" s="2" t="s">
        <v>47</v>
      </c>
      <c r="G2288" s="2">
        <v>7737.52</v>
      </c>
      <c r="H2288" s="2">
        <v>3500.36</v>
      </c>
      <c r="I2288" s="2" t="s">
        <v>6699</v>
      </c>
      <c r="J2288" s="2" t="s">
        <v>6729</v>
      </c>
      <c r="K2288" s="2" t="s">
        <v>42</v>
      </c>
      <c r="L2288" s="2" t="s">
        <v>43</v>
      </c>
      <c r="M2288" s="2">
        <v>4</v>
      </c>
      <c r="N2288" s="2" t="s">
        <v>69</v>
      </c>
      <c r="O2288" s="2" t="s">
        <v>25</v>
      </c>
      <c r="P2288" s="2" t="s">
        <v>49</v>
      </c>
    </row>
    <row r="2289" spans="1:16" x14ac:dyDescent="0.25">
      <c r="A2289" s="2" t="s">
        <v>5229</v>
      </c>
      <c r="B2289" s="2" t="s">
        <v>9269</v>
      </c>
      <c r="C2289" s="2">
        <v>8313</v>
      </c>
      <c r="D2289" s="2" t="s">
        <v>9270</v>
      </c>
      <c r="E2289" s="2" t="s">
        <v>18</v>
      </c>
      <c r="F2289" s="2" t="s">
        <v>30</v>
      </c>
      <c r="G2289" s="2">
        <v>54073.2</v>
      </c>
      <c r="H2289" s="2">
        <v>31087.71</v>
      </c>
      <c r="I2289" s="2" t="s">
        <v>63</v>
      </c>
      <c r="J2289" s="2" t="s">
        <v>54</v>
      </c>
      <c r="K2289" s="2" t="s">
        <v>22</v>
      </c>
      <c r="L2289" s="2" t="s">
        <v>64</v>
      </c>
      <c r="M2289" s="2">
        <v>5</v>
      </c>
      <c r="N2289" s="2" t="s">
        <v>33</v>
      </c>
      <c r="O2289" s="2" t="s">
        <v>70</v>
      </c>
      <c r="P2289" s="2" t="s">
        <v>49</v>
      </c>
    </row>
    <row r="2290" spans="1:16" x14ac:dyDescent="0.25">
      <c r="A2290" s="2" t="s">
        <v>5231</v>
      </c>
      <c r="B2290" s="2" t="s">
        <v>9271</v>
      </c>
      <c r="C2290" s="2">
        <v>8170</v>
      </c>
      <c r="D2290" s="2" t="s">
        <v>9272</v>
      </c>
      <c r="E2290" s="2" t="s">
        <v>6743</v>
      </c>
      <c r="F2290" s="2" t="s">
        <v>30</v>
      </c>
      <c r="G2290" s="2">
        <v>43938.43</v>
      </c>
      <c r="H2290" s="2">
        <v>20613.43</v>
      </c>
      <c r="I2290" s="2" t="s">
        <v>20</v>
      </c>
      <c r="J2290" s="2" t="s">
        <v>6724</v>
      </c>
      <c r="K2290" s="2" t="s">
        <v>32</v>
      </c>
      <c r="L2290" s="2" t="s">
        <v>64</v>
      </c>
      <c r="M2290" s="2">
        <v>1</v>
      </c>
      <c r="N2290" s="2" t="s">
        <v>24</v>
      </c>
      <c r="O2290" s="2" t="s">
        <v>25</v>
      </c>
      <c r="P2290" s="2" t="s">
        <v>34</v>
      </c>
    </row>
    <row r="2291" spans="1:16" x14ac:dyDescent="0.25">
      <c r="A2291" s="2" t="s">
        <v>5232</v>
      </c>
      <c r="B2291" s="2" t="s">
        <v>832</v>
      </c>
      <c r="C2291" s="2">
        <v>9318</v>
      </c>
      <c r="D2291" s="2" t="s">
        <v>9273</v>
      </c>
      <c r="E2291" s="2" t="s">
        <v>18</v>
      </c>
      <c r="F2291" s="2" t="s">
        <v>58</v>
      </c>
      <c r="G2291" s="2">
        <v>37125.08</v>
      </c>
      <c r="H2291" s="2">
        <v>23516.65</v>
      </c>
      <c r="I2291" s="2" t="s">
        <v>68</v>
      </c>
      <c r="J2291" s="2" t="s">
        <v>41</v>
      </c>
      <c r="K2291" s="2" t="s">
        <v>22</v>
      </c>
      <c r="L2291" s="2" t="s">
        <v>48</v>
      </c>
      <c r="M2291" s="2">
        <v>1</v>
      </c>
      <c r="N2291" s="2" t="s">
        <v>24</v>
      </c>
      <c r="O2291" s="2" t="s">
        <v>25</v>
      </c>
      <c r="P2291" s="2" t="s">
        <v>49</v>
      </c>
    </row>
    <row r="2292" spans="1:16" x14ac:dyDescent="0.25">
      <c r="A2292" s="2" t="s">
        <v>5234</v>
      </c>
      <c r="B2292" s="2" t="s">
        <v>9274</v>
      </c>
      <c r="C2292" s="2">
        <v>9764</v>
      </c>
      <c r="D2292" s="2" t="s">
        <v>9275</v>
      </c>
      <c r="E2292" s="2" t="s">
        <v>6698</v>
      </c>
      <c r="F2292" s="2" t="s">
        <v>39</v>
      </c>
      <c r="G2292" s="2">
        <v>29051.38</v>
      </c>
      <c r="H2292" s="2">
        <v>16510.240000000002</v>
      </c>
      <c r="I2292" s="2" t="s">
        <v>31</v>
      </c>
      <c r="J2292" s="2" t="s">
        <v>6696</v>
      </c>
      <c r="K2292" s="2" t="s">
        <v>32</v>
      </c>
      <c r="L2292" s="2" t="s">
        <v>88</v>
      </c>
      <c r="M2292" s="2">
        <v>5</v>
      </c>
      <c r="N2292" s="2" t="s">
        <v>24</v>
      </c>
      <c r="O2292" s="2" t="s">
        <v>25</v>
      </c>
      <c r="P2292" s="2" t="s">
        <v>34</v>
      </c>
    </row>
    <row r="2293" spans="1:16" x14ac:dyDescent="0.25">
      <c r="A2293" s="2" t="s">
        <v>5236</v>
      </c>
      <c r="B2293" s="2" t="s">
        <v>9276</v>
      </c>
      <c r="C2293" s="2">
        <v>7733</v>
      </c>
      <c r="D2293" s="2" t="s">
        <v>1444</v>
      </c>
      <c r="E2293" s="2" t="s">
        <v>38</v>
      </c>
      <c r="F2293" s="2" t="s">
        <v>58</v>
      </c>
      <c r="G2293" s="2">
        <v>18674.63</v>
      </c>
      <c r="H2293" s="2">
        <v>10246.459999999999</v>
      </c>
      <c r="I2293" s="2" t="s">
        <v>68</v>
      </c>
      <c r="J2293" s="2" t="s">
        <v>41</v>
      </c>
      <c r="K2293" s="2" t="s">
        <v>80</v>
      </c>
      <c r="L2293" s="2" t="s">
        <v>23</v>
      </c>
      <c r="M2293" s="2">
        <v>2</v>
      </c>
      <c r="N2293" s="2" t="s">
        <v>33</v>
      </c>
      <c r="O2293" s="2" t="s">
        <v>25</v>
      </c>
      <c r="P2293" s="2" t="s">
        <v>26</v>
      </c>
    </row>
    <row r="2294" spans="1:16" x14ac:dyDescent="0.25">
      <c r="A2294" s="2" t="s">
        <v>5238</v>
      </c>
      <c r="B2294" s="2" t="s">
        <v>3107</v>
      </c>
      <c r="C2294" s="2">
        <v>1418</v>
      </c>
      <c r="D2294" s="2" t="s">
        <v>9277</v>
      </c>
      <c r="E2294" s="2" t="s">
        <v>18</v>
      </c>
      <c r="F2294" s="2" t="s">
        <v>47</v>
      </c>
      <c r="G2294" s="2">
        <v>9919.82</v>
      </c>
      <c r="H2294" s="2">
        <v>5905.07</v>
      </c>
      <c r="I2294" s="2" t="s">
        <v>20</v>
      </c>
      <c r="J2294" s="2" t="s">
        <v>21</v>
      </c>
      <c r="K2294" s="2" t="s">
        <v>32</v>
      </c>
      <c r="L2294" s="2" t="s">
        <v>88</v>
      </c>
      <c r="M2294" s="2">
        <v>1</v>
      </c>
      <c r="N2294" s="2" t="s">
        <v>33</v>
      </c>
      <c r="O2294" s="2" t="s">
        <v>25</v>
      </c>
      <c r="P2294" s="2" t="s">
        <v>26</v>
      </c>
    </row>
    <row r="2295" spans="1:16" x14ac:dyDescent="0.25">
      <c r="A2295" s="2" t="s">
        <v>5240</v>
      </c>
      <c r="B2295" s="2" t="s">
        <v>9278</v>
      </c>
      <c r="C2295" s="2">
        <v>7785</v>
      </c>
      <c r="D2295" s="2" t="s">
        <v>9279</v>
      </c>
      <c r="E2295" s="2" t="s">
        <v>32</v>
      </c>
      <c r="F2295" s="2" t="s">
        <v>30</v>
      </c>
      <c r="G2295" s="2">
        <v>98234.99</v>
      </c>
      <c r="H2295" s="2">
        <v>55614.95</v>
      </c>
      <c r="I2295" s="2" t="s">
        <v>6720</v>
      </c>
      <c r="J2295" s="2" t="s">
        <v>6753</v>
      </c>
      <c r="K2295" s="2" t="s">
        <v>22</v>
      </c>
      <c r="L2295" s="2" t="s">
        <v>55</v>
      </c>
      <c r="M2295" s="2">
        <v>3</v>
      </c>
      <c r="N2295" s="2" t="s">
        <v>69</v>
      </c>
      <c r="O2295" s="2" t="s">
        <v>25</v>
      </c>
      <c r="P2295" s="2" t="s">
        <v>26</v>
      </c>
    </row>
    <row r="2296" spans="1:16" x14ac:dyDescent="0.25">
      <c r="A2296" s="2" t="s">
        <v>5242</v>
      </c>
      <c r="B2296" s="2" t="s">
        <v>5968</v>
      </c>
      <c r="C2296" s="2">
        <v>4994</v>
      </c>
      <c r="D2296" s="2" t="s">
        <v>9280</v>
      </c>
      <c r="E2296" s="2" t="s">
        <v>18</v>
      </c>
      <c r="F2296" s="2" t="s">
        <v>58</v>
      </c>
      <c r="G2296" s="2">
        <v>15995.15</v>
      </c>
      <c r="H2296" s="2">
        <v>9722.94</v>
      </c>
      <c r="I2296" s="2" t="s">
        <v>59</v>
      </c>
      <c r="J2296" s="2" t="s">
        <v>41</v>
      </c>
      <c r="K2296" s="2" t="s">
        <v>42</v>
      </c>
      <c r="L2296" s="2" t="s">
        <v>55</v>
      </c>
      <c r="M2296" s="2">
        <v>4</v>
      </c>
      <c r="N2296" s="2" t="s">
        <v>69</v>
      </c>
      <c r="O2296" s="2" t="s">
        <v>70</v>
      </c>
      <c r="P2296" s="2" t="s">
        <v>49</v>
      </c>
    </row>
    <row r="2297" spans="1:16" x14ac:dyDescent="0.25">
      <c r="A2297" s="2" t="s">
        <v>5244</v>
      </c>
      <c r="B2297" s="2" t="s">
        <v>9281</v>
      </c>
      <c r="C2297" s="2">
        <v>2960</v>
      </c>
      <c r="D2297" s="2" t="s">
        <v>9282</v>
      </c>
      <c r="E2297" s="2" t="s">
        <v>18</v>
      </c>
      <c r="F2297" s="2" t="s">
        <v>47</v>
      </c>
      <c r="G2297" s="2">
        <v>3363.43</v>
      </c>
      <c r="H2297" s="2">
        <v>1816.45</v>
      </c>
      <c r="I2297" s="2" t="s">
        <v>84</v>
      </c>
      <c r="J2297" s="2" t="s">
        <v>54</v>
      </c>
      <c r="K2297" s="2" t="s">
        <v>32</v>
      </c>
      <c r="L2297" s="2" t="s">
        <v>48</v>
      </c>
      <c r="M2297" s="2">
        <v>1</v>
      </c>
      <c r="N2297" s="2" t="s">
        <v>24</v>
      </c>
      <c r="O2297" s="2" t="s">
        <v>25</v>
      </c>
      <c r="P2297" s="2" t="s">
        <v>49</v>
      </c>
    </row>
    <row r="2298" spans="1:16" x14ac:dyDescent="0.25">
      <c r="A2298" s="2" t="s">
        <v>5246</v>
      </c>
      <c r="B2298" s="2" t="s">
        <v>6138</v>
      </c>
      <c r="C2298" s="2">
        <v>9800</v>
      </c>
      <c r="D2298" s="2" t="s">
        <v>9283</v>
      </c>
      <c r="E2298" s="2" t="s">
        <v>6756</v>
      </c>
      <c r="F2298" s="2" t="s">
        <v>39</v>
      </c>
      <c r="G2298" s="2">
        <v>38634.33</v>
      </c>
      <c r="H2298" s="2">
        <v>23207.87</v>
      </c>
      <c r="I2298" s="2" t="s">
        <v>6736</v>
      </c>
      <c r="J2298" s="2" t="s">
        <v>54</v>
      </c>
      <c r="K2298" s="2" t="s">
        <v>80</v>
      </c>
      <c r="L2298" s="2" t="s">
        <v>43</v>
      </c>
      <c r="M2298" s="2">
        <v>3</v>
      </c>
      <c r="N2298" s="2" t="s">
        <v>33</v>
      </c>
      <c r="O2298" s="2" t="s">
        <v>25</v>
      </c>
      <c r="P2298" s="2" t="s">
        <v>49</v>
      </c>
    </row>
    <row r="2299" spans="1:16" x14ac:dyDescent="0.25">
      <c r="A2299" s="2" t="s">
        <v>5248</v>
      </c>
      <c r="B2299" s="2" t="s">
        <v>9284</v>
      </c>
      <c r="C2299" s="2">
        <v>5264</v>
      </c>
      <c r="D2299" s="2" t="s">
        <v>9285</v>
      </c>
      <c r="E2299" s="2" t="s">
        <v>18</v>
      </c>
      <c r="F2299" s="2" t="s">
        <v>39</v>
      </c>
      <c r="G2299" s="2">
        <v>35227.550000000003</v>
      </c>
      <c r="H2299" s="2">
        <v>20332.23</v>
      </c>
      <c r="I2299" s="2" t="s">
        <v>6799</v>
      </c>
      <c r="J2299" s="2" t="s">
        <v>6732</v>
      </c>
      <c r="K2299" s="2" t="s">
        <v>22</v>
      </c>
      <c r="L2299" s="2" t="s">
        <v>88</v>
      </c>
      <c r="M2299" s="2">
        <v>3</v>
      </c>
      <c r="N2299" s="2" t="s">
        <v>33</v>
      </c>
      <c r="O2299" s="2" t="s">
        <v>70</v>
      </c>
      <c r="P2299" s="2" t="s">
        <v>34</v>
      </c>
    </row>
    <row r="2300" spans="1:16" x14ac:dyDescent="0.25">
      <c r="A2300" s="2" t="s">
        <v>5250</v>
      </c>
      <c r="B2300" s="2" t="s">
        <v>9286</v>
      </c>
      <c r="C2300" s="2">
        <v>2172</v>
      </c>
      <c r="D2300" s="2" t="s">
        <v>9287</v>
      </c>
      <c r="E2300" s="2" t="s">
        <v>18</v>
      </c>
      <c r="F2300" s="2" t="s">
        <v>19</v>
      </c>
      <c r="G2300" s="2">
        <v>18770.099999999999</v>
      </c>
      <c r="H2300" s="2">
        <v>11690.38</v>
      </c>
      <c r="I2300" s="2" t="s">
        <v>31</v>
      </c>
      <c r="J2300" s="2" t="s">
        <v>6696</v>
      </c>
      <c r="K2300" s="2" t="s">
        <v>22</v>
      </c>
      <c r="L2300" s="2" t="s">
        <v>88</v>
      </c>
      <c r="M2300" s="2">
        <v>1</v>
      </c>
      <c r="N2300" s="2" t="s">
        <v>33</v>
      </c>
      <c r="O2300" s="2" t="s">
        <v>70</v>
      </c>
      <c r="P2300" s="2" t="s">
        <v>26</v>
      </c>
    </row>
    <row r="2301" spans="1:16" x14ac:dyDescent="0.25">
      <c r="A2301" s="2" t="s">
        <v>5253</v>
      </c>
      <c r="B2301" s="2" t="s">
        <v>8771</v>
      </c>
      <c r="C2301" s="2">
        <v>1091</v>
      </c>
      <c r="D2301" s="2" t="s">
        <v>9288</v>
      </c>
      <c r="E2301" s="2" t="s">
        <v>6694</v>
      </c>
      <c r="F2301" s="2" t="s">
        <v>47</v>
      </c>
      <c r="G2301" s="2">
        <v>2669.39</v>
      </c>
      <c r="H2301" s="2">
        <v>1676.09</v>
      </c>
      <c r="I2301" s="2" t="s">
        <v>6726</v>
      </c>
      <c r="J2301" s="2" t="s">
        <v>6696</v>
      </c>
      <c r="K2301" s="2" t="s">
        <v>22</v>
      </c>
      <c r="L2301" s="2" t="s">
        <v>55</v>
      </c>
      <c r="M2301" s="2">
        <v>3</v>
      </c>
      <c r="N2301" s="2" t="s">
        <v>24</v>
      </c>
      <c r="O2301" s="2" t="s">
        <v>25</v>
      </c>
      <c r="P2301" s="2" t="s">
        <v>34</v>
      </c>
    </row>
    <row r="2302" spans="1:16" x14ac:dyDescent="0.25">
      <c r="A2302" s="2" t="s">
        <v>5256</v>
      </c>
      <c r="B2302" s="2" t="s">
        <v>4564</v>
      </c>
      <c r="C2302" s="2">
        <v>1310</v>
      </c>
      <c r="D2302" s="2" t="s">
        <v>9289</v>
      </c>
      <c r="E2302" s="2" t="s">
        <v>38</v>
      </c>
      <c r="F2302" s="2" t="s">
        <v>47</v>
      </c>
      <c r="G2302" s="2">
        <v>14919.04</v>
      </c>
      <c r="H2302" s="2">
        <v>8359.43</v>
      </c>
      <c r="I2302" s="2" t="s">
        <v>6771</v>
      </c>
      <c r="J2302" s="2" t="s">
        <v>6789</v>
      </c>
      <c r="K2302" s="2" t="s">
        <v>32</v>
      </c>
      <c r="L2302" s="2" t="s">
        <v>88</v>
      </c>
      <c r="M2302" s="2">
        <v>4</v>
      </c>
      <c r="N2302" s="2" t="s">
        <v>33</v>
      </c>
      <c r="O2302" s="2" t="s">
        <v>25</v>
      </c>
      <c r="P2302" s="2" t="s">
        <v>34</v>
      </c>
    </row>
    <row r="2303" spans="1:16" x14ac:dyDescent="0.25">
      <c r="A2303" s="2" t="s">
        <v>5257</v>
      </c>
      <c r="B2303" s="2" t="s">
        <v>2039</v>
      </c>
      <c r="C2303" s="2">
        <v>2749</v>
      </c>
      <c r="D2303" s="2" t="s">
        <v>9290</v>
      </c>
      <c r="E2303" s="2" t="s">
        <v>38</v>
      </c>
      <c r="F2303" s="2" t="s">
        <v>58</v>
      </c>
      <c r="G2303" s="2">
        <v>29059.279999999999</v>
      </c>
      <c r="H2303" s="2">
        <v>17036.080000000002</v>
      </c>
      <c r="I2303" s="2" t="s">
        <v>63</v>
      </c>
      <c r="J2303" s="2" t="s">
        <v>54</v>
      </c>
      <c r="K2303" s="2" t="s">
        <v>42</v>
      </c>
      <c r="L2303" s="2" t="s">
        <v>55</v>
      </c>
      <c r="M2303" s="2">
        <v>5</v>
      </c>
      <c r="N2303" s="2" t="s">
        <v>24</v>
      </c>
      <c r="O2303" s="2" t="s">
        <v>25</v>
      </c>
      <c r="P2303" s="2" t="s">
        <v>34</v>
      </c>
    </row>
    <row r="2304" spans="1:16" x14ac:dyDescent="0.25">
      <c r="A2304" s="2" t="s">
        <v>5259</v>
      </c>
      <c r="B2304" s="2" t="s">
        <v>4175</v>
      </c>
      <c r="C2304" s="2">
        <v>5206</v>
      </c>
      <c r="D2304" s="2" t="s">
        <v>6120</v>
      </c>
      <c r="E2304" s="2" t="s">
        <v>18</v>
      </c>
      <c r="F2304" s="2" t="s">
        <v>39</v>
      </c>
      <c r="G2304" s="2">
        <v>25069.02</v>
      </c>
      <c r="H2304" s="2">
        <v>14709.31</v>
      </c>
      <c r="I2304" s="2" t="s">
        <v>63</v>
      </c>
      <c r="J2304" s="2" t="s">
        <v>54</v>
      </c>
      <c r="K2304" s="2" t="s">
        <v>80</v>
      </c>
      <c r="L2304" s="2" t="s">
        <v>64</v>
      </c>
      <c r="M2304" s="2">
        <v>4</v>
      </c>
      <c r="N2304" s="2" t="s">
        <v>69</v>
      </c>
      <c r="O2304" s="2" t="s">
        <v>70</v>
      </c>
      <c r="P2304" s="2" t="s">
        <v>26</v>
      </c>
    </row>
    <row r="2305" spans="1:16" x14ac:dyDescent="0.25">
      <c r="A2305" s="2" t="s">
        <v>5262</v>
      </c>
      <c r="B2305" s="2" t="s">
        <v>9291</v>
      </c>
      <c r="C2305" s="2">
        <v>8513</v>
      </c>
      <c r="D2305" s="2" t="s">
        <v>9292</v>
      </c>
      <c r="E2305" s="2" t="s">
        <v>6698</v>
      </c>
      <c r="F2305" s="2" t="s">
        <v>19</v>
      </c>
      <c r="G2305" s="2">
        <v>8790.06</v>
      </c>
      <c r="H2305" s="2">
        <v>4240.6099999999997</v>
      </c>
      <c r="I2305" s="2" t="s">
        <v>6915</v>
      </c>
      <c r="J2305" s="2" t="s">
        <v>6795</v>
      </c>
      <c r="K2305" s="2" t="s">
        <v>42</v>
      </c>
      <c r="L2305" s="2" t="s">
        <v>64</v>
      </c>
      <c r="M2305" s="2">
        <v>1</v>
      </c>
      <c r="N2305" s="2" t="s">
        <v>33</v>
      </c>
      <c r="O2305" s="2" t="s">
        <v>25</v>
      </c>
      <c r="P2305" s="2" t="s">
        <v>34</v>
      </c>
    </row>
    <row r="2306" spans="1:16" x14ac:dyDescent="0.25">
      <c r="A2306" s="2" t="s">
        <v>5264</v>
      </c>
      <c r="B2306" s="2" t="s">
        <v>1537</v>
      </c>
      <c r="C2306" s="2">
        <v>4734</v>
      </c>
      <c r="D2306" s="2" t="s">
        <v>9293</v>
      </c>
      <c r="E2306" s="2" t="s">
        <v>18</v>
      </c>
      <c r="F2306" s="2" t="s">
        <v>39</v>
      </c>
      <c r="G2306" s="2">
        <v>23780.12</v>
      </c>
      <c r="H2306" s="2">
        <v>14375.77</v>
      </c>
      <c r="I2306" s="2" t="s">
        <v>20</v>
      </c>
      <c r="J2306" s="2" t="s">
        <v>21</v>
      </c>
      <c r="K2306" s="2" t="s">
        <v>22</v>
      </c>
      <c r="L2306" s="2" t="s">
        <v>23</v>
      </c>
      <c r="M2306" s="2">
        <v>4</v>
      </c>
      <c r="N2306" s="2" t="s">
        <v>24</v>
      </c>
      <c r="O2306" s="2" t="s">
        <v>25</v>
      </c>
      <c r="P2306" s="2" t="s">
        <v>49</v>
      </c>
    </row>
    <row r="2307" spans="1:16" x14ac:dyDescent="0.25">
      <c r="A2307" s="2" t="s">
        <v>5266</v>
      </c>
      <c r="B2307" s="2" t="s">
        <v>1150</v>
      </c>
      <c r="C2307" s="2">
        <v>8496</v>
      </c>
      <c r="D2307" s="2" t="s">
        <v>9294</v>
      </c>
      <c r="E2307" s="2" t="s">
        <v>6748</v>
      </c>
      <c r="F2307" s="2" t="s">
        <v>47</v>
      </c>
      <c r="G2307" s="2">
        <v>20340.04</v>
      </c>
      <c r="H2307" s="2">
        <v>9528.56</v>
      </c>
      <c r="I2307" s="2" t="s">
        <v>6812</v>
      </c>
      <c r="J2307" s="2" t="s">
        <v>6691</v>
      </c>
      <c r="K2307" s="2" t="s">
        <v>42</v>
      </c>
      <c r="L2307" s="2" t="s">
        <v>88</v>
      </c>
      <c r="M2307" s="2">
        <v>5</v>
      </c>
      <c r="N2307" s="2" t="s">
        <v>69</v>
      </c>
      <c r="O2307" s="2" t="s">
        <v>25</v>
      </c>
      <c r="P2307" s="2" t="s">
        <v>34</v>
      </c>
    </row>
    <row r="2308" spans="1:16" x14ac:dyDescent="0.25">
      <c r="A2308" s="2" t="s">
        <v>5268</v>
      </c>
      <c r="B2308" s="2" t="s">
        <v>2063</v>
      </c>
      <c r="C2308" s="2">
        <v>5738</v>
      </c>
      <c r="D2308" s="2" t="s">
        <v>9295</v>
      </c>
      <c r="E2308" s="2" t="s">
        <v>6698</v>
      </c>
      <c r="F2308" s="2" t="s">
        <v>39</v>
      </c>
      <c r="G2308" s="2">
        <v>38227.42</v>
      </c>
      <c r="H2308" s="2">
        <v>22126.18</v>
      </c>
      <c r="I2308" s="2" t="s">
        <v>6759</v>
      </c>
      <c r="J2308" s="2" t="s">
        <v>6729</v>
      </c>
      <c r="K2308" s="2" t="s">
        <v>80</v>
      </c>
      <c r="L2308" s="2" t="s">
        <v>23</v>
      </c>
      <c r="M2308" s="2">
        <v>4</v>
      </c>
      <c r="N2308" s="2" t="s">
        <v>33</v>
      </c>
      <c r="O2308" s="2" t="s">
        <v>70</v>
      </c>
      <c r="P2308" s="2" t="s">
        <v>34</v>
      </c>
    </row>
    <row r="2309" spans="1:16" x14ac:dyDescent="0.25">
      <c r="A2309" s="2" t="s">
        <v>5270</v>
      </c>
      <c r="B2309" s="2" t="s">
        <v>1633</v>
      </c>
      <c r="C2309" s="2">
        <v>2827</v>
      </c>
      <c r="D2309" s="2" t="s">
        <v>5892</v>
      </c>
      <c r="E2309" s="2" t="s">
        <v>18</v>
      </c>
      <c r="F2309" s="2" t="s">
        <v>39</v>
      </c>
      <c r="G2309" s="2">
        <v>35215.089999999997</v>
      </c>
      <c r="H2309" s="2">
        <v>19048.39</v>
      </c>
      <c r="I2309" s="2" t="s">
        <v>20</v>
      </c>
      <c r="J2309" s="2" t="s">
        <v>21</v>
      </c>
      <c r="K2309" s="2" t="s">
        <v>80</v>
      </c>
      <c r="L2309" s="2" t="s">
        <v>23</v>
      </c>
      <c r="M2309" s="2">
        <v>5</v>
      </c>
      <c r="N2309" s="2" t="s">
        <v>24</v>
      </c>
      <c r="O2309" s="2" t="s">
        <v>25</v>
      </c>
      <c r="P2309" s="2" t="s">
        <v>34</v>
      </c>
    </row>
    <row r="2310" spans="1:16" x14ac:dyDescent="0.25">
      <c r="A2310" s="2" t="s">
        <v>5272</v>
      </c>
      <c r="B2310" s="2" t="s">
        <v>5052</v>
      </c>
      <c r="C2310" s="2">
        <v>2337</v>
      </c>
      <c r="D2310" s="2" t="s">
        <v>9296</v>
      </c>
      <c r="E2310" s="2" t="s">
        <v>18</v>
      </c>
      <c r="F2310" s="2" t="s">
        <v>47</v>
      </c>
      <c r="G2310" s="2">
        <v>15026.03</v>
      </c>
      <c r="H2310" s="2">
        <v>9448.75</v>
      </c>
      <c r="I2310" s="2" t="s">
        <v>84</v>
      </c>
      <c r="J2310" s="2" t="s">
        <v>54</v>
      </c>
      <c r="K2310" s="2" t="s">
        <v>32</v>
      </c>
      <c r="L2310" s="2" t="s">
        <v>64</v>
      </c>
      <c r="M2310" s="2">
        <v>3</v>
      </c>
      <c r="N2310" s="2" t="s">
        <v>33</v>
      </c>
      <c r="O2310" s="2" t="s">
        <v>25</v>
      </c>
      <c r="P2310" s="2" t="s">
        <v>49</v>
      </c>
    </row>
    <row r="2311" spans="1:16" x14ac:dyDescent="0.25">
      <c r="A2311" s="2" t="s">
        <v>5275</v>
      </c>
      <c r="B2311" s="2" t="s">
        <v>2720</v>
      </c>
      <c r="C2311" s="2">
        <v>6816</v>
      </c>
      <c r="D2311" s="2" t="s">
        <v>8216</v>
      </c>
      <c r="E2311" s="2" t="s">
        <v>38</v>
      </c>
      <c r="F2311" s="2" t="s">
        <v>47</v>
      </c>
      <c r="G2311" s="2">
        <v>16422.43</v>
      </c>
      <c r="H2311" s="2">
        <v>8859.9</v>
      </c>
      <c r="I2311" s="2" t="s">
        <v>53</v>
      </c>
      <c r="J2311" s="2" t="s">
        <v>54</v>
      </c>
      <c r="K2311" s="2" t="s">
        <v>22</v>
      </c>
      <c r="L2311" s="2" t="s">
        <v>55</v>
      </c>
      <c r="M2311" s="2">
        <v>3</v>
      </c>
      <c r="N2311" s="2" t="s">
        <v>69</v>
      </c>
      <c r="O2311" s="2" t="s">
        <v>25</v>
      </c>
      <c r="P2311" s="2" t="s">
        <v>26</v>
      </c>
    </row>
    <row r="2313" spans="1:16" x14ac:dyDescent="0.25">
      <c r="A2313" s="2" t="s">
        <v>5278</v>
      </c>
      <c r="B2313" s="2" t="s">
        <v>3093</v>
      </c>
      <c r="C2313" s="2">
        <v>5964</v>
      </c>
      <c r="D2313" s="2" t="s">
        <v>9297</v>
      </c>
      <c r="E2313" s="2" t="s">
        <v>38</v>
      </c>
      <c r="F2313" s="2" t="s">
        <v>19</v>
      </c>
      <c r="G2313" s="2">
        <v>18604.88</v>
      </c>
      <c r="H2313" s="2">
        <v>10148.84</v>
      </c>
      <c r="I2313" s="2" t="s">
        <v>31</v>
      </c>
      <c r="J2313" s="2" t="s">
        <v>21</v>
      </c>
      <c r="K2313" s="2" t="s">
        <v>80</v>
      </c>
      <c r="L2313" s="2" t="s">
        <v>55</v>
      </c>
      <c r="M2313" s="2">
        <v>3</v>
      </c>
      <c r="N2313" s="2" t="s">
        <v>33</v>
      </c>
      <c r="O2313" s="2" t="s">
        <v>70</v>
      </c>
      <c r="P2313" s="2" t="s">
        <v>34</v>
      </c>
    </row>
    <row r="2315" spans="1:16" x14ac:dyDescent="0.25">
      <c r="A2315" s="2" t="s">
        <v>5280</v>
      </c>
      <c r="B2315" s="2" t="s">
        <v>149</v>
      </c>
      <c r="C2315" s="2">
        <v>6897</v>
      </c>
      <c r="D2315" s="2" t="s">
        <v>9298</v>
      </c>
      <c r="E2315" s="2" t="s">
        <v>6698</v>
      </c>
      <c r="F2315" s="2" t="s">
        <v>47</v>
      </c>
      <c r="G2315" s="2">
        <v>21800.83</v>
      </c>
      <c r="H2315" s="2">
        <v>10926.78</v>
      </c>
      <c r="I2315" s="2" t="s">
        <v>6728</v>
      </c>
      <c r="J2315" s="2" t="s">
        <v>6700</v>
      </c>
      <c r="K2315" s="2" t="s">
        <v>42</v>
      </c>
      <c r="L2315" s="2" t="s">
        <v>55</v>
      </c>
      <c r="M2315" s="2">
        <v>5</v>
      </c>
      <c r="N2315" s="2" t="s">
        <v>24</v>
      </c>
      <c r="O2315" s="2" t="s">
        <v>70</v>
      </c>
      <c r="P2315" s="2" t="s">
        <v>34</v>
      </c>
    </row>
    <row r="2316" spans="1:16" x14ac:dyDescent="0.25">
      <c r="A2316" s="2" t="s">
        <v>5282</v>
      </c>
      <c r="B2316" s="2" t="s">
        <v>9299</v>
      </c>
      <c r="C2316" s="2">
        <v>5408</v>
      </c>
      <c r="D2316" s="2" t="s">
        <v>6219</v>
      </c>
      <c r="E2316" s="2" t="s">
        <v>6748</v>
      </c>
      <c r="F2316" s="2" t="s">
        <v>58</v>
      </c>
      <c r="G2316" s="2">
        <v>24546.47</v>
      </c>
      <c r="H2316" s="2">
        <v>12699.5</v>
      </c>
      <c r="I2316" s="2" t="s">
        <v>6739</v>
      </c>
      <c r="J2316" s="2" t="s">
        <v>54</v>
      </c>
      <c r="K2316" s="2" t="s">
        <v>80</v>
      </c>
      <c r="L2316" s="2" t="s">
        <v>64</v>
      </c>
      <c r="M2316" s="2">
        <v>4</v>
      </c>
      <c r="N2316" s="2" t="s">
        <v>33</v>
      </c>
      <c r="O2316" s="2" t="s">
        <v>70</v>
      </c>
      <c r="P2316" s="2" t="s">
        <v>49</v>
      </c>
    </row>
    <row r="2317" spans="1:16" x14ac:dyDescent="0.25">
      <c r="A2317" s="2" t="s">
        <v>5284</v>
      </c>
      <c r="B2317" s="2" t="s">
        <v>733</v>
      </c>
      <c r="C2317" s="2">
        <v>3630</v>
      </c>
      <c r="D2317" s="2" t="s">
        <v>9300</v>
      </c>
      <c r="E2317" s="2" t="s">
        <v>6748</v>
      </c>
      <c r="F2317" s="2" t="s">
        <v>47</v>
      </c>
      <c r="G2317" s="2">
        <v>13225.03</v>
      </c>
      <c r="H2317" s="2">
        <v>7194.81</v>
      </c>
      <c r="I2317" s="2" t="s">
        <v>6799</v>
      </c>
      <c r="J2317" s="2" t="s">
        <v>6793</v>
      </c>
      <c r="K2317" s="2" t="s">
        <v>32</v>
      </c>
      <c r="L2317" s="2" t="s">
        <v>64</v>
      </c>
      <c r="M2317" s="2">
        <v>4</v>
      </c>
      <c r="N2317" s="2" t="s">
        <v>24</v>
      </c>
      <c r="O2317" s="2" t="s">
        <v>70</v>
      </c>
      <c r="P2317" s="2" t="s">
        <v>49</v>
      </c>
    </row>
    <row r="2318" spans="1:16" x14ac:dyDescent="0.25">
      <c r="A2318" s="2" t="s">
        <v>5285</v>
      </c>
      <c r="B2318" s="2" t="s">
        <v>2953</v>
      </c>
      <c r="C2318" s="2">
        <v>1374</v>
      </c>
      <c r="D2318" s="2" t="s">
        <v>9301</v>
      </c>
      <c r="E2318" s="2" t="s">
        <v>6694</v>
      </c>
      <c r="F2318" s="2" t="s">
        <v>19</v>
      </c>
      <c r="G2318" s="2">
        <v>8143.17</v>
      </c>
      <c r="H2318" s="2">
        <v>4354.43</v>
      </c>
      <c r="I2318" s="2" t="s">
        <v>6704</v>
      </c>
      <c r="J2318" s="2" t="s">
        <v>6705</v>
      </c>
      <c r="K2318" s="2" t="s">
        <v>22</v>
      </c>
      <c r="L2318" s="2" t="s">
        <v>48</v>
      </c>
      <c r="M2318" s="2">
        <v>2</v>
      </c>
      <c r="N2318" s="2" t="s">
        <v>24</v>
      </c>
      <c r="O2318" s="2" t="s">
        <v>25</v>
      </c>
      <c r="P2318" s="2" t="s">
        <v>34</v>
      </c>
    </row>
    <row r="2319" spans="1:16" x14ac:dyDescent="0.25">
      <c r="A2319" s="2" t="s">
        <v>5287</v>
      </c>
      <c r="B2319" s="2" t="s">
        <v>905</v>
      </c>
      <c r="C2319" s="2">
        <v>8083</v>
      </c>
      <c r="D2319" s="2" t="s">
        <v>9302</v>
      </c>
      <c r="E2319" s="2" t="s">
        <v>6698</v>
      </c>
      <c r="F2319" s="2" t="s">
        <v>58</v>
      </c>
      <c r="G2319" s="2">
        <v>18728.400000000001</v>
      </c>
      <c r="H2319" s="2">
        <v>10284.629999999999</v>
      </c>
      <c r="I2319" s="2" t="s">
        <v>6910</v>
      </c>
      <c r="J2319" s="2" t="s">
        <v>21</v>
      </c>
      <c r="K2319" s="2" t="s">
        <v>80</v>
      </c>
      <c r="L2319" s="2" t="s">
        <v>48</v>
      </c>
      <c r="M2319" s="2">
        <v>5</v>
      </c>
      <c r="N2319" s="2" t="s">
        <v>33</v>
      </c>
      <c r="O2319" s="2" t="s">
        <v>25</v>
      </c>
      <c r="P2319" s="2" t="s">
        <v>26</v>
      </c>
    </row>
    <row r="2320" spans="1:16" x14ac:dyDescent="0.25">
      <c r="A2320" s="2" t="s">
        <v>5289</v>
      </c>
      <c r="B2320" s="2" t="s">
        <v>8742</v>
      </c>
      <c r="C2320" s="2">
        <v>1355</v>
      </c>
      <c r="D2320" s="2" t="s">
        <v>5368</v>
      </c>
      <c r="E2320" s="2" t="s">
        <v>6708</v>
      </c>
      <c r="F2320" s="2" t="s">
        <v>58</v>
      </c>
      <c r="G2320" s="2">
        <v>43359.87</v>
      </c>
      <c r="H2320" s="2">
        <v>22487.360000000001</v>
      </c>
      <c r="I2320" s="2" t="s">
        <v>120</v>
      </c>
      <c r="J2320" s="2" t="s">
        <v>6724</v>
      </c>
      <c r="K2320" s="2" t="s">
        <v>32</v>
      </c>
      <c r="L2320" s="2" t="s">
        <v>88</v>
      </c>
      <c r="M2320" s="2">
        <v>1</v>
      </c>
      <c r="N2320" s="2" t="s">
        <v>33</v>
      </c>
      <c r="O2320" s="2" t="s">
        <v>70</v>
      </c>
      <c r="P2320" s="2" t="s">
        <v>34</v>
      </c>
    </row>
    <row r="2321" spans="1:16" x14ac:dyDescent="0.25">
      <c r="A2321" s="2" t="s">
        <v>5292</v>
      </c>
      <c r="B2321" s="2" t="s">
        <v>9303</v>
      </c>
      <c r="C2321" s="2">
        <v>9583</v>
      </c>
      <c r="D2321" s="2" t="s">
        <v>9304</v>
      </c>
      <c r="E2321" s="2" t="s">
        <v>6694</v>
      </c>
      <c r="F2321" s="2" t="s">
        <v>58</v>
      </c>
      <c r="G2321" s="2">
        <v>17568.59</v>
      </c>
      <c r="H2321" s="2">
        <v>10555.96</v>
      </c>
      <c r="I2321" s="2" t="s">
        <v>6918</v>
      </c>
      <c r="J2321" s="2" t="s">
        <v>6696</v>
      </c>
      <c r="K2321" s="2" t="s">
        <v>42</v>
      </c>
      <c r="L2321" s="2" t="s">
        <v>48</v>
      </c>
      <c r="M2321" s="2">
        <v>5</v>
      </c>
      <c r="N2321" s="2" t="s">
        <v>33</v>
      </c>
      <c r="O2321" s="2" t="s">
        <v>25</v>
      </c>
      <c r="P2321" s="2" t="s">
        <v>34</v>
      </c>
    </row>
    <row r="2322" spans="1:16" x14ac:dyDescent="0.25">
      <c r="A2322" s="2" t="s">
        <v>5294</v>
      </c>
      <c r="B2322" s="2" t="s">
        <v>7600</v>
      </c>
      <c r="C2322" s="2">
        <v>6774</v>
      </c>
      <c r="D2322" s="2" t="s">
        <v>9305</v>
      </c>
      <c r="E2322" s="2" t="s">
        <v>18</v>
      </c>
      <c r="F2322" s="2" t="s">
        <v>30</v>
      </c>
      <c r="G2322" s="2">
        <v>15459.6</v>
      </c>
      <c r="H2322" s="2">
        <v>9103.43</v>
      </c>
      <c r="I2322" s="2" t="s">
        <v>20</v>
      </c>
      <c r="J2322" s="2" t="s">
        <v>21</v>
      </c>
      <c r="K2322" s="2" t="s">
        <v>42</v>
      </c>
      <c r="L2322" s="2" t="s">
        <v>64</v>
      </c>
      <c r="M2322" s="2">
        <v>3</v>
      </c>
      <c r="N2322" s="2" t="s">
        <v>33</v>
      </c>
      <c r="O2322" s="2" t="s">
        <v>25</v>
      </c>
      <c r="P2322" s="2" t="s">
        <v>26</v>
      </c>
    </row>
    <row r="2323" spans="1:16" x14ac:dyDescent="0.25">
      <c r="A2323" s="2" t="s">
        <v>5296</v>
      </c>
      <c r="B2323" s="2" t="s">
        <v>9306</v>
      </c>
      <c r="C2323" s="2">
        <v>6716</v>
      </c>
      <c r="D2323" s="2" t="s">
        <v>9307</v>
      </c>
      <c r="E2323" s="2" t="s">
        <v>18</v>
      </c>
      <c r="F2323" s="2" t="s">
        <v>47</v>
      </c>
      <c r="G2323" s="2">
        <v>14716.06</v>
      </c>
      <c r="H2323" s="2">
        <v>8545.69</v>
      </c>
      <c r="I2323" s="2" t="s">
        <v>31</v>
      </c>
      <c r="J2323" s="2" t="s">
        <v>21</v>
      </c>
      <c r="K2323" s="2" t="s">
        <v>22</v>
      </c>
      <c r="L2323" s="2" t="s">
        <v>23</v>
      </c>
      <c r="M2323" s="2">
        <v>2</v>
      </c>
      <c r="N2323" s="2" t="s">
        <v>24</v>
      </c>
      <c r="O2323" s="2" t="s">
        <v>70</v>
      </c>
      <c r="P2323" s="2" t="s">
        <v>26</v>
      </c>
    </row>
    <row r="2324" spans="1:16" x14ac:dyDescent="0.25">
      <c r="A2324" s="2" t="s">
        <v>5298</v>
      </c>
      <c r="B2324" s="2" t="s">
        <v>591</v>
      </c>
      <c r="C2324" s="2">
        <v>5158</v>
      </c>
      <c r="D2324" s="2" t="s">
        <v>9308</v>
      </c>
      <c r="E2324" s="2" t="s">
        <v>18</v>
      </c>
      <c r="F2324" s="2" t="s">
        <v>47</v>
      </c>
      <c r="G2324" s="2">
        <v>5992.11</v>
      </c>
      <c r="H2324" s="2">
        <v>3831.89</v>
      </c>
      <c r="I2324" s="2" t="s">
        <v>120</v>
      </c>
      <c r="J2324" s="2" t="s">
        <v>21</v>
      </c>
      <c r="K2324" s="2" t="s">
        <v>42</v>
      </c>
      <c r="L2324" s="2" t="s">
        <v>23</v>
      </c>
      <c r="M2324" s="2">
        <v>5</v>
      </c>
      <c r="N2324" s="2" t="s">
        <v>24</v>
      </c>
      <c r="O2324" s="2" t="s">
        <v>70</v>
      </c>
      <c r="P2324" s="2" t="s">
        <v>34</v>
      </c>
    </row>
    <row r="2325" spans="1:16" x14ac:dyDescent="0.25">
      <c r="A2325" s="2" t="s">
        <v>5300</v>
      </c>
      <c r="B2325" s="2" t="s">
        <v>2598</v>
      </c>
      <c r="C2325" s="2">
        <v>4970</v>
      </c>
      <c r="D2325" s="2" t="s">
        <v>9309</v>
      </c>
      <c r="E2325" s="2" t="s">
        <v>38</v>
      </c>
      <c r="F2325" s="2" t="s">
        <v>47</v>
      </c>
      <c r="G2325" s="2">
        <v>13217.9</v>
      </c>
      <c r="H2325" s="2">
        <v>6586.01</v>
      </c>
      <c r="I2325" s="2" t="s">
        <v>120</v>
      </c>
      <c r="J2325" s="2" t="s">
        <v>21</v>
      </c>
      <c r="K2325" s="2" t="s">
        <v>42</v>
      </c>
      <c r="L2325" s="2" t="s">
        <v>55</v>
      </c>
      <c r="M2325" s="2">
        <v>2</v>
      </c>
      <c r="N2325" s="2" t="s">
        <v>33</v>
      </c>
      <c r="O2325" s="2" t="s">
        <v>70</v>
      </c>
      <c r="P2325" s="2" t="s">
        <v>26</v>
      </c>
    </row>
    <row r="2326" spans="1:16" x14ac:dyDescent="0.25">
      <c r="A2326" s="2" t="s">
        <v>5301</v>
      </c>
      <c r="B2326" s="2" t="s">
        <v>9310</v>
      </c>
      <c r="C2326" s="2">
        <v>4348</v>
      </c>
      <c r="D2326" s="2" t="s">
        <v>9311</v>
      </c>
      <c r="E2326" s="2" t="s">
        <v>6743</v>
      </c>
      <c r="F2326" s="2" t="s">
        <v>19</v>
      </c>
      <c r="G2326" s="2">
        <v>6986.21</v>
      </c>
      <c r="H2326" s="2">
        <v>3643.66</v>
      </c>
      <c r="I2326" s="2" t="s">
        <v>6910</v>
      </c>
      <c r="J2326" s="2" t="s">
        <v>6802</v>
      </c>
      <c r="K2326" s="2" t="s">
        <v>42</v>
      </c>
      <c r="L2326" s="2" t="s">
        <v>88</v>
      </c>
      <c r="M2326" s="2">
        <v>2</v>
      </c>
      <c r="N2326" s="2" t="s">
        <v>33</v>
      </c>
      <c r="O2326" s="2" t="s">
        <v>25</v>
      </c>
      <c r="P2326" s="2" t="s">
        <v>49</v>
      </c>
    </row>
    <row r="2327" spans="1:16" x14ac:dyDescent="0.25">
      <c r="A2327" s="2" t="s">
        <v>5304</v>
      </c>
      <c r="B2327" s="2" t="s">
        <v>9312</v>
      </c>
      <c r="C2327" s="2">
        <v>4941</v>
      </c>
      <c r="D2327" s="2" t="s">
        <v>9313</v>
      </c>
      <c r="E2327" s="2" t="s">
        <v>6680</v>
      </c>
      <c r="F2327" s="2" t="s">
        <v>39</v>
      </c>
      <c r="G2327" s="2">
        <v>40710.32</v>
      </c>
      <c r="H2327" s="2">
        <v>18964.97</v>
      </c>
      <c r="I2327" s="2" t="s">
        <v>20</v>
      </c>
      <c r="J2327" s="2" t="s">
        <v>21</v>
      </c>
      <c r="K2327" s="2" t="s">
        <v>32</v>
      </c>
      <c r="L2327" s="2" t="s">
        <v>43</v>
      </c>
      <c r="M2327" s="2">
        <v>4</v>
      </c>
      <c r="N2327" s="2" t="s">
        <v>33</v>
      </c>
      <c r="O2327" s="2" t="s">
        <v>25</v>
      </c>
      <c r="P2327" s="2" t="s">
        <v>34</v>
      </c>
    </row>
    <row r="2328" spans="1:16" x14ac:dyDescent="0.25">
      <c r="A2328" s="2" t="s">
        <v>5305</v>
      </c>
      <c r="B2328" s="2" t="s">
        <v>2851</v>
      </c>
      <c r="C2328" s="2">
        <v>7179</v>
      </c>
      <c r="D2328" s="2" t="s">
        <v>9314</v>
      </c>
      <c r="E2328" s="2" t="s">
        <v>38</v>
      </c>
      <c r="F2328" s="2" t="s">
        <v>39</v>
      </c>
      <c r="G2328" s="2">
        <v>26018.05</v>
      </c>
      <c r="H2328" s="2">
        <v>16052.36</v>
      </c>
      <c r="I2328" s="2" t="s">
        <v>53</v>
      </c>
      <c r="J2328" s="2" t="s">
        <v>6753</v>
      </c>
      <c r="K2328" s="2" t="s">
        <v>42</v>
      </c>
      <c r="L2328" s="2" t="s">
        <v>55</v>
      </c>
      <c r="M2328" s="2">
        <v>3</v>
      </c>
      <c r="N2328" s="2" t="s">
        <v>24</v>
      </c>
      <c r="O2328" s="2" t="s">
        <v>25</v>
      </c>
      <c r="P2328" s="2" t="s">
        <v>49</v>
      </c>
    </row>
    <row r="2329" spans="1:16" x14ac:dyDescent="0.25">
      <c r="A2329" s="2" t="s">
        <v>5307</v>
      </c>
      <c r="B2329" s="2" t="s">
        <v>9315</v>
      </c>
      <c r="C2329" s="2">
        <v>5071</v>
      </c>
      <c r="D2329" s="2" t="s">
        <v>9316</v>
      </c>
      <c r="E2329" s="2" t="s">
        <v>6698</v>
      </c>
      <c r="F2329" s="2" t="s">
        <v>58</v>
      </c>
      <c r="G2329" s="2">
        <v>8694.41</v>
      </c>
      <c r="H2329" s="2">
        <v>5522.51</v>
      </c>
      <c r="I2329" s="2" t="s">
        <v>40</v>
      </c>
      <c r="J2329" s="2" t="s">
        <v>41</v>
      </c>
      <c r="K2329" s="2" t="s">
        <v>80</v>
      </c>
      <c r="L2329" s="2" t="s">
        <v>88</v>
      </c>
      <c r="M2329" s="2">
        <v>4</v>
      </c>
      <c r="N2329" s="2" t="s">
        <v>24</v>
      </c>
      <c r="O2329" s="2" t="s">
        <v>25</v>
      </c>
      <c r="P2329" s="2" t="s">
        <v>49</v>
      </c>
    </row>
    <row r="2330" spans="1:16" x14ac:dyDescent="0.25">
      <c r="A2330" s="2" t="s">
        <v>5309</v>
      </c>
      <c r="B2330" s="2" t="s">
        <v>8966</v>
      </c>
      <c r="C2330" s="2">
        <v>2864</v>
      </c>
      <c r="D2330" s="2" t="s">
        <v>9317</v>
      </c>
      <c r="E2330" s="2" t="s">
        <v>38</v>
      </c>
      <c r="F2330" s="2" t="s">
        <v>58</v>
      </c>
      <c r="G2330" s="2">
        <v>20184.62</v>
      </c>
      <c r="H2330" s="2">
        <v>10574.23</v>
      </c>
      <c r="I2330" s="2" t="s">
        <v>6794</v>
      </c>
      <c r="J2330" s="2" t="s">
        <v>6696</v>
      </c>
      <c r="K2330" s="2" t="s">
        <v>80</v>
      </c>
      <c r="L2330" s="2" t="s">
        <v>23</v>
      </c>
      <c r="M2330" s="2">
        <v>1</v>
      </c>
      <c r="N2330" s="2" t="s">
        <v>69</v>
      </c>
      <c r="O2330" s="2" t="s">
        <v>25</v>
      </c>
      <c r="P2330" s="2" t="s">
        <v>49</v>
      </c>
    </row>
    <row r="2331" spans="1:16" x14ac:dyDescent="0.25">
      <c r="A2331" s="2" t="s">
        <v>5311</v>
      </c>
      <c r="B2331" s="2" t="s">
        <v>3753</v>
      </c>
      <c r="C2331" s="2">
        <v>9186</v>
      </c>
      <c r="D2331" s="2" t="s">
        <v>9318</v>
      </c>
      <c r="E2331" s="2" t="s">
        <v>18</v>
      </c>
      <c r="F2331" s="2" t="s">
        <v>47</v>
      </c>
      <c r="G2331" s="2">
        <v>2972.92</v>
      </c>
      <c r="H2331" s="2">
        <v>1898.93</v>
      </c>
      <c r="I2331" s="2" t="s">
        <v>20</v>
      </c>
      <c r="J2331" s="2" t="s">
        <v>21</v>
      </c>
      <c r="K2331" s="2" t="s">
        <v>80</v>
      </c>
      <c r="L2331" s="2" t="s">
        <v>23</v>
      </c>
      <c r="M2331" s="2">
        <v>4</v>
      </c>
      <c r="N2331" s="2" t="s">
        <v>33</v>
      </c>
      <c r="O2331" s="2" t="s">
        <v>70</v>
      </c>
      <c r="P2331" s="2" t="s">
        <v>34</v>
      </c>
    </row>
    <row r="2332" spans="1:16" x14ac:dyDescent="0.25">
      <c r="A2332" s="2" t="s">
        <v>5313</v>
      </c>
      <c r="B2332" s="2" t="s">
        <v>9319</v>
      </c>
      <c r="C2332" s="2">
        <v>5741</v>
      </c>
      <c r="D2332" s="2" t="s">
        <v>9320</v>
      </c>
      <c r="E2332" s="2" t="s">
        <v>6743</v>
      </c>
      <c r="F2332" s="2" t="s">
        <v>47</v>
      </c>
      <c r="G2332" s="2">
        <v>9589.5499999999993</v>
      </c>
      <c r="H2332" s="2">
        <v>4462.5</v>
      </c>
      <c r="I2332" s="2" t="s">
        <v>6910</v>
      </c>
      <c r="J2332" s="2" t="s">
        <v>6724</v>
      </c>
      <c r="K2332" s="2" t="s">
        <v>32</v>
      </c>
      <c r="L2332" s="2" t="s">
        <v>23</v>
      </c>
      <c r="M2332" s="2">
        <v>3</v>
      </c>
      <c r="N2332" s="2" t="s">
        <v>33</v>
      </c>
      <c r="O2332" s="2" t="s">
        <v>25</v>
      </c>
      <c r="P2332" s="2" t="s">
        <v>26</v>
      </c>
    </row>
    <row r="2333" spans="1:16" x14ac:dyDescent="0.25">
      <c r="A2333" s="2" t="s">
        <v>5314</v>
      </c>
      <c r="B2333" s="2" t="s">
        <v>764</v>
      </c>
      <c r="C2333" s="2">
        <v>5088</v>
      </c>
      <c r="D2333" s="2" t="s">
        <v>4948</v>
      </c>
      <c r="E2333" s="2" t="s">
        <v>38</v>
      </c>
      <c r="F2333" s="2" t="s">
        <v>58</v>
      </c>
      <c r="G2333" s="2">
        <v>24212.07</v>
      </c>
      <c r="H2333" s="2">
        <v>11096.03</v>
      </c>
      <c r="I2333" s="2" t="s">
        <v>68</v>
      </c>
      <c r="J2333" s="2" t="s">
        <v>41</v>
      </c>
      <c r="K2333" s="2" t="s">
        <v>42</v>
      </c>
      <c r="L2333" s="2" t="s">
        <v>64</v>
      </c>
      <c r="M2333" s="2">
        <v>1</v>
      </c>
      <c r="N2333" s="2" t="s">
        <v>33</v>
      </c>
      <c r="O2333" s="2" t="s">
        <v>25</v>
      </c>
      <c r="P2333" s="2" t="s">
        <v>26</v>
      </c>
    </row>
    <row r="2334" spans="1:16" x14ac:dyDescent="0.25">
      <c r="A2334" s="2" t="s">
        <v>5316</v>
      </c>
      <c r="B2334" s="2" t="s">
        <v>9321</v>
      </c>
      <c r="C2334" s="2">
        <v>2147</v>
      </c>
      <c r="D2334" s="2" t="s">
        <v>9322</v>
      </c>
      <c r="E2334" s="2" t="s">
        <v>18</v>
      </c>
      <c r="F2334" s="2" t="s">
        <v>39</v>
      </c>
      <c r="G2334" s="2">
        <v>23293.59</v>
      </c>
      <c r="H2334" s="2">
        <v>12010.07</v>
      </c>
      <c r="I2334" s="2" t="s">
        <v>53</v>
      </c>
      <c r="J2334" s="2" t="s">
        <v>54</v>
      </c>
      <c r="K2334" s="2" t="s">
        <v>80</v>
      </c>
      <c r="L2334" s="2" t="s">
        <v>55</v>
      </c>
      <c r="M2334" s="2">
        <v>2</v>
      </c>
      <c r="N2334" s="2" t="s">
        <v>24</v>
      </c>
      <c r="O2334" s="2" t="s">
        <v>70</v>
      </c>
      <c r="P2334" s="2" t="s">
        <v>26</v>
      </c>
    </row>
    <row r="2335" spans="1:16" x14ac:dyDescent="0.25">
      <c r="A2335" s="2" t="s">
        <v>5317</v>
      </c>
      <c r="B2335" s="2" t="s">
        <v>9323</v>
      </c>
      <c r="C2335" s="2">
        <v>8160</v>
      </c>
      <c r="D2335" s="2" t="s">
        <v>9324</v>
      </c>
      <c r="E2335" s="2" t="s">
        <v>6698</v>
      </c>
      <c r="F2335" s="2" t="s">
        <v>19</v>
      </c>
      <c r="G2335" s="2">
        <v>5275.55</v>
      </c>
      <c r="H2335" s="2">
        <v>2719.37</v>
      </c>
      <c r="I2335" s="2" t="s">
        <v>120</v>
      </c>
      <c r="J2335" s="2" t="s">
        <v>6724</v>
      </c>
      <c r="K2335" s="2" t="s">
        <v>42</v>
      </c>
      <c r="L2335" s="2" t="s">
        <v>64</v>
      </c>
      <c r="M2335" s="2">
        <v>2</v>
      </c>
      <c r="N2335" s="2" t="s">
        <v>33</v>
      </c>
      <c r="O2335" s="2" t="s">
        <v>25</v>
      </c>
      <c r="P2335" s="2" t="s">
        <v>34</v>
      </c>
    </row>
    <row r="2336" spans="1:16" x14ac:dyDescent="0.25">
      <c r="A2336" s="2" t="s">
        <v>5319</v>
      </c>
      <c r="B2336" s="2" t="s">
        <v>3753</v>
      </c>
      <c r="C2336" s="2">
        <v>9061</v>
      </c>
      <c r="D2336" s="2" t="s">
        <v>62</v>
      </c>
      <c r="E2336" s="2" t="s">
        <v>38</v>
      </c>
      <c r="F2336" s="2" t="s">
        <v>19</v>
      </c>
      <c r="G2336" s="2">
        <v>18244.330000000002</v>
      </c>
      <c r="H2336" s="2">
        <v>11420.26</v>
      </c>
      <c r="I2336" s="2" t="s">
        <v>120</v>
      </c>
      <c r="J2336" s="2" t="s">
        <v>21</v>
      </c>
      <c r="K2336" s="2" t="s">
        <v>32</v>
      </c>
      <c r="L2336" s="2" t="s">
        <v>64</v>
      </c>
      <c r="M2336" s="2">
        <v>4</v>
      </c>
      <c r="N2336" s="2" t="s">
        <v>33</v>
      </c>
      <c r="O2336" s="2" t="s">
        <v>25</v>
      </c>
      <c r="P2336" s="2" t="s">
        <v>49</v>
      </c>
    </row>
    <row r="2337" spans="1:16" x14ac:dyDescent="0.25">
      <c r="A2337" s="2" t="s">
        <v>5321</v>
      </c>
      <c r="B2337" s="2" t="s">
        <v>1417</v>
      </c>
      <c r="C2337" s="2">
        <v>9179</v>
      </c>
      <c r="D2337" s="2" t="s">
        <v>9325</v>
      </c>
      <c r="E2337" s="2" t="s">
        <v>38</v>
      </c>
      <c r="F2337" s="2" t="s">
        <v>58</v>
      </c>
      <c r="G2337" s="2">
        <v>26378.09</v>
      </c>
      <c r="H2337" s="2">
        <v>14455.77</v>
      </c>
      <c r="I2337" s="2" t="s">
        <v>120</v>
      </c>
      <c r="J2337" s="2" t="s">
        <v>21</v>
      </c>
      <c r="K2337" s="2" t="s">
        <v>32</v>
      </c>
      <c r="L2337" s="2" t="s">
        <v>64</v>
      </c>
      <c r="M2337" s="2">
        <v>4</v>
      </c>
      <c r="N2337" s="2" t="s">
        <v>24</v>
      </c>
      <c r="O2337" s="2" t="s">
        <v>25</v>
      </c>
      <c r="P2337" s="2" t="s">
        <v>34</v>
      </c>
    </row>
    <row r="2338" spans="1:16" x14ac:dyDescent="0.25">
      <c r="A2338" s="2" t="s">
        <v>5323</v>
      </c>
      <c r="B2338" s="2" t="s">
        <v>3577</v>
      </c>
      <c r="C2338" s="2">
        <v>5269</v>
      </c>
      <c r="D2338" s="2" t="s">
        <v>9326</v>
      </c>
      <c r="E2338" s="2" t="s">
        <v>32</v>
      </c>
      <c r="F2338" s="2" t="s">
        <v>39</v>
      </c>
      <c r="G2338" s="2">
        <v>47561.64</v>
      </c>
      <c r="H2338" s="2">
        <v>26098.83</v>
      </c>
      <c r="I2338" s="2" t="s">
        <v>6752</v>
      </c>
      <c r="J2338" s="2" t="s">
        <v>6729</v>
      </c>
      <c r="K2338" s="2" t="s">
        <v>22</v>
      </c>
      <c r="L2338" s="2" t="s">
        <v>43</v>
      </c>
      <c r="M2338" s="2">
        <v>5</v>
      </c>
      <c r="N2338" s="2" t="s">
        <v>33</v>
      </c>
      <c r="O2338" s="2" t="s">
        <v>25</v>
      </c>
      <c r="P2338" s="2" t="s">
        <v>26</v>
      </c>
    </row>
    <row r="2339" spans="1:16" x14ac:dyDescent="0.25">
      <c r="A2339" s="2" t="s">
        <v>5325</v>
      </c>
      <c r="B2339" s="2" t="s">
        <v>1132</v>
      </c>
      <c r="C2339" s="2">
        <v>5805</v>
      </c>
      <c r="D2339" s="2" t="s">
        <v>8548</v>
      </c>
      <c r="E2339" s="2" t="s">
        <v>18</v>
      </c>
      <c r="F2339" s="2" t="s">
        <v>47</v>
      </c>
      <c r="G2339" s="2">
        <v>8527.25</v>
      </c>
      <c r="H2339" s="2">
        <v>4538.17</v>
      </c>
      <c r="I2339" s="2" t="s">
        <v>53</v>
      </c>
      <c r="J2339" s="2" t="s">
        <v>54</v>
      </c>
      <c r="K2339" s="2" t="s">
        <v>22</v>
      </c>
      <c r="L2339" s="2" t="s">
        <v>88</v>
      </c>
      <c r="M2339" s="2">
        <v>2</v>
      </c>
      <c r="N2339" s="2" t="s">
        <v>69</v>
      </c>
      <c r="O2339" s="2" t="s">
        <v>70</v>
      </c>
      <c r="P2339" s="2" t="s">
        <v>34</v>
      </c>
    </row>
    <row r="2340" spans="1:16" x14ac:dyDescent="0.25">
      <c r="A2340" s="2" t="s">
        <v>5326</v>
      </c>
      <c r="B2340" s="2" t="s">
        <v>9327</v>
      </c>
      <c r="C2340" s="2">
        <v>2274</v>
      </c>
      <c r="D2340" s="2" t="s">
        <v>9328</v>
      </c>
      <c r="E2340" s="2" t="s">
        <v>38</v>
      </c>
      <c r="F2340" s="2" t="s">
        <v>30</v>
      </c>
      <c r="G2340" s="2">
        <v>21042.98</v>
      </c>
      <c r="H2340" s="2">
        <v>10984.21</v>
      </c>
      <c r="I2340" s="2" t="s">
        <v>20</v>
      </c>
      <c r="J2340" s="2" t="s">
        <v>6696</v>
      </c>
      <c r="K2340" s="2" t="s">
        <v>80</v>
      </c>
      <c r="L2340" s="2" t="s">
        <v>23</v>
      </c>
      <c r="M2340" s="2">
        <v>2</v>
      </c>
      <c r="N2340" s="2" t="s">
        <v>24</v>
      </c>
      <c r="O2340" s="2" t="s">
        <v>70</v>
      </c>
      <c r="P2340" s="2" t="s">
        <v>34</v>
      </c>
    </row>
    <row r="2341" spans="1:16" x14ac:dyDescent="0.25">
      <c r="A2341" s="2" t="s">
        <v>5328</v>
      </c>
      <c r="B2341" s="2" t="s">
        <v>9329</v>
      </c>
      <c r="C2341" s="2">
        <v>8084</v>
      </c>
      <c r="D2341" s="2" t="s">
        <v>9330</v>
      </c>
      <c r="E2341" s="2" t="s">
        <v>6694</v>
      </c>
      <c r="F2341" s="2" t="s">
        <v>19</v>
      </c>
      <c r="G2341" s="2">
        <v>5597.7</v>
      </c>
      <c r="H2341" s="2">
        <v>3450.1</v>
      </c>
      <c r="I2341" s="2" t="s">
        <v>6812</v>
      </c>
      <c r="J2341" s="2" t="s">
        <v>6700</v>
      </c>
      <c r="K2341" s="2" t="s">
        <v>80</v>
      </c>
      <c r="L2341" s="2" t="s">
        <v>88</v>
      </c>
      <c r="M2341" s="2">
        <v>1</v>
      </c>
      <c r="N2341" s="2" t="s">
        <v>24</v>
      </c>
      <c r="O2341" s="2" t="s">
        <v>25</v>
      </c>
      <c r="P2341" s="2" t="s">
        <v>26</v>
      </c>
    </row>
    <row r="2342" spans="1:16" x14ac:dyDescent="0.25">
      <c r="A2342" s="2" t="s">
        <v>5331</v>
      </c>
      <c r="B2342" s="2" t="s">
        <v>6204</v>
      </c>
      <c r="C2342" s="2">
        <v>1749</v>
      </c>
      <c r="D2342" s="2" t="s">
        <v>9331</v>
      </c>
      <c r="E2342" s="2" t="s">
        <v>6719</v>
      </c>
      <c r="F2342" s="2" t="s">
        <v>58</v>
      </c>
      <c r="G2342" s="2">
        <v>32887.019999999997</v>
      </c>
      <c r="H2342" s="2">
        <v>15662.29</v>
      </c>
      <c r="I2342" s="2" t="s">
        <v>53</v>
      </c>
      <c r="J2342" s="2" t="s">
        <v>6686</v>
      </c>
      <c r="K2342" s="2" t="s">
        <v>22</v>
      </c>
      <c r="L2342" s="2" t="s">
        <v>43</v>
      </c>
      <c r="M2342" s="2">
        <v>2</v>
      </c>
      <c r="N2342" s="2" t="s">
        <v>24</v>
      </c>
      <c r="O2342" s="2" t="s">
        <v>25</v>
      </c>
      <c r="P2342" s="2" t="s">
        <v>26</v>
      </c>
    </row>
    <row r="2343" spans="1:16" x14ac:dyDescent="0.25">
      <c r="A2343" s="2" t="s">
        <v>5334</v>
      </c>
      <c r="B2343" s="2" t="s">
        <v>9332</v>
      </c>
      <c r="C2343" s="2">
        <v>8950</v>
      </c>
      <c r="D2343" s="2" t="s">
        <v>9333</v>
      </c>
      <c r="E2343" s="2" t="s">
        <v>6694</v>
      </c>
      <c r="F2343" s="2" t="s">
        <v>58</v>
      </c>
      <c r="G2343" s="2">
        <v>12972.98</v>
      </c>
      <c r="H2343" s="2">
        <v>8312.4</v>
      </c>
      <c r="I2343" s="2" t="s">
        <v>6910</v>
      </c>
      <c r="J2343" s="2" t="s">
        <v>6696</v>
      </c>
      <c r="K2343" s="2" t="s">
        <v>80</v>
      </c>
      <c r="L2343" s="2" t="s">
        <v>88</v>
      </c>
      <c r="M2343" s="2">
        <v>1</v>
      </c>
      <c r="N2343" s="2" t="s">
        <v>69</v>
      </c>
      <c r="O2343" s="2" t="s">
        <v>70</v>
      </c>
      <c r="P2343" s="2" t="s">
        <v>26</v>
      </c>
    </row>
    <row r="2344" spans="1:16" x14ac:dyDescent="0.25">
      <c r="A2344" s="2" t="s">
        <v>5337</v>
      </c>
      <c r="B2344" s="2" t="s">
        <v>5692</v>
      </c>
      <c r="C2344" s="2">
        <v>9739</v>
      </c>
      <c r="D2344" s="2" t="s">
        <v>9334</v>
      </c>
      <c r="E2344" s="2" t="s">
        <v>6756</v>
      </c>
      <c r="F2344" s="2" t="s">
        <v>30</v>
      </c>
      <c r="G2344" s="2">
        <v>17450.72</v>
      </c>
      <c r="H2344" s="2">
        <v>10195.31</v>
      </c>
      <c r="I2344" s="2" t="s">
        <v>40</v>
      </c>
      <c r="J2344" s="2" t="s">
        <v>6793</v>
      </c>
      <c r="K2344" s="2" t="s">
        <v>32</v>
      </c>
      <c r="L2344" s="2" t="s">
        <v>88</v>
      </c>
      <c r="M2344" s="2">
        <v>4</v>
      </c>
      <c r="N2344" s="2" t="s">
        <v>24</v>
      </c>
      <c r="O2344" s="2" t="s">
        <v>25</v>
      </c>
      <c r="P2344" s="2" t="s">
        <v>26</v>
      </c>
    </row>
    <row r="2345" spans="1:16" x14ac:dyDescent="0.25">
      <c r="A2345" s="2" t="s">
        <v>5339</v>
      </c>
      <c r="B2345" s="2" t="s">
        <v>6840</v>
      </c>
      <c r="C2345" s="2">
        <v>7609</v>
      </c>
      <c r="D2345" s="2" t="s">
        <v>9335</v>
      </c>
      <c r="E2345" s="2" t="s">
        <v>18</v>
      </c>
      <c r="F2345" s="2" t="s">
        <v>39</v>
      </c>
      <c r="G2345" s="2">
        <v>38354.44</v>
      </c>
      <c r="H2345" s="2">
        <v>22899.32</v>
      </c>
      <c r="I2345" s="2" t="s">
        <v>20</v>
      </c>
      <c r="J2345" s="2" t="s">
        <v>21</v>
      </c>
      <c r="K2345" s="2" t="s">
        <v>80</v>
      </c>
      <c r="L2345" s="2" t="s">
        <v>48</v>
      </c>
      <c r="M2345" s="2">
        <v>2</v>
      </c>
      <c r="N2345" s="2" t="s">
        <v>24</v>
      </c>
      <c r="O2345" s="2" t="s">
        <v>25</v>
      </c>
      <c r="P2345" s="2" t="s">
        <v>34</v>
      </c>
    </row>
    <row r="2346" spans="1:16" x14ac:dyDescent="0.25">
      <c r="A2346" s="2" t="s">
        <v>5342</v>
      </c>
      <c r="B2346" s="2" t="s">
        <v>3123</v>
      </c>
      <c r="C2346" s="2">
        <v>2259</v>
      </c>
      <c r="D2346" s="2" t="s">
        <v>9336</v>
      </c>
      <c r="E2346" s="2" t="s">
        <v>6698</v>
      </c>
      <c r="F2346" s="2" t="s">
        <v>58</v>
      </c>
      <c r="G2346" s="2">
        <v>28981.119999999999</v>
      </c>
      <c r="H2346" s="2">
        <v>13920.64</v>
      </c>
      <c r="I2346" s="2" t="s">
        <v>6867</v>
      </c>
      <c r="J2346" s="2" t="s">
        <v>6724</v>
      </c>
      <c r="K2346" s="2" t="s">
        <v>80</v>
      </c>
      <c r="L2346" s="2" t="s">
        <v>88</v>
      </c>
      <c r="M2346" s="2">
        <v>5</v>
      </c>
      <c r="N2346" s="2" t="s">
        <v>69</v>
      </c>
      <c r="O2346" s="2" t="s">
        <v>70</v>
      </c>
      <c r="P2346" s="2" t="s">
        <v>49</v>
      </c>
    </row>
    <row r="2347" spans="1:16" x14ac:dyDescent="0.25">
      <c r="A2347" s="2" t="s">
        <v>5344</v>
      </c>
      <c r="B2347" s="2" t="s">
        <v>6214</v>
      </c>
      <c r="C2347" s="2">
        <v>3912</v>
      </c>
      <c r="D2347" s="2" t="s">
        <v>7199</v>
      </c>
      <c r="E2347" s="2" t="s">
        <v>38</v>
      </c>
      <c r="F2347" s="2" t="s">
        <v>47</v>
      </c>
      <c r="G2347" s="2">
        <v>16767.060000000001</v>
      </c>
      <c r="H2347" s="2">
        <v>8751.02</v>
      </c>
      <c r="I2347" s="2" t="s">
        <v>20</v>
      </c>
      <c r="J2347" s="2" t="s">
        <v>21</v>
      </c>
      <c r="K2347" s="2" t="s">
        <v>22</v>
      </c>
      <c r="L2347" s="2" t="s">
        <v>64</v>
      </c>
      <c r="M2347" s="2">
        <v>5</v>
      </c>
      <c r="N2347" s="2" t="s">
        <v>33</v>
      </c>
      <c r="O2347" s="2" t="s">
        <v>70</v>
      </c>
      <c r="P2347" s="2" t="s">
        <v>49</v>
      </c>
    </row>
    <row r="2348" spans="1:16" x14ac:dyDescent="0.25">
      <c r="A2348" s="2" t="s">
        <v>5345</v>
      </c>
      <c r="B2348" s="2" t="s">
        <v>1406</v>
      </c>
      <c r="C2348" s="2">
        <v>2587</v>
      </c>
      <c r="D2348" s="2" t="s">
        <v>7911</v>
      </c>
      <c r="E2348" s="2" t="s">
        <v>18</v>
      </c>
      <c r="F2348" s="2" t="s">
        <v>47</v>
      </c>
      <c r="G2348" s="2">
        <v>13062.49</v>
      </c>
      <c r="H2348" s="2">
        <v>6629.23</v>
      </c>
      <c r="I2348" s="2" t="s">
        <v>20</v>
      </c>
      <c r="J2348" s="2" t="s">
        <v>21</v>
      </c>
      <c r="K2348" s="2" t="s">
        <v>22</v>
      </c>
      <c r="L2348" s="2" t="s">
        <v>55</v>
      </c>
      <c r="M2348" s="2">
        <v>1</v>
      </c>
      <c r="N2348" s="2" t="s">
        <v>24</v>
      </c>
      <c r="O2348" s="2" t="s">
        <v>25</v>
      </c>
      <c r="P2348" s="2" t="s">
        <v>34</v>
      </c>
    </row>
    <row r="2349" spans="1:16" x14ac:dyDescent="0.25">
      <c r="A2349" s="2" t="s">
        <v>5347</v>
      </c>
      <c r="B2349" s="2" t="s">
        <v>4306</v>
      </c>
      <c r="C2349" s="2">
        <v>1447</v>
      </c>
      <c r="D2349" s="2" t="s">
        <v>1608</v>
      </c>
      <c r="E2349" s="2" t="s">
        <v>18</v>
      </c>
      <c r="F2349" s="2" t="s">
        <v>47</v>
      </c>
      <c r="G2349" s="2">
        <v>7447.71</v>
      </c>
      <c r="H2349" s="2">
        <v>3443.79</v>
      </c>
      <c r="I2349" s="2" t="s">
        <v>20</v>
      </c>
      <c r="J2349" s="2" t="s">
        <v>21</v>
      </c>
      <c r="K2349" s="2" t="s">
        <v>42</v>
      </c>
      <c r="L2349" s="2" t="s">
        <v>48</v>
      </c>
      <c r="M2349" s="2">
        <v>4</v>
      </c>
      <c r="N2349" s="2" t="s">
        <v>33</v>
      </c>
      <c r="O2349" s="2" t="s">
        <v>25</v>
      </c>
      <c r="P2349" s="2" t="s">
        <v>49</v>
      </c>
    </row>
    <row r="2350" spans="1:16" x14ac:dyDescent="0.25">
      <c r="A2350" s="2" t="s">
        <v>5349</v>
      </c>
      <c r="B2350" s="2" t="s">
        <v>1691</v>
      </c>
      <c r="C2350" s="2">
        <v>8705</v>
      </c>
      <c r="D2350" s="2" t="s">
        <v>9337</v>
      </c>
      <c r="E2350" s="2" t="s">
        <v>38</v>
      </c>
      <c r="F2350" s="2" t="s">
        <v>39</v>
      </c>
      <c r="G2350" s="2">
        <v>31723.919999999998</v>
      </c>
      <c r="H2350" s="2">
        <v>14309.49</v>
      </c>
      <c r="I2350" s="2" t="s">
        <v>20</v>
      </c>
      <c r="J2350" s="2" t="s">
        <v>21</v>
      </c>
      <c r="K2350" s="2" t="s">
        <v>42</v>
      </c>
      <c r="L2350" s="2" t="s">
        <v>64</v>
      </c>
      <c r="M2350" s="2">
        <v>5</v>
      </c>
      <c r="N2350" s="2" t="s">
        <v>69</v>
      </c>
      <c r="O2350" s="2" t="s">
        <v>70</v>
      </c>
      <c r="P2350" s="2" t="s">
        <v>34</v>
      </c>
    </row>
    <row r="2351" spans="1:16" x14ac:dyDescent="0.25">
      <c r="A2351" s="2" t="s">
        <v>5351</v>
      </c>
      <c r="B2351" s="2" t="s">
        <v>9338</v>
      </c>
      <c r="C2351" s="2">
        <v>9679</v>
      </c>
      <c r="D2351" s="2" t="s">
        <v>9339</v>
      </c>
      <c r="E2351" s="2" t="s">
        <v>18</v>
      </c>
      <c r="F2351" s="2" t="s">
        <v>39</v>
      </c>
      <c r="G2351" s="2">
        <v>6903.9</v>
      </c>
      <c r="H2351" s="2">
        <v>3735.62</v>
      </c>
      <c r="I2351" s="2" t="s">
        <v>68</v>
      </c>
      <c r="J2351" s="2" t="s">
        <v>6793</v>
      </c>
      <c r="K2351" s="2" t="s">
        <v>42</v>
      </c>
      <c r="L2351" s="2" t="s">
        <v>88</v>
      </c>
      <c r="M2351" s="2">
        <v>1</v>
      </c>
      <c r="N2351" s="2" t="s">
        <v>69</v>
      </c>
      <c r="O2351" s="2" t="s">
        <v>25</v>
      </c>
      <c r="P2351" s="2" t="s">
        <v>26</v>
      </c>
    </row>
    <row r="2352" spans="1:16" x14ac:dyDescent="0.25">
      <c r="A2352" s="2" t="s">
        <v>5353</v>
      </c>
      <c r="B2352" s="2" t="s">
        <v>3521</v>
      </c>
      <c r="C2352" s="2">
        <v>9882</v>
      </c>
      <c r="D2352" s="2" t="s">
        <v>9340</v>
      </c>
      <c r="E2352" s="2" t="s">
        <v>18</v>
      </c>
      <c r="F2352" s="2" t="s">
        <v>47</v>
      </c>
      <c r="G2352" s="2">
        <v>9274.24</v>
      </c>
      <c r="H2352" s="2">
        <v>4507.1899999999996</v>
      </c>
      <c r="I2352" s="2" t="s">
        <v>120</v>
      </c>
      <c r="J2352" s="2" t="s">
        <v>21</v>
      </c>
      <c r="K2352" s="2" t="s">
        <v>42</v>
      </c>
      <c r="L2352" s="2" t="s">
        <v>55</v>
      </c>
      <c r="M2352" s="2">
        <v>4</v>
      </c>
      <c r="N2352" s="2" t="s">
        <v>33</v>
      </c>
      <c r="O2352" s="2" t="s">
        <v>25</v>
      </c>
      <c r="P2352" s="2" t="s">
        <v>34</v>
      </c>
    </row>
    <row r="2353" spans="1:16" x14ac:dyDescent="0.25">
      <c r="A2353" s="2" t="s">
        <v>5355</v>
      </c>
      <c r="B2353" s="2" t="s">
        <v>9341</v>
      </c>
      <c r="C2353" s="2">
        <v>9785</v>
      </c>
      <c r="D2353" s="2" t="s">
        <v>9342</v>
      </c>
      <c r="E2353" s="2" t="s">
        <v>6680</v>
      </c>
      <c r="F2353" s="2" t="s">
        <v>39</v>
      </c>
      <c r="G2353" s="2">
        <v>9596.0400000000009</v>
      </c>
      <c r="H2353" s="2">
        <v>5934.6</v>
      </c>
      <c r="I2353" s="2" t="s">
        <v>6759</v>
      </c>
      <c r="J2353" s="2" t="s">
        <v>6686</v>
      </c>
      <c r="K2353" s="2" t="s">
        <v>22</v>
      </c>
      <c r="L2353" s="2" t="s">
        <v>55</v>
      </c>
      <c r="M2353" s="2">
        <v>2</v>
      </c>
      <c r="N2353" s="2" t="s">
        <v>33</v>
      </c>
      <c r="O2353" s="2" t="s">
        <v>25</v>
      </c>
      <c r="P2353" s="2" t="s">
        <v>26</v>
      </c>
    </row>
    <row r="2354" spans="1:16" x14ac:dyDescent="0.25">
      <c r="A2354" s="2" t="s">
        <v>5357</v>
      </c>
      <c r="B2354" s="2" t="s">
        <v>1682</v>
      </c>
      <c r="C2354" s="2">
        <v>2972</v>
      </c>
      <c r="D2354" s="2" t="s">
        <v>9343</v>
      </c>
      <c r="E2354" s="2" t="s">
        <v>6748</v>
      </c>
      <c r="F2354" s="2" t="s">
        <v>58</v>
      </c>
      <c r="G2354" s="2">
        <v>11248.35</v>
      </c>
      <c r="H2354" s="2">
        <v>5116.8999999999996</v>
      </c>
      <c r="I2354" s="2" t="s">
        <v>120</v>
      </c>
      <c r="J2354" s="2" t="s">
        <v>6696</v>
      </c>
      <c r="K2354" s="2" t="s">
        <v>22</v>
      </c>
      <c r="L2354" s="2" t="s">
        <v>88</v>
      </c>
      <c r="M2354" s="2">
        <v>1</v>
      </c>
      <c r="N2354" s="2" t="s">
        <v>33</v>
      </c>
      <c r="O2354" s="2" t="s">
        <v>70</v>
      </c>
      <c r="P2354" s="2" t="s">
        <v>26</v>
      </c>
    </row>
    <row r="2355" spans="1:16" x14ac:dyDescent="0.25">
      <c r="A2355" s="2" t="s">
        <v>5359</v>
      </c>
      <c r="B2355" s="2" t="s">
        <v>5379</v>
      </c>
      <c r="C2355" s="2">
        <v>4543</v>
      </c>
      <c r="D2355" s="2" t="s">
        <v>9344</v>
      </c>
      <c r="E2355" s="2" t="s">
        <v>6694</v>
      </c>
      <c r="F2355" s="2" t="s">
        <v>58</v>
      </c>
      <c r="G2355" s="2">
        <v>25494.41</v>
      </c>
      <c r="H2355" s="2">
        <v>15042.5</v>
      </c>
      <c r="I2355" s="2" t="s">
        <v>6794</v>
      </c>
      <c r="J2355" s="2" t="s">
        <v>6789</v>
      </c>
      <c r="K2355" s="2" t="s">
        <v>32</v>
      </c>
      <c r="L2355" s="2" t="s">
        <v>64</v>
      </c>
      <c r="M2355" s="2">
        <v>5</v>
      </c>
      <c r="N2355" s="2" t="s">
        <v>24</v>
      </c>
      <c r="O2355" s="2" t="s">
        <v>70</v>
      </c>
      <c r="P2355" s="2" t="s">
        <v>34</v>
      </c>
    </row>
    <row r="2356" spans="1:16" x14ac:dyDescent="0.25">
      <c r="A2356" s="2" t="s">
        <v>5361</v>
      </c>
      <c r="B2356" s="2" t="s">
        <v>4663</v>
      </c>
      <c r="C2356" s="2">
        <v>1793</v>
      </c>
      <c r="D2356" s="2" t="s">
        <v>9345</v>
      </c>
      <c r="E2356" s="2" t="s">
        <v>6698</v>
      </c>
      <c r="F2356" s="2" t="s">
        <v>47</v>
      </c>
      <c r="G2356" s="2">
        <v>20333.61</v>
      </c>
      <c r="H2356" s="2">
        <v>10642.48</v>
      </c>
      <c r="I2356" s="2" t="s">
        <v>84</v>
      </c>
      <c r="J2356" s="2" t="s">
        <v>6729</v>
      </c>
      <c r="K2356" s="2" t="s">
        <v>32</v>
      </c>
      <c r="L2356" s="2" t="s">
        <v>64</v>
      </c>
      <c r="M2356" s="2">
        <v>1</v>
      </c>
      <c r="N2356" s="2" t="s">
        <v>33</v>
      </c>
      <c r="O2356" s="2" t="s">
        <v>25</v>
      </c>
      <c r="P2356" s="2" t="s">
        <v>26</v>
      </c>
    </row>
    <row r="2357" spans="1:16" x14ac:dyDescent="0.25">
      <c r="A2357" s="2" t="s">
        <v>5363</v>
      </c>
      <c r="B2357" s="2" t="s">
        <v>9346</v>
      </c>
      <c r="C2357" s="2">
        <v>7379</v>
      </c>
      <c r="D2357" s="2" t="s">
        <v>9347</v>
      </c>
      <c r="E2357" s="2" t="s">
        <v>6698</v>
      </c>
      <c r="F2357" s="2" t="s">
        <v>47</v>
      </c>
      <c r="G2357" s="2">
        <v>10027.82</v>
      </c>
      <c r="H2357" s="2">
        <v>5376.27</v>
      </c>
      <c r="I2357" s="2" t="s">
        <v>6695</v>
      </c>
      <c r="J2357" s="2" t="s">
        <v>6696</v>
      </c>
      <c r="K2357" s="2" t="s">
        <v>32</v>
      </c>
      <c r="L2357" s="2" t="s">
        <v>64</v>
      </c>
      <c r="M2357" s="2">
        <v>3</v>
      </c>
      <c r="N2357" s="2" t="s">
        <v>24</v>
      </c>
      <c r="O2357" s="2" t="s">
        <v>25</v>
      </c>
      <c r="P2357" s="2" t="s">
        <v>49</v>
      </c>
    </row>
    <row r="2358" spans="1:16" x14ac:dyDescent="0.25">
      <c r="A2358" s="2" t="s">
        <v>5365</v>
      </c>
      <c r="B2358" s="2" t="s">
        <v>600</v>
      </c>
      <c r="C2358" s="2">
        <v>6236</v>
      </c>
      <c r="D2358" s="2" t="s">
        <v>9348</v>
      </c>
      <c r="E2358" s="2" t="s">
        <v>32</v>
      </c>
      <c r="F2358" s="2" t="s">
        <v>19</v>
      </c>
      <c r="G2358" s="2">
        <v>12588.1</v>
      </c>
      <c r="H2358" s="2">
        <v>6625.05</v>
      </c>
      <c r="I2358" s="2" t="s">
        <v>6761</v>
      </c>
      <c r="J2358" s="2" t="s">
        <v>6705</v>
      </c>
      <c r="K2358" s="2" t="s">
        <v>32</v>
      </c>
      <c r="L2358" s="2" t="s">
        <v>48</v>
      </c>
      <c r="M2358" s="2">
        <v>1</v>
      </c>
      <c r="N2358" s="2" t="s">
        <v>24</v>
      </c>
      <c r="O2358" s="2" t="s">
        <v>70</v>
      </c>
      <c r="P2358" s="2" t="s">
        <v>49</v>
      </c>
    </row>
    <row r="2359" spans="1:16" x14ac:dyDescent="0.25">
      <c r="A2359" s="2" t="s">
        <v>5367</v>
      </c>
      <c r="B2359" s="2" t="s">
        <v>9349</v>
      </c>
      <c r="C2359" s="2">
        <v>4943</v>
      </c>
      <c r="D2359" s="2" t="s">
        <v>9350</v>
      </c>
      <c r="E2359" s="2" t="s">
        <v>6756</v>
      </c>
      <c r="F2359" s="2" t="s">
        <v>58</v>
      </c>
      <c r="G2359" s="2">
        <v>18891.88</v>
      </c>
      <c r="H2359" s="2">
        <v>10485.57</v>
      </c>
      <c r="I2359" s="2" t="s">
        <v>68</v>
      </c>
      <c r="J2359" s="2" t="s">
        <v>6682</v>
      </c>
      <c r="K2359" s="2" t="s">
        <v>32</v>
      </c>
      <c r="L2359" s="2" t="s">
        <v>55</v>
      </c>
      <c r="M2359" s="2">
        <v>5</v>
      </c>
      <c r="N2359" s="2" t="s">
        <v>33</v>
      </c>
      <c r="O2359" s="2" t="s">
        <v>70</v>
      </c>
      <c r="P2359" s="2" t="s">
        <v>34</v>
      </c>
    </row>
    <row r="2360" spans="1:16" x14ac:dyDescent="0.25">
      <c r="A2360" s="2" t="s">
        <v>5369</v>
      </c>
      <c r="B2360" s="2" t="s">
        <v>1014</v>
      </c>
      <c r="C2360" s="2">
        <v>8024</v>
      </c>
      <c r="D2360" s="2" t="s">
        <v>6518</v>
      </c>
      <c r="E2360" s="2" t="s">
        <v>38</v>
      </c>
      <c r="F2360" s="2" t="s">
        <v>39</v>
      </c>
      <c r="G2360" s="2">
        <v>33631.449999999997</v>
      </c>
      <c r="H2360" s="2">
        <v>20594.419999999998</v>
      </c>
      <c r="I2360" s="2" t="s">
        <v>53</v>
      </c>
      <c r="J2360" s="2" t="s">
        <v>54</v>
      </c>
      <c r="K2360" s="2" t="s">
        <v>32</v>
      </c>
      <c r="L2360" s="2" t="s">
        <v>64</v>
      </c>
      <c r="M2360" s="2">
        <v>1</v>
      </c>
      <c r="N2360" s="2" t="s">
        <v>24</v>
      </c>
      <c r="O2360" s="2" t="s">
        <v>25</v>
      </c>
      <c r="P2360" s="2" t="s">
        <v>34</v>
      </c>
    </row>
    <row r="2361" spans="1:16" x14ac:dyDescent="0.25">
      <c r="A2361" s="2" t="s">
        <v>5371</v>
      </c>
      <c r="B2361" s="2" t="s">
        <v>9351</v>
      </c>
      <c r="C2361" s="2">
        <v>8954</v>
      </c>
      <c r="D2361" s="2" t="s">
        <v>9352</v>
      </c>
      <c r="E2361" s="2" t="s">
        <v>6694</v>
      </c>
      <c r="F2361" s="2" t="s">
        <v>58</v>
      </c>
      <c r="G2361" s="2">
        <v>31747.919999999998</v>
      </c>
      <c r="H2361" s="2">
        <v>19640.12</v>
      </c>
      <c r="I2361" s="2" t="s">
        <v>6794</v>
      </c>
      <c r="J2361" s="2" t="s">
        <v>6724</v>
      </c>
      <c r="K2361" s="2" t="s">
        <v>32</v>
      </c>
      <c r="L2361" s="2" t="s">
        <v>23</v>
      </c>
      <c r="M2361" s="2">
        <v>2</v>
      </c>
      <c r="N2361" s="2" t="s">
        <v>69</v>
      </c>
      <c r="O2361" s="2" t="s">
        <v>25</v>
      </c>
      <c r="P2361" s="2" t="s">
        <v>34</v>
      </c>
    </row>
    <row r="2362" spans="1:16" x14ac:dyDescent="0.25">
      <c r="A2362" s="2" t="s">
        <v>5374</v>
      </c>
      <c r="B2362" s="2" t="s">
        <v>9353</v>
      </c>
      <c r="C2362" s="2">
        <v>3270</v>
      </c>
      <c r="D2362" s="2" t="s">
        <v>9354</v>
      </c>
      <c r="E2362" s="2" t="s">
        <v>18</v>
      </c>
      <c r="F2362" s="2" t="s">
        <v>30</v>
      </c>
      <c r="G2362" s="2">
        <v>11008.99</v>
      </c>
      <c r="H2362" s="2">
        <v>6070.38</v>
      </c>
      <c r="I2362" s="2" t="s">
        <v>6752</v>
      </c>
      <c r="J2362" s="2" t="s">
        <v>6691</v>
      </c>
      <c r="K2362" s="2" t="s">
        <v>80</v>
      </c>
      <c r="L2362" s="2" t="s">
        <v>23</v>
      </c>
      <c r="M2362" s="2">
        <v>4</v>
      </c>
      <c r="N2362" s="2" t="s">
        <v>24</v>
      </c>
      <c r="O2362" s="2" t="s">
        <v>70</v>
      </c>
      <c r="P2362" s="2" t="s">
        <v>49</v>
      </c>
    </row>
    <row r="2363" spans="1:16" x14ac:dyDescent="0.25">
      <c r="A2363" s="2" t="s">
        <v>5376</v>
      </c>
      <c r="B2363" s="2" t="s">
        <v>9355</v>
      </c>
      <c r="C2363" s="2">
        <v>9578</v>
      </c>
      <c r="D2363" s="2" t="s">
        <v>6252</v>
      </c>
      <c r="E2363" s="2" t="s">
        <v>18</v>
      </c>
      <c r="F2363" s="2" t="s">
        <v>58</v>
      </c>
      <c r="G2363" s="2">
        <v>30288.01</v>
      </c>
      <c r="H2363" s="2">
        <v>14596.57</v>
      </c>
      <c r="I2363" s="2" t="s">
        <v>6681</v>
      </c>
      <c r="J2363" s="2" t="s">
        <v>6793</v>
      </c>
      <c r="K2363" s="2" t="s">
        <v>22</v>
      </c>
      <c r="L2363" s="2" t="s">
        <v>88</v>
      </c>
      <c r="M2363" s="2">
        <v>2</v>
      </c>
      <c r="N2363" s="2" t="s">
        <v>33</v>
      </c>
      <c r="O2363" s="2" t="s">
        <v>25</v>
      </c>
      <c r="P2363" s="2" t="s">
        <v>34</v>
      </c>
    </row>
    <row r="2364" spans="1:16" x14ac:dyDescent="0.25">
      <c r="A2364" s="2" t="s">
        <v>5378</v>
      </c>
      <c r="B2364" s="2" t="s">
        <v>9356</v>
      </c>
      <c r="C2364" s="2">
        <v>2652</v>
      </c>
      <c r="D2364" s="2" t="s">
        <v>9357</v>
      </c>
      <c r="E2364" s="2" t="s">
        <v>38</v>
      </c>
      <c r="F2364" s="2" t="s">
        <v>30</v>
      </c>
      <c r="G2364" s="2">
        <v>71840.710000000006</v>
      </c>
      <c r="H2364" s="2">
        <v>38691.480000000003</v>
      </c>
      <c r="I2364" s="2" t="s">
        <v>31</v>
      </c>
      <c r="J2364" s="2" t="s">
        <v>21</v>
      </c>
      <c r="K2364" s="2" t="s">
        <v>32</v>
      </c>
      <c r="L2364" s="2" t="s">
        <v>55</v>
      </c>
      <c r="M2364" s="2">
        <v>1</v>
      </c>
      <c r="N2364" s="2" t="s">
        <v>24</v>
      </c>
      <c r="O2364" s="2" t="s">
        <v>25</v>
      </c>
      <c r="P2364" s="2" t="s">
        <v>34</v>
      </c>
    </row>
    <row r="2365" spans="1:16" x14ac:dyDescent="0.25">
      <c r="A2365" s="2" t="s">
        <v>5381</v>
      </c>
      <c r="B2365" s="2" t="s">
        <v>4055</v>
      </c>
      <c r="C2365" s="2">
        <v>9695</v>
      </c>
      <c r="D2365" s="2" t="s">
        <v>9358</v>
      </c>
      <c r="E2365" s="2" t="s">
        <v>38</v>
      </c>
      <c r="F2365" s="2" t="s">
        <v>47</v>
      </c>
      <c r="G2365" s="2">
        <v>11264.71</v>
      </c>
      <c r="H2365" s="2">
        <v>5169.43</v>
      </c>
      <c r="I2365" s="2" t="s">
        <v>84</v>
      </c>
      <c r="J2365" s="2" t="s">
        <v>54</v>
      </c>
      <c r="K2365" s="2" t="s">
        <v>42</v>
      </c>
      <c r="L2365" s="2" t="s">
        <v>43</v>
      </c>
      <c r="M2365" s="2">
        <v>2</v>
      </c>
      <c r="N2365" s="2" t="s">
        <v>33</v>
      </c>
      <c r="O2365" s="2" t="s">
        <v>25</v>
      </c>
      <c r="P2365" s="2" t="s">
        <v>34</v>
      </c>
    </row>
    <row r="2366" spans="1:16" x14ac:dyDescent="0.25">
      <c r="A2366" s="2" t="s">
        <v>5383</v>
      </c>
      <c r="B2366" s="2" t="s">
        <v>9359</v>
      </c>
      <c r="C2366" s="2">
        <v>3994</v>
      </c>
      <c r="D2366" s="2" t="s">
        <v>7697</v>
      </c>
      <c r="E2366" s="2" t="s">
        <v>6694</v>
      </c>
      <c r="F2366" s="2" t="s">
        <v>47</v>
      </c>
      <c r="G2366" s="2">
        <v>4490.9399999999996</v>
      </c>
      <c r="H2366" s="2">
        <v>2622.68</v>
      </c>
      <c r="I2366" s="2" t="s">
        <v>6799</v>
      </c>
      <c r="J2366" s="2" t="s">
        <v>6732</v>
      </c>
      <c r="K2366" s="2" t="s">
        <v>22</v>
      </c>
      <c r="L2366" s="2" t="s">
        <v>64</v>
      </c>
      <c r="M2366" s="2">
        <v>4</v>
      </c>
      <c r="N2366" s="2" t="s">
        <v>24</v>
      </c>
      <c r="O2366" s="2" t="s">
        <v>25</v>
      </c>
      <c r="P2366" s="2" t="s">
        <v>26</v>
      </c>
    </row>
    <row r="2367" spans="1:16" x14ac:dyDescent="0.25">
      <c r="A2367" s="2" t="s">
        <v>5384</v>
      </c>
      <c r="B2367" s="2" t="s">
        <v>9360</v>
      </c>
      <c r="C2367" s="2">
        <v>1141</v>
      </c>
      <c r="D2367" s="2" t="s">
        <v>6478</v>
      </c>
      <c r="E2367" s="2" t="s">
        <v>18</v>
      </c>
      <c r="F2367" s="2" t="s">
        <v>39</v>
      </c>
      <c r="G2367" s="2">
        <v>16267.01</v>
      </c>
      <c r="H2367" s="2">
        <v>7882.92</v>
      </c>
      <c r="I2367" s="2" t="s">
        <v>120</v>
      </c>
      <c r="J2367" s="2" t="s">
        <v>21</v>
      </c>
      <c r="K2367" s="2" t="s">
        <v>42</v>
      </c>
      <c r="L2367" s="2" t="s">
        <v>48</v>
      </c>
      <c r="M2367" s="2">
        <v>2</v>
      </c>
      <c r="N2367" s="2" t="s">
        <v>33</v>
      </c>
      <c r="O2367" s="2" t="s">
        <v>25</v>
      </c>
      <c r="P2367" s="2" t="s">
        <v>49</v>
      </c>
    </row>
    <row r="2368" spans="1:16" x14ac:dyDescent="0.25">
      <c r="A2368" s="2" t="s">
        <v>5386</v>
      </c>
      <c r="B2368" s="2" t="s">
        <v>1948</v>
      </c>
      <c r="C2368" s="2">
        <v>6243</v>
      </c>
      <c r="D2368" s="2" t="s">
        <v>5368</v>
      </c>
      <c r="E2368" s="2" t="s">
        <v>38</v>
      </c>
      <c r="F2368" s="2" t="s">
        <v>58</v>
      </c>
      <c r="G2368" s="2">
        <v>34998.699999999997</v>
      </c>
      <c r="H2368" s="2">
        <v>20205.48</v>
      </c>
      <c r="I2368" s="2" t="s">
        <v>120</v>
      </c>
      <c r="J2368" s="2" t="s">
        <v>21</v>
      </c>
      <c r="K2368" s="2" t="s">
        <v>32</v>
      </c>
      <c r="L2368" s="2" t="s">
        <v>48</v>
      </c>
      <c r="M2368" s="2">
        <v>4</v>
      </c>
      <c r="N2368" s="2" t="s">
        <v>33</v>
      </c>
      <c r="O2368" s="2" t="s">
        <v>25</v>
      </c>
      <c r="P2368" s="2" t="s">
        <v>26</v>
      </c>
    </row>
    <row r="2369" spans="1:16" x14ac:dyDescent="0.25">
      <c r="A2369" s="2" t="s">
        <v>5388</v>
      </c>
      <c r="B2369" s="2" t="s">
        <v>7726</v>
      </c>
      <c r="C2369" s="2">
        <v>8872</v>
      </c>
      <c r="D2369" s="2" t="s">
        <v>7790</v>
      </c>
      <c r="E2369" s="2" t="s">
        <v>38</v>
      </c>
      <c r="F2369" s="2" t="s">
        <v>19</v>
      </c>
      <c r="G2369" s="2">
        <v>20999.32</v>
      </c>
      <c r="H2369" s="2">
        <v>10508.19</v>
      </c>
      <c r="I2369" s="2" t="s">
        <v>53</v>
      </c>
      <c r="J2369" s="2" t="s">
        <v>54</v>
      </c>
      <c r="K2369" s="2" t="s">
        <v>32</v>
      </c>
      <c r="L2369" s="2" t="s">
        <v>55</v>
      </c>
      <c r="M2369" s="2">
        <v>4</v>
      </c>
      <c r="N2369" s="2" t="s">
        <v>69</v>
      </c>
      <c r="O2369" s="2" t="s">
        <v>25</v>
      </c>
      <c r="P2369" s="2" t="s">
        <v>26</v>
      </c>
    </row>
    <row r="2370" spans="1:16" x14ac:dyDescent="0.25">
      <c r="A2370" s="2" t="s">
        <v>5391</v>
      </c>
      <c r="B2370" s="2" t="s">
        <v>6524</v>
      </c>
      <c r="C2370" s="2">
        <v>1524</v>
      </c>
      <c r="D2370" s="2" t="s">
        <v>9361</v>
      </c>
      <c r="E2370" s="2" t="s">
        <v>38</v>
      </c>
      <c r="F2370" s="2" t="s">
        <v>47</v>
      </c>
      <c r="G2370" s="2">
        <v>17679.75</v>
      </c>
      <c r="H2370" s="2">
        <v>11214.58</v>
      </c>
      <c r="I2370" s="2" t="s">
        <v>84</v>
      </c>
      <c r="J2370" s="2" t="s">
        <v>54</v>
      </c>
      <c r="K2370" s="2" t="s">
        <v>80</v>
      </c>
      <c r="L2370" s="2" t="s">
        <v>43</v>
      </c>
      <c r="M2370" s="2">
        <v>3</v>
      </c>
      <c r="N2370" s="2" t="s">
        <v>24</v>
      </c>
      <c r="O2370" s="2" t="s">
        <v>25</v>
      </c>
      <c r="P2370" s="2" t="s">
        <v>26</v>
      </c>
    </row>
    <row r="2371" spans="1:16" x14ac:dyDescent="0.25">
      <c r="A2371" s="2" t="s">
        <v>5393</v>
      </c>
      <c r="B2371" s="2" t="s">
        <v>9362</v>
      </c>
      <c r="C2371" s="2">
        <v>8959</v>
      </c>
      <c r="D2371" s="2" t="s">
        <v>9363</v>
      </c>
      <c r="E2371" s="2" t="s">
        <v>6708</v>
      </c>
      <c r="F2371" s="2" t="s">
        <v>39</v>
      </c>
      <c r="G2371" s="2">
        <v>52203.72</v>
      </c>
      <c r="H2371" s="2">
        <v>27072.27</v>
      </c>
      <c r="I2371" s="2" t="s">
        <v>6759</v>
      </c>
      <c r="J2371" s="2" t="s">
        <v>6729</v>
      </c>
      <c r="K2371" s="2" t="s">
        <v>32</v>
      </c>
      <c r="L2371" s="2" t="s">
        <v>88</v>
      </c>
      <c r="M2371" s="2">
        <v>3</v>
      </c>
      <c r="N2371" s="2" t="s">
        <v>24</v>
      </c>
      <c r="O2371" s="2" t="s">
        <v>25</v>
      </c>
      <c r="P2371" s="2" t="s">
        <v>34</v>
      </c>
    </row>
    <row r="2372" spans="1:16" x14ac:dyDescent="0.25">
      <c r="A2372" s="2" t="s">
        <v>5395</v>
      </c>
      <c r="B2372" s="2" t="s">
        <v>1685</v>
      </c>
      <c r="C2372" s="2">
        <v>7881</v>
      </c>
      <c r="D2372" s="2" t="s">
        <v>9364</v>
      </c>
      <c r="E2372" s="2" t="s">
        <v>38</v>
      </c>
      <c r="F2372" s="2" t="s">
        <v>30</v>
      </c>
      <c r="G2372" s="2">
        <v>71200.12</v>
      </c>
      <c r="H2372" s="2">
        <v>32661.94</v>
      </c>
      <c r="I2372" s="2" t="s">
        <v>31</v>
      </c>
      <c r="J2372" s="2" t="s">
        <v>21</v>
      </c>
      <c r="K2372" s="2" t="s">
        <v>22</v>
      </c>
      <c r="L2372" s="2" t="s">
        <v>55</v>
      </c>
      <c r="M2372" s="2">
        <v>3</v>
      </c>
      <c r="N2372" s="2" t="s">
        <v>69</v>
      </c>
      <c r="O2372" s="2" t="s">
        <v>25</v>
      </c>
      <c r="P2372" s="2" t="s">
        <v>26</v>
      </c>
    </row>
    <row r="2373" spans="1:16" x14ac:dyDescent="0.25">
      <c r="A2373" s="2" t="s">
        <v>5396</v>
      </c>
      <c r="B2373" s="2" t="s">
        <v>278</v>
      </c>
      <c r="C2373" s="2">
        <v>4876</v>
      </c>
      <c r="D2373" s="2" t="s">
        <v>5230</v>
      </c>
      <c r="E2373" s="2" t="s">
        <v>18</v>
      </c>
      <c r="F2373" s="2" t="s">
        <v>30</v>
      </c>
      <c r="G2373" s="2">
        <v>97503.06</v>
      </c>
      <c r="H2373" s="2">
        <v>60146.05</v>
      </c>
      <c r="I2373" s="2" t="s">
        <v>63</v>
      </c>
      <c r="J2373" s="2" t="s">
        <v>54</v>
      </c>
      <c r="K2373" s="2" t="s">
        <v>80</v>
      </c>
      <c r="L2373" s="2" t="s">
        <v>23</v>
      </c>
      <c r="M2373" s="2">
        <v>2</v>
      </c>
      <c r="N2373" s="2" t="s">
        <v>33</v>
      </c>
      <c r="O2373" s="2" t="s">
        <v>70</v>
      </c>
      <c r="P2373" s="2" t="s">
        <v>34</v>
      </c>
    </row>
    <row r="2374" spans="1:16" x14ac:dyDescent="0.25">
      <c r="A2374" s="2" t="s">
        <v>5398</v>
      </c>
      <c r="B2374" s="2" t="s">
        <v>547</v>
      </c>
      <c r="C2374" s="2">
        <v>4713</v>
      </c>
      <c r="D2374" s="2" t="s">
        <v>9365</v>
      </c>
      <c r="E2374" s="2" t="s">
        <v>38</v>
      </c>
      <c r="F2374" s="2" t="s">
        <v>30</v>
      </c>
      <c r="G2374" s="2">
        <v>51631.78</v>
      </c>
      <c r="H2374" s="2">
        <v>28368.95</v>
      </c>
      <c r="I2374" s="2" t="s">
        <v>20</v>
      </c>
      <c r="J2374" s="2" t="s">
        <v>21</v>
      </c>
      <c r="K2374" s="2" t="s">
        <v>22</v>
      </c>
      <c r="L2374" s="2" t="s">
        <v>43</v>
      </c>
      <c r="M2374" s="2">
        <v>3</v>
      </c>
      <c r="N2374" s="2" t="s">
        <v>33</v>
      </c>
      <c r="O2374" s="2" t="s">
        <v>70</v>
      </c>
      <c r="P2374" s="2" t="s">
        <v>26</v>
      </c>
    </row>
    <row r="2375" spans="1:16" x14ac:dyDescent="0.25">
      <c r="A2375" s="2" t="s">
        <v>5400</v>
      </c>
      <c r="B2375" s="2" t="s">
        <v>946</v>
      </c>
      <c r="C2375" s="2">
        <v>6990</v>
      </c>
      <c r="D2375" s="2" t="s">
        <v>9366</v>
      </c>
      <c r="E2375" s="2" t="s">
        <v>18</v>
      </c>
      <c r="F2375" s="2" t="s">
        <v>58</v>
      </c>
      <c r="G2375" s="2">
        <v>20373.55</v>
      </c>
      <c r="H2375" s="2">
        <v>9296.27</v>
      </c>
      <c r="I2375" s="2" t="s">
        <v>40</v>
      </c>
      <c r="J2375" s="2" t="s">
        <v>41</v>
      </c>
      <c r="K2375" s="2" t="s">
        <v>22</v>
      </c>
      <c r="L2375" s="2" t="s">
        <v>23</v>
      </c>
      <c r="M2375" s="2">
        <v>4</v>
      </c>
      <c r="N2375" s="2" t="s">
        <v>33</v>
      </c>
      <c r="O2375" s="2" t="s">
        <v>25</v>
      </c>
      <c r="P2375" s="2" t="s">
        <v>34</v>
      </c>
    </row>
    <row r="2376" spans="1:16" x14ac:dyDescent="0.25">
      <c r="A2376" s="2" t="s">
        <v>5402</v>
      </c>
      <c r="B2376" s="2" t="s">
        <v>3453</v>
      </c>
      <c r="C2376" s="2">
        <v>2369</v>
      </c>
      <c r="D2376" s="2" t="s">
        <v>9367</v>
      </c>
      <c r="E2376" s="2" t="s">
        <v>18</v>
      </c>
      <c r="F2376" s="2" t="s">
        <v>58</v>
      </c>
      <c r="G2376" s="2">
        <v>13437.61</v>
      </c>
      <c r="H2376" s="2">
        <v>6332.82</v>
      </c>
      <c r="I2376" s="2" t="s">
        <v>53</v>
      </c>
      <c r="J2376" s="2" t="s">
        <v>54</v>
      </c>
      <c r="K2376" s="2" t="s">
        <v>80</v>
      </c>
      <c r="L2376" s="2" t="s">
        <v>88</v>
      </c>
      <c r="M2376" s="2">
        <v>5</v>
      </c>
      <c r="N2376" s="2" t="s">
        <v>69</v>
      </c>
      <c r="O2376" s="2" t="s">
        <v>25</v>
      </c>
      <c r="P2376" s="2" t="s">
        <v>34</v>
      </c>
    </row>
    <row r="2377" spans="1:16" x14ac:dyDescent="0.25">
      <c r="A2377" s="2" t="s">
        <v>5404</v>
      </c>
      <c r="B2377" s="2" t="s">
        <v>561</v>
      </c>
      <c r="C2377" s="2">
        <v>3134</v>
      </c>
      <c r="D2377" s="2" t="s">
        <v>9368</v>
      </c>
      <c r="E2377" s="2" t="s">
        <v>38</v>
      </c>
      <c r="F2377" s="2" t="s">
        <v>58</v>
      </c>
      <c r="G2377" s="2">
        <v>52358.42</v>
      </c>
      <c r="H2377" s="2">
        <v>32589.93</v>
      </c>
      <c r="I2377" s="2" t="s">
        <v>63</v>
      </c>
      <c r="J2377" s="2" t="s">
        <v>54</v>
      </c>
      <c r="K2377" s="2" t="s">
        <v>32</v>
      </c>
      <c r="L2377" s="2" t="s">
        <v>55</v>
      </c>
      <c r="M2377" s="2">
        <v>3</v>
      </c>
      <c r="N2377" s="2" t="s">
        <v>33</v>
      </c>
      <c r="O2377" s="2" t="s">
        <v>70</v>
      </c>
      <c r="P2377" s="2" t="s">
        <v>34</v>
      </c>
    </row>
    <row r="2378" spans="1:16" x14ac:dyDescent="0.25">
      <c r="A2378" s="2" t="s">
        <v>5405</v>
      </c>
      <c r="B2378" s="2" t="s">
        <v>4428</v>
      </c>
      <c r="C2378" s="2">
        <v>9176</v>
      </c>
      <c r="D2378" s="2" t="s">
        <v>9369</v>
      </c>
      <c r="E2378" s="2" t="s">
        <v>6756</v>
      </c>
      <c r="F2378" s="2" t="s">
        <v>47</v>
      </c>
      <c r="G2378" s="2">
        <v>5144.03</v>
      </c>
      <c r="H2378" s="2">
        <v>2738.34</v>
      </c>
      <c r="I2378" s="2" t="s">
        <v>6771</v>
      </c>
      <c r="J2378" s="2" t="s">
        <v>21</v>
      </c>
      <c r="K2378" s="2" t="s">
        <v>80</v>
      </c>
      <c r="L2378" s="2" t="s">
        <v>88</v>
      </c>
      <c r="M2378" s="2">
        <v>4</v>
      </c>
      <c r="N2378" s="2" t="s">
        <v>24</v>
      </c>
      <c r="O2378" s="2" t="s">
        <v>25</v>
      </c>
      <c r="P2378" s="2" t="s">
        <v>49</v>
      </c>
    </row>
    <row r="2379" spans="1:16" x14ac:dyDescent="0.25">
      <c r="A2379" s="2" t="s">
        <v>5407</v>
      </c>
      <c r="B2379" s="2" t="s">
        <v>9370</v>
      </c>
      <c r="C2379" s="2">
        <v>3405</v>
      </c>
      <c r="D2379" s="2" t="s">
        <v>9371</v>
      </c>
      <c r="E2379" s="2" t="s">
        <v>6698</v>
      </c>
      <c r="F2379" s="2" t="s">
        <v>58</v>
      </c>
      <c r="G2379" s="2">
        <v>7969.87</v>
      </c>
      <c r="H2379" s="2">
        <v>3622.22</v>
      </c>
      <c r="I2379" s="2" t="s">
        <v>6799</v>
      </c>
      <c r="J2379" s="2" t="s">
        <v>6732</v>
      </c>
      <c r="K2379" s="2" t="s">
        <v>42</v>
      </c>
      <c r="L2379" s="2" t="s">
        <v>23</v>
      </c>
      <c r="M2379" s="2">
        <v>2</v>
      </c>
      <c r="N2379" s="2" t="s">
        <v>69</v>
      </c>
      <c r="O2379" s="2" t="s">
        <v>70</v>
      </c>
      <c r="P2379" s="2" t="s">
        <v>34</v>
      </c>
    </row>
    <row r="2381" spans="1:16" x14ac:dyDescent="0.25">
      <c r="A2381" s="2" t="s">
        <v>5409</v>
      </c>
      <c r="B2381" s="2" t="s">
        <v>9372</v>
      </c>
      <c r="C2381" s="2">
        <v>4153</v>
      </c>
      <c r="D2381" s="2" t="s">
        <v>9137</v>
      </c>
      <c r="E2381" s="2" t="s">
        <v>6698</v>
      </c>
      <c r="F2381" s="2" t="s">
        <v>19</v>
      </c>
      <c r="G2381" s="2">
        <v>16105.15</v>
      </c>
      <c r="H2381" s="2">
        <v>8826.73</v>
      </c>
      <c r="I2381" s="2" t="s">
        <v>6728</v>
      </c>
      <c r="J2381" s="2" t="s">
        <v>6686</v>
      </c>
      <c r="K2381" s="2" t="s">
        <v>42</v>
      </c>
      <c r="L2381" s="2" t="s">
        <v>55</v>
      </c>
      <c r="M2381" s="2">
        <v>1</v>
      </c>
      <c r="N2381" s="2" t="s">
        <v>69</v>
      </c>
      <c r="O2381" s="2" t="s">
        <v>25</v>
      </c>
      <c r="P2381" s="2" t="s">
        <v>49</v>
      </c>
    </row>
    <row r="2382" spans="1:16" x14ac:dyDescent="0.25">
      <c r="A2382" s="2" t="s">
        <v>5411</v>
      </c>
      <c r="B2382" s="2" t="s">
        <v>1282</v>
      </c>
      <c r="C2382" s="2">
        <v>9086</v>
      </c>
      <c r="D2382" s="2" t="s">
        <v>9373</v>
      </c>
      <c r="E2382" s="2" t="s">
        <v>38</v>
      </c>
      <c r="F2382" s="2" t="s">
        <v>30</v>
      </c>
      <c r="G2382" s="2">
        <v>45847</v>
      </c>
      <c r="H2382" s="2">
        <v>27405.279999999999</v>
      </c>
      <c r="I2382" s="2" t="s">
        <v>40</v>
      </c>
      <c r="J2382" s="2" t="s">
        <v>41</v>
      </c>
      <c r="K2382" s="2" t="s">
        <v>22</v>
      </c>
      <c r="L2382" s="2" t="s">
        <v>88</v>
      </c>
      <c r="M2382" s="2">
        <v>1</v>
      </c>
      <c r="N2382" s="2" t="s">
        <v>24</v>
      </c>
      <c r="O2382" s="2" t="s">
        <v>70</v>
      </c>
      <c r="P2382" s="2" t="s">
        <v>26</v>
      </c>
    </row>
    <row r="2383" spans="1:16" x14ac:dyDescent="0.25">
      <c r="A2383" s="2" t="s">
        <v>5414</v>
      </c>
      <c r="B2383" s="2" t="s">
        <v>651</v>
      </c>
      <c r="C2383" s="2">
        <v>2621</v>
      </c>
      <c r="D2383" s="2" t="s">
        <v>9374</v>
      </c>
      <c r="E2383" s="2" t="s">
        <v>38</v>
      </c>
      <c r="F2383" s="2" t="s">
        <v>19</v>
      </c>
      <c r="G2383" s="2">
        <v>15836.87</v>
      </c>
      <c r="H2383" s="2">
        <v>7993.75</v>
      </c>
      <c r="I2383" s="2" t="s">
        <v>40</v>
      </c>
      <c r="J2383" s="2" t="s">
        <v>41</v>
      </c>
      <c r="K2383" s="2" t="s">
        <v>32</v>
      </c>
      <c r="L2383" s="2" t="s">
        <v>55</v>
      </c>
      <c r="M2383" s="2">
        <v>2</v>
      </c>
      <c r="N2383" s="2" t="s">
        <v>24</v>
      </c>
      <c r="O2383" s="2" t="s">
        <v>70</v>
      </c>
      <c r="P2383" s="2" t="s">
        <v>49</v>
      </c>
    </row>
    <row r="2384" spans="1:16" x14ac:dyDescent="0.25">
      <c r="A2384" s="2" t="s">
        <v>5416</v>
      </c>
      <c r="B2384" s="2" t="s">
        <v>651</v>
      </c>
      <c r="C2384" s="2">
        <v>3383</v>
      </c>
      <c r="D2384" s="2" t="s">
        <v>2626</v>
      </c>
      <c r="E2384" s="2" t="s">
        <v>38</v>
      </c>
      <c r="F2384" s="2" t="s">
        <v>39</v>
      </c>
      <c r="G2384" s="2">
        <v>22983.35</v>
      </c>
      <c r="H2384" s="2">
        <v>12441.11</v>
      </c>
      <c r="I2384" s="2" t="s">
        <v>120</v>
      </c>
      <c r="J2384" s="2" t="s">
        <v>21</v>
      </c>
      <c r="K2384" s="2" t="s">
        <v>80</v>
      </c>
      <c r="L2384" s="2" t="s">
        <v>64</v>
      </c>
      <c r="M2384" s="2">
        <v>3</v>
      </c>
      <c r="N2384" s="2" t="s">
        <v>69</v>
      </c>
      <c r="O2384" s="2" t="s">
        <v>25</v>
      </c>
      <c r="P2384" s="2" t="s">
        <v>34</v>
      </c>
    </row>
    <row r="2385" spans="1:16" x14ac:dyDescent="0.25">
      <c r="A2385" s="2" t="s">
        <v>5418</v>
      </c>
      <c r="B2385" s="2" t="s">
        <v>5098</v>
      </c>
      <c r="C2385" s="2">
        <v>8877</v>
      </c>
      <c r="D2385" s="2" t="s">
        <v>9375</v>
      </c>
      <c r="E2385" s="2" t="s">
        <v>6756</v>
      </c>
      <c r="F2385" s="2" t="s">
        <v>19</v>
      </c>
      <c r="G2385" s="2">
        <v>17895.490000000002</v>
      </c>
      <c r="H2385" s="2">
        <v>10877.64</v>
      </c>
      <c r="I2385" s="2" t="s">
        <v>84</v>
      </c>
      <c r="J2385" s="2" t="s">
        <v>54</v>
      </c>
      <c r="K2385" s="2" t="s">
        <v>32</v>
      </c>
      <c r="L2385" s="2" t="s">
        <v>48</v>
      </c>
      <c r="M2385" s="2">
        <v>3</v>
      </c>
      <c r="N2385" s="2" t="s">
        <v>33</v>
      </c>
      <c r="O2385" s="2" t="s">
        <v>70</v>
      </c>
      <c r="P2385" s="2" t="s">
        <v>34</v>
      </c>
    </row>
    <row r="2386" spans="1:16" x14ac:dyDescent="0.25">
      <c r="A2386" s="2" t="s">
        <v>5419</v>
      </c>
      <c r="B2386" s="2" t="s">
        <v>5797</v>
      </c>
      <c r="C2386" s="2">
        <v>9320</v>
      </c>
      <c r="D2386" s="2" t="s">
        <v>8327</v>
      </c>
      <c r="E2386" s="2" t="s">
        <v>6694</v>
      </c>
      <c r="F2386" s="2" t="s">
        <v>30</v>
      </c>
      <c r="G2386" s="2">
        <v>65115.16</v>
      </c>
      <c r="H2386" s="2">
        <v>32526.720000000001</v>
      </c>
      <c r="I2386" s="2" t="s">
        <v>6739</v>
      </c>
      <c r="J2386" s="2" t="s">
        <v>6691</v>
      </c>
      <c r="K2386" s="2" t="s">
        <v>80</v>
      </c>
      <c r="L2386" s="2" t="s">
        <v>48</v>
      </c>
      <c r="M2386" s="2">
        <v>3</v>
      </c>
      <c r="N2386" s="2" t="s">
        <v>33</v>
      </c>
      <c r="O2386" s="2" t="s">
        <v>25</v>
      </c>
      <c r="P2386" s="2" t="s">
        <v>26</v>
      </c>
    </row>
    <row r="2387" spans="1:16" x14ac:dyDescent="0.25">
      <c r="A2387" s="2" t="s">
        <v>5421</v>
      </c>
      <c r="B2387" s="2" t="s">
        <v>2787</v>
      </c>
      <c r="C2387" s="2">
        <v>9449</v>
      </c>
      <c r="D2387" s="2" t="s">
        <v>6301</v>
      </c>
      <c r="E2387" s="2" t="s">
        <v>18</v>
      </c>
      <c r="F2387" s="2" t="s">
        <v>47</v>
      </c>
      <c r="G2387" s="2">
        <v>3152.58</v>
      </c>
      <c r="H2387" s="2">
        <v>1824.24</v>
      </c>
      <c r="I2387" s="2" t="s">
        <v>20</v>
      </c>
      <c r="J2387" s="2" t="s">
        <v>21</v>
      </c>
      <c r="K2387" s="2" t="s">
        <v>80</v>
      </c>
      <c r="L2387" s="2" t="s">
        <v>43</v>
      </c>
      <c r="M2387" s="2">
        <v>5</v>
      </c>
      <c r="N2387" s="2" t="s">
        <v>24</v>
      </c>
      <c r="O2387" s="2" t="s">
        <v>25</v>
      </c>
      <c r="P2387" s="2" t="s">
        <v>49</v>
      </c>
    </row>
    <row r="2388" spans="1:16" x14ac:dyDescent="0.25">
      <c r="A2388" s="2" t="s">
        <v>5423</v>
      </c>
      <c r="B2388" s="2" t="s">
        <v>2540</v>
      </c>
      <c r="C2388" s="2">
        <v>3414</v>
      </c>
      <c r="D2388" s="2" t="s">
        <v>9376</v>
      </c>
      <c r="E2388" s="2" t="s">
        <v>6756</v>
      </c>
      <c r="F2388" s="2" t="s">
        <v>47</v>
      </c>
      <c r="G2388" s="2">
        <v>9127.9</v>
      </c>
      <c r="H2388" s="2">
        <v>5785.49</v>
      </c>
      <c r="I2388" s="2" t="s">
        <v>6699</v>
      </c>
      <c r="J2388" s="2" t="s">
        <v>54</v>
      </c>
      <c r="K2388" s="2" t="s">
        <v>42</v>
      </c>
      <c r="L2388" s="2" t="s">
        <v>55</v>
      </c>
      <c r="M2388" s="2">
        <v>4</v>
      </c>
      <c r="N2388" s="2" t="s">
        <v>24</v>
      </c>
      <c r="O2388" s="2" t="s">
        <v>25</v>
      </c>
      <c r="P2388" s="2" t="s">
        <v>26</v>
      </c>
    </row>
    <row r="2389" spans="1:16" x14ac:dyDescent="0.25">
      <c r="A2389" s="2" t="s">
        <v>5425</v>
      </c>
      <c r="B2389" s="2" t="s">
        <v>1020</v>
      </c>
      <c r="C2389" s="2">
        <v>6286</v>
      </c>
      <c r="D2389" s="2" t="s">
        <v>9377</v>
      </c>
      <c r="E2389" s="2" t="s">
        <v>38</v>
      </c>
      <c r="F2389" s="2" t="s">
        <v>30</v>
      </c>
      <c r="G2389" s="2">
        <v>44341.96</v>
      </c>
      <c r="H2389" s="2">
        <v>26901.54</v>
      </c>
      <c r="I2389" s="2" t="s">
        <v>68</v>
      </c>
      <c r="J2389" s="2" t="s">
        <v>41</v>
      </c>
      <c r="K2389" s="2" t="s">
        <v>42</v>
      </c>
      <c r="L2389" s="2" t="s">
        <v>88</v>
      </c>
      <c r="M2389" s="2">
        <v>5</v>
      </c>
      <c r="N2389" s="2" t="s">
        <v>33</v>
      </c>
      <c r="O2389" s="2" t="s">
        <v>25</v>
      </c>
      <c r="P2389" s="2" t="s">
        <v>49</v>
      </c>
    </row>
    <row r="2390" spans="1:16" x14ac:dyDescent="0.25">
      <c r="A2390" s="2" t="s">
        <v>5427</v>
      </c>
      <c r="B2390" s="2" t="s">
        <v>553</v>
      </c>
      <c r="C2390" s="2">
        <v>7446</v>
      </c>
      <c r="D2390" s="2" t="s">
        <v>9378</v>
      </c>
      <c r="E2390" s="2" t="s">
        <v>38</v>
      </c>
      <c r="F2390" s="2" t="s">
        <v>58</v>
      </c>
      <c r="G2390" s="2">
        <v>43585</v>
      </c>
      <c r="H2390" s="2">
        <v>20438.41</v>
      </c>
      <c r="I2390" s="2" t="s">
        <v>84</v>
      </c>
      <c r="J2390" s="2" t="s">
        <v>54</v>
      </c>
      <c r="K2390" s="2" t="s">
        <v>22</v>
      </c>
      <c r="L2390" s="2" t="s">
        <v>88</v>
      </c>
      <c r="M2390" s="2">
        <v>3</v>
      </c>
      <c r="N2390" s="2" t="s">
        <v>33</v>
      </c>
      <c r="O2390" s="2" t="s">
        <v>25</v>
      </c>
      <c r="P2390" s="2" t="s">
        <v>49</v>
      </c>
    </row>
    <row r="2391" spans="1:16" x14ac:dyDescent="0.25">
      <c r="A2391" s="2" t="s">
        <v>5429</v>
      </c>
      <c r="B2391" s="2" t="s">
        <v>9379</v>
      </c>
      <c r="C2391" s="2">
        <v>7060</v>
      </c>
      <c r="D2391" s="2" t="s">
        <v>8750</v>
      </c>
      <c r="E2391" s="2" t="s">
        <v>6743</v>
      </c>
      <c r="F2391" s="2" t="s">
        <v>19</v>
      </c>
      <c r="G2391" s="2">
        <v>13713.41</v>
      </c>
      <c r="H2391" s="2">
        <v>7876.2</v>
      </c>
      <c r="I2391" s="2" t="s">
        <v>6728</v>
      </c>
      <c r="J2391" s="2" t="s">
        <v>6729</v>
      </c>
      <c r="K2391" s="2" t="s">
        <v>22</v>
      </c>
      <c r="L2391" s="2" t="s">
        <v>48</v>
      </c>
      <c r="M2391" s="2">
        <v>4</v>
      </c>
      <c r="N2391" s="2" t="s">
        <v>69</v>
      </c>
      <c r="O2391" s="2" t="s">
        <v>25</v>
      </c>
      <c r="P2391" s="2" t="s">
        <v>26</v>
      </c>
    </row>
    <row r="2392" spans="1:16" x14ac:dyDescent="0.25">
      <c r="A2392" s="2" t="s">
        <v>5431</v>
      </c>
      <c r="B2392" s="2" t="s">
        <v>9380</v>
      </c>
      <c r="C2392" s="2">
        <v>9606</v>
      </c>
      <c r="D2392" s="2" t="s">
        <v>9381</v>
      </c>
      <c r="E2392" s="2" t="s">
        <v>32</v>
      </c>
      <c r="F2392" s="2" t="s">
        <v>58</v>
      </c>
      <c r="G2392" s="2">
        <v>26171.06</v>
      </c>
      <c r="H2392" s="2">
        <v>14347.44</v>
      </c>
      <c r="I2392" s="2" t="s">
        <v>6759</v>
      </c>
      <c r="J2392" s="2" t="s">
        <v>6686</v>
      </c>
      <c r="K2392" s="2" t="s">
        <v>80</v>
      </c>
      <c r="L2392" s="2" t="s">
        <v>43</v>
      </c>
      <c r="M2392" s="2">
        <v>5</v>
      </c>
      <c r="N2392" s="2" t="s">
        <v>69</v>
      </c>
      <c r="O2392" s="2" t="s">
        <v>70</v>
      </c>
      <c r="P2392" s="2" t="s">
        <v>49</v>
      </c>
    </row>
    <row r="2393" spans="1:16" x14ac:dyDescent="0.25">
      <c r="A2393" s="2" t="s">
        <v>5433</v>
      </c>
      <c r="B2393" s="2" t="s">
        <v>28</v>
      </c>
      <c r="C2393" s="2">
        <v>8121</v>
      </c>
      <c r="D2393" s="2" t="s">
        <v>7595</v>
      </c>
      <c r="E2393" s="2" t="s">
        <v>18</v>
      </c>
      <c r="F2393" s="2" t="s">
        <v>47</v>
      </c>
      <c r="G2393" s="2">
        <v>7507.24</v>
      </c>
      <c r="H2393" s="2">
        <v>4587.7299999999996</v>
      </c>
      <c r="I2393" s="2" t="s">
        <v>84</v>
      </c>
      <c r="J2393" s="2" t="s">
        <v>54</v>
      </c>
      <c r="K2393" s="2" t="s">
        <v>42</v>
      </c>
      <c r="L2393" s="2" t="s">
        <v>88</v>
      </c>
      <c r="M2393" s="2">
        <v>3</v>
      </c>
      <c r="N2393" s="2" t="s">
        <v>33</v>
      </c>
      <c r="O2393" s="2" t="s">
        <v>70</v>
      </c>
      <c r="P2393" s="2" t="s">
        <v>49</v>
      </c>
    </row>
    <row r="2394" spans="1:16" x14ac:dyDescent="0.25">
      <c r="A2394" s="2" t="s">
        <v>5435</v>
      </c>
      <c r="B2394" s="2" t="s">
        <v>5104</v>
      </c>
      <c r="C2394" s="2">
        <v>9639</v>
      </c>
      <c r="D2394" s="2" t="s">
        <v>9382</v>
      </c>
      <c r="E2394" s="2" t="s">
        <v>18</v>
      </c>
      <c r="F2394" s="2" t="s">
        <v>47</v>
      </c>
      <c r="G2394" s="2">
        <v>10346.040000000001</v>
      </c>
      <c r="H2394" s="2">
        <v>4959.49</v>
      </c>
      <c r="I2394" s="2" t="s">
        <v>84</v>
      </c>
      <c r="J2394" s="2" t="s">
        <v>54</v>
      </c>
      <c r="K2394" s="2" t="s">
        <v>22</v>
      </c>
      <c r="L2394" s="2" t="s">
        <v>55</v>
      </c>
      <c r="M2394" s="2">
        <v>4</v>
      </c>
      <c r="N2394" s="2" t="s">
        <v>69</v>
      </c>
      <c r="O2394" s="2" t="s">
        <v>25</v>
      </c>
      <c r="P2394" s="2" t="s">
        <v>34</v>
      </c>
    </row>
    <row r="2395" spans="1:16" x14ac:dyDescent="0.25">
      <c r="A2395" s="2" t="s">
        <v>5437</v>
      </c>
      <c r="B2395" s="2" t="s">
        <v>9383</v>
      </c>
      <c r="C2395" s="2">
        <v>2619</v>
      </c>
      <c r="D2395" s="2" t="s">
        <v>9384</v>
      </c>
      <c r="E2395" s="2" t="s">
        <v>6748</v>
      </c>
      <c r="F2395" s="2" t="s">
        <v>30</v>
      </c>
      <c r="G2395" s="2">
        <v>58922.98</v>
      </c>
      <c r="H2395" s="2">
        <v>35172</v>
      </c>
      <c r="I2395" s="2" t="s">
        <v>6915</v>
      </c>
      <c r="J2395" s="2" t="s">
        <v>6724</v>
      </c>
      <c r="K2395" s="2" t="s">
        <v>32</v>
      </c>
      <c r="L2395" s="2" t="s">
        <v>23</v>
      </c>
      <c r="M2395" s="2">
        <v>1</v>
      </c>
      <c r="N2395" s="2" t="s">
        <v>69</v>
      </c>
      <c r="O2395" s="2" t="s">
        <v>25</v>
      </c>
      <c r="P2395" s="2" t="s">
        <v>26</v>
      </c>
    </row>
    <row r="2396" spans="1:16" x14ac:dyDescent="0.25">
      <c r="A2396" s="2" t="s">
        <v>5439</v>
      </c>
      <c r="B2396" s="2" t="s">
        <v>1207</v>
      </c>
      <c r="C2396" s="2">
        <v>8615</v>
      </c>
      <c r="D2396" s="2" t="s">
        <v>9385</v>
      </c>
      <c r="E2396" s="2" t="s">
        <v>6748</v>
      </c>
      <c r="F2396" s="2" t="s">
        <v>47</v>
      </c>
      <c r="G2396" s="2">
        <v>9673.3700000000008</v>
      </c>
      <c r="H2396" s="2">
        <v>4450.8900000000003</v>
      </c>
      <c r="I2396" s="2" t="s">
        <v>6812</v>
      </c>
      <c r="J2396" s="2" t="s">
        <v>6691</v>
      </c>
      <c r="K2396" s="2" t="s">
        <v>22</v>
      </c>
      <c r="L2396" s="2" t="s">
        <v>55</v>
      </c>
      <c r="M2396" s="2">
        <v>1</v>
      </c>
      <c r="N2396" s="2" t="s">
        <v>24</v>
      </c>
      <c r="O2396" s="2" t="s">
        <v>25</v>
      </c>
      <c r="P2396" s="2" t="s">
        <v>49</v>
      </c>
    </row>
    <row r="2397" spans="1:16" x14ac:dyDescent="0.25">
      <c r="A2397" s="2" t="s">
        <v>5442</v>
      </c>
      <c r="B2397" s="2" t="s">
        <v>7528</v>
      </c>
      <c r="C2397" s="2">
        <v>3051</v>
      </c>
      <c r="D2397" s="2" t="s">
        <v>9386</v>
      </c>
      <c r="E2397" s="2" t="s">
        <v>6708</v>
      </c>
      <c r="F2397" s="2" t="s">
        <v>58</v>
      </c>
      <c r="G2397" s="2">
        <v>12307.71</v>
      </c>
      <c r="H2397" s="2">
        <v>7747.64</v>
      </c>
      <c r="I2397" s="2" t="s">
        <v>6794</v>
      </c>
      <c r="J2397" s="2" t="s">
        <v>6789</v>
      </c>
      <c r="K2397" s="2" t="s">
        <v>22</v>
      </c>
      <c r="L2397" s="2" t="s">
        <v>48</v>
      </c>
      <c r="M2397" s="2">
        <v>4</v>
      </c>
      <c r="N2397" s="2" t="s">
        <v>33</v>
      </c>
      <c r="O2397" s="2" t="s">
        <v>70</v>
      </c>
      <c r="P2397" s="2" t="s">
        <v>26</v>
      </c>
    </row>
    <row r="2398" spans="1:16" x14ac:dyDescent="0.25">
      <c r="A2398" s="2" t="s">
        <v>5444</v>
      </c>
      <c r="B2398" s="2" t="s">
        <v>4386</v>
      </c>
      <c r="C2398" s="2">
        <v>9158</v>
      </c>
      <c r="D2398" s="2" t="s">
        <v>9387</v>
      </c>
      <c r="E2398" s="2" t="s">
        <v>38</v>
      </c>
      <c r="F2398" s="2" t="s">
        <v>30</v>
      </c>
      <c r="G2398" s="2">
        <v>84612.2</v>
      </c>
      <c r="H2398" s="2">
        <v>51502.54</v>
      </c>
      <c r="I2398" s="2" t="s">
        <v>6739</v>
      </c>
      <c r="J2398" s="2" t="s">
        <v>6729</v>
      </c>
      <c r="K2398" s="2" t="s">
        <v>32</v>
      </c>
      <c r="L2398" s="2" t="s">
        <v>23</v>
      </c>
      <c r="M2398" s="2">
        <v>4</v>
      </c>
      <c r="N2398" s="2" t="s">
        <v>69</v>
      </c>
      <c r="O2398" s="2" t="s">
        <v>70</v>
      </c>
      <c r="P2398" s="2" t="s">
        <v>34</v>
      </c>
    </row>
    <row r="2399" spans="1:16" x14ac:dyDescent="0.25">
      <c r="A2399" s="2" t="s">
        <v>5446</v>
      </c>
      <c r="B2399" s="2" t="s">
        <v>1056</v>
      </c>
      <c r="C2399" s="2">
        <v>8282</v>
      </c>
      <c r="D2399" s="2" t="s">
        <v>1720</v>
      </c>
      <c r="E2399" s="2" t="s">
        <v>38</v>
      </c>
      <c r="F2399" s="2" t="s">
        <v>30</v>
      </c>
      <c r="G2399" s="2">
        <v>37878.400000000001</v>
      </c>
      <c r="H2399" s="2">
        <v>18505.990000000002</v>
      </c>
      <c r="I2399" s="2" t="s">
        <v>20</v>
      </c>
      <c r="J2399" s="2" t="s">
        <v>21</v>
      </c>
      <c r="K2399" s="2" t="s">
        <v>22</v>
      </c>
      <c r="L2399" s="2" t="s">
        <v>88</v>
      </c>
      <c r="M2399" s="2">
        <v>3</v>
      </c>
      <c r="N2399" s="2" t="s">
        <v>33</v>
      </c>
      <c r="O2399" s="2" t="s">
        <v>70</v>
      </c>
      <c r="P2399" s="2" t="s">
        <v>26</v>
      </c>
    </row>
    <row r="2400" spans="1:16" x14ac:dyDescent="0.25">
      <c r="A2400" s="2" t="s">
        <v>5448</v>
      </c>
      <c r="B2400" s="2" t="s">
        <v>1781</v>
      </c>
      <c r="C2400" s="2">
        <v>7297</v>
      </c>
      <c r="D2400" s="2" t="s">
        <v>9388</v>
      </c>
      <c r="E2400" s="2" t="s">
        <v>18</v>
      </c>
      <c r="F2400" s="2" t="s">
        <v>39</v>
      </c>
      <c r="G2400" s="2">
        <v>34861.040000000001</v>
      </c>
      <c r="H2400" s="2">
        <v>20352.79</v>
      </c>
      <c r="I2400" s="2" t="s">
        <v>31</v>
      </c>
      <c r="J2400" s="2" t="s">
        <v>21</v>
      </c>
      <c r="K2400" s="2" t="s">
        <v>42</v>
      </c>
      <c r="L2400" s="2" t="s">
        <v>55</v>
      </c>
      <c r="M2400" s="2">
        <v>5</v>
      </c>
      <c r="N2400" s="2" t="s">
        <v>69</v>
      </c>
      <c r="O2400" s="2" t="s">
        <v>70</v>
      </c>
      <c r="P2400" s="2" t="s">
        <v>26</v>
      </c>
    </row>
    <row r="2401" spans="1:16" x14ac:dyDescent="0.25">
      <c r="A2401" s="2" t="s">
        <v>5451</v>
      </c>
      <c r="B2401" s="2" t="s">
        <v>3508</v>
      </c>
      <c r="C2401" s="2">
        <v>7783</v>
      </c>
      <c r="D2401" s="2" t="s">
        <v>9389</v>
      </c>
      <c r="E2401" s="2" t="s">
        <v>38</v>
      </c>
      <c r="F2401" s="2" t="s">
        <v>58</v>
      </c>
      <c r="G2401" s="2">
        <v>9845.94</v>
      </c>
      <c r="H2401" s="2">
        <v>5306.37</v>
      </c>
      <c r="I2401" s="2" t="s">
        <v>84</v>
      </c>
      <c r="J2401" s="2" t="s">
        <v>54</v>
      </c>
      <c r="K2401" s="2" t="s">
        <v>42</v>
      </c>
      <c r="L2401" s="2" t="s">
        <v>48</v>
      </c>
      <c r="M2401" s="2">
        <v>1</v>
      </c>
      <c r="N2401" s="2" t="s">
        <v>69</v>
      </c>
      <c r="O2401" s="2" t="s">
        <v>25</v>
      </c>
      <c r="P2401" s="2" t="s">
        <v>26</v>
      </c>
    </row>
    <row r="2402" spans="1:16" x14ac:dyDescent="0.25">
      <c r="A2402" s="2" t="s">
        <v>5453</v>
      </c>
      <c r="B2402" s="2" t="s">
        <v>9390</v>
      </c>
      <c r="C2402" s="2">
        <v>8420</v>
      </c>
      <c r="D2402" s="2" t="s">
        <v>8066</v>
      </c>
      <c r="E2402" s="2" t="s">
        <v>18</v>
      </c>
      <c r="F2402" s="2" t="s">
        <v>47</v>
      </c>
      <c r="G2402" s="2">
        <v>13468.7</v>
      </c>
      <c r="H2402" s="2">
        <v>7345.46</v>
      </c>
      <c r="I2402" s="2" t="s">
        <v>63</v>
      </c>
      <c r="J2402" s="2" t="s">
        <v>54</v>
      </c>
      <c r="K2402" s="2" t="s">
        <v>22</v>
      </c>
      <c r="L2402" s="2" t="s">
        <v>88</v>
      </c>
      <c r="M2402" s="2">
        <v>3</v>
      </c>
      <c r="N2402" s="2" t="s">
        <v>69</v>
      </c>
      <c r="O2402" s="2" t="s">
        <v>25</v>
      </c>
      <c r="P2402" s="2" t="s">
        <v>34</v>
      </c>
    </row>
    <row r="2403" spans="1:16" x14ac:dyDescent="0.25">
      <c r="A2403" s="2" t="s">
        <v>5455</v>
      </c>
      <c r="B2403" s="2" t="s">
        <v>733</v>
      </c>
      <c r="C2403" s="2">
        <v>1156</v>
      </c>
      <c r="D2403" s="2" t="s">
        <v>9391</v>
      </c>
      <c r="E2403" s="2" t="s">
        <v>18</v>
      </c>
      <c r="F2403" s="2" t="s">
        <v>47</v>
      </c>
      <c r="G2403" s="2">
        <v>17248.509999999998</v>
      </c>
      <c r="H2403" s="2">
        <v>7950.16</v>
      </c>
      <c r="I2403" s="2" t="s">
        <v>53</v>
      </c>
      <c r="J2403" s="2" t="s">
        <v>54</v>
      </c>
      <c r="K2403" s="2" t="s">
        <v>42</v>
      </c>
      <c r="L2403" s="2" t="s">
        <v>23</v>
      </c>
      <c r="M2403" s="2">
        <v>3</v>
      </c>
      <c r="N2403" s="2" t="s">
        <v>69</v>
      </c>
      <c r="O2403" s="2" t="s">
        <v>70</v>
      </c>
      <c r="P2403" s="2" t="s">
        <v>26</v>
      </c>
    </row>
    <row r="2404" spans="1:16" x14ac:dyDescent="0.25">
      <c r="A2404" s="2" t="s">
        <v>5457</v>
      </c>
      <c r="B2404" s="2" t="s">
        <v>5697</v>
      </c>
      <c r="C2404" s="2">
        <v>7064</v>
      </c>
      <c r="D2404" s="2" t="s">
        <v>8052</v>
      </c>
      <c r="E2404" s="2" t="s">
        <v>38</v>
      </c>
      <c r="F2404" s="2" t="s">
        <v>39</v>
      </c>
      <c r="G2404" s="2">
        <v>41828.629999999997</v>
      </c>
      <c r="H2404" s="2">
        <v>25900.22</v>
      </c>
      <c r="I2404" s="2" t="s">
        <v>53</v>
      </c>
      <c r="J2404" s="2" t="s">
        <v>54</v>
      </c>
      <c r="K2404" s="2" t="s">
        <v>80</v>
      </c>
      <c r="L2404" s="2" t="s">
        <v>88</v>
      </c>
      <c r="M2404" s="2">
        <v>4</v>
      </c>
      <c r="N2404" s="2" t="s">
        <v>69</v>
      </c>
      <c r="O2404" s="2" t="s">
        <v>70</v>
      </c>
      <c r="P2404" s="2" t="s">
        <v>49</v>
      </c>
    </row>
    <row r="2405" spans="1:16" x14ac:dyDescent="0.25">
      <c r="A2405" s="2" t="s">
        <v>5458</v>
      </c>
      <c r="B2405" s="2" t="s">
        <v>6403</v>
      </c>
      <c r="C2405" s="2">
        <v>9513</v>
      </c>
      <c r="D2405" s="2" t="s">
        <v>9392</v>
      </c>
      <c r="E2405" s="2" t="s">
        <v>38</v>
      </c>
      <c r="F2405" s="2" t="s">
        <v>58</v>
      </c>
      <c r="G2405" s="2">
        <v>23047.040000000001</v>
      </c>
      <c r="H2405" s="2">
        <v>14023.08</v>
      </c>
      <c r="I2405" s="2" t="s">
        <v>120</v>
      </c>
      <c r="J2405" s="2" t="s">
        <v>21</v>
      </c>
      <c r="K2405" s="2" t="s">
        <v>32</v>
      </c>
      <c r="L2405" s="2" t="s">
        <v>23</v>
      </c>
      <c r="M2405" s="2">
        <v>2</v>
      </c>
      <c r="N2405" s="2" t="s">
        <v>33</v>
      </c>
      <c r="O2405" s="2" t="s">
        <v>70</v>
      </c>
      <c r="P2405" s="2" t="s">
        <v>34</v>
      </c>
    </row>
    <row r="2406" spans="1:16" x14ac:dyDescent="0.25">
      <c r="A2406" s="2" t="s">
        <v>5459</v>
      </c>
      <c r="B2406" s="2" t="s">
        <v>7129</v>
      </c>
      <c r="C2406" s="2">
        <v>7147</v>
      </c>
      <c r="D2406" s="2" t="s">
        <v>7007</v>
      </c>
      <c r="E2406" s="2" t="s">
        <v>6708</v>
      </c>
      <c r="F2406" s="2" t="s">
        <v>19</v>
      </c>
      <c r="G2406" s="2">
        <v>9238.23</v>
      </c>
      <c r="H2406" s="2">
        <v>5704.52</v>
      </c>
      <c r="I2406" s="2" t="s">
        <v>53</v>
      </c>
      <c r="J2406" s="2" t="s">
        <v>6686</v>
      </c>
      <c r="K2406" s="2" t="s">
        <v>80</v>
      </c>
      <c r="L2406" s="2" t="s">
        <v>23</v>
      </c>
      <c r="M2406" s="2">
        <v>1</v>
      </c>
      <c r="N2406" s="2" t="s">
        <v>33</v>
      </c>
      <c r="O2406" s="2" t="s">
        <v>70</v>
      </c>
      <c r="P2406" s="2" t="s">
        <v>34</v>
      </c>
    </row>
    <row r="2407" spans="1:16" x14ac:dyDescent="0.25">
      <c r="A2407" s="2" t="s">
        <v>5461</v>
      </c>
      <c r="B2407" s="2" t="s">
        <v>9393</v>
      </c>
      <c r="C2407" s="2">
        <v>7190</v>
      </c>
      <c r="D2407" s="2" t="s">
        <v>9394</v>
      </c>
      <c r="E2407" s="2" t="s">
        <v>6743</v>
      </c>
      <c r="F2407" s="2" t="s">
        <v>58</v>
      </c>
      <c r="G2407" s="2">
        <v>13393.76</v>
      </c>
      <c r="H2407" s="2">
        <v>6177.65</v>
      </c>
      <c r="I2407" s="2" t="s">
        <v>6799</v>
      </c>
      <c r="J2407" s="2" t="s">
        <v>41</v>
      </c>
      <c r="K2407" s="2" t="s">
        <v>22</v>
      </c>
      <c r="L2407" s="2" t="s">
        <v>55</v>
      </c>
      <c r="M2407" s="2">
        <v>4</v>
      </c>
      <c r="N2407" s="2" t="s">
        <v>33</v>
      </c>
      <c r="O2407" s="2" t="s">
        <v>25</v>
      </c>
      <c r="P2407" s="2" t="s">
        <v>26</v>
      </c>
    </row>
    <row r="2408" spans="1:16" x14ac:dyDescent="0.25">
      <c r="A2408" s="2" t="s">
        <v>5463</v>
      </c>
      <c r="B2408" s="2" t="s">
        <v>51</v>
      </c>
      <c r="C2408" s="2">
        <v>8688</v>
      </c>
      <c r="D2408" s="2" t="s">
        <v>9395</v>
      </c>
      <c r="E2408" s="2" t="s">
        <v>38</v>
      </c>
      <c r="F2408" s="2" t="s">
        <v>30</v>
      </c>
      <c r="G2408" s="2">
        <v>84661.58</v>
      </c>
      <c r="H2408" s="2">
        <v>49522.5</v>
      </c>
      <c r="I2408" s="2" t="s">
        <v>63</v>
      </c>
      <c r="J2408" s="2" t="s">
        <v>54</v>
      </c>
      <c r="K2408" s="2" t="s">
        <v>22</v>
      </c>
      <c r="L2408" s="2" t="s">
        <v>43</v>
      </c>
      <c r="M2408" s="2">
        <v>5</v>
      </c>
      <c r="N2408" s="2" t="s">
        <v>69</v>
      </c>
      <c r="O2408" s="2" t="s">
        <v>25</v>
      </c>
      <c r="P2408" s="2" t="s">
        <v>26</v>
      </c>
    </row>
    <row r="2409" spans="1:16" x14ac:dyDescent="0.25">
      <c r="A2409" s="2" t="s">
        <v>5465</v>
      </c>
      <c r="B2409" s="2" t="s">
        <v>9396</v>
      </c>
      <c r="C2409" s="2">
        <v>2134</v>
      </c>
      <c r="D2409" s="2" t="s">
        <v>2565</v>
      </c>
      <c r="E2409" s="2" t="s">
        <v>32</v>
      </c>
      <c r="F2409" s="2" t="s">
        <v>58</v>
      </c>
      <c r="G2409" s="2">
        <v>15564.39</v>
      </c>
      <c r="H2409" s="2">
        <v>9689.83</v>
      </c>
      <c r="I2409" s="2" t="s">
        <v>6867</v>
      </c>
      <c r="J2409" s="2" t="s">
        <v>6696</v>
      </c>
      <c r="K2409" s="2" t="s">
        <v>32</v>
      </c>
      <c r="L2409" s="2" t="s">
        <v>55</v>
      </c>
      <c r="M2409" s="2">
        <v>5</v>
      </c>
      <c r="N2409" s="2" t="s">
        <v>24</v>
      </c>
      <c r="O2409" s="2" t="s">
        <v>25</v>
      </c>
      <c r="P2409" s="2" t="s">
        <v>49</v>
      </c>
    </row>
    <row r="2410" spans="1:16" x14ac:dyDescent="0.25">
      <c r="A2410" s="2" t="s">
        <v>5467</v>
      </c>
      <c r="B2410" s="2" t="s">
        <v>1048</v>
      </c>
      <c r="C2410" s="2">
        <v>9812</v>
      </c>
      <c r="D2410" s="2" t="s">
        <v>6352</v>
      </c>
      <c r="E2410" s="2" t="s">
        <v>38</v>
      </c>
      <c r="F2410" s="2" t="s">
        <v>39</v>
      </c>
      <c r="G2410" s="2">
        <v>39875.68</v>
      </c>
      <c r="H2410" s="2">
        <v>21508.87</v>
      </c>
      <c r="I2410" s="2" t="s">
        <v>120</v>
      </c>
      <c r="J2410" s="2" t="s">
        <v>21</v>
      </c>
      <c r="K2410" s="2" t="s">
        <v>42</v>
      </c>
      <c r="L2410" s="2" t="s">
        <v>43</v>
      </c>
      <c r="M2410" s="2">
        <v>2</v>
      </c>
      <c r="N2410" s="2" t="s">
        <v>69</v>
      </c>
      <c r="O2410" s="2" t="s">
        <v>25</v>
      </c>
      <c r="P2410" s="2" t="s">
        <v>26</v>
      </c>
    </row>
    <row r="2411" spans="1:16" x14ac:dyDescent="0.25">
      <c r="A2411" s="2" t="s">
        <v>5469</v>
      </c>
      <c r="B2411" s="2" t="s">
        <v>9397</v>
      </c>
      <c r="C2411" s="2">
        <v>1261</v>
      </c>
      <c r="D2411" s="2" t="s">
        <v>9398</v>
      </c>
      <c r="E2411" s="2" t="s">
        <v>32</v>
      </c>
      <c r="F2411" s="2" t="s">
        <v>39</v>
      </c>
      <c r="G2411" s="2">
        <v>50714.42</v>
      </c>
      <c r="H2411" s="2">
        <v>24793.26</v>
      </c>
      <c r="I2411" s="2" t="s">
        <v>53</v>
      </c>
      <c r="J2411" s="2" t="s">
        <v>6700</v>
      </c>
      <c r="K2411" s="2" t="s">
        <v>32</v>
      </c>
      <c r="L2411" s="2" t="s">
        <v>64</v>
      </c>
      <c r="M2411" s="2">
        <v>4</v>
      </c>
      <c r="N2411" s="2" t="s">
        <v>69</v>
      </c>
      <c r="O2411" s="2" t="s">
        <v>70</v>
      </c>
      <c r="P2411" s="2" t="s">
        <v>26</v>
      </c>
    </row>
    <row r="2412" spans="1:16" x14ac:dyDescent="0.25">
      <c r="A2412" s="2" t="s">
        <v>5472</v>
      </c>
      <c r="B2412" s="2" t="s">
        <v>342</v>
      </c>
      <c r="C2412" s="2">
        <v>6055</v>
      </c>
      <c r="D2412" s="2" t="s">
        <v>9238</v>
      </c>
      <c r="E2412" s="2" t="s">
        <v>18</v>
      </c>
      <c r="F2412" s="2" t="s">
        <v>47</v>
      </c>
      <c r="G2412" s="2">
        <v>10719.08</v>
      </c>
      <c r="H2412" s="2">
        <v>5786.97</v>
      </c>
      <c r="I2412" s="2" t="s">
        <v>63</v>
      </c>
      <c r="J2412" s="2" t="s">
        <v>54</v>
      </c>
      <c r="K2412" s="2" t="s">
        <v>80</v>
      </c>
      <c r="L2412" s="2" t="s">
        <v>88</v>
      </c>
      <c r="M2412" s="2">
        <v>1</v>
      </c>
      <c r="N2412" s="2" t="s">
        <v>24</v>
      </c>
      <c r="O2412" s="2" t="s">
        <v>70</v>
      </c>
      <c r="P2412" s="2" t="s">
        <v>26</v>
      </c>
    </row>
    <row r="2413" spans="1:16" x14ac:dyDescent="0.25">
      <c r="A2413" s="2" t="s">
        <v>5474</v>
      </c>
      <c r="B2413" s="2" t="s">
        <v>9399</v>
      </c>
      <c r="C2413" s="2">
        <v>4863</v>
      </c>
      <c r="D2413" s="2" t="s">
        <v>9400</v>
      </c>
      <c r="E2413" s="2" t="s">
        <v>6680</v>
      </c>
      <c r="F2413" s="2" t="s">
        <v>58</v>
      </c>
      <c r="G2413" s="2">
        <v>55481.91</v>
      </c>
      <c r="H2413" s="2">
        <v>25918.85</v>
      </c>
      <c r="I2413" s="2" t="s">
        <v>31</v>
      </c>
      <c r="J2413" s="2" t="s">
        <v>21</v>
      </c>
      <c r="K2413" s="2" t="s">
        <v>32</v>
      </c>
      <c r="L2413" s="2" t="s">
        <v>55</v>
      </c>
      <c r="M2413" s="2">
        <v>5</v>
      </c>
      <c r="N2413" s="2" t="s">
        <v>33</v>
      </c>
      <c r="O2413" s="2" t="s">
        <v>25</v>
      </c>
      <c r="P2413" s="2" t="s">
        <v>49</v>
      </c>
    </row>
    <row r="2414" spans="1:16" x14ac:dyDescent="0.25">
      <c r="A2414" s="2" t="s">
        <v>5477</v>
      </c>
      <c r="B2414" s="2" t="s">
        <v>5146</v>
      </c>
      <c r="C2414" s="2">
        <v>5288</v>
      </c>
      <c r="D2414" s="2" t="s">
        <v>3211</v>
      </c>
      <c r="E2414" s="2" t="s">
        <v>18</v>
      </c>
      <c r="F2414" s="2" t="s">
        <v>30</v>
      </c>
      <c r="G2414" s="2">
        <v>81850.89</v>
      </c>
      <c r="H2414" s="2">
        <v>48003.16</v>
      </c>
      <c r="I2414" s="2" t="s">
        <v>53</v>
      </c>
      <c r="J2414" s="2" t="s">
        <v>54</v>
      </c>
      <c r="K2414" s="2" t="s">
        <v>22</v>
      </c>
      <c r="L2414" s="2" t="s">
        <v>88</v>
      </c>
      <c r="M2414" s="2">
        <v>1</v>
      </c>
      <c r="N2414" s="2" t="s">
        <v>24</v>
      </c>
      <c r="O2414" s="2" t="s">
        <v>25</v>
      </c>
      <c r="P2414" s="2" t="s">
        <v>34</v>
      </c>
    </row>
    <row r="2415" spans="1:16" x14ac:dyDescent="0.25">
      <c r="A2415" s="2" t="s">
        <v>5479</v>
      </c>
      <c r="B2415" s="2" t="s">
        <v>9401</v>
      </c>
      <c r="C2415" s="2">
        <v>2190</v>
      </c>
      <c r="D2415" s="2" t="s">
        <v>9402</v>
      </c>
      <c r="E2415" s="2" t="s">
        <v>18</v>
      </c>
      <c r="F2415" s="2" t="s">
        <v>47</v>
      </c>
      <c r="G2415" s="2">
        <v>9906.48</v>
      </c>
      <c r="H2415" s="2">
        <v>6125.86</v>
      </c>
      <c r="I2415" s="2" t="s">
        <v>6695</v>
      </c>
      <c r="J2415" s="2" t="s">
        <v>6696</v>
      </c>
      <c r="K2415" s="2" t="s">
        <v>22</v>
      </c>
      <c r="L2415" s="2" t="s">
        <v>55</v>
      </c>
      <c r="M2415" s="2">
        <v>5</v>
      </c>
      <c r="N2415" s="2" t="s">
        <v>24</v>
      </c>
      <c r="O2415" s="2" t="s">
        <v>70</v>
      </c>
      <c r="P2415" s="2" t="s">
        <v>49</v>
      </c>
    </row>
    <row r="2416" spans="1:16" x14ac:dyDescent="0.25">
      <c r="A2416" s="2" t="s">
        <v>5482</v>
      </c>
      <c r="B2416" s="2" t="s">
        <v>2651</v>
      </c>
      <c r="C2416" s="2">
        <v>2684</v>
      </c>
      <c r="D2416" s="2" t="s">
        <v>9403</v>
      </c>
      <c r="E2416" s="2" t="s">
        <v>38</v>
      </c>
      <c r="F2416" s="2" t="s">
        <v>47</v>
      </c>
      <c r="G2416" s="2">
        <v>8992.8799999999992</v>
      </c>
      <c r="H2416" s="2">
        <v>5278.53</v>
      </c>
      <c r="I2416" s="2" t="s">
        <v>59</v>
      </c>
      <c r="J2416" s="2" t="s">
        <v>41</v>
      </c>
      <c r="K2416" s="2" t="s">
        <v>42</v>
      </c>
      <c r="L2416" s="2" t="s">
        <v>23</v>
      </c>
      <c r="M2416" s="2">
        <v>1</v>
      </c>
      <c r="N2416" s="2" t="s">
        <v>33</v>
      </c>
      <c r="O2416" s="2" t="s">
        <v>70</v>
      </c>
      <c r="P2416" s="2" t="s">
        <v>26</v>
      </c>
    </row>
    <row r="2417" spans="1:16" x14ac:dyDescent="0.25">
      <c r="A2417" s="2" t="s">
        <v>5484</v>
      </c>
      <c r="B2417" s="2" t="s">
        <v>2462</v>
      </c>
      <c r="C2417" s="2">
        <v>5589</v>
      </c>
      <c r="D2417" s="2" t="s">
        <v>9382</v>
      </c>
      <c r="E2417" s="2" t="s">
        <v>6703</v>
      </c>
      <c r="F2417" s="2" t="s">
        <v>30</v>
      </c>
      <c r="G2417" s="2">
        <v>45916.5</v>
      </c>
      <c r="H2417" s="2">
        <v>26608.92</v>
      </c>
      <c r="I2417" s="2" t="s">
        <v>84</v>
      </c>
      <c r="J2417" s="2" t="s">
        <v>6729</v>
      </c>
      <c r="K2417" s="2" t="s">
        <v>80</v>
      </c>
      <c r="L2417" s="2" t="s">
        <v>48</v>
      </c>
      <c r="M2417" s="2">
        <v>5</v>
      </c>
      <c r="N2417" s="2" t="s">
        <v>69</v>
      </c>
      <c r="O2417" s="2" t="s">
        <v>25</v>
      </c>
      <c r="P2417" s="2" t="s">
        <v>34</v>
      </c>
    </row>
    <row r="2418" spans="1:16" x14ac:dyDescent="0.25">
      <c r="A2418" s="2" t="s">
        <v>5485</v>
      </c>
      <c r="B2418" s="2" t="s">
        <v>987</v>
      </c>
      <c r="C2418" s="2">
        <v>8328</v>
      </c>
      <c r="D2418" s="2" t="s">
        <v>9404</v>
      </c>
      <c r="E2418" s="2" t="s">
        <v>6748</v>
      </c>
      <c r="F2418" s="2" t="s">
        <v>19</v>
      </c>
      <c r="G2418" s="2">
        <v>16625.47</v>
      </c>
      <c r="H2418" s="2">
        <v>9505.98</v>
      </c>
      <c r="I2418" s="2" t="s">
        <v>63</v>
      </c>
      <c r="J2418" s="2" t="s">
        <v>6691</v>
      </c>
      <c r="K2418" s="2" t="s">
        <v>32</v>
      </c>
      <c r="L2418" s="2" t="s">
        <v>23</v>
      </c>
      <c r="M2418" s="2">
        <v>3</v>
      </c>
      <c r="N2418" s="2" t="s">
        <v>24</v>
      </c>
      <c r="O2418" s="2" t="s">
        <v>70</v>
      </c>
      <c r="P2418" s="2" t="s">
        <v>34</v>
      </c>
    </row>
    <row r="2419" spans="1:16" x14ac:dyDescent="0.25">
      <c r="A2419" s="2" t="s">
        <v>5487</v>
      </c>
      <c r="B2419" s="2" t="s">
        <v>2787</v>
      </c>
      <c r="C2419" s="2">
        <v>2233</v>
      </c>
      <c r="D2419" s="2" t="s">
        <v>6372</v>
      </c>
      <c r="E2419" s="2" t="s">
        <v>18</v>
      </c>
      <c r="F2419" s="2" t="s">
        <v>47</v>
      </c>
      <c r="G2419" s="2">
        <v>5301.57</v>
      </c>
      <c r="H2419" s="2">
        <v>2530.21</v>
      </c>
      <c r="I2419" s="2" t="s">
        <v>53</v>
      </c>
      <c r="J2419" s="2" t="s">
        <v>54</v>
      </c>
      <c r="K2419" s="2" t="s">
        <v>80</v>
      </c>
      <c r="L2419" s="2" t="s">
        <v>23</v>
      </c>
      <c r="M2419" s="2">
        <v>2</v>
      </c>
      <c r="N2419" s="2" t="s">
        <v>33</v>
      </c>
      <c r="O2419" s="2" t="s">
        <v>70</v>
      </c>
      <c r="P2419" s="2" t="s">
        <v>26</v>
      </c>
    </row>
    <row r="2420" spans="1:16" x14ac:dyDescent="0.25">
      <c r="A2420" s="2" t="s">
        <v>5488</v>
      </c>
      <c r="B2420" s="2" t="s">
        <v>1125</v>
      </c>
      <c r="C2420" s="2">
        <v>6012</v>
      </c>
      <c r="D2420" s="2" t="s">
        <v>2356</v>
      </c>
      <c r="E2420" s="2" t="s">
        <v>18</v>
      </c>
      <c r="F2420" s="2" t="s">
        <v>19</v>
      </c>
      <c r="G2420" s="2">
        <v>13287.11</v>
      </c>
      <c r="H2420" s="2">
        <v>6437.08</v>
      </c>
      <c r="I2420" s="2" t="s">
        <v>53</v>
      </c>
      <c r="J2420" s="2" t="s">
        <v>54</v>
      </c>
      <c r="K2420" s="2" t="s">
        <v>42</v>
      </c>
      <c r="L2420" s="2" t="s">
        <v>48</v>
      </c>
      <c r="M2420" s="2">
        <v>3</v>
      </c>
      <c r="N2420" s="2" t="s">
        <v>33</v>
      </c>
      <c r="O2420" s="2" t="s">
        <v>70</v>
      </c>
      <c r="P2420" s="2" t="s">
        <v>34</v>
      </c>
    </row>
    <row r="2421" spans="1:16" x14ac:dyDescent="0.25">
      <c r="A2421" s="2" t="s">
        <v>5489</v>
      </c>
      <c r="B2421" s="2" t="s">
        <v>9405</v>
      </c>
      <c r="C2421" s="2">
        <v>6552</v>
      </c>
      <c r="D2421" s="2" t="s">
        <v>9406</v>
      </c>
      <c r="E2421" s="2" t="s">
        <v>38</v>
      </c>
      <c r="F2421" s="2" t="s">
        <v>30</v>
      </c>
      <c r="G2421" s="2">
        <v>37434.769999999997</v>
      </c>
      <c r="H2421" s="2">
        <v>18915.52</v>
      </c>
      <c r="I2421" s="2" t="s">
        <v>63</v>
      </c>
      <c r="J2421" s="2" t="s">
        <v>54</v>
      </c>
      <c r="K2421" s="2" t="s">
        <v>22</v>
      </c>
      <c r="L2421" s="2" t="s">
        <v>48</v>
      </c>
      <c r="M2421" s="2">
        <v>3</v>
      </c>
      <c r="N2421" s="2" t="s">
        <v>69</v>
      </c>
      <c r="O2421" s="2" t="s">
        <v>25</v>
      </c>
      <c r="P2421" s="2" t="s">
        <v>49</v>
      </c>
    </row>
    <row r="2422" spans="1:16" x14ac:dyDescent="0.25">
      <c r="A2422" s="2" t="s">
        <v>5491</v>
      </c>
      <c r="B2422" s="2" t="s">
        <v>9407</v>
      </c>
      <c r="C2422" s="2">
        <v>6924</v>
      </c>
      <c r="D2422" s="2" t="s">
        <v>9408</v>
      </c>
      <c r="E2422" s="2" t="s">
        <v>6703</v>
      </c>
      <c r="F2422" s="2" t="s">
        <v>47</v>
      </c>
      <c r="G2422" s="2">
        <v>5611.91</v>
      </c>
      <c r="H2422" s="2">
        <v>2767.47</v>
      </c>
      <c r="I2422" s="2" t="s">
        <v>6681</v>
      </c>
      <c r="J2422" s="2" t="s">
        <v>6705</v>
      </c>
      <c r="K2422" s="2" t="s">
        <v>80</v>
      </c>
      <c r="L2422" s="2" t="s">
        <v>23</v>
      </c>
      <c r="M2422" s="2">
        <v>1</v>
      </c>
      <c r="N2422" s="2" t="s">
        <v>24</v>
      </c>
      <c r="O2422" s="2" t="s">
        <v>70</v>
      </c>
      <c r="P2422" s="2" t="s">
        <v>34</v>
      </c>
    </row>
    <row r="2423" spans="1:16" x14ac:dyDescent="0.25">
      <c r="A2423" s="2" t="s">
        <v>5493</v>
      </c>
      <c r="B2423" s="2" t="s">
        <v>1350</v>
      </c>
      <c r="C2423" s="2">
        <v>8085</v>
      </c>
      <c r="D2423" s="2" t="s">
        <v>9409</v>
      </c>
      <c r="E2423" s="2" t="s">
        <v>6698</v>
      </c>
      <c r="F2423" s="2" t="s">
        <v>58</v>
      </c>
      <c r="G2423" s="2">
        <v>43754.11</v>
      </c>
      <c r="H2423" s="2">
        <v>21140.07</v>
      </c>
      <c r="I2423" s="2" t="s">
        <v>6720</v>
      </c>
      <c r="J2423" s="2" t="s">
        <v>6700</v>
      </c>
      <c r="K2423" s="2" t="s">
        <v>22</v>
      </c>
      <c r="L2423" s="2" t="s">
        <v>64</v>
      </c>
      <c r="M2423" s="2">
        <v>2</v>
      </c>
      <c r="N2423" s="2" t="s">
        <v>69</v>
      </c>
      <c r="O2423" s="2" t="s">
        <v>25</v>
      </c>
      <c r="P2423" s="2" t="s">
        <v>26</v>
      </c>
    </row>
    <row r="2424" spans="1:16" x14ac:dyDescent="0.25">
      <c r="A2424" s="2" t="s">
        <v>5496</v>
      </c>
      <c r="B2424" s="2" t="s">
        <v>1560</v>
      </c>
      <c r="C2424" s="2">
        <v>5794</v>
      </c>
      <c r="D2424" s="2" t="s">
        <v>6382</v>
      </c>
      <c r="E2424" s="2" t="s">
        <v>6703</v>
      </c>
      <c r="F2424" s="2" t="s">
        <v>47</v>
      </c>
      <c r="G2424" s="2">
        <v>8448.2000000000007</v>
      </c>
      <c r="H2424" s="2">
        <v>4948.5200000000004</v>
      </c>
      <c r="I2424" s="2" t="s">
        <v>6910</v>
      </c>
      <c r="J2424" s="2" t="s">
        <v>6802</v>
      </c>
      <c r="K2424" s="2" t="s">
        <v>32</v>
      </c>
      <c r="L2424" s="2" t="s">
        <v>43</v>
      </c>
      <c r="M2424" s="2">
        <v>4</v>
      </c>
      <c r="N2424" s="2" t="s">
        <v>33</v>
      </c>
      <c r="O2424" s="2" t="s">
        <v>70</v>
      </c>
      <c r="P2424" s="2" t="s">
        <v>49</v>
      </c>
    </row>
    <row r="2425" spans="1:16" x14ac:dyDescent="0.25">
      <c r="A2425" s="2" t="s">
        <v>5498</v>
      </c>
      <c r="B2425" s="2" t="s">
        <v>628</v>
      </c>
      <c r="C2425" s="2">
        <v>6917</v>
      </c>
      <c r="D2425" s="2" t="s">
        <v>9410</v>
      </c>
      <c r="E2425" s="2" t="s">
        <v>6719</v>
      </c>
      <c r="F2425" s="2" t="s">
        <v>30</v>
      </c>
      <c r="G2425" s="2">
        <v>60795.23</v>
      </c>
      <c r="H2425" s="2">
        <v>31984.73</v>
      </c>
      <c r="I2425" s="2" t="s">
        <v>40</v>
      </c>
      <c r="J2425" s="2" t="s">
        <v>6732</v>
      </c>
      <c r="K2425" s="2" t="s">
        <v>22</v>
      </c>
      <c r="L2425" s="2" t="s">
        <v>88</v>
      </c>
      <c r="M2425" s="2">
        <v>3</v>
      </c>
      <c r="N2425" s="2" t="s">
        <v>24</v>
      </c>
      <c r="O2425" s="2" t="s">
        <v>70</v>
      </c>
      <c r="P2425" s="2" t="s">
        <v>26</v>
      </c>
    </row>
    <row r="2426" spans="1:16" x14ac:dyDescent="0.25">
      <c r="A2426" s="2" t="s">
        <v>5500</v>
      </c>
      <c r="B2426" s="2" t="s">
        <v>8338</v>
      </c>
      <c r="C2426" s="2">
        <v>3222</v>
      </c>
      <c r="D2426" s="2" t="s">
        <v>9411</v>
      </c>
      <c r="E2426" s="2" t="s">
        <v>6698</v>
      </c>
      <c r="F2426" s="2" t="s">
        <v>47</v>
      </c>
      <c r="G2426" s="2">
        <v>6660.46</v>
      </c>
      <c r="H2426" s="2">
        <v>4313.59</v>
      </c>
      <c r="I2426" s="2" t="s">
        <v>6681</v>
      </c>
      <c r="J2426" s="2" t="s">
        <v>6713</v>
      </c>
      <c r="K2426" s="2" t="s">
        <v>32</v>
      </c>
      <c r="L2426" s="2" t="s">
        <v>88</v>
      </c>
      <c r="M2426" s="2">
        <v>1</v>
      </c>
      <c r="N2426" s="2" t="s">
        <v>69</v>
      </c>
      <c r="O2426" s="2" t="s">
        <v>70</v>
      </c>
      <c r="P2426" s="2" t="s">
        <v>34</v>
      </c>
    </row>
    <row r="2427" spans="1:16" x14ac:dyDescent="0.25">
      <c r="A2427" s="2" t="s">
        <v>5503</v>
      </c>
      <c r="B2427" s="2" t="s">
        <v>9412</v>
      </c>
      <c r="C2427" s="2">
        <v>4872</v>
      </c>
      <c r="D2427" s="2" t="s">
        <v>9413</v>
      </c>
      <c r="E2427" s="2" t="s">
        <v>6680</v>
      </c>
      <c r="F2427" s="2" t="s">
        <v>19</v>
      </c>
      <c r="G2427" s="2">
        <v>15147.17</v>
      </c>
      <c r="H2427" s="2">
        <v>8597.08</v>
      </c>
      <c r="I2427" s="2" t="s">
        <v>31</v>
      </c>
      <c r="J2427" s="2" t="s">
        <v>6802</v>
      </c>
      <c r="K2427" s="2" t="s">
        <v>80</v>
      </c>
      <c r="L2427" s="2" t="s">
        <v>55</v>
      </c>
      <c r="M2427" s="2">
        <v>5</v>
      </c>
      <c r="N2427" s="2" t="s">
        <v>33</v>
      </c>
      <c r="O2427" s="2" t="s">
        <v>70</v>
      </c>
      <c r="P2427" s="2" t="s">
        <v>34</v>
      </c>
    </row>
    <row r="2428" spans="1:16" x14ac:dyDescent="0.25">
      <c r="A2428" s="2" t="s">
        <v>5504</v>
      </c>
      <c r="B2428" s="2" t="s">
        <v>5000</v>
      </c>
      <c r="C2428" s="2">
        <v>7395</v>
      </c>
      <c r="D2428" s="2" t="s">
        <v>9414</v>
      </c>
      <c r="E2428" s="2" t="s">
        <v>6748</v>
      </c>
      <c r="F2428" s="2" t="s">
        <v>19</v>
      </c>
      <c r="G2428" s="2">
        <v>8557</v>
      </c>
      <c r="H2428" s="2">
        <v>5130.3599999999997</v>
      </c>
      <c r="I2428" s="2" t="s">
        <v>6695</v>
      </c>
      <c r="J2428" s="2" t="s">
        <v>6724</v>
      </c>
      <c r="K2428" s="2" t="s">
        <v>32</v>
      </c>
      <c r="L2428" s="2" t="s">
        <v>48</v>
      </c>
      <c r="M2428" s="2">
        <v>4</v>
      </c>
      <c r="N2428" s="2" t="s">
        <v>24</v>
      </c>
      <c r="O2428" s="2" t="s">
        <v>25</v>
      </c>
      <c r="P2428" s="2" t="s">
        <v>34</v>
      </c>
    </row>
    <row r="2429" spans="1:16" x14ac:dyDescent="0.25">
      <c r="A2429" s="2" t="s">
        <v>5506</v>
      </c>
      <c r="B2429" s="2" t="s">
        <v>1309</v>
      </c>
      <c r="C2429" s="2">
        <v>5597</v>
      </c>
      <c r="D2429" s="2" t="s">
        <v>9415</v>
      </c>
      <c r="E2429" s="2" t="s">
        <v>38</v>
      </c>
      <c r="F2429" s="2" t="s">
        <v>58</v>
      </c>
      <c r="G2429" s="2">
        <v>53477.06</v>
      </c>
      <c r="H2429" s="2">
        <v>31301.27</v>
      </c>
      <c r="I2429" s="2" t="s">
        <v>63</v>
      </c>
      <c r="J2429" s="2" t="s">
        <v>54</v>
      </c>
      <c r="K2429" s="2" t="s">
        <v>32</v>
      </c>
      <c r="L2429" s="2" t="s">
        <v>43</v>
      </c>
      <c r="M2429" s="2">
        <v>5</v>
      </c>
      <c r="N2429" s="2" t="s">
        <v>24</v>
      </c>
      <c r="O2429" s="2" t="s">
        <v>25</v>
      </c>
      <c r="P2429" s="2" t="s">
        <v>26</v>
      </c>
    </row>
    <row r="2430" spans="1:16" x14ac:dyDescent="0.25">
      <c r="A2430" s="2" t="s">
        <v>5507</v>
      </c>
      <c r="B2430" s="2" t="s">
        <v>9416</v>
      </c>
      <c r="C2430" s="2">
        <v>4316</v>
      </c>
      <c r="D2430" s="2" t="s">
        <v>9417</v>
      </c>
      <c r="E2430" s="2" t="s">
        <v>6680</v>
      </c>
      <c r="F2430" s="2" t="s">
        <v>19</v>
      </c>
      <c r="G2430" s="2">
        <v>12642.15</v>
      </c>
      <c r="H2430" s="2">
        <v>5782.36</v>
      </c>
      <c r="I2430" s="2" t="s">
        <v>6752</v>
      </c>
      <c r="J2430" s="2" t="s">
        <v>54</v>
      </c>
      <c r="K2430" s="2" t="s">
        <v>80</v>
      </c>
      <c r="L2430" s="2" t="s">
        <v>48</v>
      </c>
      <c r="M2430" s="2">
        <v>5</v>
      </c>
      <c r="N2430" s="2" t="s">
        <v>33</v>
      </c>
      <c r="O2430" s="2" t="s">
        <v>70</v>
      </c>
      <c r="P2430" s="2" t="s">
        <v>49</v>
      </c>
    </row>
    <row r="2431" spans="1:16" x14ac:dyDescent="0.25">
      <c r="A2431" s="2" t="s">
        <v>5510</v>
      </c>
      <c r="B2431" s="2" t="s">
        <v>442</v>
      </c>
      <c r="C2431" s="2">
        <v>1937</v>
      </c>
      <c r="D2431" s="2" t="s">
        <v>7623</v>
      </c>
      <c r="E2431" s="2" t="s">
        <v>18</v>
      </c>
      <c r="F2431" s="2" t="s">
        <v>30</v>
      </c>
      <c r="G2431" s="2">
        <v>51324.21</v>
      </c>
      <c r="H2431" s="2">
        <v>25052.9</v>
      </c>
      <c r="I2431" s="2" t="s">
        <v>63</v>
      </c>
      <c r="J2431" s="2" t="s">
        <v>54</v>
      </c>
      <c r="K2431" s="2" t="s">
        <v>22</v>
      </c>
      <c r="L2431" s="2" t="s">
        <v>88</v>
      </c>
      <c r="M2431" s="2">
        <v>4</v>
      </c>
      <c r="N2431" s="2" t="s">
        <v>24</v>
      </c>
      <c r="O2431" s="2" t="s">
        <v>70</v>
      </c>
      <c r="P2431" s="2" t="s">
        <v>49</v>
      </c>
    </row>
    <row r="2432" spans="1:16" x14ac:dyDescent="0.25">
      <c r="A2432" s="2" t="s">
        <v>5512</v>
      </c>
      <c r="B2432" s="2" t="s">
        <v>3721</v>
      </c>
      <c r="C2432" s="2">
        <v>5916</v>
      </c>
      <c r="D2432" s="2" t="s">
        <v>9418</v>
      </c>
      <c r="E2432" s="2" t="s">
        <v>18</v>
      </c>
      <c r="F2432" s="2" t="s">
        <v>19</v>
      </c>
      <c r="G2432" s="2">
        <v>4771.7700000000004</v>
      </c>
      <c r="H2432" s="2">
        <v>2451.83</v>
      </c>
      <c r="I2432" s="2" t="s">
        <v>59</v>
      </c>
      <c r="J2432" s="2" t="s">
        <v>41</v>
      </c>
      <c r="K2432" s="2" t="s">
        <v>22</v>
      </c>
      <c r="L2432" s="2" t="s">
        <v>48</v>
      </c>
      <c r="M2432" s="2">
        <v>5</v>
      </c>
      <c r="N2432" s="2" t="s">
        <v>69</v>
      </c>
      <c r="O2432" s="2" t="s">
        <v>70</v>
      </c>
      <c r="P2432" s="2" t="s">
        <v>49</v>
      </c>
    </row>
    <row r="2433" spans="1:16" x14ac:dyDescent="0.25">
      <c r="A2433" s="2" t="s">
        <v>5514</v>
      </c>
      <c r="B2433" s="2" t="s">
        <v>1517</v>
      </c>
      <c r="C2433" s="2">
        <v>2629</v>
      </c>
      <c r="D2433" s="2" t="s">
        <v>6404</v>
      </c>
      <c r="E2433" s="2" t="s">
        <v>38</v>
      </c>
      <c r="F2433" s="2" t="s">
        <v>58</v>
      </c>
      <c r="G2433" s="2">
        <v>37557.57</v>
      </c>
      <c r="H2433" s="2">
        <v>18211.060000000001</v>
      </c>
      <c r="I2433" s="2" t="s">
        <v>31</v>
      </c>
      <c r="J2433" s="2" t="s">
        <v>21</v>
      </c>
      <c r="K2433" s="2" t="s">
        <v>32</v>
      </c>
      <c r="L2433" s="2" t="s">
        <v>48</v>
      </c>
      <c r="M2433" s="2">
        <v>4</v>
      </c>
      <c r="N2433" s="2" t="s">
        <v>33</v>
      </c>
      <c r="O2433" s="2" t="s">
        <v>70</v>
      </c>
      <c r="P2433" s="2" t="s">
        <v>34</v>
      </c>
    </row>
    <row r="2434" spans="1:16" x14ac:dyDescent="0.25">
      <c r="A2434" s="2" t="s">
        <v>5516</v>
      </c>
      <c r="B2434" s="2" t="s">
        <v>6645</v>
      </c>
      <c r="C2434" s="2">
        <v>5456</v>
      </c>
      <c r="D2434" s="2" t="s">
        <v>9419</v>
      </c>
      <c r="E2434" s="2" t="s">
        <v>32</v>
      </c>
      <c r="F2434" s="2" t="s">
        <v>47</v>
      </c>
      <c r="G2434" s="2">
        <v>14406.89</v>
      </c>
      <c r="H2434" s="2">
        <v>7889.14</v>
      </c>
      <c r="I2434" s="2" t="s">
        <v>6794</v>
      </c>
      <c r="J2434" s="2" t="s">
        <v>6802</v>
      </c>
      <c r="K2434" s="2" t="s">
        <v>22</v>
      </c>
      <c r="L2434" s="2" t="s">
        <v>23</v>
      </c>
      <c r="M2434" s="2">
        <v>2</v>
      </c>
      <c r="N2434" s="2" t="s">
        <v>33</v>
      </c>
      <c r="O2434" s="2" t="s">
        <v>70</v>
      </c>
      <c r="P2434" s="2" t="s">
        <v>49</v>
      </c>
    </row>
    <row r="2435" spans="1:16" x14ac:dyDescent="0.25">
      <c r="A2435" s="2" t="s">
        <v>5518</v>
      </c>
      <c r="B2435" s="2" t="s">
        <v>9420</v>
      </c>
      <c r="C2435" s="2">
        <v>9262</v>
      </c>
      <c r="D2435" s="2" t="s">
        <v>9421</v>
      </c>
      <c r="E2435" s="2" t="s">
        <v>18</v>
      </c>
      <c r="F2435" s="2" t="s">
        <v>19</v>
      </c>
      <c r="G2435" s="2">
        <v>8502.17</v>
      </c>
      <c r="H2435" s="2">
        <v>4222.07</v>
      </c>
      <c r="I2435" s="2" t="s">
        <v>68</v>
      </c>
      <c r="J2435" s="2" t="s">
        <v>41</v>
      </c>
      <c r="K2435" s="2" t="s">
        <v>42</v>
      </c>
      <c r="L2435" s="2" t="s">
        <v>48</v>
      </c>
      <c r="M2435" s="2">
        <v>2</v>
      </c>
      <c r="N2435" s="2" t="s">
        <v>33</v>
      </c>
      <c r="O2435" s="2" t="s">
        <v>25</v>
      </c>
      <c r="P2435" s="2" t="s">
        <v>34</v>
      </c>
    </row>
    <row r="2436" spans="1:16" x14ac:dyDescent="0.25">
      <c r="A2436" s="2" t="s">
        <v>5519</v>
      </c>
      <c r="B2436" s="2" t="s">
        <v>727</v>
      </c>
      <c r="C2436" s="2">
        <v>2991</v>
      </c>
      <c r="D2436" s="2" t="s">
        <v>9422</v>
      </c>
      <c r="E2436" s="2" t="s">
        <v>18</v>
      </c>
      <c r="F2436" s="2" t="s">
        <v>30</v>
      </c>
      <c r="G2436" s="2">
        <v>20995.74</v>
      </c>
      <c r="H2436" s="2">
        <v>11655.19</v>
      </c>
      <c r="I2436" s="2" t="s">
        <v>120</v>
      </c>
      <c r="J2436" s="2" t="s">
        <v>21</v>
      </c>
      <c r="K2436" s="2" t="s">
        <v>80</v>
      </c>
      <c r="L2436" s="2" t="s">
        <v>88</v>
      </c>
      <c r="M2436" s="2">
        <v>4</v>
      </c>
      <c r="N2436" s="2" t="s">
        <v>33</v>
      </c>
      <c r="O2436" s="2" t="s">
        <v>25</v>
      </c>
      <c r="P2436" s="2" t="s">
        <v>49</v>
      </c>
    </row>
    <row r="2437" spans="1:16" x14ac:dyDescent="0.25">
      <c r="A2437" s="2" t="s">
        <v>5521</v>
      </c>
      <c r="B2437" s="2" t="s">
        <v>5025</v>
      </c>
      <c r="C2437" s="2">
        <v>6065</v>
      </c>
      <c r="D2437" s="2" t="s">
        <v>9423</v>
      </c>
      <c r="E2437" s="2" t="s">
        <v>38</v>
      </c>
      <c r="F2437" s="2" t="s">
        <v>47</v>
      </c>
      <c r="G2437" s="2">
        <v>3110.55</v>
      </c>
      <c r="H2437" s="2">
        <v>1435.37</v>
      </c>
      <c r="I2437" s="2" t="s">
        <v>63</v>
      </c>
      <c r="J2437" s="2" t="s">
        <v>54</v>
      </c>
      <c r="K2437" s="2" t="s">
        <v>32</v>
      </c>
      <c r="L2437" s="2" t="s">
        <v>55</v>
      </c>
      <c r="M2437" s="2">
        <v>2</v>
      </c>
      <c r="N2437" s="2" t="s">
        <v>33</v>
      </c>
      <c r="O2437" s="2" t="s">
        <v>25</v>
      </c>
      <c r="P2437" s="2" t="s">
        <v>34</v>
      </c>
    </row>
    <row r="2438" spans="1:16" x14ac:dyDescent="0.25">
      <c r="A2438" s="2" t="s">
        <v>5523</v>
      </c>
      <c r="B2438" s="2" t="s">
        <v>1459</v>
      </c>
      <c r="C2438" s="2">
        <v>9616</v>
      </c>
      <c r="D2438" s="2" t="s">
        <v>9424</v>
      </c>
      <c r="E2438" s="2" t="s">
        <v>32</v>
      </c>
      <c r="F2438" s="2" t="s">
        <v>19</v>
      </c>
      <c r="G2438" s="2">
        <v>24235.29</v>
      </c>
      <c r="H2438" s="2">
        <v>13489.66</v>
      </c>
      <c r="I2438" s="2" t="s">
        <v>6808</v>
      </c>
      <c r="J2438" s="2" t="s">
        <v>6753</v>
      </c>
      <c r="K2438" s="2" t="s">
        <v>32</v>
      </c>
      <c r="L2438" s="2" t="s">
        <v>55</v>
      </c>
      <c r="M2438" s="2">
        <v>4</v>
      </c>
      <c r="N2438" s="2" t="s">
        <v>33</v>
      </c>
      <c r="O2438" s="2" t="s">
        <v>70</v>
      </c>
      <c r="P2438" s="2" t="s">
        <v>26</v>
      </c>
    </row>
    <row r="2439" spans="1:16" x14ac:dyDescent="0.25">
      <c r="A2439" s="2" t="s">
        <v>5526</v>
      </c>
      <c r="B2439" s="2" t="s">
        <v>2417</v>
      </c>
      <c r="C2439" s="2">
        <v>1696</v>
      </c>
      <c r="D2439" s="2" t="s">
        <v>9425</v>
      </c>
      <c r="E2439" s="2" t="s">
        <v>18</v>
      </c>
      <c r="F2439" s="2" t="s">
        <v>58</v>
      </c>
      <c r="G2439" s="2">
        <v>60750.63</v>
      </c>
      <c r="H2439" s="2">
        <v>37368.839999999997</v>
      </c>
      <c r="I2439" s="2" t="s">
        <v>84</v>
      </c>
      <c r="J2439" s="2" t="s">
        <v>54</v>
      </c>
      <c r="K2439" s="2" t="s">
        <v>80</v>
      </c>
      <c r="L2439" s="2" t="s">
        <v>43</v>
      </c>
      <c r="M2439" s="2">
        <v>2</v>
      </c>
      <c r="N2439" s="2" t="s">
        <v>24</v>
      </c>
      <c r="O2439" s="2" t="s">
        <v>25</v>
      </c>
      <c r="P2439" s="2" t="s">
        <v>34</v>
      </c>
    </row>
    <row r="2440" spans="1:16" x14ac:dyDescent="0.25">
      <c r="A2440" s="2" t="s">
        <v>5527</v>
      </c>
      <c r="B2440" s="2" t="s">
        <v>9426</v>
      </c>
      <c r="C2440" s="2">
        <v>8352</v>
      </c>
      <c r="D2440" s="2" t="s">
        <v>6092</v>
      </c>
      <c r="E2440" s="2" t="s">
        <v>18</v>
      </c>
      <c r="F2440" s="2" t="s">
        <v>30</v>
      </c>
      <c r="G2440" s="2">
        <v>22404.39</v>
      </c>
      <c r="H2440" s="2">
        <v>13893.28</v>
      </c>
      <c r="I2440" s="2" t="s">
        <v>6808</v>
      </c>
      <c r="J2440" s="2" t="s">
        <v>6753</v>
      </c>
      <c r="K2440" s="2" t="s">
        <v>22</v>
      </c>
      <c r="L2440" s="2" t="s">
        <v>43</v>
      </c>
      <c r="M2440" s="2">
        <v>3</v>
      </c>
      <c r="N2440" s="2" t="s">
        <v>33</v>
      </c>
      <c r="O2440" s="2" t="s">
        <v>70</v>
      </c>
      <c r="P2440" s="2" t="s">
        <v>34</v>
      </c>
    </row>
    <row r="2441" spans="1:16" x14ac:dyDescent="0.25">
      <c r="A2441" s="2" t="s">
        <v>5530</v>
      </c>
      <c r="B2441" s="2" t="s">
        <v>9427</v>
      </c>
      <c r="C2441" s="2">
        <v>5625</v>
      </c>
      <c r="D2441" s="2" t="s">
        <v>9428</v>
      </c>
      <c r="E2441" s="2" t="s">
        <v>38</v>
      </c>
      <c r="F2441" s="2" t="s">
        <v>30</v>
      </c>
      <c r="G2441" s="2">
        <v>23317.93</v>
      </c>
      <c r="H2441" s="2">
        <v>13818.22</v>
      </c>
      <c r="I2441" s="2" t="s">
        <v>53</v>
      </c>
      <c r="J2441" s="2" t="s">
        <v>6753</v>
      </c>
      <c r="K2441" s="2" t="s">
        <v>22</v>
      </c>
      <c r="L2441" s="2" t="s">
        <v>64</v>
      </c>
      <c r="M2441" s="2">
        <v>2</v>
      </c>
      <c r="N2441" s="2" t="s">
        <v>24</v>
      </c>
      <c r="O2441" s="2" t="s">
        <v>70</v>
      </c>
      <c r="P2441" s="2" t="s">
        <v>34</v>
      </c>
    </row>
    <row r="2442" spans="1:16" x14ac:dyDescent="0.25">
      <c r="A2442" s="2" t="s">
        <v>5531</v>
      </c>
      <c r="B2442" s="2" t="s">
        <v>9429</v>
      </c>
      <c r="C2442" s="2">
        <v>5458</v>
      </c>
      <c r="D2442" s="2" t="s">
        <v>9430</v>
      </c>
      <c r="E2442" s="2" t="s">
        <v>38</v>
      </c>
      <c r="F2442" s="2" t="s">
        <v>58</v>
      </c>
      <c r="G2442" s="2">
        <v>53399.21</v>
      </c>
      <c r="H2442" s="2">
        <v>29213.1</v>
      </c>
      <c r="I2442" s="2" t="s">
        <v>6794</v>
      </c>
      <c r="J2442" s="2" t="s">
        <v>6724</v>
      </c>
      <c r="K2442" s="2" t="s">
        <v>22</v>
      </c>
      <c r="L2442" s="2" t="s">
        <v>88</v>
      </c>
      <c r="M2442" s="2">
        <v>1</v>
      </c>
      <c r="N2442" s="2" t="s">
        <v>69</v>
      </c>
      <c r="O2442" s="2" t="s">
        <v>70</v>
      </c>
      <c r="P2442" s="2" t="s">
        <v>26</v>
      </c>
    </row>
    <row r="2443" spans="1:16" x14ac:dyDescent="0.25">
      <c r="A2443" s="2" t="s">
        <v>5533</v>
      </c>
      <c r="B2443" s="2" t="s">
        <v>9431</v>
      </c>
      <c r="C2443" s="2">
        <v>1001</v>
      </c>
      <c r="D2443" s="2" t="s">
        <v>1561</v>
      </c>
      <c r="E2443" s="2" t="s">
        <v>6719</v>
      </c>
      <c r="F2443" s="2" t="s">
        <v>47</v>
      </c>
      <c r="G2443" s="2">
        <v>9551.24</v>
      </c>
      <c r="H2443" s="2">
        <v>5516.27</v>
      </c>
      <c r="I2443" s="2" t="s">
        <v>6752</v>
      </c>
      <c r="J2443" s="2" t="s">
        <v>6729</v>
      </c>
      <c r="K2443" s="2" t="s">
        <v>32</v>
      </c>
      <c r="L2443" s="2" t="s">
        <v>88</v>
      </c>
      <c r="M2443" s="2">
        <v>5</v>
      </c>
      <c r="N2443" s="2" t="s">
        <v>24</v>
      </c>
      <c r="O2443" s="2" t="s">
        <v>25</v>
      </c>
      <c r="P2443" s="2" t="s">
        <v>34</v>
      </c>
    </row>
    <row r="2444" spans="1:16" x14ac:dyDescent="0.25">
      <c r="A2444" s="2" t="s">
        <v>5535</v>
      </c>
      <c r="B2444" s="2" t="s">
        <v>9432</v>
      </c>
      <c r="C2444" s="2">
        <v>4625</v>
      </c>
      <c r="D2444" s="2" t="s">
        <v>6429</v>
      </c>
      <c r="E2444" s="2" t="s">
        <v>32</v>
      </c>
      <c r="F2444" s="2" t="s">
        <v>47</v>
      </c>
      <c r="G2444" s="2">
        <v>9850.5499999999993</v>
      </c>
      <c r="H2444" s="2">
        <v>6153.82</v>
      </c>
      <c r="I2444" s="2" t="s">
        <v>6771</v>
      </c>
      <c r="J2444" s="2" t="s">
        <v>6696</v>
      </c>
      <c r="K2444" s="2" t="s">
        <v>22</v>
      </c>
      <c r="L2444" s="2" t="s">
        <v>48</v>
      </c>
      <c r="M2444" s="2">
        <v>1</v>
      </c>
      <c r="N2444" s="2" t="s">
        <v>33</v>
      </c>
      <c r="O2444" s="2" t="s">
        <v>25</v>
      </c>
      <c r="P2444" s="2" t="s">
        <v>26</v>
      </c>
    </row>
    <row r="2445" spans="1:16" x14ac:dyDescent="0.25">
      <c r="A2445" s="2" t="s">
        <v>5537</v>
      </c>
      <c r="B2445" s="2" t="s">
        <v>3120</v>
      </c>
      <c r="C2445" s="2">
        <v>5390</v>
      </c>
      <c r="D2445" s="2" t="s">
        <v>9433</v>
      </c>
      <c r="E2445" s="2" t="s">
        <v>38</v>
      </c>
      <c r="F2445" s="2" t="s">
        <v>39</v>
      </c>
      <c r="G2445" s="2">
        <v>26178.400000000001</v>
      </c>
      <c r="H2445" s="2">
        <v>16833.169999999998</v>
      </c>
      <c r="I2445" s="2" t="s">
        <v>84</v>
      </c>
      <c r="J2445" s="2" t="s">
        <v>54</v>
      </c>
      <c r="K2445" s="2" t="s">
        <v>22</v>
      </c>
      <c r="L2445" s="2" t="s">
        <v>23</v>
      </c>
      <c r="M2445" s="2">
        <v>5</v>
      </c>
      <c r="N2445" s="2" t="s">
        <v>33</v>
      </c>
      <c r="O2445" s="2" t="s">
        <v>70</v>
      </c>
      <c r="P2445" s="2" t="s">
        <v>34</v>
      </c>
    </row>
    <row r="2446" spans="1:16" x14ac:dyDescent="0.25">
      <c r="A2446" s="2" t="s">
        <v>5539</v>
      </c>
      <c r="B2446" s="2" t="s">
        <v>9434</v>
      </c>
      <c r="C2446" s="2">
        <v>5711</v>
      </c>
      <c r="D2446" s="2" t="s">
        <v>9435</v>
      </c>
      <c r="E2446" s="2" t="s">
        <v>6694</v>
      </c>
      <c r="F2446" s="2" t="s">
        <v>19</v>
      </c>
      <c r="G2446" s="2">
        <v>6525.73</v>
      </c>
      <c r="H2446" s="2">
        <v>3591.77</v>
      </c>
      <c r="I2446" s="2" t="s">
        <v>84</v>
      </c>
      <c r="J2446" s="2" t="s">
        <v>6753</v>
      </c>
      <c r="K2446" s="2" t="s">
        <v>22</v>
      </c>
      <c r="L2446" s="2" t="s">
        <v>23</v>
      </c>
      <c r="M2446" s="2">
        <v>2</v>
      </c>
      <c r="N2446" s="2" t="s">
        <v>33</v>
      </c>
      <c r="O2446" s="2" t="s">
        <v>25</v>
      </c>
      <c r="P2446" s="2" t="s">
        <v>34</v>
      </c>
    </row>
    <row r="2447" spans="1:16" x14ac:dyDescent="0.25">
      <c r="A2447" s="2" t="s">
        <v>5541</v>
      </c>
      <c r="B2447" s="2" t="s">
        <v>6028</v>
      </c>
      <c r="C2447" s="2">
        <v>8478</v>
      </c>
      <c r="D2447" s="2" t="s">
        <v>9436</v>
      </c>
      <c r="E2447" s="2" t="s">
        <v>6748</v>
      </c>
      <c r="F2447" s="2" t="s">
        <v>58</v>
      </c>
      <c r="G2447" s="2">
        <v>14305.33</v>
      </c>
      <c r="H2447" s="2">
        <v>9250.18</v>
      </c>
      <c r="I2447" s="2" t="s">
        <v>6867</v>
      </c>
      <c r="J2447" s="2" t="s">
        <v>6795</v>
      </c>
      <c r="K2447" s="2" t="s">
        <v>32</v>
      </c>
      <c r="L2447" s="2" t="s">
        <v>64</v>
      </c>
      <c r="M2447" s="2">
        <v>4</v>
      </c>
      <c r="N2447" s="2" t="s">
        <v>24</v>
      </c>
      <c r="O2447" s="2" t="s">
        <v>25</v>
      </c>
      <c r="P2447" s="2" t="s">
        <v>26</v>
      </c>
    </row>
    <row r="2448" spans="1:16" x14ac:dyDescent="0.25">
      <c r="A2448" s="2" t="s">
        <v>5543</v>
      </c>
      <c r="B2448" s="2" t="s">
        <v>6348</v>
      </c>
      <c r="C2448" s="2">
        <v>8066</v>
      </c>
      <c r="D2448" s="2" t="s">
        <v>9437</v>
      </c>
      <c r="E2448" s="2" t="s">
        <v>38</v>
      </c>
      <c r="F2448" s="2" t="s">
        <v>47</v>
      </c>
      <c r="G2448" s="2">
        <v>10780.84</v>
      </c>
      <c r="H2448" s="2">
        <v>6748.29</v>
      </c>
      <c r="I2448" s="2" t="s">
        <v>84</v>
      </c>
      <c r="J2448" s="2" t="s">
        <v>54</v>
      </c>
      <c r="K2448" s="2" t="s">
        <v>80</v>
      </c>
      <c r="L2448" s="2" t="s">
        <v>23</v>
      </c>
      <c r="M2448" s="2">
        <v>1</v>
      </c>
      <c r="N2448" s="2" t="s">
        <v>33</v>
      </c>
      <c r="O2448" s="2" t="s">
        <v>25</v>
      </c>
      <c r="P2448" s="2" t="s">
        <v>49</v>
      </c>
    </row>
    <row r="2449" spans="1:16" x14ac:dyDescent="0.25">
      <c r="A2449" s="2" t="s">
        <v>5545</v>
      </c>
      <c r="B2449" s="2" t="s">
        <v>4309</v>
      </c>
      <c r="C2449" s="2">
        <v>4727</v>
      </c>
      <c r="D2449" s="2" t="s">
        <v>9438</v>
      </c>
      <c r="E2449" s="2" t="s">
        <v>38</v>
      </c>
      <c r="F2449" s="2" t="s">
        <v>47</v>
      </c>
      <c r="G2449" s="2">
        <v>10318.299999999999</v>
      </c>
      <c r="H2449" s="2">
        <v>6195.27</v>
      </c>
      <c r="I2449" s="2" t="s">
        <v>63</v>
      </c>
      <c r="J2449" s="2" t="s">
        <v>54</v>
      </c>
      <c r="K2449" s="2" t="s">
        <v>22</v>
      </c>
      <c r="L2449" s="2" t="s">
        <v>88</v>
      </c>
      <c r="M2449" s="2">
        <v>3</v>
      </c>
      <c r="N2449" s="2" t="s">
        <v>24</v>
      </c>
      <c r="O2449" s="2" t="s">
        <v>70</v>
      </c>
      <c r="P2449" s="2" t="s">
        <v>49</v>
      </c>
    </row>
    <row r="2450" spans="1:16" x14ac:dyDescent="0.25">
      <c r="A2450" s="2" t="s">
        <v>5546</v>
      </c>
      <c r="B2450" s="2" t="s">
        <v>9439</v>
      </c>
      <c r="C2450" s="2">
        <v>4569</v>
      </c>
      <c r="D2450" s="2" t="s">
        <v>8285</v>
      </c>
      <c r="E2450" s="2" t="s">
        <v>32</v>
      </c>
      <c r="F2450" s="2" t="s">
        <v>47</v>
      </c>
      <c r="G2450" s="2">
        <v>16619.189999999999</v>
      </c>
      <c r="H2450" s="2">
        <v>8686.2800000000007</v>
      </c>
      <c r="I2450" s="2" t="s">
        <v>6695</v>
      </c>
      <c r="J2450" s="2" t="s">
        <v>6696</v>
      </c>
      <c r="K2450" s="2" t="s">
        <v>42</v>
      </c>
      <c r="L2450" s="2" t="s">
        <v>88</v>
      </c>
      <c r="M2450" s="2">
        <v>1</v>
      </c>
      <c r="N2450" s="2" t="s">
        <v>69</v>
      </c>
      <c r="O2450" s="2" t="s">
        <v>70</v>
      </c>
      <c r="P2450" s="2" t="s">
        <v>26</v>
      </c>
    </row>
    <row r="2451" spans="1:16" x14ac:dyDescent="0.25">
      <c r="A2451" s="2" t="s">
        <v>5549</v>
      </c>
      <c r="B2451" s="2" t="s">
        <v>9440</v>
      </c>
      <c r="C2451" s="2">
        <v>3277</v>
      </c>
      <c r="D2451" s="2" t="s">
        <v>9441</v>
      </c>
      <c r="E2451" s="2" t="s">
        <v>6680</v>
      </c>
      <c r="F2451" s="2" t="s">
        <v>30</v>
      </c>
      <c r="G2451" s="2">
        <v>33535.47</v>
      </c>
      <c r="H2451" s="2">
        <v>19310.98</v>
      </c>
      <c r="I2451" s="2" t="s">
        <v>120</v>
      </c>
      <c r="J2451" s="2" t="s">
        <v>6696</v>
      </c>
      <c r="K2451" s="2" t="s">
        <v>22</v>
      </c>
      <c r="L2451" s="2" t="s">
        <v>43</v>
      </c>
      <c r="M2451" s="2">
        <v>1</v>
      </c>
      <c r="N2451" s="2" t="s">
        <v>24</v>
      </c>
      <c r="O2451" s="2" t="s">
        <v>70</v>
      </c>
      <c r="P2451" s="2" t="s">
        <v>34</v>
      </c>
    </row>
    <row r="2452" spans="1:16" x14ac:dyDescent="0.25">
      <c r="A2452" s="2" t="s">
        <v>5551</v>
      </c>
      <c r="B2452" s="2" t="s">
        <v>9442</v>
      </c>
      <c r="C2452" s="2">
        <v>1098</v>
      </c>
      <c r="D2452" s="2" t="s">
        <v>2486</v>
      </c>
      <c r="E2452" s="2" t="s">
        <v>38</v>
      </c>
      <c r="F2452" s="2" t="s">
        <v>39</v>
      </c>
      <c r="G2452" s="2">
        <v>12566.14</v>
      </c>
      <c r="H2452" s="2">
        <v>6891.23</v>
      </c>
      <c r="I2452" s="2" t="s">
        <v>31</v>
      </c>
      <c r="J2452" s="2" t="s">
        <v>21</v>
      </c>
      <c r="K2452" s="2" t="s">
        <v>80</v>
      </c>
      <c r="L2452" s="2" t="s">
        <v>55</v>
      </c>
      <c r="M2452" s="2">
        <v>2</v>
      </c>
      <c r="N2452" s="2" t="s">
        <v>33</v>
      </c>
      <c r="O2452" s="2" t="s">
        <v>25</v>
      </c>
      <c r="P2452" s="2" t="s">
        <v>34</v>
      </c>
    </row>
    <row r="2453" spans="1:16" x14ac:dyDescent="0.25">
      <c r="A2453" s="2" t="s">
        <v>5553</v>
      </c>
      <c r="B2453" s="2" t="s">
        <v>9443</v>
      </c>
      <c r="C2453" s="2">
        <v>7901</v>
      </c>
      <c r="D2453" s="2" t="s">
        <v>9444</v>
      </c>
      <c r="E2453" s="2" t="s">
        <v>6694</v>
      </c>
      <c r="F2453" s="2" t="s">
        <v>58</v>
      </c>
      <c r="G2453" s="2">
        <v>53731.61</v>
      </c>
      <c r="H2453" s="2">
        <v>30046.6</v>
      </c>
      <c r="I2453" s="2" t="s">
        <v>84</v>
      </c>
      <c r="J2453" s="2" t="s">
        <v>6700</v>
      </c>
      <c r="K2453" s="2" t="s">
        <v>42</v>
      </c>
      <c r="L2453" s="2" t="s">
        <v>88</v>
      </c>
      <c r="M2453" s="2">
        <v>1</v>
      </c>
      <c r="N2453" s="2" t="s">
        <v>24</v>
      </c>
      <c r="O2453" s="2" t="s">
        <v>25</v>
      </c>
      <c r="P2453" s="2" t="s">
        <v>26</v>
      </c>
    </row>
    <row r="2454" spans="1:16" x14ac:dyDescent="0.25">
      <c r="A2454" s="2" t="s">
        <v>5556</v>
      </c>
      <c r="B2454" s="2" t="s">
        <v>9445</v>
      </c>
      <c r="C2454" s="2">
        <v>4345</v>
      </c>
      <c r="D2454" s="2" t="s">
        <v>9446</v>
      </c>
      <c r="E2454" s="2" t="s">
        <v>6756</v>
      </c>
      <c r="F2454" s="2" t="s">
        <v>30</v>
      </c>
      <c r="G2454" s="2">
        <v>77194.22</v>
      </c>
      <c r="H2454" s="2">
        <v>44170.23</v>
      </c>
      <c r="I2454" s="2" t="s">
        <v>6845</v>
      </c>
      <c r="J2454" s="2" t="s">
        <v>6724</v>
      </c>
      <c r="K2454" s="2" t="s">
        <v>80</v>
      </c>
      <c r="L2454" s="2" t="s">
        <v>43</v>
      </c>
      <c r="M2454" s="2">
        <v>1</v>
      </c>
      <c r="N2454" s="2" t="s">
        <v>33</v>
      </c>
      <c r="O2454" s="2" t="s">
        <v>70</v>
      </c>
      <c r="P2454" s="2" t="s">
        <v>49</v>
      </c>
    </row>
    <row r="2455" spans="1:16" x14ac:dyDescent="0.25">
      <c r="A2455" s="2" t="s">
        <v>5557</v>
      </c>
      <c r="B2455" s="2" t="s">
        <v>259</v>
      </c>
      <c r="C2455" s="2">
        <v>7331</v>
      </c>
      <c r="D2455" s="2" t="s">
        <v>9447</v>
      </c>
      <c r="E2455" s="2" t="s">
        <v>6698</v>
      </c>
      <c r="F2455" s="2" t="s">
        <v>47</v>
      </c>
      <c r="G2455" s="2">
        <v>10791.24</v>
      </c>
      <c r="H2455" s="2">
        <v>6661.9</v>
      </c>
      <c r="I2455" s="2" t="s">
        <v>6704</v>
      </c>
      <c r="J2455" s="2" t="s">
        <v>41</v>
      </c>
      <c r="K2455" s="2" t="s">
        <v>80</v>
      </c>
      <c r="L2455" s="2" t="s">
        <v>64</v>
      </c>
      <c r="M2455" s="2">
        <v>3</v>
      </c>
      <c r="N2455" s="2" t="s">
        <v>24</v>
      </c>
      <c r="O2455" s="2" t="s">
        <v>70</v>
      </c>
      <c r="P2455" s="2" t="s">
        <v>34</v>
      </c>
    </row>
    <row r="2456" spans="1:16" x14ac:dyDescent="0.25">
      <c r="A2456" s="2" t="s">
        <v>5559</v>
      </c>
      <c r="B2456" s="2" t="s">
        <v>3141</v>
      </c>
      <c r="C2456" s="2">
        <v>3543</v>
      </c>
      <c r="D2456" s="2" t="s">
        <v>9448</v>
      </c>
      <c r="E2456" s="2" t="s">
        <v>38</v>
      </c>
      <c r="F2456" s="2" t="s">
        <v>19</v>
      </c>
      <c r="G2456" s="2">
        <v>12866.69</v>
      </c>
      <c r="H2456" s="2">
        <v>5830.19</v>
      </c>
      <c r="I2456" s="2" t="s">
        <v>20</v>
      </c>
      <c r="J2456" s="2" t="s">
        <v>21</v>
      </c>
      <c r="K2456" s="2" t="s">
        <v>32</v>
      </c>
      <c r="L2456" s="2" t="s">
        <v>43</v>
      </c>
      <c r="M2456" s="2">
        <v>4</v>
      </c>
      <c r="N2456" s="2" t="s">
        <v>33</v>
      </c>
      <c r="O2456" s="2" t="s">
        <v>25</v>
      </c>
      <c r="P2456" s="2" t="s">
        <v>34</v>
      </c>
    </row>
    <row r="2457" spans="1:16" x14ac:dyDescent="0.25">
      <c r="A2457" s="2" t="s">
        <v>5561</v>
      </c>
      <c r="B2457" s="2" t="s">
        <v>915</v>
      </c>
      <c r="C2457" s="2">
        <v>6465</v>
      </c>
      <c r="D2457" s="2" t="s">
        <v>9449</v>
      </c>
      <c r="E2457" s="2" t="s">
        <v>18</v>
      </c>
      <c r="F2457" s="2" t="s">
        <v>39</v>
      </c>
      <c r="G2457" s="2">
        <v>8475.2900000000009</v>
      </c>
      <c r="H2457" s="2">
        <v>4128.58</v>
      </c>
      <c r="I2457" s="2" t="s">
        <v>20</v>
      </c>
      <c r="J2457" s="2" t="s">
        <v>21</v>
      </c>
      <c r="K2457" s="2" t="s">
        <v>80</v>
      </c>
      <c r="L2457" s="2" t="s">
        <v>88</v>
      </c>
      <c r="M2457" s="2">
        <v>5</v>
      </c>
      <c r="N2457" s="2" t="s">
        <v>33</v>
      </c>
      <c r="O2457" s="2" t="s">
        <v>70</v>
      </c>
      <c r="P2457" s="2" t="s">
        <v>26</v>
      </c>
    </row>
    <row r="2458" spans="1:16" x14ac:dyDescent="0.25">
      <c r="A2458" s="2" t="s">
        <v>5563</v>
      </c>
      <c r="B2458" s="2" t="s">
        <v>9450</v>
      </c>
      <c r="C2458" s="2">
        <v>1699</v>
      </c>
      <c r="D2458" s="2" t="s">
        <v>9451</v>
      </c>
      <c r="E2458" s="2" t="s">
        <v>38</v>
      </c>
      <c r="F2458" s="2" t="s">
        <v>58</v>
      </c>
      <c r="G2458" s="2">
        <v>15206.18</v>
      </c>
      <c r="H2458" s="2">
        <v>9795.09</v>
      </c>
      <c r="I2458" s="2" t="s">
        <v>31</v>
      </c>
      <c r="J2458" s="2" t="s">
        <v>6795</v>
      </c>
      <c r="K2458" s="2" t="s">
        <v>80</v>
      </c>
      <c r="L2458" s="2" t="s">
        <v>23</v>
      </c>
      <c r="M2458" s="2">
        <v>1</v>
      </c>
      <c r="N2458" s="2" t="s">
        <v>24</v>
      </c>
      <c r="O2458" s="2" t="s">
        <v>25</v>
      </c>
      <c r="P2458" s="2" t="s">
        <v>26</v>
      </c>
    </row>
    <row r="2459" spans="1:16" x14ac:dyDescent="0.25">
      <c r="A2459" s="2" t="s">
        <v>5566</v>
      </c>
      <c r="B2459" s="2" t="s">
        <v>9452</v>
      </c>
      <c r="C2459" s="2">
        <v>2067</v>
      </c>
      <c r="D2459" s="2" t="s">
        <v>9453</v>
      </c>
      <c r="E2459" s="2" t="s">
        <v>6756</v>
      </c>
      <c r="F2459" s="2" t="s">
        <v>30</v>
      </c>
      <c r="G2459" s="2">
        <v>78738.23</v>
      </c>
      <c r="H2459" s="2">
        <v>40603.440000000002</v>
      </c>
      <c r="I2459" s="2" t="s">
        <v>6812</v>
      </c>
      <c r="J2459" s="2" t="s">
        <v>54</v>
      </c>
      <c r="K2459" s="2" t="s">
        <v>80</v>
      </c>
      <c r="L2459" s="2" t="s">
        <v>55</v>
      </c>
      <c r="M2459" s="2">
        <v>5</v>
      </c>
      <c r="N2459" s="2" t="s">
        <v>24</v>
      </c>
      <c r="O2459" s="2" t="s">
        <v>70</v>
      </c>
      <c r="P2459" s="2" t="s">
        <v>34</v>
      </c>
    </row>
    <row r="2460" spans="1:16" x14ac:dyDescent="0.25">
      <c r="A2460" s="2" t="s">
        <v>5568</v>
      </c>
      <c r="B2460" s="2" t="s">
        <v>5302</v>
      </c>
      <c r="C2460" s="2">
        <v>9353</v>
      </c>
      <c r="D2460" s="2" t="s">
        <v>9454</v>
      </c>
      <c r="E2460" s="2" t="s">
        <v>38</v>
      </c>
      <c r="F2460" s="2" t="s">
        <v>47</v>
      </c>
      <c r="G2460" s="2">
        <v>11700.95</v>
      </c>
      <c r="H2460" s="2">
        <v>6367.25</v>
      </c>
      <c r="I2460" s="2" t="s">
        <v>40</v>
      </c>
      <c r="J2460" s="2" t="s">
        <v>41</v>
      </c>
      <c r="K2460" s="2" t="s">
        <v>42</v>
      </c>
      <c r="L2460" s="2" t="s">
        <v>23</v>
      </c>
      <c r="M2460" s="2">
        <v>1</v>
      </c>
      <c r="N2460" s="2" t="s">
        <v>24</v>
      </c>
      <c r="O2460" s="2" t="s">
        <v>70</v>
      </c>
      <c r="P2460" s="2" t="s">
        <v>34</v>
      </c>
    </row>
    <row r="2461" spans="1:16" x14ac:dyDescent="0.25">
      <c r="A2461" s="2" t="s">
        <v>5569</v>
      </c>
      <c r="B2461" s="2" t="s">
        <v>5436</v>
      </c>
      <c r="C2461" s="2">
        <v>3678</v>
      </c>
      <c r="D2461" s="2" t="s">
        <v>9455</v>
      </c>
      <c r="E2461" s="2" t="s">
        <v>38</v>
      </c>
      <c r="F2461" s="2" t="s">
        <v>30</v>
      </c>
      <c r="G2461" s="2">
        <v>30172.94</v>
      </c>
      <c r="H2461" s="2">
        <v>16045.59</v>
      </c>
      <c r="I2461" s="2" t="s">
        <v>6728</v>
      </c>
      <c r="J2461" s="2" t="s">
        <v>6686</v>
      </c>
      <c r="K2461" s="2" t="s">
        <v>32</v>
      </c>
      <c r="L2461" s="2" t="s">
        <v>48</v>
      </c>
      <c r="M2461" s="2">
        <v>4</v>
      </c>
      <c r="N2461" s="2" t="s">
        <v>33</v>
      </c>
      <c r="O2461" s="2" t="s">
        <v>70</v>
      </c>
      <c r="P2461" s="2" t="s">
        <v>26</v>
      </c>
    </row>
    <row r="2462" spans="1:16" x14ac:dyDescent="0.25">
      <c r="A2462" s="2" t="s">
        <v>5570</v>
      </c>
      <c r="B2462" s="2" t="s">
        <v>1119</v>
      </c>
      <c r="C2462" s="2">
        <v>7702</v>
      </c>
      <c r="D2462" s="2" t="s">
        <v>9456</v>
      </c>
      <c r="E2462" s="2" t="s">
        <v>38</v>
      </c>
      <c r="F2462" s="2" t="s">
        <v>58</v>
      </c>
      <c r="G2462" s="2">
        <v>31306.34</v>
      </c>
      <c r="H2462" s="2">
        <v>18365.78</v>
      </c>
      <c r="I2462" s="2" t="s">
        <v>40</v>
      </c>
      <c r="J2462" s="2" t="s">
        <v>41</v>
      </c>
      <c r="K2462" s="2" t="s">
        <v>22</v>
      </c>
      <c r="L2462" s="2" t="s">
        <v>88</v>
      </c>
      <c r="M2462" s="2">
        <v>1</v>
      </c>
      <c r="N2462" s="2" t="s">
        <v>24</v>
      </c>
      <c r="O2462" s="2" t="s">
        <v>25</v>
      </c>
      <c r="P2462" s="2" t="s">
        <v>26</v>
      </c>
    </row>
    <row r="2463" spans="1:16" x14ac:dyDescent="0.25">
      <c r="A2463" s="2" t="s">
        <v>5572</v>
      </c>
      <c r="B2463" s="2" t="s">
        <v>4832</v>
      </c>
      <c r="C2463" s="2">
        <v>8273</v>
      </c>
      <c r="D2463" s="2" t="s">
        <v>9457</v>
      </c>
      <c r="E2463" s="2" t="s">
        <v>6748</v>
      </c>
      <c r="F2463" s="2" t="s">
        <v>47</v>
      </c>
      <c r="G2463" s="2">
        <v>12885.91</v>
      </c>
      <c r="H2463" s="2">
        <v>7209.18</v>
      </c>
      <c r="I2463" s="2" t="s">
        <v>6739</v>
      </c>
      <c r="J2463" s="2" t="s">
        <v>6729</v>
      </c>
      <c r="K2463" s="2" t="s">
        <v>80</v>
      </c>
      <c r="L2463" s="2" t="s">
        <v>55</v>
      </c>
      <c r="M2463" s="2">
        <v>3</v>
      </c>
      <c r="N2463" s="2" t="s">
        <v>69</v>
      </c>
      <c r="O2463" s="2" t="s">
        <v>70</v>
      </c>
      <c r="P2463" s="2" t="s">
        <v>49</v>
      </c>
    </row>
    <row r="2464" spans="1:16" x14ac:dyDescent="0.25">
      <c r="A2464" s="2" t="s">
        <v>5574</v>
      </c>
      <c r="B2464" s="2" t="s">
        <v>1802</v>
      </c>
      <c r="C2464" s="2">
        <v>8577</v>
      </c>
      <c r="D2464" s="2" t="s">
        <v>2105</v>
      </c>
      <c r="E2464" s="2" t="s">
        <v>18</v>
      </c>
      <c r="F2464" s="2" t="s">
        <v>19</v>
      </c>
      <c r="G2464" s="2">
        <v>8433.48</v>
      </c>
      <c r="H2464" s="2">
        <v>3908.72</v>
      </c>
      <c r="I2464" s="2" t="s">
        <v>59</v>
      </c>
      <c r="J2464" s="2" t="s">
        <v>41</v>
      </c>
      <c r="K2464" s="2" t="s">
        <v>22</v>
      </c>
      <c r="L2464" s="2" t="s">
        <v>43</v>
      </c>
      <c r="M2464" s="2">
        <v>3</v>
      </c>
      <c r="N2464" s="2" t="s">
        <v>33</v>
      </c>
      <c r="O2464" s="2" t="s">
        <v>25</v>
      </c>
      <c r="P2464" s="2" t="s">
        <v>34</v>
      </c>
    </row>
    <row r="2465" spans="1:16" x14ac:dyDescent="0.25">
      <c r="A2465" s="2" t="s">
        <v>5575</v>
      </c>
      <c r="B2465" s="2" t="s">
        <v>7212</v>
      </c>
      <c r="C2465" s="2">
        <v>3037</v>
      </c>
      <c r="D2465" s="2" t="s">
        <v>9458</v>
      </c>
      <c r="E2465" s="2" t="s">
        <v>18</v>
      </c>
      <c r="F2465" s="2" t="s">
        <v>47</v>
      </c>
      <c r="G2465" s="2">
        <v>4822.7</v>
      </c>
      <c r="H2465" s="2">
        <v>3133.6</v>
      </c>
      <c r="I2465" s="2" t="s">
        <v>20</v>
      </c>
      <c r="J2465" s="2" t="s">
        <v>21</v>
      </c>
      <c r="K2465" s="2" t="s">
        <v>80</v>
      </c>
      <c r="L2465" s="2" t="s">
        <v>64</v>
      </c>
      <c r="M2465" s="2">
        <v>2</v>
      </c>
      <c r="N2465" s="2" t="s">
        <v>33</v>
      </c>
      <c r="O2465" s="2" t="s">
        <v>25</v>
      </c>
      <c r="P2465" s="2" t="s">
        <v>34</v>
      </c>
    </row>
    <row r="2466" spans="1:16" x14ac:dyDescent="0.25">
      <c r="A2466" s="2" t="s">
        <v>5578</v>
      </c>
      <c r="B2466" s="2" t="s">
        <v>8100</v>
      </c>
      <c r="C2466" s="2">
        <v>6717</v>
      </c>
      <c r="D2466" s="2" t="s">
        <v>9459</v>
      </c>
      <c r="E2466" s="2" t="s">
        <v>38</v>
      </c>
      <c r="F2466" s="2" t="s">
        <v>19</v>
      </c>
      <c r="G2466" s="2">
        <v>12095.18</v>
      </c>
      <c r="H2466" s="2">
        <v>6536.39</v>
      </c>
      <c r="I2466" s="2" t="s">
        <v>68</v>
      </c>
      <c r="J2466" s="2" t="s">
        <v>41</v>
      </c>
      <c r="K2466" s="2" t="s">
        <v>32</v>
      </c>
      <c r="L2466" s="2" t="s">
        <v>55</v>
      </c>
      <c r="M2466" s="2">
        <v>1</v>
      </c>
      <c r="N2466" s="2" t="s">
        <v>24</v>
      </c>
      <c r="O2466" s="2" t="s">
        <v>25</v>
      </c>
      <c r="P2466" s="2" t="s">
        <v>34</v>
      </c>
    </row>
    <row r="2467" spans="1:16" x14ac:dyDescent="0.25">
      <c r="A2467" s="2" t="s">
        <v>5580</v>
      </c>
      <c r="B2467" s="2" t="s">
        <v>217</v>
      </c>
      <c r="C2467" s="2">
        <v>9563</v>
      </c>
      <c r="D2467" s="2" t="s">
        <v>9460</v>
      </c>
      <c r="E2467" s="2" t="s">
        <v>38</v>
      </c>
      <c r="F2467" s="2" t="s">
        <v>30</v>
      </c>
      <c r="G2467" s="2">
        <v>42483.44</v>
      </c>
      <c r="H2467" s="2">
        <v>20768.830000000002</v>
      </c>
      <c r="I2467" s="2" t="s">
        <v>63</v>
      </c>
      <c r="J2467" s="2" t="s">
        <v>54</v>
      </c>
      <c r="K2467" s="2" t="s">
        <v>22</v>
      </c>
      <c r="L2467" s="2" t="s">
        <v>88</v>
      </c>
      <c r="M2467" s="2">
        <v>5</v>
      </c>
      <c r="N2467" s="2" t="s">
        <v>24</v>
      </c>
      <c r="O2467" s="2" t="s">
        <v>25</v>
      </c>
      <c r="P2467" s="2" t="s">
        <v>49</v>
      </c>
    </row>
    <row r="2468" spans="1:16" x14ac:dyDescent="0.25">
      <c r="A2468" s="2" t="s">
        <v>5582</v>
      </c>
      <c r="B2468" s="2" t="s">
        <v>3303</v>
      </c>
      <c r="C2468" s="2">
        <v>5335</v>
      </c>
      <c r="D2468" s="2" t="s">
        <v>2233</v>
      </c>
      <c r="E2468" s="2" t="s">
        <v>18</v>
      </c>
      <c r="F2468" s="2" t="s">
        <v>47</v>
      </c>
      <c r="G2468" s="2">
        <v>7967.87</v>
      </c>
      <c r="H2468" s="2">
        <v>4574.87</v>
      </c>
      <c r="I2468" s="2" t="s">
        <v>53</v>
      </c>
      <c r="J2468" s="2" t="s">
        <v>54</v>
      </c>
      <c r="K2468" s="2" t="s">
        <v>32</v>
      </c>
      <c r="L2468" s="2" t="s">
        <v>88</v>
      </c>
      <c r="M2468" s="2">
        <v>3</v>
      </c>
      <c r="N2468" s="2" t="s">
        <v>69</v>
      </c>
      <c r="O2468" s="2" t="s">
        <v>70</v>
      </c>
      <c r="P2468" s="2" t="s">
        <v>26</v>
      </c>
    </row>
    <row r="2469" spans="1:16" x14ac:dyDescent="0.25">
      <c r="A2469" s="2" t="s">
        <v>5584</v>
      </c>
      <c r="B2469" s="2" t="s">
        <v>9461</v>
      </c>
      <c r="C2469" s="2">
        <v>1556</v>
      </c>
      <c r="D2469" s="2" t="s">
        <v>9462</v>
      </c>
      <c r="E2469" s="2" t="s">
        <v>6719</v>
      </c>
      <c r="F2469" s="2" t="s">
        <v>58</v>
      </c>
      <c r="G2469" s="2">
        <v>13641.32</v>
      </c>
      <c r="H2469" s="2">
        <v>8344.01</v>
      </c>
      <c r="I2469" s="2" t="s">
        <v>6726</v>
      </c>
      <c r="J2469" s="2" t="s">
        <v>6789</v>
      </c>
      <c r="K2469" s="2" t="s">
        <v>32</v>
      </c>
      <c r="L2469" s="2" t="s">
        <v>55</v>
      </c>
      <c r="M2469" s="2">
        <v>3</v>
      </c>
      <c r="N2469" s="2" t="s">
        <v>24</v>
      </c>
      <c r="O2469" s="2" t="s">
        <v>70</v>
      </c>
      <c r="P2469" s="2" t="s">
        <v>49</v>
      </c>
    </row>
    <row r="2470" spans="1:16" x14ac:dyDescent="0.25">
      <c r="A2470" s="2" t="s">
        <v>5585</v>
      </c>
      <c r="B2470" s="2" t="s">
        <v>9463</v>
      </c>
      <c r="C2470" s="2">
        <v>9595</v>
      </c>
      <c r="D2470" s="2" t="s">
        <v>2435</v>
      </c>
      <c r="E2470" s="2" t="s">
        <v>18</v>
      </c>
      <c r="F2470" s="2" t="s">
        <v>39</v>
      </c>
      <c r="G2470" s="2">
        <v>12110.31</v>
      </c>
      <c r="H2470" s="2">
        <v>5720.78</v>
      </c>
      <c r="I2470" s="2" t="s">
        <v>20</v>
      </c>
      <c r="J2470" s="2" t="s">
        <v>21</v>
      </c>
      <c r="K2470" s="2" t="s">
        <v>22</v>
      </c>
      <c r="L2470" s="2" t="s">
        <v>64</v>
      </c>
      <c r="M2470" s="2">
        <v>3</v>
      </c>
      <c r="N2470" s="2" t="s">
        <v>24</v>
      </c>
      <c r="O2470" s="2" t="s">
        <v>25</v>
      </c>
      <c r="P2470" s="2" t="s">
        <v>26</v>
      </c>
    </row>
    <row r="2471" spans="1:16" x14ac:dyDescent="0.25">
      <c r="A2471" s="2" t="s">
        <v>5586</v>
      </c>
      <c r="B2471" s="2" t="s">
        <v>7658</v>
      </c>
      <c r="C2471" s="2">
        <v>4831</v>
      </c>
      <c r="D2471" s="2" t="s">
        <v>6485</v>
      </c>
      <c r="E2471" s="2" t="s">
        <v>38</v>
      </c>
      <c r="F2471" s="2" t="s">
        <v>47</v>
      </c>
      <c r="G2471" s="2">
        <v>14644.83</v>
      </c>
      <c r="H2471" s="2">
        <v>9191.25</v>
      </c>
      <c r="I2471" s="2" t="s">
        <v>84</v>
      </c>
      <c r="J2471" s="2" t="s">
        <v>54</v>
      </c>
      <c r="K2471" s="2" t="s">
        <v>32</v>
      </c>
      <c r="L2471" s="2" t="s">
        <v>48</v>
      </c>
      <c r="M2471" s="2">
        <v>4</v>
      </c>
      <c r="N2471" s="2" t="s">
        <v>69</v>
      </c>
      <c r="O2471" s="2" t="s">
        <v>70</v>
      </c>
      <c r="P2471" s="2" t="s">
        <v>26</v>
      </c>
    </row>
    <row r="2472" spans="1:16" x14ac:dyDescent="0.25">
      <c r="A2472" s="2" t="s">
        <v>5587</v>
      </c>
      <c r="B2472" s="2" t="s">
        <v>9464</v>
      </c>
      <c r="C2472" s="2">
        <v>9764</v>
      </c>
      <c r="D2472" s="2" t="s">
        <v>6980</v>
      </c>
      <c r="E2472" s="2" t="s">
        <v>6756</v>
      </c>
      <c r="F2472" s="2" t="s">
        <v>19</v>
      </c>
      <c r="G2472" s="2">
        <v>4075.5</v>
      </c>
      <c r="H2472" s="2">
        <v>1976.54</v>
      </c>
      <c r="I2472" s="2" t="s">
        <v>6690</v>
      </c>
      <c r="J2472" s="2" t="s">
        <v>6691</v>
      </c>
      <c r="K2472" s="2" t="s">
        <v>32</v>
      </c>
      <c r="L2472" s="2" t="s">
        <v>64</v>
      </c>
      <c r="M2472" s="2">
        <v>4</v>
      </c>
      <c r="N2472" s="2" t="s">
        <v>33</v>
      </c>
      <c r="O2472" s="2" t="s">
        <v>25</v>
      </c>
      <c r="P2472" s="2" t="s">
        <v>26</v>
      </c>
    </row>
    <row r="2473" spans="1:16" x14ac:dyDescent="0.25">
      <c r="A2473" s="2" t="s">
        <v>5588</v>
      </c>
      <c r="B2473" s="2" t="s">
        <v>3450</v>
      </c>
      <c r="C2473" s="2">
        <v>8734</v>
      </c>
      <c r="D2473" s="2" t="s">
        <v>9465</v>
      </c>
      <c r="E2473" s="2" t="s">
        <v>32</v>
      </c>
      <c r="F2473" s="2" t="s">
        <v>58</v>
      </c>
      <c r="G2473" s="2">
        <v>26800.27</v>
      </c>
      <c r="H2473" s="2">
        <v>15763.5</v>
      </c>
      <c r="I2473" s="2" t="s">
        <v>6910</v>
      </c>
      <c r="J2473" s="2" t="s">
        <v>21</v>
      </c>
      <c r="K2473" s="2" t="s">
        <v>42</v>
      </c>
      <c r="L2473" s="2" t="s">
        <v>43</v>
      </c>
      <c r="M2473" s="2">
        <v>5</v>
      </c>
      <c r="N2473" s="2" t="s">
        <v>33</v>
      </c>
      <c r="O2473" s="2" t="s">
        <v>25</v>
      </c>
      <c r="P2473" s="2" t="s">
        <v>26</v>
      </c>
    </row>
    <row r="2474" spans="1:16" x14ac:dyDescent="0.25">
      <c r="A2474" s="2" t="s">
        <v>5590</v>
      </c>
      <c r="B2474" s="2" t="s">
        <v>1607</v>
      </c>
      <c r="C2474" s="2">
        <v>9848</v>
      </c>
      <c r="D2474" s="2" t="s">
        <v>9466</v>
      </c>
      <c r="E2474" s="2" t="s">
        <v>38</v>
      </c>
      <c r="F2474" s="2" t="s">
        <v>19</v>
      </c>
      <c r="G2474" s="2">
        <v>19959.310000000001</v>
      </c>
      <c r="H2474" s="2">
        <v>11246.37</v>
      </c>
      <c r="I2474" s="2" t="s">
        <v>84</v>
      </c>
      <c r="J2474" s="2" t="s">
        <v>54</v>
      </c>
      <c r="K2474" s="2" t="s">
        <v>22</v>
      </c>
      <c r="L2474" s="2" t="s">
        <v>43</v>
      </c>
      <c r="M2474" s="2">
        <v>2</v>
      </c>
      <c r="N2474" s="2" t="s">
        <v>69</v>
      </c>
      <c r="O2474" s="2" t="s">
        <v>70</v>
      </c>
      <c r="P2474" s="2" t="s">
        <v>34</v>
      </c>
    </row>
    <row r="2475" spans="1:16" x14ac:dyDescent="0.25">
      <c r="A2475" s="2" t="s">
        <v>5592</v>
      </c>
      <c r="B2475" s="2" t="s">
        <v>4753</v>
      </c>
      <c r="C2475" s="2">
        <v>5015</v>
      </c>
      <c r="D2475" s="2" t="s">
        <v>9467</v>
      </c>
      <c r="E2475" s="2" t="s">
        <v>6748</v>
      </c>
      <c r="F2475" s="2" t="s">
        <v>30</v>
      </c>
      <c r="G2475" s="2">
        <v>55074.41</v>
      </c>
      <c r="H2475" s="2">
        <v>32814.67</v>
      </c>
      <c r="I2475" s="2" t="s">
        <v>120</v>
      </c>
      <c r="J2475" s="2" t="s">
        <v>6696</v>
      </c>
      <c r="K2475" s="2" t="s">
        <v>32</v>
      </c>
      <c r="L2475" s="2" t="s">
        <v>23</v>
      </c>
      <c r="M2475" s="2">
        <v>1</v>
      </c>
      <c r="N2475" s="2" t="s">
        <v>33</v>
      </c>
      <c r="O2475" s="2" t="s">
        <v>70</v>
      </c>
      <c r="P2475" s="2" t="s">
        <v>49</v>
      </c>
    </row>
    <row r="2476" spans="1:16" x14ac:dyDescent="0.25">
      <c r="A2476" s="2" t="s">
        <v>5594</v>
      </c>
      <c r="B2476" s="2" t="s">
        <v>2378</v>
      </c>
      <c r="C2476" s="2">
        <v>1851</v>
      </c>
      <c r="D2476" s="2" t="s">
        <v>5005</v>
      </c>
      <c r="E2476" s="2" t="s">
        <v>38</v>
      </c>
      <c r="F2476" s="2" t="s">
        <v>47</v>
      </c>
      <c r="G2476" s="2">
        <v>13093.08</v>
      </c>
      <c r="H2476" s="2">
        <v>5968.76</v>
      </c>
      <c r="I2476" s="2" t="s">
        <v>84</v>
      </c>
      <c r="J2476" s="2" t="s">
        <v>54</v>
      </c>
      <c r="K2476" s="2" t="s">
        <v>42</v>
      </c>
      <c r="L2476" s="2" t="s">
        <v>64</v>
      </c>
      <c r="M2476" s="2">
        <v>4</v>
      </c>
      <c r="N2476" s="2" t="s">
        <v>33</v>
      </c>
      <c r="O2476" s="2" t="s">
        <v>25</v>
      </c>
      <c r="P2476" s="2" t="s">
        <v>49</v>
      </c>
    </row>
    <row r="2477" spans="1:16" x14ac:dyDescent="0.25">
      <c r="A2477" s="2" t="s">
        <v>5595</v>
      </c>
      <c r="B2477" s="2" t="s">
        <v>3891</v>
      </c>
      <c r="C2477" s="2">
        <v>2723</v>
      </c>
      <c r="D2477" s="2" t="s">
        <v>6500</v>
      </c>
      <c r="E2477" s="2" t="s">
        <v>6703</v>
      </c>
      <c r="F2477" s="2" t="s">
        <v>47</v>
      </c>
      <c r="G2477" s="2">
        <v>1667.45</v>
      </c>
      <c r="H2477" s="2">
        <v>937.72</v>
      </c>
      <c r="I2477" s="2" t="s">
        <v>6712</v>
      </c>
      <c r="J2477" s="2" t="s">
        <v>6793</v>
      </c>
      <c r="K2477" s="2" t="s">
        <v>80</v>
      </c>
      <c r="L2477" s="2" t="s">
        <v>23</v>
      </c>
      <c r="M2477" s="2">
        <v>3</v>
      </c>
      <c r="N2477" s="2" t="s">
        <v>24</v>
      </c>
      <c r="O2477" s="2" t="s">
        <v>25</v>
      </c>
      <c r="P2477" s="2" t="s">
        <v>34</v>
      </c>
    </row>
    <row r="2478" spans="1:16" x14ac:dyDescent="0.25">
      <c r="A2478" s="2" t="s">
        <v>5598</v>
      </c>
      <c r="B2478" s="2" t="s">
        <v>9468</v>
      </c>
      <c r="C2478" s="2">
        <v>8407</v>
      </c>
      <c r="D2478" s="2" t="s">
        <v>9469</v>
      </c>
      <c r="E2478" s="2" t="s">
        <v>6680</v>
      </c>
      <c r="F2478" s="2" t="s">
        <v>30</v>
      </c>
      <c r="G2478" s="2">
        <v>62045.19</v>
      </c>
      <c r="H2478" s="2">
        <v>28234.7</v>
      </c>
      <c r="I2478" s="2" t="s">
        <v>31</v>
      </c>
      <c r="J2478" s="2" t="s">
        <v>6724</v>
      </c>
      <c r="K2478" s="2" t="s">
        <v>80</v>
      </c>
      <c r="L2478" s="2" t="s">
        <v>23</v>
      </c>
      <c r="M2478" s="2">
        <v>5</v>
      </c>
      <c r="N2478" s="2" t="s">
        <v>69</v>
      </c>
      <c r="O2478" s="2" t="s">
        <v>70</v>
      </c>
      <c r="P2478" s="2" t="s">
        <v>49</v>
      </c>
    </row>
    <row r="2479" spans="1:16" x14ac:dyDescent="0.25">
      <c r="A2479" s="2" t="s">
        <v>5600</v>
      </c>
      <c r="B2479" s="2" t="s">
        <v>167</v>
      </c>
      <c r="C2479" s="2">
        <v>5112</v>
      </c>
      <c r="D2479" s="2" t="s">
        <v>5951</v>
      </c>
      <c r="E2479" s="2" t="s">
        <v>18</v>
      </c>
      <c r="F2479" s="2" t="s">
        <v>39</v>
      </c>
      <c r="G2479" s="2">
        <v>53289.26</v>
      </c>
      <c r="H2479" s="2">
        <v>28405.4</v>
      </c>
      <c r="I2479" s="2" t="s">
        <v>6812</v>
      </c>
      <c r="J2479" s="2" t="s">
        <v>6700</v>
      </c>
      <c r="K2479" s="2" t="s">
        <v>32</v>
      </c>
      <c r="L2479" s="2" t="s">
        <v>48</v>
      </c>
      <c r="M2479" s="2">
        <v>2</v>
      </c>
      <c r="N2479" s="2" t="s">
        <v>24</v>
      </c>
      <c r="O2479" s="2" t="s">
        <v>70</v>
      </c>
      <c r="P2479" s="2" t="s">
        <v>34</v>
      </c>
    </row>
    <row r="2480" spans="1:16" x14ac:dyDescent="0.25">
      <c r="A2480" s="2" t="s">
        <v>5602</v>
      </c>
      <c r="B2480" s="2" t="s">
        <v>995</v>
      </c>
      <c r="C2480" s="2">
        <v>3262</v>
      </c>
      <c r="D2480" s="2" t="s">
        <v>6506</v>
      </c>
      <c r="E2480" s="2" t="s">
        <v>38</v>
      </c>
      <c r="F2480" s="2" t="s">
        <v>30</v>
      </c>
      <c r="G2480" s="2">
        <v>123616.98</v>
      </c>
      <c r="H2480" s="2">
        <v>68115.460000000006</v>
      </c>
      <c r="I2480" s="2" t="s">
        <v>53</v>
      </c>
      <c r="J2480" s="2" t="s">
        <v>54</v>
      </c>
      <c r="K2480" s="2" t="s">
        <v>80</v>
      </c>
      <c r="L2480" s="2" t="s">
        <v>55</v>
      </c>
      <c r="M2480" s="2">
        <v>5</v>
      </c>
      <c r="N2480" s="2" t="s">
        <v>69</v>
      </c>
      <c r="O2480" s="2" t="s">
        <v>70</v>
      </c>
      <c r="P2480" s="2" t="s">
        <v>49</v>
      </c>
    </row>
    <row r="2481" spans="1:16" x14ac:dyDescent="0.25">
      <c r="A2481" s="2" t="s">
        <v>5604</v>
      </c>
      <c r="B2481" s="2" t="s">
        <v>4903</v>
      </c>
      <c r="C2481" s="2">
        <v>7182</v>
      </c>
      <c r="D2481" s="2" t="s">
        <v>9470</v>
      </c>
      <c r="E2481" s="2" t="s">
        <v>18</v>
      </c>
      <c r="F2481" s="2" t="s">
        <v>39</v>
      </c>
      <c r="G2481" s="2">
        <v>24461.37</v>
      </c>
      <c r="H2481" s="2">
        <v>12322.04</v>
      </c>
      <c r="I2481" s="2" t="s">
        <v>53</v>
      </c>
      <c r="J2481" s="2" t="s">
        <v>54</v>
      </c>
      <c r="K2481" s="2" t="s">
        <v>42</v>
      </c>
      <c r="L2481" s="2" t="s">
        <v>55</v>
      </c>
      <c r="M2481" s="2">
        <v>2</v>
      </c>
      <c r="N2481" s="2" t="s">
        <v>33</v>
      </c>
      <c r="O2481" s="2" t="s">
        <v>70</v>
      </c>
      <c r="P2481" s="2" t="s">
        <v>34</v>
      </c>
    </row>
    <row r="2482" spans="1:16" x14ac:dyDescent="0.25">
      <c r="A2482" s="2" t="s">
        <v>5607</v>
      </c>
      <c r="B2482" s="2" t="s">
        <v>9471</v>
      </c>
      <c r="C2482" s="2">
        <v>9954</v>
      </c>
      <c r="D2482" s="2" t="s">
        <v>9472</v>
      </c>
      <c r="E2482" s="2" t="s">
        <v>18</v>
      </c>
      <c r="F2482" s="2" t="s">
        <v>47</v>
      </c>
      <c r="G2482" s="2">
        <v>14192.52</v>
      </c>
      <c r="H2482" s="2">
        <v>8541.1299999999992</v>
      </c>
      <c r="I2482" s="2" t="s">
        <v>53</v>
      </c>
      <c r="J2482" s="2" t="s">
        <v>54</v>
      </c>
      <c r="K2482" s="2" t="s">
        <v>22</v>
      </c>
      <c r="L2482" s="2" t="s">
        <v>23</v>
      </c>
      <c r="M2482" s="2">
        <v>4</v>
      </c>
      <c r="N2482" s="2" t="s">
        <v>24</v>
      </c>
      <c r="O2482" s="2" t="s">
        <v>25</v>
      </c>
      <c r="P2482" s="2" t="s">
        <v>26</v>
      </c>
    </row>
    <row r="2483" spans="1:16" x14ac:dyDescent="0.25">
      <c r="A2483" s="2" t="s">
        <v>5609</v>
      </c>
      <c r="B2483" s="2" t="s">
        <v>1191</v>
      </c>
      <c r="C2483" s="2">
        <v>4504</v>
      </c>
      <c r="D2483" s="2" t="s">
        <v>1544</v>
      </c>
      <c r="E2483" s="2" t="s">
        <v>38</v>
      </c>
      <c r="F2483" s="2" t="s">
        <v>47</v>
      </c>
      <c r="G2483" s="2">
        <v>8539.9</v>
      </c>
      <c r="H2483" s="2">
        <v>4910.68</v>
      </c>
      <c r="I2483" s="2" t="s">
        <v>6752</v>
      </c>
      <c r="J2483" s="2" t="s">
        <v>54</v>
      </c>
      <c r="K2483" s="2" t="s">
        <v>80</v>
      </c>
      <c r="L2483" s="2" t="s">
        <v>43</v>
      </c>
      <c r="M2483" s="2">
        <v>5</v>
      </c>
      <c r="N2483" s="2" t="s">
        <v>69</v>
      </c>
      <c r="O2483" s="2" t="s">
        <v>25</v>
      </c>
      <c r="P2483" s="2" t="s">
        <v>34</v>
      </c>
    </row>
    <row r="2484" spans="1:16" x14ac:dyDescent="0.25">
      <c r="A2484" s="2" t="s">
        <v>5610</v>
      </c>
      <c r="B2484" s="2" t="s">
        <v>9323</v>
      </c>
      <c r="C2484" s="2">
        <v>4391</v>
      </c>
      <c r="D2484" s="2" t="s">
        <v>4215</v>
      </c>
      <c r="E2484" s="2" t="s">
        <v>18</v>
      </c>
      <c r="F2484" s="2" t="s">
        <v>30</v>
      </c>
      <c r="G2484" s="2">
        <v>76905.570000000007</v>
      </c>
      <c r="H2484" s="2">
        <v>38220.699999999997</v>
      </c>
      <c r="I2484" s="2" t="s">
        <v>6771</v>
      </c>
      <c r="J2484" s="2" t="s">
        <v>6696</v>
      </c>
      <c r="K2484" s="2" t="s">
        <v>42</v>
      </c>
      <c r="L2484" s="2" t="s">
        <v>55</v>
      </c>
      <c r="M2484" s="2">
        <v>2</v>
      </c>
      <c r="N2484" s="2" t="s">
        <v>24</v>
      </c>
      <c r="O2484" s="2" t="s">
        <v>70</v>
      </c>
      <c r="P2484" s="2" t="s">
        <v>49</v>
      </c>
    </row>
    <row r="2485" spans="1:16" x14ac:dyDescent="0.25">
      <c r="A2485" s="2" t="s">
        <v>5612</v>
      </c>
      <c r="B2485" s="2" t="s">
        <v>5193</v>
      </c>
      <c r="C2485" s="2">
        <v>3432</v>
      </c>
      <c r="D2485" s="2" t="s">
        <v>5153</v>
      </c>
      <c r="E2485" s="2" t="s">
        <v>18</v>
      </c>
      <c r="F2485" s="2" t="s">
        <v>39</v>
      </c>
      <c r="G2485" s="2">
        <v>46912.72</v>
      </c>
      <c r="H2485" s="2">
        <v>27542.33</v>
      </c>
      <c r="I2485" s="2" t="s">
        <v>53</v>
      </c>
      <c r="J2485" s="2" t="s">
        <v>54</v>
      </c>
      <c r="K2485" s="2" t="s">
        <v>80</v>
      </c>
      <c r="L2485" s="2" t="s">
        <v>48</v>
      </c>
      <c r="M2485" s="2">
        <v>1</v>
      </c>
      <c r="N2485" s="2" t="s">
        <v>24</v>
      </c>
      <c r="O2485" s="2" t="s">
        <v>25</v>
      </c>
      <c r="P2485" s="2" t="s">
        <v>34</v>
      </c>
    </row>
    <row r="2486" spans="1:16" x14ac:dyDescent="0.25">
      <c r="A2486" s="2" t="s">
        <v>5614</v>
      </c>
      <c r="B2486" s="2" t="s">
        <v>364</v>
      </c>
      <c r="C2486" s="2">
        <v>1832</v>
      </c>
      <c r="D2486" s="2" t="s">
        <v>7088</v>
      </c>
      <c r="E2486" s="2" t="s">
        <v>38</v>
      </c>
      <c r="F2486" s="2" t="s">
        <v>19</v>
      </c>
      <c r="G2486" s="2">
        <v>4495.16</v>
      </c>
      <c r="H2486" s="2">
        <v>2048.61</v>
      </c>
      <c r="I2486" s="2" t="s">
        <v>31</v>
      </c>
      <c r="J2486" s="2" t="s">
        <v>21</v>
      </c>
      <c r="K2486" s="2" t="s">
        <v>80</v>
      </c>
      <c r="L2486" s="2" t="s">
        <v>64</v>
      </c>
      <c r="M2486" s="2">
        <v>1</v>
      </c>
      <c r="N2486" s="2" t="s">
        <v>33</v>
      </c>
      <c r="O2486" s="2" t="s">
        <v>70</v>
      </c>
      <c r="P2486" s="2" t="s">
        <v>49</v>
      </c>
    </row>
    <row r="2487" spans="1:16" x14ac:dyDescent="0.25">
      <c r="A2487" s="2" t="s">
        <v>5617</v>
      </c>
      <c r="B2487" s="2" t="s">
        <v>9473</v>
      </c>
      <c r="C2487" s="2">
        <v>3695</v>
      </c>
      <c r="D2487" s="2" t="s">
        <v>9474</v>
      </c>
      <c r="E2487" s="2" t="s">
        <v>6680</v>
      </c>
      <c r="F2487" s="2" t="s">
        <v>47</v>
      </c>
      <c r="G2487" s="2">
        <v>6148.39</v>
      </c>
      <c r="H2487" s="2">
        <v>3227.32</v>
      </c>
      <c r="I2487" s="2" t="s">
        <v>6723</v>
      </c>
      <c r="J2487" s="2" t="s">
        <v>6696</v>
      </c>
      <c r="K2487" s="2" t="s">
        <v>80</v>
      </c>
      <c r="L2487" s="2" t="s">
        <v>48</v>
      </c>
      <c r="M2487" s="2">
        <v>5</v>
      </c>
      <c r="N2487" s="2" t="s">
        <v>33</v>
      </c>
      <c r="O2487" s="2" t="s">
        <v>25</v>
      </c>
      <c r="P2487" s="2" t="s">
        <v>26</v>
      </c>
    </row>
    <row r="2488" spans="1:16" x14ac:dyDescent="0.25">
      <c r="A2488" s="2" t="s">
        <v>5619</v>
      </c>
      <c r="B2488" s="2" t="s">
        <v>6116</v>
      </c>
      <c r="C2488" s="2">
        <v>4121</v>
      </c>
      <c r="D2488" s="2" t="s">
        <v>6522</v>
      </c>
      <c r="E2488" s="2" t="s">
        <v>38</v>
      </c>
      <c r="F2488" s="2" t="s">
        <v>39</v>
      </c>
      <c r="G2488" s="2">
        <v>40711.410000000003</v>
      </c>
      <c r="H2488" s="2">
        <v>19791.11</v>
      </c>
      <c r="I2488" s="2" t="s">
        <v>120</v>
      </c>
      <c r="J2488" s="2" t="s">
        <v>21</v>
      </c>
      <c r="K2488" s="2" t="s">
        <v>22</v>
      </c>
      <c r="L2488" s="2" t="s">
        <v>88</v>
      </c>
      <c r="M2488" s="2">
        <v>2</v>
      </c>
      <c r="N2488" s="2" t="s">
        <v>33</v>
      </c>
      <c r="O2488" s="2" t="s">
        <v>25</v>
      </c>
      <c r="P2488" s="2" t="s">
        <v>26</v>
      </c>
    </row>
    <row r="2489" spans="1:16" x14ac:dyDescent="0.25">
      <c r="A2489" s="2" t="s">
        <v>5622</v>
      </c>
      <c r="B2489" s="2" t="s">
        <v>818</v>
      </c>
      <c r="C2489" s="2">
        <v>1822</v>
      </c>
      <c r="D2489" s="2" t="s">
        <v>9475</v>
      </c>
      <c r="E2489" s="2" t="s">
        <v>18</v>
      </c>
      <c r="F2489" s="2" t="s">
        <v>30</v>
      </c>
      <c r="G2489" s="2">
        <v>59417.07</v>
      </c>
      <c r="H2489" s="2">
        <v>35742.910000000003</v>
      </c>
      <c r="I2489" s="2" t="s">
        <v>84</v>
      </c>
      <c r="J2489" s="2" t="s">
        <v>54</v>
      </c>
      <c r="K2489" s="2" t="s">
        <v>22</v>
      </c>
      <c r="L2489" s="2" t="s">
        <v>88</v>
      </c>
      <c r="M2489" s="2">
        <v>1</v>
      </c>
      <c r="N2489" s="2" t="s">
        <v>33</v>
      </c>
      <c r="O2489" s="2" t="s">
        <v>25</v>
      </c>
      <c r="P2489" s="2" t="s">
        <v>34</v>
      </c>
    </row>
    <row r="2490" spans="1:16" x14ac:dyDescent="0.25">
      <c r="A2490" s="2" t="s">
        <v>5624</v>
      </c>
      <c r="B2490" s="2" t="s">
        <v>7726</v>
      </c>
      <c r="C2490" s="2">
        <v>2981</v>
      </c>
      <c r="D2490" s="2" t="s">
        <v>4340</v>
      </c>
      <c r="E2490" s="2" t="s">
        <v>18</v>
      </c>
      <c r="F2490" s="2" t="s">
        <v>30</v>
      </c>
      <c r="G2490" s="2">
        <v>56445.19</v>
      </c>
      <c r="H2490" s="2">
        <v>32314.48</v>
      </c>
      <c r="I2490" s="2" t="s">
        <v>40</v>
      </c>
      <c r="J2490" s="2" t="s">
        <v>41</v>
      </c>
      <c r="K2490" s="2" t="s">
        <v>32</v>
      </c>
      <c r="L2490" s="2" t="s">
        <v>23</v>
      </c>
      <c r="M2490" s="2">
        <v>5</v>
      </c>
      <c r="N2490" s="2" t="s">
        <v>33</v>
      </c>
      <c r="O2490" s="2" t="s">
        <v>25</v>
      </c>
      <c r="P2490" s="2" t="s">
        <v>49</v>
      </c>
    </row>
    <row r="2491" spans="1:16" x14ac:dyDescent="0.25">
      <c r="A2491" s="2" t="s">
        <v>5625</v>
      </c>
      <c r="B2491" s="2" t="s">
        <v>9442</v>
      </c>
      <c r="C2491" s="2">
        <v>6300</v>
      </c>
      <c r="D2491" s="2" t="s">
        <v>1756</v>
      </c>
      <c r="E2491" s="2" t="s">
        <v>6719</v>
      </c>
      <c r="F2491" s="2" t="s">
        <v>19</v>
      </c>
      <c r="G2491" s="2">
        <v>13999.76</v>
      </c>
      <c r="H2491" s="2">
        <v>7998.51</v>
      </c>
      <c r="I2491" s="2" t="s">
        <v>63</v>
      </c>
      <c r="J2491" s="2" t="s">
        <v>6753</v>
      </c>
      <c r="K2491" s="2" t="s">
        <v>22</v>
      </c>
      <c r="L2491" s="2" t="s">
        <v>55</v>
      </c>
      <c r="M2491" s="2">
        <v>4</v>
      </c>
      <c r="N2491" s="2" t="s">
        <v>33</v>
      </c>
      <c r="O2491" s="2" t="s">
        <v>25</v>
      </c>
      <c r="P2491" s="2" t="s">
        <v>49</v>
      </c>
    </row>
    <row r="2492" spans="1:16" x14ac:dyDescent="0.25">
      <c r="A2492" s="2" t="s">
        <v>5627</v>
      </c>
      <c r="B2492" s="2" t="s">
        <v>4866</v>
      </c>
      <c r="C2492" s="2">
        <v>2207</v>
      </c>
      <c r="D2492" s="2" t="s">
        <v>9476</v>
      </c>
      <c r="E2492" s="2" t="s">
        <v>38</v>
      </c>
      <c r="F2492" s="2" t="s">
        <v>39</v>
      </c>
      <c r="G2492" s="2">
        <v>13252.82</v>
      </c>
      <c r="H2492" s="2">
        <v>8051.09</v>
      </c>
      <c r="I2492" s="2" t="s">
        <v>120</v>
      </c>
      <c r="J2492" s="2" t="s">
        <v>21</v>
      </c>
      <c r="K2492" s="2" t="s">
        <v>42</v>
      </c>
      <c r="L2492" s="2" t="s">
        <v>55</v>
      </c>
      <c r="M2492" s="2">
        <v>2</v>
      </c>
      <c r="N2492" s="2" t="s">
        <v>33</v>
      </c>
      <c r="O2492" s="2" t="s">
        <v>25</v>
      </c>
      <c r="P2492" s="2" t="s">
        <v>34</v>
      </c>
    </row>
    <row r="2493" spans="1:16" x14ac:dyDescent="0.25">
      <c r="A2493" s="2" t="s">
        <v>5629</v>
      </c>
      <c r="B2493" s="2" t="s">
        <v>2204</v>
      </c>
      <c r="C2493" s="2">
        <v>5445</v>
      </c>
      <c r="D2493" s="2" t="s">
        <v>9477</v>
      </c>
      <c r="E2493" s="2" t="s">
        <v>38</v>
      </c>
      <c r="F2493" s="2" t="s">
        <v>19</v>
      </c>
      <c r="G2493" s="2">
        <v>12019.66</v>
      </c>
      <c r="H2493" s="2">
        <v>6533.68</v>
      </c>
      <c r="I2493" s="2" t="s">
        <v>31</v>
      </c>
      <c r="J2493" s="2" t="s">
        <v>21</v>
      </c>
      <c r="K2493" s="2" t="s">
        <v>80</v>
      </c>
      <c r="L2493" s="2" t="s">
        <v>64</v>
      </c>
      <c r="M2493" s="2">
        <v>3</v>
      </c>
      <c r="N2493" s="2" t="s">
        <v>33</v>
      </c>
      <c r="O2493" s="2" t="s">
        <v>25</v>
      </c>
      <c r="P2493" s="2" t="s">
        <v>26</v>
      </c>
    </row>
    <row r="2494" spans="1:16" x14ac:dyDescent="0.25">
      <c r="A2494" s="2" t="s">
        <v>5631</v>
      </c>
      <c r="B2494" s="2" t="s">
        <v>9478</v>
      </c>
      <c r="C2494" s="2">
        <v>9816</v>
      </c>
      <c r="D2494" s="2" t="s">
        <v>9479</v>
      </c>
      <c r="E2494" s="2" t="s">
        <v>6708</v>
      </c>
      <c r="F2494" s="2" t="s">
        <v>39</v>
      </c>
      <c r="G2494" s="2">
        <v>44125.42</v>
      </c>
      <c r="H2494" s="2">
        <v>21651.26</v>
      </c>
      <c r="I2494" s="2" t="s">
        <v>6739</v>
      </c>
      <c r="J2494" s="2" t="s">
        <v>6691</v>
      </c>
      <c r="K2494" s="2" t="s">
        <v>32</v>
      </c>
      <c r="L2494" s="2" t="s">
        <v>64</v>
      </c>
      <c r="M2494" s="2">
        <v>5</v>
      </c>
      <c r="N2494" s="2" t="s">
        <v>33</v>
      </c>
      <c r="O2494" s="2" t="s">
        <v>25</v>
      </c>
      <c r="P2494" s="2" t="s">
        <v>26</v>
      </c>
    </row>
    <row r="2495" spans="1:16" x14ac:dyDescent="0.25">
      <c r="A2495" s="2" t="s">
        <v>5633</v>
      </c>
      <c r="B2495" s="2" t="s">
        <v>9480</v>
      </c>
      <c r="C2495" s="2">
        <v>9509</v>
      </c>
      <c r="D2495" s="2" t="s">
        <v>9481</v>
      </c>
      <c r="E2495" s="2" t="s">
        <v>6698</v>
      </c>
      <c r="F2495" s="2" t="s">
        <v>30</v>
      </c>
      <c r="G2495" s="2">
        <v>57304.33</v>
      </c>
      <c r="H2495" s="2">
        <v>28445.24</v>
      </c>
      <c r="I2495" s="2" t="s">
        <v>6695</v>
      </c>
      <c r="J2495" s="2" t="s">
        <v>6696</v>
      </c>
      <c r="K2495" s="2" t="s">
        <v>22</v>
      </c>
      <c r="L2495" s="2" t="s">
        <v>88</v>
      </c>
      <c r="M2495" s="2">
        <v>1</v>
      </c>
      <c r="N2495" s="2" t="s">
        <v>24</v>
      </c>
      <c r="O2495" s="2" t="s">
        <v>25</v>
      </c>
      <c r="P2495" s="2" t="s">
        <v>49</v>
      </c>
    </row>
    <row r="2497" spans="1:16" x14ac:dyDescent="0.25">
      <c r="A2497" s="2" t="s">
        <v>5635</v>
      </c>
      <c r="B2497" s="2" t="s">
        <v>9482</v>
      </c>
      <c r="C2497" s="2">
        <v>5917</v>
      </c>
      <c r="D2497" s="2" t="s">
        <v>9483</v>
      </c>
      <c r="E2497" s="2" t="s">
        <v>38</v>
      </c>
      <c r="F2497" s="2" t="s">
        <v>58</v>
      </c>
      <c r="G2497" s="2">
        <v>18641.54</v>
      </c>
      <c r="H2497" s="2">
        <v>8950.0300000000007</v>
      </c>
      <c r="I2497" s="2" t="s">
        <v>6759</v>
      </c>
      <c r="J2497" s="2" t="s">
        <v>6700</v>
      </c>
      <c r="K2497" s="2" t="s">
        <v>80</v>
      </c>
      <c r="L2497" s="2" t="s">
        <v>55</v>
      </c>
      <c r="M2497" s="2">
        <v>1</v>
      </c>
      <c r="N2497" s="2" t="s">
        <v>24</v>
      </c>
      <c r="O2497" s="2" t="s">
        <v>25</v>
      </c>
      <c r="P2497" s="2" t="s">
        <v>49</v>
      </c>
    </row>
    <row r="2498" spans="1:16" x14ac:dyDescent="0.25">
      <c r="A2498" s="2" t="s">
        <v>5637</v>
      </c>
      <c r="B2498" s="2" t="s">
        <v>3347</v>
      </c>
      <c r="C2498" s="2">
        <v>1119</v>
      </c>
      <c r="D2498" s="2" t="s">
        <v>9484</v>
      </c>
      <c r="E2498" s="2" t="s">
        <v>18</v>
      </c>
      <c r="F2498" s="2" t="s">
        <v>39</v>
      </c>
      <c r="G2498" s="2">
        <v>13904.85</v>
      </c>
      <c r="H2498" s="2">
        <v>6725.33</v>
      </c>
      <c r="I2498" s="2" t="s">
        <v>40</v>
      </c>
      <c r="J2498" s="2" t="s">
        <v>41</v>
      </c>
      <c r="K2498" s="2" t="s">
        <v>22</v>
      </c>
      <c r="L2498" s="2" t="s">
        <v>23</v>
      </c>
      <c r="M2498" s="2">
        <v>3</v>
      </c>
      <c r="N2498" s="2" t="s">
        <v>33</v>
      </c>
      <c r="O2498" s="2" t="s">
        <v>70</v>
      </c>
      <c r="P2498" s="2" t="s">
        <v>49</v>
      </c>
    </row>
    <row r="2499" spans="1:16" x14ac:dyDescent="0.25">
      <c r="A2499" s="2" t="s">
        <v>5639</v>
      </c>
      <c r="B2499" s="2" t="s">
        <v>9485</v>
      </c>
      <c r="C2499" s="2">
        <v>8869</v>
      </c>
      <c r="D2499" s="2" t="s">
        <v>9486</v>
      </c>
      <c r="E2499" s="2" t="s">
        <v>6719</v>
      </c>
      <c r="F2499" s="2" t="s">
        <v>30</v>
      </c>
      <c r="G2499" s="2">
        <v>13835.63</v>
      </c>
      <c r="H2499" s="2">
        <v>8217.2000000000007</v>
      </c>
      <c r="I2499" s="2" t="s">
        <v>6915</v>
      </c>
      <c r="J2499" s="2" t="s">
        <v>6724</v>
      </c>
      <c r="K2499" s="2" t="s">
        <v>42</v>
      </c>
      <c r="L2499" s="2" t="s">
        <v>55</v>
      </c>
      <c r="M2499" s="2">
        <v>1</v>
      </c>
      <c r="N2499" s="2" t="s">
        <v>33</v>
      </c>
      <c r="O2499" s="2" t="s">
        <v>70</v>
      </c>
      <c r="P2499" s="2" t="s">
        <v>49</v>
      </c>
    </row>
    <row r="2500" spans="1:16" x14ac:dyDescent="0.25">
      <c r="A2500" s="2" t="s">
        <v>5641</v>
      </c>
      <c r="B2500" s="2" t="s">
        <v>1068</v>
      </c>
      <c r="C2500" s="2">
        <v>7462</v>
      </c>
      <c r="D2500" s="2" t="s">
        <v>9487</v>
      </c>
      <c r="E2500" s="2" t="s">
        <v>6694</v>
      </c>
      <c r="F2500" s="2" t="s">
        <v>47</v>
      </c>
      <c r="G2500" s="2">
        <v>3421.76</v>
      </c>
      <c r="H2500" s="2">
        <v>2212.12</v>
      </c>
      <c r="I2500" s="2" t="s">
        <v>6681</v>
      </c>
      <c r="J2500" s="2" t="s">
        <v>41</v>
      </c>
      <c r="K2500" s="2" t="s">
        <v>80</v>
      </c>
      <c r="L2500" s="2" t="s">
        <v>55</v>
      </c>
      <c r="M2500" s="2">
        <v>5</v>
      </c>
      <c r="N2500" s="2" t="s">
        <v>33</v>
      </c>
      <c r="O2500" s="2" t="s">
        <v>25</v>
      </c>
      <c r="P2500" s="2" t="s">
        <v>49</v>
      </c>
    </row>
    <row r="2501" spans="1:16" x14ac:dyDescent="0.25">
      <c r="A2501" s="2" t="s">
        <v>5644</v>
      </c>
      <c r="B2501" s="2" t="s">
        <v>5692</v>
      </c>
      <c r="C2501" s="2">
        <v>9751</v>
      </c>
      <c r="D2501" s="2" t="s">
        <v>9488</v>
      </c>
      <c r="E2501" s="2" t="s">
        <v>18</v>
      </c>
      <c r="F2501" s="2" t="s">
        <v>19</v>
      </c>
      <c r="G2501" s="2">
        <v>10508.94</v>
      </c>
      <c r="H2501" s="2">
        <v>6701.45</v>
      </c>
      <c r="I2501" s="2" t="s">
        <v>63</v>
      </c>
      <c r="J2501" s="2" t="s">
        <v>54</v>
      </c>
      <c r="K2501" s="2" t="s">
        <v>32</v>
      </c>
      <c r="L2501" s="2" t="s">
        <v>48</v>
      </c>
      <c r="M2501" s="2">
        <v>4</v>
      </c>
      <c r="N2501" s="2" t="s">
        <v>33</v>
      </c>
      <c r="O2501" s="2" t="s">
        <v>70</v>
      </c>
      <c r="P2501" s="2" t="s">
        <v>49</v>
      </c>
    </row>
    <row r="2503" spans="1:16" x14ac:dyDescent="0.25">
      <c r="A2503" s="2" t="s">
        <v>5646</v>
      </c>
      <c r="B2503" s="2" t="s">
        <v>5554</v>
      </c>
      <c r="C2503" s="2">
        <v>8970</v>
      </c>
      <c r="D2503" s="2" t="s">
        <v>9489</v>
      </c>
      <c r="E2503" s="2" t="s">
        <v>38</v>
      </c>
      <c r="F2503" s="2" t="s">
        <v>39</v>
      </c>
      <c r="G2503" s="2">
        <v>9600.48</v>
      </c>
      <c r="H2503" s="2">
        <v>4920.83</v>
      </c>
      <c r="I2503" s="2" t="s">
        <v>84</v>
      </c>
      <c r="J2503" s="2" t="s">
        <v>54</v>
      </c>
      <c r="K2503" s="2" t="s">
        <v>80</v>
      </c>
      <c r="L2503" s="2" t="s">
        <v>88</v>
      </c>
      <c r="M2503" s="2">
        <v>3</v>
      </c>
      <c r="N2503" s="2" t="s">
        <v>69</v>
      </c>
      <c r="O2503" s="2" t="s">
        <v>70</v>
      </c>
      <c r="P2503" s="2" t="s">
        <v>34</v>
      </c>
    </row>
    <row r="2504" spans="1:16" x14ac:dyDescent="0.25">
      <c r="A2504" s="2" t="s">
        <v>5648</v>
      </c>
      <c r="B2504" s="2" t="s">
        <v>9490</v>
      </c>
      <c r="C2504" s="2">
        <v>3791</v>
      </c>
      <c r="D2504" s="2" t="s">
        <v>2862</v>
      </c>
      <c r="E2504" s="2" t="s">
        <v>18</v>
      </c>
      <c r="F2504" s="2" t="s">
        <v>58</v>
      </c>
      <c r="G2504" s="2">
        <v>35263.96</v>
      </c>
      <c r="H2504" s="2">
        <v>20468.259999999998</v>
      </c>
      <c r="I2504" s="2" t="s">
        <v>120</v>
      </c>
      <c r="J2504" s="2" t="s">
        <v>21</v>
      </c>
      <c r="K2504" s="2" t="s">
        <v>22</v>
      </c>
      <c r="L2504" s="2" t="s">
        <v>48</v>
      </c>
      <c r="M2504" s="2">
        <v>2</v>
      </c>
      <c r="N2504" s="2" t="s">
        <v>69</v>
      </c>
      <c r="O2504" s="2" t="s">
        <v>70</v>
      </c>
      <c r="P2504" s="2" t="s">
        <v>34</v>
      </c>
    </row>
    <row r="2505" spans="1:16" x14ac:dyDescent="0.25">
      <c r="A2505" s="2" t="s">
        <v>5650</v>
      </c>
      <c r="B2505" s="2" t="s">
        <v>2423</v>
      </c>
      <c r="C2505" s="2">
        <v>1307</v>
      </c>
      <c r="D2505" s="2" t="s">
        <v>9491</v>
      </c>
      <c r="E2505" s="2" t="s">
        <v>38</v>
      </c>
      <c r="F2505" s="2" t="s">
        <v>47</v>
      </c>
      <c r="G2505" s="2">
        <v>8364.2900000000009</v>
      </c>
      <c r="H2505" s="2">
        <v>4408.5200000000004</v>
      </c>
      <c r="I2505" s="2" t="s">
        <v>63</v>
      </c>
      <c r="J2505" s="2" t="s">
        <v>54</v>
      </c>
      <c r="K2505" s="2" t="s">
        <v>22</v>
      </c>
      <c r="L2505" s="2" t="s">
        <v>88</v>
      </c>
      <c r="M2505" s="2">
        <v>3</v>
      </c>
      <c r="N2505" s="2" t="s">
        <v>33</v>
      </c>
      <c r="O2505" s="2" t="s">
        <v>25</v>
      </c>
      <c r="P2505" s="2" t="s">
        <v>34</v>
      </c>
    </row>
    <row r="2506" spans="1:16" x14ac:dyDescent="0.25">
      <c r="A2506" s="2" t="s">
        <v>5653</v>
      </c>
      <c r="B2506" s="2" t="s">
        <v>897</v>
      </c>
      <c r="C2506" s="2">
        <v>6179</v>
      </c>
      <c r="D2506" s="2" t="s">
        <v>9492</v>
      </c>
      <c r="E2506" s="2" t="s">
        <v>32</v>
      </c>
      <c r="F2506" s="2" t="s">
        <v>30</v>
      </c>
      <c r="G2506" s="2">
        <v>106273.08</v>
      </c>
      <c r="H2506" s="2">
        <v>48132.800000000003</v>
      </c>
      <c r="I2506" s="2" t="s">
        <v>6736</v>
      </c>
      <c r="J2506" s="2" t="s">
        <v>6753</v>
      </c>
      <c r="K2506" s="2" t="s">
        <v>42</v>
      </c>
      <c r="L2506" s="2" t="s">
        <v>55</v>
      </c>
      <c r="M2506" s="2">
        <v>3</v>
      </c>
      <c r="N2506" s="2" t="s">
        <v>24</v>
      </c>
      <c r="O2506" s="2" t="s">
        <v>25</v>
      </c>
      <c r="P2506" s="2" t="s">
        <v>49</v>
      </c>
    </row>
    <row r="2507" spans="1:16" x14ac:dyDescent="0.25">
      <c r="A2507" s="2" t="s">
        <v>5655</v>
      </c>
      <c r="B2507" s="2" t="s">
        <v>9493</v>
      </c>
      <c r="C2507" s="2">
        <v>4233</v>
      </c>
      <c r="D2507" s="2" t="s">
        <v>9494</v>
      </c>
      <c r="E2507" s="2" t="s">
        <v>32</v>
      </c>
      <c r="F2507" s="2" t="s">
        <v>19</v>
      </c>
      <c r="G2507" s="2">
        <v>4322.1899999999996</v>
      </c>
      <c r="H2507" s="2">
        <v>2661.57</v>
      </c>
      <c r="I2507" s="2" t="s">
        <v>6749</v>
      </c>
      <c r="J2507" s="2" t="s">
        <v>41</v>
      </c>
      <c r="K2507" s="2" t="s">
        <v>80</v>
      </c>
      <c r="L2507" s="2" t="s">
        <v>43</v>
      </c>
      <c r="M2507" s="2">
        <v>3</v>
      </c>
      <c r="N2507" s="2" t="s">
        <v>69</v>
      </c>
      <c r="O2507" s="2" t="s">
        <v>25</v>
      </c>
      <c r="P2507" s="2" t="s">
        <v>49</v>
      </c>
    </row>
    <row r="2508" spans="1:16" x14ac:dyDescent="0.25">
      <c r="A2508" s="2" t="s">
        <v>5657</v>
      </c>
      <c r="B2508" s="2" t="s">
        <v>1529</v>
      </c>
      <c r="C2508" s="2">
        <v>1869</v>
      </c>
      <c r="D2508" s="2" t="s">
        <v>9495</v>
      </c>
      <c r="E2508" s="2" t="s">
        <v>38</v>
      </c>
      <c r="F2508" s="2" t="s">
        <v>19</v>
      </c>
      <c r="G2508" s="2">
        <v>7731.05</v>
      </c>
      <c r="H2508" s="2">
        <v>3500.45</v>
      </c>
      <c r="I2508" s="2" t="s">
        <v>84</v>
      </c>
      <c r="J2508" s="2" t="s">
        <v>54</v>
      </c>
      <c r="K2508" s="2" t="s">
        <v>22</v>
      </c>
      <c r="L2508" s="2" t="s">
        <v>43</v>
      </c>
      <c r="M2508" s="2">
        <v>3</v>
      </c>
      <c r="N2508" s="2" t="s">
        <v>33</v>
      </c>
      <c r="O2508" s="2" t="s">
        <v>70</v>
      </c>
      <c r="P2508" s="2" t="s">
        <v>34</v>
      </c>
    </row>
    <row r="2509" spans="1:16" x14ac:dyDescent="0.25">
      <c r="A2509" s="2" t="s">
        <v>5659</v>
      </c>
      <c r="B2509" s="2" t="s">
        <v>9496</v>
      </c>
      <c r="C2509" s="2">
        <v>8012</v>
      </c>
      <c r="D2509" s="2" t="s">
        <v>9497</v>
      </c>
      <c r="E2509" s="2" t="s">
        <v>6748</v>
      </c>
      <c r="F2509" s="2" t="s">
        <v>39</v>
      </c>
      <c r="G2509" s="2">
        <v>37672.03</v>
      </c>
      <c r="H2509" s="2">
        <v>23714.48</v>
      </c>
      <c r="I2509" s="2" t="s">
        <v>6771</v>
      </c>
      <c r="J2509" s="2" t="s">
        <v>6724</v>
      </c>
      <c r="K2509" s="2" t="s">
        <v>42</v>
      </c>
      <c r="L2509" s="2" t="s">
        <v>64</v>
      </c>
      <c r="M2509" s="2">
        <v>1</v>
      </c>
      <c r="N2509" s="2" t="s">
        <v>33</v>
      </c>
      <c r="O2509" s="2" t="s">
        <v>70</v>
      </c>
      <c r="P2509" s="2" t="s">
        <v>26</v>
      </c>
    </row>
    <row r="2510" spans="1:16" x14ac:dyDescent="0.25">
      <c r="A2510" s="2" t="s">
        <v>5662</v>
      </c>
      <c r="B2510" s="2" t="s">
        <v>4765</v>
      </c>
      <c r="C2510" s="2">
        <v>9405</v>
      </c>
      <c r="D2510" s="2" t="s">
        <v>9498</v>
      </c>
      <c r="E2510" s="2" t="s">
        <v>18</v>
      </c>
      <c r="F2510" s="2" t="s">
        <v>39</v>
      </c>
      <c r="G2510" s="2">
        <v>34818.44</v>
      </c>
      <c r="H2510" s="2">
        <v>19220.72</v>
      </c>
      <c r="I2510" s="2" t="s">
        <v>120</v>
      </c>
      <c r="J2510" s="2" t="s">
        <v>21</v>
      </c>
      <c r="K2510" s="2" t="s">
        <v>22</v>
      </c>
      <c r="L2510" s="2" t="s">
        <v>88</v>
      </c>
      <c r="M2510" s="2">
        <v>2</v>
      </c>
      <c r="N2510" s="2" t="s">
        <v>69</v>
      </c>
      <c r="O2510" s="2" t="s">
        <v>70</v>
      </c>
      <c r="P2510" s="2" t="s">
        <v>34</v>
      </c>
    </row>
    <row r="2511" spans="1:16" x14ac:dyDescent="0.25">
      <c r="A2511" s="2" t="s">
        <v>5664</v>
      </c>
      <c r="B2511" s="2" t="s">
        <v>9499</v>
      </c>
      <c r="C2511" s="2">
        <v>9731</v>
      </c>
      <c r="D2511" s="2" t="s">
        <v>9500</v>
      </c>
      <c r="E2511" s="2" t="s">
        <v>6698</v>
      </c>
      <c r="F2511" s="2" t="s">
        <v>39</v>
      </c>
      <c r="G2511" s="2">
        <v>42001.77</v>
      </c>
      <c r="H2511" s="2">
        <v>24331.79</v>
      </c>
      <c r="I2511" s="2" t="s">
        <v>20</v>
      </c>
      <c r="J2511" s="2" t="s">
        <v>6802</v>
      </c>
      <c r="K2511" s="2" t="s">
        <v>80</v>
      </c>
      <c r="L2511" s="2" t="s">
        <v>48</v>
      </c>
      <c r="M2511" s="2">
        <v>5</v>
      </c>
      <c r="N2511" s="2" t="s">
        <v>33</v>
      </c>
      <c r="O2511" s="2" t="s">
        <v>70</v>
      </c>
      <c r="P2511" s="2" t="s">
        <v>49</v>
      </c>
    </row>
    <row r="2512" spans="1:16" x14ac:dyDescent="0.25">
      <c r="A2512" s="2" t="s">
        <v>5666</v>
      </c>
      <c r="B2512" s="2" t="s">
        <v>4462</v>
      </c>
      <c r="C2512" s="2">
        <v>2445</v>
      </c>
      <c r="D2512" s="2" t="s">
        <v>6578</v>
      </c>
      <c r="E2512" s="2" t="s">
        <v>38</v>
      </c>
      <c r="F2512" s="2" t="s">
        <v>19</v>
      </c>
      <c r="G2512" s="2">
        <v>4332.76</v>
      </c>
      <c r="H2512" s="2">
        <v>2555.29</v>
      </c>
      <c r="I2512" s="2" t="s">
        <v>120</v>
      </c>
      <c r="J2512" s="2" t="s">
        <v>21</v>
      </c>
      <c r="K2512" s="2" t="s">
        <v>32</v>
      </c>
      <c r="L2512" s="2" t="s">
        <v>48</v>
      </c>
      <c r="M2512" s="2">
        <v>3</v>
      </c>
      <c r="N2512" s="2" t="s">
        <v>33</v>
      </c>
      <c r="O2512" s="2" t="s">
        <v>25</v>
      </c>
      <c r="P2512" s="2" t="s">
        <v>34</v>
      </c>
    </row>
    <row r="2513" spans="1:16" x14ac:dyDescent="0.25">
      <c r="A2513" s="2" t="s">
        <v>5668</v>
      </c>
      <c r="B2513" s="2" t="s">
        <v>1422</v>
      </c>
      <c r="C2513" s="2">
        <v>8057</v>
      </c>
      <c r="D2513" s="2" t="s">
        <v>9501</v>
      </c>
      <c r="E2513" s="2" t="s">
        <v>18</v>
      </c>
      <c r="F2513" s="2" t="s">
        <v>58</v>
      </c>
      <c r="G2513" s="2">
        <v>10387.19</v>
      </c>
      <c r="H2513" s="2">
        <v>6641.14</v>
      </c>
      <c r="I2513" s="2" t="s">
        <v>6812</v>
      </c>
      <c r="J2513" s="2" t="s">
        <v>6691</v>
      </c>
      <c r="K2513" s="2" t="s">
        <v>42</v>
      </c>
      <c r="L2513" s="2" t="s">
        <v>43</v>
      </c>
      <c r="M2513" s="2">
        <v>4</v>
      </c>
      <c r="N2513" s="2" t="s">
        <v>33</v>
      </c>
      <c r="O2513" s="2" t="s">
        <v>25</v>
      </c>
      <c r="P2513" s="2" t="s">
        <v>34</v>
      </c>
    </row>
    <row r="2514" spans="1:16" x14ac:dyDescent="0.25">
      <c r="A2514" s="2" t="s">
        <v>5669</v>
      </c>
      <c r="B2514" s="2" t="s">
        <v>1229</v>
      </c>
      <c r="C2514" s="2">
        <v>3092</v>
      </c>
      <c r="D2514" s="2" t="s">
        <v>9502</v>
      </c>
      <c r="E2514" s="2" t="s">
        <v>18</v>
      </c>
      <c r="F2514" s="2" t="s">
        <v>39</v>
      </c>
      <c r="G2514" s="2">
        <v>44553.79</v>
      </c>
      <c r="H2514" s="2">
        <v>22314.1</v>
      </c>
      <c r="I2514" s="2" t="s">
        <v>53</v>
      </c>
      <c r="J2514" s="2" t="s">
        <v>54</v>
      </c>
      <c r="K2514" s="2" t="s">
        <v>22</v>
      </c>
      <c r="L2514" s="2" t="s">
        <v>55</v>
      </c>
      <c r="M2514" s="2">
        <v>5</v>
      </c>
      <c r="N2514" s="2" t="s">
        <v>69</v>
      </c>
      <c r="O2514" s="2" t="s">
        <v>70</v>
      </c>
      <c r="P2514" s="2" t="s">
        <v>49</v>
      </c>
    </row>
    <row r="2515" spans="1:16" x14ac:dyDescent="0.25">
      <c r="A2515" s="2" t="s">
        <v>5671</v>
      </c>
      <c r="B2515" s="2" t="s">
        <v>7631</v>
      </c>
      <c r="C2515" s="2">
        <v>9134</v>
      </c>
      <c r="D2515" s="2" t="s">
        <v>2424</v>
      </c>
      <c r="E2515" s="2" t="s">
        <v>18</v>
      </c>
      <c r="F2515" s="2" t="s">
        <v>47</v>
      </c>
      <c r="G2515" s="2">
        <v>2419.79</v>
      </c>
      <c r="H2515" s="2">
        <v>1501.22</v>
      </c>
      <c r="I2515" s="2" t="s">
        <v>53</v>
      </c>
      <c r="J2515" s="2" t="s">
        <v>54</v>
      </c>
      <c r="K2515" s="2" t="s">
        <v>32</v>
      </c>
      <c r="L2515" s="2" t="s">
        <v>43</v>
      </c>
      <c r="M2515" s="2">
        <v>1</v>
      </c>
      <c r="N2515" s="2" t="s">
        <v>69</v>
      </c>
      <c r="O2515" s="2" t="s">
        <v>25</v>
      </c>
      <c r="P2515" s="2" t="s">
        <v>34</v>
      </c>
    </row>
    <row r="2516" spans="1:16" x14ac:dyDescent="0.25">
      <c r="A2516" s="2" t="s">
        <v>5673</v>
      </c>
      <c r="B2516" s="2" t="s">
        <v>2378</v>
      </c>
      <c r="C2516" s="2">
        <v>3329</v>
      </c>
      <c r="D2516" s="2" t="s">
        <v>6932</v>
      </c>
      <c r="E2516" s="2" t="s">
        <v>18</v>
      </c>
      <c r="F2516" s="2" t="s">
        <v>47</v>
      </c>
      <c r="G2516" s="2">
        <v>17087.599999999999</v>
      </c>
      <c r="H2516" s="2">
        <v>10017.969999999999</v>
      </c>
      <c r="I2516" s="2" t="s">
        <v>20</v>
      </c>
      <c r="J2516" s="2" t="s">
        <v>21</v>
      </c>
      <c r="K2516" s="2" t="s">
        <v>42</v>
      </c>
      <c r="L2516" s="2" t="s">
        <v>48</v>
      </c>
      <c r="M2516" s="2">
        <v>3</v>
      </c>
      <c r="N2516" s="2" t="s">
        <v>69</v>
      </c>
      <c r="O2516" s="2" t="s">
        <v>70</v>
      </c>
      <c r="P2516" s="2" t="s">
        <v>34</v>
      </c>
    </row>
    <row r="2517" spans="1:16" x14ac:dyDescent="0.25">
      <c r="A2517" s="2" t="s">
        <v>5675</v>
      </c>
      <c r="B2517" s="2" t="s">
        <v>373</v>
      </c>
      <c r="C2517" s="2">
        <v>9951</v>
      </c>
      <c r="D2517" s="2" t="s">
        <v>9503</v>
      </c>
      <c r="E2517" s="2" t="s">
        <v>18</v>
      </c>
      <c r="F2517" s="2" t="s">
        <v>30</v>
      </c>
      <c r="G2517" s="2">
        <v>54677.99</v>
      </c>
      <c r="H2517" s="2">
        <v>33465.83</v>
      </c>
      <c r="I2517" s="2" t="s">
        <v>59</v>
      </c>
      <c r="J2517" s="2" t="s">
        <v>41</v>
      </c>
      <c r="K2517" s="2" t="s">
        <v>32</v>
      </c>
      <c r="L2517" s="2" t="s">
        <v>43</v>
      </c>
      <c r="M2517" s="2">
        <v>5</v>
      </c>
      <c r="N2517" s="2" t="s">
        <v>24</v>
      </c>
      <c r="O2517" s="2" t="s">
        <v>25</v>
      </c>
      <c r="P2517" s="2" t="s">
        <v>26</v>
      </c>
    </row>
    <row r="2518" spans="1:16" x14ac:dyDescent="0.25">
      <c r="A2518" s="2" t="s">
        <v>5677</v>
      </c>
      <c r="B2518" s="2" t="s">
        <v>9504</v>
      </c>
      <c r="C2518" s="2">
        <v>8207</v>
      </c>
      <c r="D2518" s="2" t="s">
        <v>9505</v>
      </c>
      <c r="E2518" s="2" t="s">
        <v>6703</v>
      </c>
      <c r="F2518" s="2" t="s">
        <v>30</v>
      </c>
      <c r="G2518" s="2">
        <v>83184.61</v>
      </c>
      <c r="H2518" s="2">
        <v>46239.8</v>
      </c>
      <c r="I2518" s="2" t="s">
        <v>84</v>
      </c>
      <c r="J2518" s="2" t="s">
        <v>6686</v>
      </c>
      <c r="K2518" s="2" t="s">
        <v>22</v>
      </c>
      <c r="L2518" s="2" t="s">
        <v>48</v>
      </c>
      <c r="M2518" s="2">
        <v>5</v>
      </c>
      <c r="N2518" s="2" t="s">
        <v>33</v>
      </c>
      <c r="O2518" s="2" t="s">
        <v>25</v>
      </c>
      <c r="P2518" s="2" t="s">
        <v>49</v>
      </c>
    </row>
    <row r="2519" spans="1:16" x14ac:dyDescent="0.25">
      <c r="A2519" s="2" t="s">
        <v>5680</v>
      </c>
      <c r="B2519" s="2" t="s">
        <v>9506</v>
      </c>
      <c r="C2519" s="2">
        <v>9562</v>
      </c>
      <c r="D2519" s="2" t="s">
        <v>2091</v>
      </c>
      <c r="E2519" s="2" t="s">
        <v>6708</v>
      </c>
      <c r="F2519" s="2" t="s">
        <v>30</v>
      </c>
      <c r="G2519" s="2">
        <v>31130.62</v>
      </c>
      <c r="H2519" s="2">
        <v>18949.02</v>
      </c>
      <c r="I2519" s="2" t="s">
        <v>6712</v>
      </c>
      <c r="J2519" s="2" t="s">
        <v>41</v>
      </c>
      <c r="K2519" s="2" t="s">
        <v>22</v>
      </c>
      <c r="L2519" s="2" t="s">
        <v>64</v>
      </c>
      <c r="M2519" s="2">
        <v>3</v>
      </c>
      <c r="N2519" s="2" t="s">
        <v>33</v>
      </c>
      <c r="O2519" s="2" t="s">
        <v>25</v>
      </c>
      <c r="P2519" s="2" t="s">
        <v>49</v>
      </c>
    </row>
    <row r="2520" spans="1:16" x14ac:dyDescent="0.25">
      <c r="A2520" s="2" t="s">
        <v>5682</v>
      </c>
      <c r="B2520" s="2" t="s">
        <v>51</v>
      </c>
      <c r="C2520" s="2">
        <v>8327</v>
      </c>
      <c r="D2520" s="2" t="s">
        <v>9036</v>
      </c>
      <c r="E2520" s="2" t="s">
        <v>6748</v>
      </c>
      <c r="F2520" s="2" t="s">
        <v>30</v>
      </c>
      <c r="G2520" s="2">
        <v>46865.36</v>
      </c>
      <c r="H2520" s="2">
        <v>28799.09</v>
      </c>
      <c r="I2520" s="2" t="s">
        <v>6822</v>
      </c>
      <c r="J2520" s="2" t="s">
        <v>41</v>
      </c>
      <c r="K2520" s="2" t="s">
        <v>22</v>
      </c>
      <c r="L2520" s="2" t="s">
        <v>43</v>
      </c>
      <c r="M2520" s="2">
        <v>5</v>
      </c>
      <c r="N2520" s="2" t="s">
        <v>69</v>
      </c>
      <c r="O2520" s="2" t="s">
        <v>70</v>
      </c>
      <c r="P2520" s="2" t="s">
        <v>26</v>
      </c>
    </row>
    <row r="2521" spans="1:16" x14ac:dyDescent="0.25">
      <c r="A2521" s="2" t="s">
        <v>5684</v>
      </c>
      <c r="B2521" s="2" t="s">
        <v>8070</v>
      </c>
      <c r="C2521" s="2">
        <v>1341</v>
      </c>
      <c r="D2521" s="2" t="s">
        <v>9507</v>
      </c>
      <c r="E2521" s="2" t="s">
        <v>38</v>
      </c>
      <c r="F2521" s="2" t="s">
        <v>47</v>
      </c>
      <c r="G2521" s="2">
        <v>19235.3</v>
      </c>
      <c r="H2521" s="2">
        <v>12193.62</v>
      </c>
      <c r="I2521" s="2" t="s">
        <v>6752</v>
      </c>
      <c r="J2521" s="2" t="s">
        <v>6729</v>
      </c>
      <c r="K2521" s="2" t="s">
        <v>42</v>
      </c>
      <c r="L2521" s="2" t="s">
        <v>64</v>
      </c>
      <c r="M2521" s="2">
        <v>4</v>
      </c>
      <c r="N2521" s="2" t="s">
        <v>33</v>
      </c>
      <c r="O2521" s="2" t="s">
        <v>25</v>
      </c>
      <c r="P2521" s="2" t="s">
        <v>26</v>
      </c>
    </row>
    <row r="2522" spans="1:16" x14ac:dyDescent="0.25">
      <c r="A2522" s="2" t="s">
        <v>5686</v>
      </c>
      <c r="B2522" s="2" t="s">
        <v>9508</v>
      </c>
      <c r="C2522" s="2">
        <v>1006</v>
      </c>
      <c r="D2522" s="2" t="s">
        <v>9509</v>
      </c>
      <c r="E2522" s="2" t="s">
        <v>6756</v>
      </c>
      <c r="F2522" s="2" t="s">
        <v>30</v>
      </c>
      <c r="G2522" s="2">
        <v>21165.53</v>
      </c>
      <c r="H2522" s="2">
        <v>9769.69</v>
      </c>
      <c r="I2522" s="2" t="s">
        <v>6695</v>
      </c>
      <c r="J2522" s="2" t="s">
        <v>6802</v>
      </c>
      <c r="K2522" s="2" t="s">
        <v>32</v>
      </c>
      <c r="L2522" s="2" t="s">
        <v>64</v>
      </c>
      <c r="M2522" s="2">
        <v>4</v>
      </c>
      <c r="N2522" s="2" t="s">
        <v>69</v>
      </c>
      <c r="O2522" s="2" t="s">
        <v>70</v>
      </c>
      <c r="P2522" s="2" t="s">
        <v>49</v>
      </c>
    </row>
    <row r="2523" spans="1:16" x14ac:dyDescent="0.25">
      <c r="A2523" s="2" t="s">
        <v>5689</v>
      </c>
      <c r="B2523" s="2" t="s">
        <v>5692</v>
      </c>
      <c r="C2523" s="2">
        <v>7886</v>
      </c>
      <c r="D2523" s="2" t="s">
        <v>9510</v>
      </c>
      <c r="E2523" s="2" t="s">
        <v>6719</v>
      </c>
      <c r="F2523" s="2" t="s">
        <v>47</v>
      </c>
      <c r="G2523" s="2">
        <v>8008.78</v>
      </c>
      <c r="H2523" s="2">
        <v>5191.3100000000004</v>
      </c>
      <c r="I2523" s="2" t="s">
        <v>68</v>
      </c>
      <c r="J2523" s="2" t="s">
        <v>6793</v>
      </c>
      <c r="K2523" s="2" t="s">
        <v>80</v>
      </c>
      <c r="L2523" s="2" t="s">
        <v>48</v>
      </c>
      <c r="M2523" s="2">
        <v>5</v>
      </c>
      <c r="N2523" s="2" t="s">
        <v>33</v>
      </c>
      <c r="O2523" s="2" t="s">
        <v>25</v>
      </c>
      <c r="P2523" s="2" t="s">
        <v>34</v>
      </c>
    </row>
    <row r="2524" spans="1:16" x14ac:dyDescent="0.25">
      <c r="A2524" s="2" t="s">
        <v>5691</v>
      </c>
      <c r="B2524" s="2" t="s">
        <v>9511</v>
      </c>
      <c r="C2524" s="2">
        <v>1084</v>
      </c>
      <c r="D2524" s="2" t="s">
        <v>9512</v>
      </c>
      <c r="E2524" s="2" t="s">
        <v>18</v>
      </c>
      <c r="F2524" s="2" t="s">
        <v>47</v>
      </c>
      <c r="G2524" s="2">
        <v>17559.57</v>
      </c>
      <c r="H2524" s="2">
        <v>8182.95</v>
      </c>
      <c r="I2524" s="2" t="s">
        <v>6752</v>
      </c>
      <c r="J2524" s="2" t="s">
        <v>6753</v>
      </c>
      <c r="K2524" s="2" t="s">
        <v>32</v>
      </c>
      <c r="L2524" s="2" t="s">
        <v>23</v>
      </c>
      <c r="M2524" s="2">
        <v>1</v>
      </c>
      <c r="N2524" s="2" t="s">
        <v>33</v>
      </c>
      <c r="O2524" s="2" t="s">
        <v>70</v>
      </c>
      <c r="P2524" s="2" t="s">
        <v>26</v>
      </c>
    </row>
    <row r="2525" spans="1:16" x14ac:dyDescent="0.25">
      <c r="A2525" s="2" t="s">
        <v>5694</v>
      </c>
      <c r="B2525" s="2" t="s">
        <v>9513</v>
      </c>
      <c r="C2525" s="2">
        <v>5862</v>
      </c>
      <c r="D2525" s="2" t="s">
        <v>9514</v>
      </c>
      <c r="E2525" s="2" t="s">
        <v>6743</v>
      </c>
      <c r="F2525" s="2" t="s">
        <v>58</v>
      </c>
      <c r="G2525" s="2">
        <v>21435.09</v>
      </c>
      <c r="H2525" s="2">
        <v>12489.98</v>
      </c>
      <c r="I2525" s="2" t="s">
        <v>6845</v>
      </c>
      <c r="J2525" s="2" t="s">
        <v>6724</v>
      </c>
      <c r="K2525" s="2" t="s">
        <v>22</v>
      </c>
      <c r="L2525" s="2" t="s">
        <v>64</v>
      </c>
      <c r="M2525" s="2">
        <v>4</v>
      </c>
      <c r="N2525" s="2" t="s">
        <v>33</v>
      </c>
      <c r="O2525" s="2" t="s">
        <v>25</v>
      </c>
      <c r="P2525" s="2" t="s">
        <v>34</v>
      </c>
    </row>
    <row r="2526" spans="1:16" x14ac:dyDescent="0.25">
      <c r="A2526" s="2" t="s">
        <v>5696</v>
      </c>
      <c r="B2526" s="2" t="s">
        <v>1699</v>
      </c>
      <c r="C2526" s="2">
        <v>4881</v>
      </c>
      <c r="D2526" s="2" t="s">
        <v>9515</v>
      </c>
      <c r="E2526" s="2" t="s">
        <v>6680</v>
      </c>
      <c r="F2526" s="2" t="s">
        <v>58</v>
      </c>
      <c r="G2526" s="2">
        <v>49910.19</v>
      </c>
      <c r="H2526" s="2">
        <v>27733.73</v>
      </c>
      <c r="I2526" s="2" t="s">
        <v>53</v>
      </c>
      <c r="J2526" s="2" t="s">
        <v>6691</v>
      </c>
      <c r="K2526" s="2" t="s">
        <v>32</v>
      </c>
      <c r="L2526" s="2" t="s">
        <v>55</v>
      </c>
      <c r="M2526" s="2">
        <v>3</v>
      </c>
      <c r="N2526" s="2" t="s">
        <v>33</v>
      </c>
      <c r="O2526" s="2" t="s">
        <v>25</v>
      </c>
      <c r="P2526" s="2" t="s">
        <v>26</v>
      </c>
    </row>
    <row r="2527" spans="1:16" x14ac:dyDescent="0.25">
      <c r="A2527" s="2" t="s">
        <v>5699</v>
      </c>
      <c r="B2527" s="2" t="s">
        <v>9516</v>
      </c>
      <c r="C2527" s="2">
        <v>2715</v>
      </c>
      <c r="D2527" s="2" t="s">
        <v>6977</v>
      </c>
      <c r="E2527" s="2" t="s">
        <v>6743</v>
      </c>
      <c r="F2527" s="2" t="s">
        <v>19</v>
      </c>
      <c r="G2527" s="2">
        <v>12641.82</v>
      </c>
      <c r="H2527" s="2">
        <v>7546.79</v>
      </c>
      <c r="I2527" s="2" t="s">
        <v>6794</v>
      </c>
      <c r="J2527" s="2" t="s">
        <v>6696</v>
      </c>
      <c r="K2527" s="2" t="s">
        <v>80</v>
      </c>
      <c r="L2527" s="2" t="s">
        <v>88</v>
      </c>
      <c r="M2527" s="2">
        <v>4</v>
      </c>
      <c r="N2527" s="2" t="s">
        <v>24</v>
      </c>
      <c r="O2527" s="2" t="s">
        <v>70</v>
      </c>
      <c r="P2527" s="2" t="s">
        <v>49</v>
      </c>
    </row>
    <row r="2528" spans="1:16" x14ac:dyDescent="0.25">
      <c r="A2528" s="2" t="s">
        <v>5701</v>
      </c>
      <c r="B2528" s="2" t="s">
        <v>1122</v>
      </c>
      <c r="C2528" s="2">
        <v>8555</v>
      </c>
      <c r="D2528" s="2" t="s">
        <v>3243</v>
      </c>
      <c r="E2528" s="2" t="s">
        <v>38</v>
      </c>
      <c r="F2528" s="2" t="s">
        <v>47</v>
      </c>
      <c r="G2528" s="2">
        <v>15623.07</v>
      </c>
      <c r="H2528" s="2">
        <v>9374.9599999999991</v>
      </c>
      <c r="I2528" s="2" t="s">
        <v>63</v>
      </c>
      <c r="J2528" s="2" t="s">
        <v>54</v>
      </c>
      <c r="K2528" s="2" t="s">
        <v>42</v>
      </c>
      <c r="L2528" s="2" t="s">
        <v>64</v>
      </c>
      <c r="M2528" s="2">
        <v>5</v>
      </c>
      <c r="N2528" s="2" t="s">
        <v>69</v>
      </c>
      <c r="O2528" s="2" t="s">
        <v>70</v>
      </c>
      <c r="P2528" s="2" t="s">
        <v>26</v>
      </c>
    </row>
    <row r="2529" spans="1:16" x14ac:dyDescent="0.25">
      <c r="A2529" s="2" t="s">
        <v>5703</v>
      </c>
      <c r="B2529" s="2" t="s">
        <v>9517</v>
      </c>
      <c r="C2529" s="2">
        <v>9671</v>
      </c>
      <c r="D2529" s="2" t="s">
        <v>9408</v>
      </c>
      <c r="E2529" s="2" t="s">
        <v>6719</v>
      </c>
      <c r="F2529" s="2" t="s">
        <v>30</v>
      </c>
      <c r="G2529" s="2">
        <v>64268.98</v>
      </c>
      <c r="H2529" s="2">
        <v>39886.68</v>
      </c>
      <c r="I2529" s="2" t="s">
        <v>6695</v>
      </c>
      <c r="J2529" s="2" t="s">
        <v>6802</v>
      </c>
      <c r="K2529" s="2" t="s">
        <v>42</v>
      </c>
      <c r="L2529" s="2" t="s">
        <v>23</v>
      </c>
      <c r="M2529" s="2">
        <v>2</v>
      </c>
      <c r="N2529" s="2" t="s">
        <v>24</v>
      </c>
      <c r="O2529" s="2" t="s">
        <v>25</v>
      </c>
      <c r="P2529" s="2" t="s">
        <v>34</v>
      </c>
    </row>
    <row r="2530" spans="1:16" x14ac:dyDescent="0.25">
      <c r="A2530" s="2" t="s">
        <v>5705</v>
      </c>
      <c r="B2530" s="2" t="s">
        <v>3088</v>
      </c>
      <c r="C2530" s="2">
        <v>1035</v>
      </c>
      <c r="D2530" s="2" t="s">
        <v>950</v>
      </c>
      <c r="E2530" s="2" t="s">
        <v>18</v>
      </c>
      <c r="F2530" s="2" t="s">
        <v>47</v>
      </c>
      <c r="G2530" s="2">
        <v>4512.41</v>
      </c>
      <c r="H2530" s="2">
        <v>2890.61</v>
      </c>
      <c r="I2530" s="2" t="s">
        <v>84</v>
      </c>
      <c r="J2530" s="2" t="s">
        <v>54</v>
      </c>
      <c r="K2530" s="2" t="s">
        <v>80</v>
      </c>
      <c r="L2530" s="2" t="s">
        <v>88</v>
      </c>
      <c r="M2530" s="2">
        <v>3</v>
      </c>
      <c r="N2530" s="2" t="s">
        <v>33</v>
      </c>
      <c r="O2530" s="2" t="s">
        <v>25</v>
      </c>
      <c r="P2530" s="2" t="s">
        <v>49</v>
      </c>
    </row>
    <row r="2531" spans="1:16" x14ac:dyDescent="0.25">
      <c r="A2531" s="2" t="s">
        <v>5707</v>
      </c>
      <c r="B2531" s="2" t="s">
        <v>6044</v>
      </c>
      <c r="C2531" s="2">
        <v>9667</v>
      </c>
      <c r="D2531" s="2" t="s">
        <v>9518</v>
      </c>
      <c r="E2531" s="2" t="s">
        <v>18</v>
      </c>
      <c r="F2531" s="2" t="s">
        <v>19</v>
      </c>
      <c r="G2531" s="2">
        <v>7606.56</v>
      </c>
      <c r="H2531" s="2">
        <v>3581.32</v>
      </c>
      <c r="I2531" s="2" t="s">
        <v>53</v>
      </c>
      <c r="J2531" s="2" t="s">
        <v>54</v>
      </c>
      <c r="K2531" s="2" t="s">
        <v>32</v>
      </c>
      <c r="L2531" s="2" t="s">
        <v>48</v>
      </c>
      <c r="M2531" s="2">
        <v>2</v>
      </c>
      <c r="N2531" s="2" t="s">
        <v>33</v>
      </c>
      <c r="O2531" s="2" t="s">
        <v>70</v>
      </c>
      <c r="P2531" s="2" t="s">
        <v>34</v>
      </c>
    </row>
    <row r="2532" spans="1:16" x14ac:dyDescent="0.25">
      <c r="A2532" s="2" t="s">
        <v>5710</v>
      </c>
      <c r="B2532" s="2" t="s">
        <v>797</v>
      </c>
      <c r="C2532" s="2">
        <v>1478</v>
      </c>
      <c r="D2532" s="2" t="s">
        <v>9519</v>
      </c>
      <c r="E2532" s="2" t="s">
        <v>6756</v>
      </c>
      <c r="F2532" s="2" t="s">
        <v>47</v>
      </c>
      <c r="G2532" s="2">
        <v>18426.93</v>
      </c>
      <c r="H2532" s="2">
        <v>11051.3</v>
      </c>
      <c r="I2532" s="2" t="s">
        <v>63</v>
      </c>
      <c r="J2532" s="2" t="s">
        <v>54</v>
      </c>
      <c r="K2532" s="2" t="s">
        <v>42</v>
      </c>
      <c r="L2532" s="2" t="s">
        <v>43</v>
      </c>
      <c r="M2532" s="2">
        <v>1</v>
      </c>
      <c r="N2532" s="2" t="s">
        <v>24</v>
      </c>
      <c r="O2532" s="2" t="s">
        <v>70</v>
      </c>
      <c r="P2532" s="2" t="s">
        <v>49</v>
      </c>
    </row>
    <row r="2533" spans="1:16" x14ac:dyDescent="0.25">
      <c r="A2533" s="2" t="s">
        <v>5712</v>
      </c>
      <c r="B2533" s="2" t="s">
        <v>2403</v>
      </c>
      <c r="C2533" s="2">
        <v>1984</v>
      </c>
      <c r="D2533" s="2" t="s">
        <v>5957</v>
      </c>
      <c r="E2533" s="2" t="s">
        <v>38</v>
      </c>
      <c r="F2533" s="2" t="s">
        <v>30</v>
      </c>
      <c r="G2533" s="2">
        <v>100385.78</v>
      </c>
      <c r="H2533" s="2">
        <v>58854.54</v>
      </c>
      <c r="I2533" s="2" t="s">
        <v>53</v>
      </c>
      <c r="J2533" s="2" t="s">
        <v>54</v>
      </c>
      <c r="K2533" s="2" t="s">
        <v>80</v>
      </c>
      <c r="L2533" s="2" t="s">
        <v>64</v>
      </c>
      <c r="M2533" s="2">
        <v>2</v>
      </c>
      <c r="N2533" s="2" t="s">
        <v>33</v>
      </c>
      <c r="O2533" s="2" t="s">
        <v>25</v>
      </c>
      <c r="P2533" s="2" t="s">
        <v>26</v>
      </c>
    </row>
    <row r="2534" spans="1:16" x14ac:dyDescent="0.25">
      <c r="A2534" s="2" t="s">
        <v>5713</v>
      </c>
      <c r="B2534" s="2" t="s">
        <v>231</v>
      </c>
      <c r="C2534" s="2">
        <v>7808</v>
      </c>
      <c r="D2534" s="2" t="s">
        <v>3121</v>
      </c>
      <c r="E2534" s="2" t="s">
        <v>38</v>
      </c>
      <c r="F2534" s="2" t="s">
        <v>30</v>
      </c>
      <c r="G2534" s="2">
        <v>103893.57</v>
      </c>
      <c r="H2534" s="2">
        <v>65720.149999999994</v>
      </c>
      <c r="I2534" s="2" t="s">
        <v>20</v>
      </c>
      <c r="J2534" s="2" t="s">
        <v>21</v>
      </c>
      <c r="K2534" s="2" t="s">
        <v>32</v>
      </c>
      <c r="L2534" s="2" t="s">
        <v>55</v>
      </c>
      <c r="M2534" s="2">
        <v>3</v>
      </c>
      <c r="N2534" s="2" t="s">
        <v>33</v>
      </c>
      <c r="O2534" s="2" t="s">
        <v>25</v>
      </c>
      <c r="P2534" s="2" t="s">
        <v>26</v>
      </c>
    </row>
    <row r="2535" spans="1:16" x14ac:dyDescent="0.25">
      <c r="A2535" s="2" t="s">
        <v>5715</v>
      </c>
      <c r="B2535" s="2" t="s">
        <v>5115</v>
      </c>
      <c r="C2535" s="2">
        <v>7724</v>
      </c>
      <c r="D2535" s="2" t="s">
        <v>9520</v>
      </c>
      <c r="E2535" s="2" t="s">
        <v>38</v>
      </c>
      <c r="F2535" s="2" t="s">
        <v>58</v>
      </c>
      <c r="G2535" s="2">
        <v>22676.78</v>
      </c>
      <c r="H2535" s="2">
        <v>14704.07</v>
      </c>
      <c r="I2535" s="2" t="s">
        <v>20</v>
      </c>
      <c r="J2535" s="2" t="s">
        <v>21</v>
      </c>
      <c r="K2535" s="2" t="s">
        <v>42</v>
      </c>
      <c r="L2535" s="2" t="s">
        <v>55</v>
      </c>
      <c r="M2535" s="2">
        <v>3</v>
      </c>
      <c r="N2535" s="2" t="s">
        <v>24</v>
      </c>
      <c r="O2535" s="2" t="s">
        <v>25</v>
      </c>
      <c r="P2535" s="2" t="s">
        <v>49</v>
      </c>
    </row>
    <row r="2536" spans="1:16" x14ac:dyDescent="0.25">
      <c r="A2536" s="2" t="s">
        <v>5717</v>
      </c>
      <c r="B2536" s="2" t="s">
        <v>1020</v>
      </c>
      <c r="C2536" s="2">
        <v>6616</v>
      </c>
      <c r="D2536" s="2" t="s">
        <v>9521</v>
      </c>
      <c r="E2536" s="2" t="s">
        <v>18</v>
      </c>
      <c r="F2536" s="2" t="s">
        <v>39</v>
      </c>
      <c r="G2536" s="2">
        <v>24119.33</v>
      </c>
      <c r="H2536" s="2">
        <v>12996.74</v>
      </c>
      <c r="I2536" s="2" t="s">
        <v>84</v>
      </c>
      <c r="J2536" s="2" t="s">
        <v>54</v>
      </c>
      <c r="K2536" s="2" t="s">
        <v>80</v>
      </c>
      <c r="L2536" s="2" t="s">
        <v>43</v>
      </c>
      <c r="M2536" s="2">
        <v>5</v>
      </c>
      <c r="N2536" s="2" t="s">
        <v>69</v>
      </c>
      <c r="O2536" s="2" t="s">
        <v>70</v>
      </c>
      <c r="P2536" s="2" t="s">
        <v>34</v>
      </c>
    </row>
    <row r="2537" spans="1:16" x14ac:dyDescent="0.25">
      <c r="A2537" s="2" t="s">
        <v>5719</v>
      </c>
      <c r="B2537" s="2" t="s">
        <v>2703</v>
      </c>
      <c r="C2537" s="2">
        <v>7320</v>
      </c>
      <c r="D2537" s="2" t="s">
        <v>9522</v>
      </c>
      <c r="E2537" s="2" t="s">
        <v>18</v>
      </c>
      <c r="F2537" s="2" t="s">
        <v>19</v>
      </c>
      <c r="G2537" s="2">
        <v>5827.07</v>
      </c>
      <c r="H2537" s="2">
        <v>2809.91</v>
      </c>
      <c r="I2537" s="2" t="s">
        <v>68</v>
      </c>
      <c r="J2537" s="2" t="s">
        <v>41</v>
      </c>
      <c r="K2537" s="2" t="s">
        <v>32</v>
      </c>
      <c r="L2537" s="2" t="s">
        <v>48</v>
      </c>
      <c r="M2537" s="2">
        <v>4</v>
      </c>
      <c r="N2537" s="2" t="s">
        <v>24</v>
      </c>
      <c r="O2537" s="2" t="s">
        <v>25</v>
      </c>
      <c r="P2537" s="2" t="s">
        <v>34</v>
      </c>
    </row>
    <row r="2538" spans="1:16" x14ac:dyDescent="0.25">
      <c r="A2538" s="2" t="s">
        <v>5722</v>
      </c>
      <c r="B2538" s="2" t="s">
        <v>423</v>
      </c>
      <c r="C2538" s="2">
        <v>8207</v>
      </c>
      <c r="D2538" s="2" t="s">
        <v>9523</v>
      </c>
      <c r="E2538" s="2" t="s">
        <v>18</v>
      </c>
      <c r="F2538" s="2" t="s">
        <v>39</v>
      </c>
      <c r="G2538" s="2">
        <v>25651.23</v>
      </c>
      <c r="H2538" s="2">
        <v>16650.689999999999</v>
      </c>
      <c r="I2538" s="2" t="s">
        <v>84</v>
      </c>
      <c r="J2538" s="2" t="s">
        <v>54</v>
      </c>
      <c r="K2538" s="2" t="s">
        <v>22</v>
      </c>
      <c r="L2538" s="2" t="s">
        <v>43</v>
      </c>
      <c r="M2538" s="2">
        <v>5</v>
      </c>
      <c r="N2538" s="2" t="s">
        <v>69</v>
      </c>
      <c r="O2538" s="2" t="s">
        <v>70</v>
      </c>
      <c r="P2538" s="2" t="s">
        <v>49</v>
      </c>
    </row>
    <row r="2539" spans="1:16" x14ac:dyDescent="0.25">
      <c r="A2539" s="2" t="s">
        <v>5724</v>
      </c>
      <c r="B2539" s="2" t="s">
        <v>4051</v>
      </c>
      <c r="C2539" s="2">
        <v>6517</v>
      </c>
      <c r="D2539" s="2" t="s">
        <v>9524</v>
      </c>
      <c r="E2539" s="2" t="s">
        <v>6680</v>
      </c>
      <c r="F2539" s="2" t="s">
        <v>19</v>
      </c>
      <c r="G2539" s="2">
        <v>6336.79</v>
      </c>
      <c r="H2539" s="2">
        <v>2967.47</v>
      </c>
      <c r="I2539" s="2" t="s">
        <v>63</v>
      </c>
      <c r="J2539" s="2" t="s">
        <v>6753</v>
      </c>
      <c r="K2539" s="2" t="s">
        <v>42</v>
      </c>
      <c r="L2539" s="2" t="s">
        <v>48</v>
      </c>
      <c r="M2539" s="2">
        <v>2</v>
      </c>
      <c r="N2539" s="2" t="s">
        <v>33</v>
      </c>
      <c r="O2539" s="2" t="s">
        <v>70</v>
      </c>
      <c r="P2539" s="2" t="s">
        <v>34</v>
      </c>
    </row>
    <row r="2540" spans="1:16" x14ac:dyDescent="0.25">
      <c r="A2540" s="2" t="s">
        <v>5726</v>
      </c>
      <c r="B2540" s="2" t="s">
        <v>3573</v>
      </c>
      <c r="C2540" s="2">
        <v>7514</v>
      </c>
      <c r="D2540" s="2" t="s">
        <v>1872</v>
      </c>
      <c r="E2540" s="2" t="s">
        <v>18</v>
      </c>
      <c r="F2540" s="2" t="s">
        <v>19</v>
      </c>
      <c r="G2540" s="2">
        <v>11784.39</v>
      </c>
      <c r="H2540" s="2">
        <v>7168.61</v>
      </c>
      <c r="I2540" s="2" t="s">
        <v>84</v>
      </c>
      <c r="J2540" s="2" t="s">
        <v>54</v>
      </c>
      <c r="K2540" s="2" t="s">
        <v>32</v>
      </c>
      <c r="L2540" s="2" t="s">
        <v>55</v>
      </c>
      <c r="M2540" s="2">
        <v>5</v>
      </c>
      <c r="N2540" s="2" t="s">
        <v>24</v>
      </c>
      <c r="O2540" s="2" t="s">
        <v>25</v>
      </c>
      <c r="P2540" s="2" t="s">
        <v>26</v>
      </c>
    </row>
    <row r="2541" spans="1:16" x14ac:dyDescent="0.25">
      <c r="A2541" s="2" t="s">
        <v>5728</v>
      </c>
      <c r="B2541" s="2" t="s">
        <v>9525</v>
      </c>
      <c r="C2541" s="2">
        <v>6271</v>
      </c>
      <c r="D2541" s="2" t="s">
        <v>9526</v>
      </c>
      <c r="E2541" s="2" t="s">
        <v>6748</v>
      </c>
      <c r="F2541" s="2" t="s">
        <v>39</v>
      </c>
      <c r="G2541" s="2">
        <v>33680.01</v>
      </c>
      <c r="H2541" s="2">
        <v>19819.900000000001</v>
      </c>
      <c r="I2541" s="2" t="s">
        <v>6720</v>
      </c>
      <c r="J2541" s="2" t="s">
        <v>54</v>
      </c>
      <c r="K2541" s="2" t="s">
        <v>80</v>
      </c>
      <c r="L2541" s="2" t="s">
        <v>64</v>
      </c>
      <c r="M2541" s="2">
        <v>5</v>
      </c>
      <c r="N2541" s="2" t="s">
        <v>24</v>
      </c>
      <c r="O2541" s="2" t="s">
        <v>70</v>
      </c>
      <c r="P2541" s="2" t="s">
        <v>26</v>
      </c>
    </row>
    <row r="2542" spans="1:16" x14ac:dyDescent="0.25">
      <c r="A2542" s="2" t="s">
        <v>5729</v>
      </c>
      <c r="B2542" s="2" t="s">
        <v>9527</v>
      </c>
      <c r="C2542" s="2">
        <v>5755</v>
      </c>
      <c r="D2542" s="2" t="s">
        <v>2227</v>
      </c>
      <c r="E2542" s="2" t="s">
        <v>18</v>
      </c>
      <c r="F2542" s="2" t="s">
        <v>39</v>
      </c>
      <c r="G2542" s="2">
        <v>5759.62</v>
      </c>
      <c r="H2542" s="2">
        <v>3060.75</v>
      </c>
      <c r="I2542" s="2" t="s">
        <v>120</v>
      </c>
      <c r="J2542" s="2" t="s">
        <v>21</v>
      </c>
      <c r="K2542" s="2" t="s">
        <v>80</v>
      </c>
      <c r="L2542" s="2" t="s">
        <v>88</v>
      </c>
      <c r="M2542" s="2">
        <v>2</v>
      </c>
      <c r="N2542" s="2" t="s">
        <v>24</v>
      </c>
      <c r="O2542" s="2" t="s">
        <v>25</v>
      </c>
      <c r="P2542" s="2" t="s">
        <v>34</v>
      </c>
    </row>
    <row r="2543" spans="1:16" x14ac:dyDescent="0.25">
      <c r="A2543" s="2" t="s">
        <v>5731</v>
      </c>
      <c r="B2543" s="2" t="s">
        <v>9528</v>
      </c>
      <c r="C2543" s="2">
        <v>6498</v>
      </c>
      <c r="D2543" s="2" t="s">
        <v>2925</v>
      </c>
      <c r="E2543" s="2" t="s">
        <v>32</v>
      </c>
      <c r="F2543" s="2" t="s">
        <v>30</v>
      </c>
      <c r="G2543" s="2">
        <v>49111.45</v>
      </c>
      <c r="H2543" s="2">
        <v>23758.07</v>
      </c>
      <c r="I2543" s="2" t="s">
        <v>6867</v>
      </c>
      <c r="J2543" s="2" t="s">
        <v>6802</v>
      </c>
      <c r="K2543" s="2" t="s">
        <v>22</v>
      </c>
      <c r="L2543" s="2" t="s">
        <v>43</v>
      </c>
      <c r="M2543" s="2">
        <v>3</v>
      </c>
      <c r="N2543" s="2" t="s">
        <v>33</v>
      </c>
      <c r="O2543" s="2" t="s">
        <v>25</v>
      </c>
      <c r="P2543" s="2" t="s">
        <v>26</v>
      </c>
    </row>
    <row r="2544" spans="1:16" x14ac:dyDescent="0.25">
      <c r="A2544" s="2" t="s">
        <v>5733</v>
      </c>
      <c r="B2544" s="2" t="s">
        <v>9529</v>
      </c>
      <c r="C2544" s="2">
        <v>8617</v>
      </c>
      <c r="D2544" s="2" t="s">
        <v>9530</v>
      </c>
      <c r="E2544" s="2" t="s">
        <v>6698</v>
      </c>
      <c r="F2544" s="2" t="s">
        <v>39</v>
      </c>
      <c r="G2544" s="2">
        <v>35489.26</v>
      </c>
      <c r="H2544" s="2">
        <v>17552.57</v>
      </c>
      <c r="I2544" s="2" t="s">
        <v>6808</v>
      </c>
      <c r="J2544" s="2" t="s">
        <v>6729</v>
      </c>
      <c r="K2544" s="2" t="s">
        <v>22</v>
      </c>
      <c r="L2544" s="2" t="s">
        <v>88</v>
      </c>
      <c r="M2544" s="2">
        <v>1</v>
      </c>
      <c r="N2544" s="2" t="s">
        <v>24</v>
      </c>
      <c r="O2544" s="2" t="s">
        <v>70</v>
      </c>
      <c r="P2544" s="2" t="s">
        <v>49</v>
      </c>
    </row>
    <row r="2545" spans="1:16" x14ac:dyDescent="0.25">
      <c r="A2545" s="2" t="s">
        <v>5735</v>
      </c>
      <c r="B2545" s="2" t="s">
        <v>9531</v>
      </c>
      <c r="C2545" s="2">
        <v>3916</v>
      </c>
      <c r="D2545" s="2" t="s">
        <v>9532</v>
      </c>
      <c r="E2545" s="2" t="s">
        <v>32</v>
      </c>
      <c r="F2545" s="2" t="s">
        <v>39</v>
      </c>
      <c r="G2545" s="2">
        <v>34094.879999999997</v>
      </c>
      <c r="H2545" s="2">
        <v>15834.69</v>
      </c>
      <c r="I2545" s="2" t="s">
        <v>84</v>
      </c>
      <c r="J2545" s="2" t="s">
        <v>6686</v>
      </c>
      <c r="K2545" s="2" t="s">
        <v>22</v>
      </c>
      <c r="L2545" s="2" t="s">
        <v>23</v>
      </c>
      <c r="M2545" s="2">
        <v>3</v>
      </c>
      <c r="N2545" s="2" t="s">
        <v>24</v>
      </c>
      <c r="O2545" s="2" t="s">
        <v>25</v>
      </c>
      <c r="P2545" s="2" t="s">
        <v>49</v>
      </c>
    </row>
    <row r="2546" spans="1:16" x14ac:dyDescent="0.25">
      <c r="A2546" s="2" t="s">
        <v>5737</v>
      </c>
      <c r="B2546" s="2" t="s">
        <v>9533</v>
      </c>
      <c r="C2546" s="2">
        <v>6448</v>
      </c>
      <c r="D2546" s="2" t="s">
        <v>9534</v>
      </c>
      <c r="E2546" s="2" t="s">
        <v>18</v>
      </c>
      <c r="F2546" s="2" t="s">
        <v>58</v>
      </c>
      <c r="G2546" s="2">
        <v>19450.32</v>
      </c>
      <c r="H2546" s="2">
        <v>10384.549999999999</v>
      </c>
      <c r="I2546" s="2" t="s">
        <v>6794</v>
      </c>
      <c r="J2546" s="2" t="s">
        <v>6789</v>
      </c>
      <c r="K2546" s="2" t="s">
        <v>80</v>
      </c>
      <c r="L2546" s="2" t="s">
        <v>43</v>
      </c>
      <c r="M2546" s="2">
        <v>3</v>
      </c>
      <c r="N2546" s="2" t="s">
        <v>33</v>
      </c>
      <c r="O2546" s="2" t="s">
        <v>25</v>
      </c>
      <c r="P2546" s="2" t="s">
        <v>26</v>
      </c>
    </row>
    <row r="2547" spans="1:16" x14ac:dyDescent="0.25">
      <c r="A2547" s="2" t="s">
        <v>5739</v>
      </c>
      <c r="B2547" s="2" t="s">
        <v>9535</v>
      </c>
      <c r="C2547" s="2">
        <v>3089</v>
      </c>
      <c r="D2547" s="2" t="s">
        <v>5116</v>
      </c>
      <c r="E2547" s="2" t="s">
        <v>6708</v>
      </c>
      <c r="F2547" s="2" t="s">
        <v>39</v>
      </c>
      <c r="G2547" s="2">
        <v>18956.16</v>
      </c>
      <c r="H2547" s="2">
        <v>9618.1200000000008</v>
      </c>
      <c r="I2547" s="2" t="s">
        <v>6915</v>
      </c>
      <c r="J2547" s="2" t="s">
        <v>6696</v>
      </c>
      <c r="K2547" s="2" t="s">
        <v>22</v>
      </c>
      <c r="L2547" s="2" t="s">
        <v>64</v>
      </c>
      <c r="M2547" s="2">
        <v>1</v>
      </c>
      <c r="N2547" s="2" t="s">
        <v>24</v>
      </c>
      <c r="O2547" s="2" t="s">
        <v>70</v>
      </c>
      <c r="P2547" s="2" t="s">
        <v>26</v>
      </c>
    </row>
    <row r="2548" spans="1:16" x14ac:dyDescent="0.25">
      <c r="A2548" s="2" t="s">
        <v>5740</v>
      </c>
      <c r="B2548" s="2" t="s">
        <v>4369</v>
      </c>
      <c r="C2548" s="2">
        <v>2789</v>
      </c>
      <c r="D2548" s="2" t="s">
        <v>9536</v>
      </c>
      <c r="E2548" s="2" t="s">
        <v>18</v>
      </c>
      <c r="F2548" s="2" t="s">
        <v>58</v>
      </c>
      <c r="G2548" s="2">
        <v>44439.519999999997</v>
      </c>
      <c r="H2548" s="2">
        <v>22601.06</v>
      </c>
      <c r="I2548" s="2" t="s">
        <v>53</v>
      </c>
      <c r="J2548" s="2" t="s">
        <v>54</v>
      </c>
      <c r="K2548" s="2" t="s">
        <v>80</v>
      </c>
      <c r="L2548" s="2" t="s">
        <v>23</v>
      </c>
      <c r="M2548" s="2">
        <v>5</v>
      </c>
      <c r="N2548" s="2" t="s">
        <v>24</v>
      </c>
      <c r="O2548" s="2" t="s">
        <v>70</v>
      </c>
      <c r="P2548" s="2" t="s">
        <v>26</v>
      </c>
    </row>
    <row r="2549" spans="1:16" x14ac:dyDescent="0.25">
      <c r="A2549" s="2" t="s">
        <v>5741</v>
      </c>
      <c r="B2549" s="2" t="s">
        <v>6563</v>
      </c>
      <c r="C2549" s="2">
        <v>5102</v>
      </c>
      <c r="D2549" s="2" t="s">
        <v>2767</v>
      </c>
      <c r="E2549" s="2" t="s">
        <v>38</v>
      </c>
      <c r="F2549" s="2" t="s">
        <v>47</v>
      </c>
      <c r="G2549" s="2">
        <v>6056.68</v>
      </c>
      <c r="H2549" s="2">
        <v>3809.85</v>
      </c>
      <c r="I2549" s="2" t="s">
        <v>40</v>
      </c>
      <c r="J2549" s="2" t="s">
        <v>41</v>
      </c>
      <c r="K2549" s="2" t="s">
        <v>22</v>
      </c>
      <c r="L2549" s="2" t="s">
        <v>48</v>
      </c>
      <c r="M2549" s="2">
        <v>1</v>
      </c>
      <c r="N2549" s="2" t="s">
        <v>33</v>
      </c>
      <c r="O2549" s="2" t="s">
        <v>25</v>
      </c>
      <c r="P2549" s="2" t="s">
        <v>26</v>
      </c>
    </row>
    <row r="2551" spans="1:16" x14ac:dyDescent="0.25">
      <c r="A2551" s="2" t="s">
        <v>5743</v>
      </c>
      <c r="B2551" s="2" t="s">
        <v>9537</v>
      </c>
      <c r="C2551" s="2">
        <v>6539</v>
      </c>
      <c r="D2551" s="2" t="s">
        <v>9538</v>
      </c>
      <c r="E2551" s="2" t="s">
        <v>6756</v>
      </c>
      <c r="F2551" s="2" t="s">
        <v>58</v>
      </c>
      <c r="G2551" s="2">
        <v>28965.439999999999</v>
      </c>
      <c r="H2551" s="2">
        <v>16519.419999999998</v>
      </c>
      <c r="I2551" s="2" t="s">
        <v>6761</v>
      </c>
      <c r="J2551" s="2" t="s">
        <v>6705</v>
      </c>
      <c r="K2551" s="2" t="s">
        <v>22</v>
      </c>
      <c r="L2551" s="2" t="s">
        <v>48</v>
      </c>
      <c r="M2551" s="2">
        <v>4</v>
      </c>
      <c r="N2551" s="2" t="s">
        <v>33</v>
      </c>
      <c r="O2551" s="2" t="s">
        <v>25</v>
      </c>
      <c r="P2551" s="2" t="s">
        <v>34</v>
      </c>
    </row>
    <row r="2552" spans="1:16" x14ac:dyDescent="0.25">
      <c r="A2552" s="2" t="s">
        <v>5745</v>
      </c>
      <c r="B2552" s="2" t="s">
        <v>9539</v>
      </c>
      <c r="C2552" s="2">
        <v>7374</v>
      </c>
      <c r="D2552" s="2" t="s">
        <v>9540</v>
      </c>
      <c r="E2552" s="2" t="s">
        <v>6698</v>
      </c>
      <c r="F2552" s="2" t="s">
        <v>47</v>
      </c>
      <c r="G2552" s="2">
        <v>9448.11</v>
      </c>
      <c r="H2552" s="2">
        <v>4809.87</v>
      </c>
      <c r="I2552" s="2" t="s">
        <v>6910</v>
      </c>
      <c r="J2552" s="2" t="s">
        <v>6724</v>
      </c>
      <c r="K2552" s="2" t="s">
        <v>32</v>
      </c>
      <c r="L2552" s="2" t="s">
        <v>48</v>
      </c>
      <c r="M2552" s="2">
        <v>5</v>
      </c>
      <c r="N2552" s="2" t="s">
        <v>33</v>
      </c>
      <c r="O2552" s="2" t="s">
        <v>25</v>
      </c>
      <c r="P2552" s="2" t="s">
        <v>34</v>
      </c>
    </row>
    <row r="2553" spans="1:16" x14ac:dyDescent="0.25">
      <c r="A2553" s="2" t="s">
        <v>5747</v>
      </c>
      <c r="B2553" s="2" t="s">
        <v>8437</v>
      </c>
      <c r="C2553" s="2">
        <v>6246</v>
      </c>
      <c r="D2553" s="2" t="s">
        <v>5387</v>
      </c>
      <c r="E2553" s="2" t="s">
        <v>38</v>
      </c>
      <c r="F2553" s="2" t="s">
        <v>58</v>
      </c>
      <c r="G2553" s="2">
        <v>9308.4699999999993</v>
      </c>
      <c r="H2553" s="2">
        <v>4959.6499999999996</v>
      </c>
      <c r="I2553" s="2" t="s">
        <v>40</v>
      </c>
      <c r="J2553" s="2" t="s">
        <v>41</v>
      </c>
      <c r="K2553" s="2" t="s">
        <v>22</v>
      </c>
      <c r="L2553" s="2" t="s">
        <v>43</v>
      </c>
      <c r="M2553" s="2">
        <v>1</v>
      </c>
      <c r="N2553" s="2" t="s">
        <v>33</v>
      </c>
      <c r="O2553" s="2" t="s">
        <v>25</v>
      </c>
      <c r="P2553" s="2" t="s">
        <v>49</v>
      </c>
    </row>
    <row r="2554" spans="1:16" x14ac:dyDescent="0.25">
      <c r="A2554" s="2" t="s">
        <v>5749</v>
      </c>
      <c r="B2554" s="2" t="s">
        <v>9541</v>
      </c>
      <c r="C2554" s="2">
        <v>1007</v>
      </c>
      <c r="D2554" s="2" t="s">
        <v>9542</v>
      </c>
      <c r="E2554" s="2" t="s">
        <v>6748</v>
      </c>
      <c r="F2554" s="2" t="s">
        <v>30</v>
      </c>
      <c r="G2554" s="2">
        <v>44845.41</v>
      </c>
      <c r="H2554" s="2">
        <v>24270.92</v>
      </c>
      <c r="I2554" s="2" t="s">
        <v>6761</v>
      </c>
      <c r="J2554" s="2" t="s">
        <v>41</v>
      </c>
      <c r="K2554" s="2" t="s">
        <v>32</v>
      </c>
      <c r="L2554" s="2" t="s">
        <v>43</v>
      </c>
      <c r="M2554" s="2">
        <v>4</v>
      </c>
      <c r="N2554" s="2" t="s">
        <v>69</v>
      </c>
      <c r="O2554" s="2" t="s">
        <v>70</v>
      </c>
      <c r="P2554" s="2" t="s">
        <v>49</v>
      </c>
    </row>
    <row r="2555" spans="1:16" x14ac:dyDescent="0.25">
      <c r="A2555" s="2" t="s">
        <v>5751</v>
      </c>
      <c r="B2555" s="2" t="s">
        <v>9543</v>
      </c>
      <c r="C2555" s="2">
        <v>7948</v>
      </c>
      <c r="D2555" s="2" t="s">
        <v>4944</v>
      </c>
      <c r="E2555" s="2" t="s">
        <v>18</v>
      </c>
      <c r="F2555" s="2" t="s">
        <v>58</v>
      </c>
      <c r="G2555" s="2">
        <v>24054.13</v>
      </c>
      <c r="H2555" s="2">
        <v>11810.91</v>
      </c>
      <c r="I2555" s="2" t="s">
        <v>68</v>
      </c>
      <c r="J2555" s="2" t="s">
        <v>6732</v>
      </c>
      <c r="K2555" s="2" t="s">
        <v>80</v>
      </c>
      <c r="L2555" s="2" t="s">
        <v>64</v>
      </c>
      <c r="M2555" s="2">
        <v>4</v>
      </c>
      <c r="N2555" s="2" t="s">
        <v>33</v>
      </c>
      <c r="O2555" s="2" t="s">
        <v>25</v>
      </c>
      <c r="P2555" s="2" t="s">
        <v>26</v>
      </c>
    </row>
    <row r="2556" spans="1:16" x14ac:dyDescent="0.25">
      <c r="A2556" s="2" t="s">
        <v>5753</v>
      </c>
      <c r="B2556" s="2" t="s">
        <v>6978</v>
      </c>
      <c r="C2556" s="2">
        <v>3730</v>
      </c>
      <c r="D2556" s="2" t="s">
        <v>9544</v>
      </c>
      <c r="E2556" s="2" t="s">
        <v>38</v>
      </c>
      <c r="F2556" s="2" t="s">
        <v>47</v>
      </c>
      <c r="G2556" s="2">
        <v>18093.25</v>
      </c>
      <c r="H2556" s="2">
        <v>11515.14</v>
      </c>
      <c r="I2556" s="2" t="s">
        <v>84</v>
      </c>
      <c r="J2556" s="2" t="s">
        <v>54</v>
      </c>
      <c r="K2556" s="2" t="s">
        <v>80</v>
      </c>
      <c r="L2556" s="2" t="s">
        <v>23</v>
      </c>
      <c r="M2556" s="2">
        <v>3</v>
      </c>
      <c r="N2556" s="2" t="s">
        <v>24</v>
      </c>
      <c r="O2556" s="2" t="s">
        <v>70</v>
      </c>
      <c r="P2556" s="2" t="s">
        <v>34</v>
      </c>
    </row>
    <row r="2557" spans="1:16" x14ac:dyDescent="0.25">
      <c r="A2557" s="2" t="s">
        <v>5755</v>
      </c>
      <c r="B2557" s="2" t="s">
        <v>4448</v>
      </c>
      <c r="C2557" s="2">
        <v>8984</v>
      </c>
      <c r="D2557" s="2" t="s">
        <v>9545</v>
      </c>
      <c r="E2557" s="2" t="s">
        <v>38</v>
      </c>
      <c r="F2557" s="2" t="s">
        <v>58</v>
      </c>
      <c r="G2557" s="2">
        <v>35400.83</v>
      </c>
      <c r="H2557" s="2">
        <v>18416.560000000001</v>
      </c>
      <c r="I2557" s="2" t="s">
        <v>120</v>
      </c>
      <c r="J2557" s="2" t="s">
        <v>21</v>
      </c>
      <c r="K2557" s="2" t="s">
        <v>22</v>
      </c>
      <c r="L2557" s="2" t="s">
        <v>55</v>
      </c>
      <c r="M2557" s="2">
        <v>5</v>
      </c>
      <c r="N2557" s="2" t="s">
        <v>33</v>
      </c>
      <c r="O2557" s="2" t="s">
        <v>70</v>
      </c>
      <c r="P2557" s="2" t="s">
        <v>26</v>
      </c>
    </row>
    <row r="2558" spans="1:16" x14ac:dyDescent="0.25">
      <c r="A2558" s="2" t="s">
        <v>5757</v>
      </c>
      <c r="B2558" s="2" t="s">
        <v>212</v>
      </c>
      <c r="C2558" s="2">
        <v>4621</v>
      </c>
      <c r="D2558" s="2" t="s">
        <v>9546</v>
      </c>
      <c r="E2558" s="2" t="s">
        <v>38</v>
      </c>
      <c r="F2558" s="2" t="s">
        <v>30</v>
      </c>
      <c r="G2558" s="2">
        <v>56856.23</v>
      </c>
      <c r="H2558" s="2">
        <v>28036.34</v>
      </c>
      <c r="I2558" s="2" t="s">
        <v>84</v>
      </c>
      <c r="J2558" s="2" t="s">
        <v>54</v>
      </c>
      <c r="K2558" s="2" t="s">
        <v>22</v>
      </c>
      <c r="L2558" s="2" t="s">
        <v>64</v>
      </c>
      <c r="M2558" s="2">
        <v>1</v>
      </c>
      <c r="N2558" s="2" t="s">
        <v>24</v>
      </c>
      <c r="O2558" s="2" t="s">
        <v>25</v>
      </c>
      <c r="P2558" s="2" t="s">
        <v>34</v>
      </c>
    </row>
    <row r="2559" spans="1:16" x14ac:dyDescent="0.25">
      <c r="A2559" s="2" t="s">
        <v>5759</v>
      </c>
      <c r="B2559" s="2" t="s">
        <v>9547</v>
      </c>
      <c r="C2559" s="2">
        <v>7707</v>
      </c>
      <c r="D2559" s="2" t="s">
        <v>9548</v>
      </c>
      <c r="E2559" s="2" t="s">
        <v>6703</v>
      </c>
      <c r="F2559" s="2" t="s">
        <v>58</v>
      </c>
      <c r="G2559" s="2">
        <v>20768.23</v>
      </c>
      <c r="H2559" s="2">
        <v>11776.36</v>
      </c>
      <c r="I2559" s="2" t="s">
        <v>120</v>
      </c>
      <c r="J2559" s="2" t="s">
        <v>6802</v>
      </c>
      <c r="K2559" s="2" t="s">
        <v>22</v>
      </c>
      <c r="L2559" s="2" t="s">
        <v>48</v>
      </c>
      <c r="M2559" s="2">
        <v>5</v>
      </c>
      <c r="N2559" s="2" t="s">
        <v>33</v>
      </c>
      <c r="O2559" s="2" t="s">
        <v>25</v>
      </c>
      <c r="P2559" s="2" t="s">
        <v>49</v>
      </c>
    </row>
    <row r="2560" spans="1:16" x14ac:dyDescent="0.25">
      <c r="A2560" s="2" t="s">
        <v>5761</v>
      </c>
      <c r="B2560" s="2" t="s">
        <v>7417</v>
      </c>
      <c r="C2560" s="2">
        <v>6378</v>
      </c>
      <c r="D2560" s="2" t="s">
        <v>8839</v>
      </c>
      <c r="E2560" s="2" t="s">
        <v>38</v>
      </c>
      <c r="F2560" s="2" t="s">
        <v>30</v>
      </c>
      <c r="G2560" s="2">
        <v>99145.07</v>
      </c>
      <c r="H2560" s="2">
        <v>46219</v>
      </c>
      <c r="I2560" s="2" t="s">
        <v>31</v>
      </c>
      <c r="J2560" s="2" t="s">
        <v>21</v>
      </c>
      <c r="K2560" s="2" t="s">
        <v>22</v>
      </c>
      <c r="L2560" s="2" t="s">
        <v>43</v>
      </c>
      <c r="M2560" s="2">
        <v>5</v>
      </c>
      <c r="N2560" s="2" t="s">
        <v>69</v>
      </c>
      <c r="O2560" s="2" t="s">
        <v>25</v>
      </c>
      <c r="P2560" s="2" t="s">
        <v>26</v>
      </c>
    </row>
    <row r="2561" spans="1:16" x14ac:dyDescent="0.25">
      <c r="A2561" s="2" t="s">
        <v>5764</v>
      </c>
      <c r="B2561" s="2" t="s">
        <v>9549</v>
      </c>
      <c r="C2561" s="2">
        <v>5218</v>
      </c>
      <c r="D2561" s="2" t="s">
        <v>9550</v>
      </c>
      <c r="E2561" s="2" t="s">
        <v>18</v>
      </c>
      <c r="F2561" s="2" t="s">
        <v>39</v>
      </c>
      <c r="G2561" s="2">
        <v>52162.53</v>
      </c>
      <c r="H2561" s="2">
        <v>29485.57</v>
      </c>
      <c r="I2561" s="2" t="s">
        <v>6752</v>
      </c>
      <c r="J2561" s="2" t="s">
        <v>6686</v>
      </c>
      <c r="K2561" s="2" t="s">
        <v>32</v>
      </c>
      <c r="L2561" s="2" t="s">
        <v>64</v>
      </c>
      <c r="M2561" s="2">
        <v>2</v>
      </c>
      <c r="N2561" s="2" t="s">
        <v>24</v>
      </c>
      <c r="O2561" s="2" t="s">
        <v>70</v>
      </c>
      <c r="P2561" s="2" t="s">
        <v>34</v>
      </c>
    </row>
    <row r="2562" spans="1:16" x14ac:dyDescent="0.25">
      <c r="A2562" s="2" t="s">
        <v>5766</v>
      </c>
      <c r="B2562" s="2" t="s">
        <v>3883</v>
      </c>
      <c r="C2562" s="2">
        <v>6824</v>
      </c>
      <c r="D2562" s="2" t="s">
        <v>9551</v>
      </c>
      <c r="E2562" s="2" t="s">
        <v>6748</v>
      </c>
      <c r="F2562" s="2" t="s">
        <v>47</v>
      </c>
      <c r="G2562" s="2">
        <v>17287.36</v>
      </c>
      <c r="H2562" s="2">
        <v>8057.06</v>
      </c>
      <c r="I2562" s="2" t="s">
        <v>6808</v>
      </c>
      <c r="J2562" s="2" t="s">
        <v>6686</v>
      </c>
      <c r="K2562" s="2" t="s">
        <v>80</v>
      </c>
      <c r="L2562" s="2" t="s">
        <v>88</v>
      </c>
      <c r="M2562" s="2">
        <v>2</v>
      </c>
      <c r="N2562" s="2" t="s">
        <v>69</v>
      </c>
      <c r="O2562" s="2" t="s">
        <v>70</v>
      </c>
      <c r="P2562" s="2" t="s">
        <v>34</v>
      </c>
    </row>
    <row r="2563" spans="1:16" x14ac:dyDescent="0.25">
      <c r="A2563" s="2" t="s">
        <v>5768</v>
      </c>
      <c r="B2563" s="2" t="s">
        <v>1116</v>
      </c>
      <c r="C2563" s="2">
        <v>7908</v>
      </c>
      <c r="D2563" s="2" t="s">
        <v>6848</v>
      </c>
      <c r="E2563" s="2" t="s">
        <v>18</v>
      </c>
      <c r="F2563" s="2" t="s">
        <v>39</v>
      </c>
      <c r="G2563" s="2">
        <v>28286.89</v>
      </c>
      <c r="H2563" s="2">
        <v>15825.05</v>
      </c>
      <c r="I2563" s="2" t="s">
        <v>68</v>
      </c>
      <c r="J2563" s="2" t="s">
        <v>41</v>
      </c>
      <c r="K2563" s="2" t="s">
        <v>80</v>
      </c>
      <c r="L2563" s="2" t="s">
        <v>43</v>
      </c>
      <c r="M2563" s="2">
        <v>1</v>
      </c>
      <c r="N2563" s="2" t="s">
        <v>33</v>
      </c>
      <c r="O2563" s="2" t="s">
        <v>25</v>
      </c>
      <c r="P2563" s="2" t="s">
        <v>49</v>
      </c>
    </row>
    <row r="2564" spans="1:16" x14ac:dyDescent="0.25">
      <c r="A2564" s="2" t="s">
        <v>5770</v>
      </c>
      <c r="B2564" s="2" t="s">
        <v>2112</v>
      </c>
      <c r="C2564" s="2">
        <v>5807</v>
      </c>
      <c r="D2564" s="2" t="s">
        <v>9552</v>
      </c>
      <c r="E2564" s="2" t="s">
        <v>38</v>
      </c>
      <c r="F2564" s="2" t="s">
        <v>39</v>
      </c>
      <c r="G2564" s="2">
        <v>33553.74</v>
      </c>
      <c r="H2564" s="2">
        <v>19651.650000000001</v>
      </c>
      <c r="I2564" s="2" t="s">
        <v>63</v>
      </c>
      <c r="J2564" s="2" t="s">
        <v>54</v>
      </c>
      <c r="K2564" s="2" t="s">
        <v>22</v>
      </c>
      <c r="L2564" s="2" t="s">
        <v>23</v>
      </c>
      <c r="M2564" s="2">
        <v>3</v>
      </c>
      <c r="N2564" s="2" t="s">
        <v>33</v>
      </c>
      <c r="O2564" s="2" t="s">
        <v>70</v>
      </c>
      <c r="P2564" s="2" t="s">
        <v>34</v>
      </c>
    </row>
    <row r="2565" spans="1:16" x14ac:dyDescent="0.25">
      <c r="A2565" s="2" t="s">
        <v>5771</v>
      </c>
      <c r="B2565" s="2" t="s">
        <v>6050</v>
      </c>
      <c r="C2565" s="2">
        <v>6890</v>
      </c>
      <c r="D2565" s="2" t="s">
        <v>8884</v>
      </c>
      <c r="E2565" s="2" t="s">
        <v>38</v>
      </c>
      <c r="F2565" s="2" t="s">
        <v>39</v>
      </c>
      <c r="G2565" s="2">
        <v>35688.199999999997</v>
      </c>
      <c r="H2565" s="2">
        <v>22466</v>
      </c>
      <c r="I2565" s="2" t="s">
        <v>63</v>
      </c>
      <c r="J2565" s="2" t="s">
        <v>54</v>
      </c>
      <c r="K2565" s="2" t="s">
        <v>42</v>
      </c>
      <c r="L2565" s="2" t="s">
        <v>43</v>
      </c>
      <c r="M2565" s="2">
        <v>4</v>
      </c>
      <c r="N2565" s="2" t="s">
        <v>24</v>
      </c>
      <c r="O2565" s="2" t="s">
        <v>25</v>
      </c>
      <c r="P2565" s="2" t="s">
        <v>26</v>
      </c>
    </row>
    <row r="2566" spans="1:16" x14ac:dyDescent="0.25">
      <c r="A2566" s="2" t="s">
        <v>5772</v>
      </c>
      <c r="B2566" s="2" t="s">
        <v>9553</v>
      </c>
      <c r="C2566" s="2">
        <v>9791</v>
      </c>
      <c r="D2566" s="2" t="s">
        <v>9554</v>
      </c>
      <c r="E2566" s="2" t="s">
        <v>18</v>
      </c>
      <c r="F2566" s="2" t="s">
        <v>30</v>
      </c>
      <c r="G2566" s="2">
        <v>60723.54</v>
      </c>
      <c r="H2566" s="2">
        <v>28473.15</v>
      </c>
      <c r="I2566" s="2" t="s">
        <v>40</v>
      </c>
      <c r="J2566" s="2" t="s">
        <v>41</v>
      </c>
      <c r="K2566" s="2" t="s">
        <v>22</v>
      </c>
      <c r="L2566" s="2" t="s">
        <v>55</v>
      </c>
      <c r="M2566" s="2">
        <v>4</v>
      </c>
      <c r="N2566" s="2" t="s">
        <v>33</v>
      </c>
      <c r="O2566" s="2" t="s">
        <v>70</v>
      </c>
      <c r="P2566" s="2" t="s">
        <v>34</v>
      </c>
    </row>
    <row r="2567" spans="1:16" x14ac:dyDescent="0.25">
      <c r="A2567" s="2" t="s">
        <v>5775</v>
      </c>
      <c r="B2567" s="2" t="s">
        <v>2005</v>
      </c>
      <c r="C2567" s="2">
        <v>3522</v>
      </c>
      <c r="D2567" s="2" t="s">
        <v>9555</v>
      </c>
      <c r="E2567" s="2" t="s">
        <v>18</v>
      </c>
      <c r="F2567" s="2" t="s">
        <v>58</v>
      </c>
      <c r="G2567" s="2">
        <v>15205.96</v>
      </c>
      <c r="H2567" s="2">
        <v>7803.79</v>
      </c>
      <c r="I2567" s="2" t="s">
        <v>31</v>
      </c>
      <c r="J2567" s="2" t="s">
        <v>21</v>
      </c>
      <c r="K2567" s="2" t="s">
        <v>80</v>
      </c>
      <c r="L2567" s="2" t="s">
        <v>88</v>
      </c>
      <c r="M2567" s="2">
        <v>4</v>
      </c>
      <c r="N2567" s="2" t="s">
        <v>33</v>
      </c>
      <c r="O2567" s="2" t="s">
        <v>70</v>
      </c>
      <c r="P2567" s="2" t="s">
        <v>34</v>
      </c>
    </row>
    <row r="2568" spans="1:16" x14ac:dyDescent="0.25">
      <c r="A2568" s="2" t="s">
        <v>5777</v>
      </c>
      <c r="B2568" s="2" t="s">
        <v>9556</v>
      </c>
      <c r="C2568" s="2">
        <v>8361</v>
      </c>
      <c r="D2568" s="2" t="s">
        <v>9557</v>
      </c>
      <c r="E2568" s="2" t="s">
        <v>6708</v>
      </c>
      <c r="F2568" s="2" t="s">
        <v>47</v>
      </c>
      <c r="G2568" s="2">
        <v>14494.81</v>
      </c>
      <c r="H2568" s="2">
        <v>7528.74</v>
      </c>
      <c r="I2568" s="2" t="s">
        <v>6723</v>
      </c>
      <c r="J2568" s="2" t="s">
        <v>6696</v>
      </c>
      <c r="K2568" s="2" t="s">
        <v>42</v>
      </c>
      <c r="L2568" s="2" t="s">
        <v>43</v>
      </c>
      <c r="M2568" s="2">
        <v>4</v>
      </c>
      <c r="N2568" s="2" t="s">
        <v>24</v>
      </c>
      <c r="O2568" s="2" t="s">
        <v>70</v>
      </c>
      <c r="P2568" s="2" t="s">
        <v>49</v>
      </c>
    </row>
    <row r="2569" spans="1:16" x14ac:dyDescent="0.25">
      <c r="A2569" s="2" t="s">
        <v>5779</v>
      </c>
      <c r="B2569" s="2" t="s">
        <v>9558</v>
      </c>
      <c r="C2569" s="2">
        <v>9358</v>
      </c>
      <c r="D2569" s="2" t="s">
        <v>9559</v>
      </c>
      <c r="E2569" s="2" t="s">
        <v>6719</v>
      </c>
      <c r="F2569" s="2" t="s">
        <v>30</v>
      </c>
      <c r="G2569" s="2">
        <v>12842.04</v>
      </c>
      <c r="H2569" s="2">
        <v>5894.4</v>
      </c>
      <c r="I2569" s="2" t="s">
        <v>6777</v>
      </c>
      <c r="J2569" s="2" t="s">
        <v>6732</v>
      </c>
      <c r="K2569" s="2" t="s">
        <v>22</v>
      </c>
      <c r="L2569" s="2" t="s">
        <v>23</v>
      </c>
      <c r="M2569" s="2">
        <v>3</v>
      </c>
      <c r="N2569" s="2" t="s">
        <v>33</v>
      </c>
      <c r="O2569" s="2" t="s">
        <v>25</v>
      </c>
      <c r="P2569" s="2" t="s">
        <v>34</v>
      </c>
    </row>
    <row r="2570" spans="1:16" x14ac:dyDescent="0.25">
      <c r="A2570" s="2" t="s">
        <v>5781</v>
      </c>
      <c r="B2570" s="2" t="s">
        <v>9560</v>
      </c>
      <c r="C2570" s="2">
        <v>5688</v>
      </c>
      <c r="D2570" s="2" t="s">
        <v>9561</v>
      </c>
      <c r="E2570" s="2" t="s">
        <v>6708</v>
      </c>
      <c r="F2570" s="2" t="s">
        <v>58</v>
      </c>
      <c r="G2570" s="2">
        <v>24839.49</v>
      </c>
      <c r="H2570" s="2">
        <v>12601.79</v>
      </c>
      <c r="I2570" s="2" t="s">
        <v>120</v>
      </c>
      <c r="J2570" s="2" t="s">
        <v>6724</v>
      </c>
      <c r="K2570" s="2" t="s">
        <v>22</v>
      </c>
      <c r="L2570" s="2" t="s">
        <v>48</v>
      </c>
      <c r="M2570" s="2">
        <v>3</v>
      </c>
      <c r="N2570" s="2" t="s">
        <v>33</v>
      </c>
      <c r="O2570" s="2" t="s">
        <v>25</v>
      </c>
      <c r="P2570" s="2" t="s">
        <v>49</v>
      </c>
    </row>
    <row r="2571" spans="1:16" x14ac:dyDescent="0.25">
      <c r="A2571" s="2" t="s">
        <v>5784</v>
      </c>
      <c r="B2571" s="2" t="s">
        <v>9562</v>
      </c>
      <c r="C2571" s="2">
        <v>7453</v>
      </c>
      <c r="D2571" s="2" t="s">
        <v>9563</v>
      </c>
      <c r="E2571" s="2" t="s">
        <v>6756</v>
      </c>
      <c r="F2571" s="2" t="s">
        <v>19</v>
      </c>
      <c r="G2571" s="2">
        <v>7960.55</v>
      </c>
      <c r="H2571" s="2">
        <v>4609.0600000000004</v>
      </c>
      <c r="I2571" s="2" t="s">
        <v>6726</v>
      </c>
      <c r="J2571" s="2" t="s">
        <v>6802</v>
      </c>
      <c r="K2571" s="2" t="s">
        <v>42</v>
      </c>
      <c r="L2571" s="2" t="s">
        <v>48</v>
      </c>
      <c r="M2571" s="2">
        <v>5</v>
      </c>
      <c r="N2571" s="2" t="s">
        <v>33</v>
      </c>
      <c r="O2571" s="2" t="s">
        <v>25</v>
      </c>
      <c r="P2571" s="2" t="s">
        <v>26</v>
      </c>
    </row>
    <row r="2572" spans="1:16" x14ac:dyDescent="0.25">
      <c r="A2572" s="2" t="s">
        <v>5786</v>
      </c>
      <c r="B2572" s="2" t="s">
        <v>1597</v>
      </c>
      <c r="C2572" s="2">
        <v>8540</v>
      </c>
      <c r="D2572" s="2" t="s">
        <v>3530</v>
      </c>
      <c r="E2572" s="2" t="s">
        <v>38</v>
      </c>
      <c r="F2572" s="2" t="s">
        <v>58</v>
      </c>
      <c r="G2572" s="2">
        <v>19460.04</v>
      </c>
      <c r="H2572" s="2">
        <v>9072.19</v>
      </c>
      <c r="I2572" s="2" t="s">
        <v>40</v>
      </c>
      <c r="J2572" s="2" t="s">
        <v>41</v>
      </c>
      <c r="K2572" s="2" t="s">
        <v>22</v>
      </c>
      <c r="L2572" s="2" t="s">
        <v>55</v>
      </c>
      <c r="M2572" s="2">
        <v>4</v>
      </c>
      <c r="N2572" s="2" t="s">
        <v>33</v>
      </c>
      <c r="O2572" s="2" t="s">
        <v>70</v>
      </c>
      <c r="P2572" s="2" t="s">
        <v>34</v>
      </c>
    </row>
    <row r="2573" spans="1:16" x14ac:dyDescent="0.25">
      <c r="A2573" s="2" t="s">
        <v>5787</v>
      </c>
      <c r="B2573" s="2" t="s">
        <v>3822</v>
      </c>
      <c r="C2573" s="2">
        <v>9515</v>
      </c>
      <c r="D2573" s="2" t="s">
        <v>7950</v>
      </c>
      <c r="E2573" s="2" t="s">
        <v>38</v>
      </c>
      <c r="F2573" s="2" t="s">
        <v>47</v>
      </c>
      <c r="G2573" s="2">
        <v>13862.35</v>
      </c>
      <c r="H2573" s="2">
        <v>7453.76</v>
      </c>
      <c r="I2573" s="2" t="s">
        <v>63</v>
      </c>
      <c r="J2573" s="2" t="s">
        <v>54</v>
      </c>
      <c r="K2573" s="2" t="s">
        <v>42</v>
      </c>
      <c r="L2573" s="2" t="s">
        <v>23</v>
      </c>
      <c r="M2573" s="2">
        <v>4</v>
      </c>
      <c r="N2573" s="2" t="s">
        <v>24</v>
      </c>
      <c r="O2573" s="2" t="s">
        <v>25</v>
      </c>
      <c r="P2573" s="2" t="s">
        <v>34</v>
      </c>
    </row>
    <row r="2574" spans="1:16" x14ac:dyDescent="0.25">
      <c r="A2574" s="2" t="s">
        <v>5789</v>
      </c>
      <c r="B2574" s="2" t="s">
        <v>7917</v>
      </c>
      <c r="C2574" s="2">
        <v>9736</v>
      </c>
      <c r="D2574" s="2" t="s">
        <v>5851</v>
      </c>
      <c r="E2574" s="2" t="s">
        <v>18</v>
      </c>
      <c r="F2574" s="2" t="s">
        <v>39</v>
      </c>
      <c r="G2574" s="2">
        <v>42236.09</v>
      </c>
      <c r="H2574" s="2">
        <v>22536.43</v>
      </c>
      <c r="I2574" s="2" t="s">
        <v>84</v>
      </c>
      <c r="J2574" s="2" t="s">
        <v>54</v>
      </c>
      <c r="K2574" s="2" t="s">
        <v>80</v>
      </c>
      <c r="L2574" s="2" t="s">
        <v>48</v>
      </c>
      <c r="M2574" s="2">
        <v>1</v>
      </c>
      <c r="N2574" s="2" t="s">
        <v>24</v>
      </c>
      <c r="O2574" s="2" t="s">
        <v>25</v>
      </c>
      <c r="P2574" s="2" t="s">
        <v>34</v>
      </c>
    </row>
    <row r="2575" spans="1:16" x14ac:dyDescent="0.25">
      <c r="A2575" s="2" t="s">
        <v>5792</v>
      </c>
      <c r="B2575" s="2" t="s">
        <v>92</v>
      </c>
      <c r="C2575" s="2">
        <v>4097</v>
      </c>
      <c r="D2575" s="2" t="s">
        <v>9564</v>
      </c>
      <c r="E2575" s="2" t="s">
        <v>18</v>
      </c>
      <c r="F2575" s="2" t="s">
        <v>39</v>
      </c>
      <c r="G2575" s="2">
        <v>45609.97</v>
      </c>
      <c r="H2575" s="2">
        <v>24303.360000000001</v>
      </c>
      <c r="I2575" s="2" t="s">
        <v>84</v>
      </c>
      <c r="J2575" s="2" t="s">
        <v>54</v>
      </c>
      <c r="K2575" s="2" t="s">
        <v>42</v>
      </c>
      <c r="L2575" s="2" t="s">
        <v>23</v>
      </c>
      <c r="M2575" s="2">
        <v>1</v>
      </c>
      <c r="N2575" s="2" t="s">
        <v>69</v>
      </c>
      <c r="O2575" s="2" t="s">
        <v>25</v>
      </c>
      <c r="P2575" s="2" t="s">
        <v>49</v>
      </c>
    </row>
    <row r="2576" spans="1:16" x14ac:dyDescent="0.25">
      <c r="A2576" s="2" t="s">
        <v>5795</v>
      </c>
      <c r="B2576" s="2" t="s">
        <v>7621</v>
      </c>
      <c r="C2576" s="2">
        <v>7879</v>
      </c>
      <c r="D2576" s="2" t="s">
        <v>9565</v>
      </c>
      <c r="E2576" s="2" t="s">
        <v>18</v>
      </c>
      <c r="F2576" s="2" t="s">
        <v>47</v>
      </c>
      <c r="G2576" s="2">
        <v>6061.66</v>
      </c>
      <c r="H2576" s="2">
        <v>3572.64</v>
      </c>
      <c r="I2576" s="2" t="s">
        <v>20</v>
      </c>
      <c r="J2576" s="2" t="s">
        <v>21</v>
      </c>
      <c r="K2576" s="2" t="s">
        <v>80</v>
      </c>
      <c r="L2576" s="2" t="s">
        <v>88</v>
      </c>
      <c r="M2576" s="2">
        <v>1</v>
      </c>
      <c r="N2576" s="2" t="s">
        <v>33</v>
      </c>
      <c r="O2576" s="2" t="s">
        <v>70</v>
      </c>
      <c r="P2576" s="2" t="s">
        <v>49</v>
      </c>
    </row>
    <row r="2577" spans="1:16" x14ac:dyDescent="0.25">
      <c r="A2577" s="2" t="s">
        <v>5796</v>
      </c>
      <c r="B2577" s="2" t="s">
        <v>9566</v>
      </c>
      <c r="C2577" s="2">
        <v>6259</v>
      </c>
      <c r="D2577" s="2" t="s">
        <v>4364</v>
      </c>
      <c r="E2577" s="2" t="s">
        <v>6680</v>
      </c>
      <c r="F2577" s="2" t="s">
        <v>19</v>
      </c>
      <c r="G2577" s="2">
        <v>16141.24</v>
      </c>
      <c r="H2577" s="2">
        <v>9975.2099999999991</v>
      </c>
      <c r="I2577" s="2" t="s">
        <v>6728</v>
      </c>
      <c r="J2577" s="2" t="s">
        <v>6700</v>
      </c>
      <c r="K2577" s="2" t="s">
        <v>32</v>
      </c>
      <c r="L2577" s="2" t="s">
        <v>64</v>
      </c>
      <c r="M2577" s="2">
        <v>5</v>
      </c>
      <c r="N2577" s="2" t="s">
        <v>33</v>
      </c>
      <c r="O2577" s="2" t="s">
        <v>25</v>
      </c>
      <c r="P2577" s="2" t="s">
        <v>49</v>
      </c>
    </row>
    <row r="2578" spans="1:16" x14ac:dyDescent="0.25">
      <c r="A2578" s="2" t="s">
        <v>5798</v>
      </c>
      <c r="B2578" s="2" t="s">
        <v>846</v>
      </c>
      <c r="C2578" s="2">
        <v>3825</v>
      </c>
      <c r="D2578" s="2" t="s">
        <v>9567</v>
      </c>
      <c r="E2578" s="2" t="s">
        <v>6703</v>
      </c>
      <c r="F2578" s="2" t="s">
        <v>58</v>
      </c>
      <c r="G2578" s="2">
        <v>18160.400000000001</v>
      </c>
      <c r="H2578" s="2">
        <v>9515.25</v>
      </c>
      <c r="I2578" s="2" t="s">
        <v>6794</v>
      </c>
      <c r="J2578" s="2" t="s">
        <v>6696</v>
      </c>
      <c r="K2578" s="2" t="s">
        <v>22</v>
      </c>
      <c r="L2578" s="2" t="s">
        <v>48</v>
      </c>
      <c r="M2578" s="2">
        <v>2</v>
      </c>
      <c r="N2578" s="2" t="s">
        <v>33</v>
      </c>
      <c r="O2578" s="2" t="s">
        <v>25</v>
      </c>
      <c r="P2578" s="2" t="s">
        <v>34</v>
      </c>
    </row>
    <row r="2579" spans="1:16" x14ac:dyDescent="0.25">
      <c r="A2579" s="2" t="s">
        <v>5800</v>
      </c>
      <c r="B2579" s="2" t="s">
        <v>9568</v>
      </c>
      <c r="C2579" s="2">
        <v>9426</v>
      </c>
      <c r="D2579" s="2" t="s">
        <v>9569</v>
      </c>
      <c r="E2579" s="2" t="s">
        <v>38</v>
      </c>
      <c r="F2579" s="2" t="s">
        <v>58</v>
      </c>
      <c r="G2579" s="2">
        <v>19303.73</v>
      </c>
      <c r="H2579" s="2">
        <v>10600.9</v>
      </c>
      <c r="I2579" s="2" t="s">
        <v>6794</v>
      </c>
      <c r="J2579" s="2" t="s">
        <v>21</v>
      </c>
      <c r="K2579" s="2" t="s">
        <v>22</v>
      </c>
      <c r="L2579" s="2" t="s">
        <v>23</v>
      </c>
      <c r="M2579" s="2">
        <v>2</v>
      </c>
      <c r="N2579" s="2" t="s">
        <v>33</v>
      </c>
      <c r="O2579" s="2" t="s">
        <v>25</v>
      </c>
      <c r="P2579" s="2" t="s">
        <v>26</v>
      </c>
    </row>
    <row r="2580" spans="1:16" x14ac:dyDescent="0.25">
      <c r="A2580" s="2" t="s">
        <v>5803</v>
      </c>
      <c r="B2580" s="2" t="s">
        <v>4593</v>
      </c>
      <c r="C2580" s="2">
        <v>4401</v>
      </c>
      <c r="D2580" s="2" t="s">
        <v>9570</v>
      </c>
      <c r="E2580" s="2" t="s">
        <v>38</v>
      </c>
      <c r="F2580" s="2" t="s">
        <v>39</v>
      </c>
      <c r="G2580" s="2">
        <v>36788.589999999997</v>
      </c>
      <c r="H2580" s="2">
        <v>16570.02</v>
      </c>
      <c r="I2580" s="2" t="s">
        <v>120</v>
      </c>
      <c r="J2580" s="2" t="s">
        <v>21</v>
      </c>
      <c r="K2580" s="2" t="s">
        <v>80</v>
      </c>
      <c r="L2580" s="2" t="s">
        <v>23</v>
      </c>
      <c r="M2580" s="2">
        <v>2</v>
      </c>
      <c r="N2580" s="2" t="s">
        <v>24</v>
      </c>
      <c r="O2580" s="2" t="s">
        <v>25</v>
      </c>
      <c r="P2580" s="2" t="s">
        <v>26</v>
      </c>
    </row>
    <row r="2581" spans="1:16" x14ac:dyDescent="0.25">
      <c r="A2581" s="2" t="s">
        <v>5805</v>
      </c>
      <c r="B2581" s="2" t="s">
        <v>5773</v>
      </c>
      <c r="C2581" s="2">
        <v>3802</v>
      </c>
      <c r="D2581" s="2" t="s">
        <v>9571</v>
      </c>
      <c r="E2581" s="2" t="s">
        <v>6748</v>
      </c>
      <c r="F2581" s="2" t="s">
        <v>47</v>
      </c>
      <c r="G2581" s="2">
        <v>5042</v>
      </c>
      <c r="H2581" s="2">
        <v>2631.91</v>
      </c>
      <c r="I2581" s="2" t="s">
        <v>6867</v>
      </c>
      <c r="J2581" s="2" t="s">
        <v>6795</v>
      </c>
      <c r="K2581" s="2" t="s">
        <v>22</v>
      </c>
      <c r="L2581" s="2" t="s">
        <v>88</v>
      </c>
      <c r="M2581" s="2">
        <v>2</v>
      </c>
      <c r="N2581" s="2" t="s">
        <v>69</v>
      </c>
      <c r="O2581" s="2" t="s">
        <v>70</v>
      </c>
      <c r="P2581" s="2" t="s">
        <v>26</v>
      </c>
    </row>
    <row r="2582" spans="1:16" x14ac:dyDescent="0.25">
      <c r="A2582" s="2" t="s">
        <v>5807</v>
      </c>
      <c r="B2582" s="2" t="s">
        <v>3695</v>
      </c>
      <c r="C2582" s="2">
        <v>9781</v>
      </c>
      <c r="D2582" s="2" t="s">
        <v>9572</v>
      </c>
      <c r="E2582" s="2" t="s">
        <v>38</v>
      </c>
      <c r="F2582" s="2" t="s">
        <v>39</v>
      </c>
      <c r="G2582" s="2">
        <v>15111.1</v>
      </c>
      <c r="H2582" s="2">
        <v>6955.01</v>
      </c>
      <c r="I2582" s="2" t="s">
        <v>84</v>
      </c>
      <c r="J2582" s="2" t="s">
        <v>54</v>
      </c>
      <c r="K2582" s="2" t="s">
        <v>32</v>
      </c>
      <c r="L2582" s="2" t="s">
        <v>48</v>
      </c>
      <c r="M2582" s="2">
        <v>2</v>
      </c>
      <c r="N2582" s="2" t="s">
        <v>33</v>
      </c>
      <c r="O2582" s="2" t="s">
        <v>70</v>
      </c>
      <c r="P2582" s="2" t="s">
        <v>26</v>
      </c>
    </row>
    <row r="2583" spans="1:16" x14ac:dyDescent="0.25">
      <c r="A2583" s="2" t="s">
        <v>5810</v>
      </c>
      <c r="B2583" s="2" t="s">
        <v>9573</v>
      </c>
      <c r="C2583" s="2">
        <v>7645</v>
      </c>
      <c r="D2583" s="2" t="s">
        <v>9574</v>
      </c>
      <c r="E2583" s="2" t="s">
        <v>6703</v>
      </c>
      <c r="F2583" s="2" t="s">
        <v>47</v>
      </c>
      <c r="G2583" s="2">
        <v>21772.47</v>
      </c>
      <c r="H2583" s="2">
        <v>14123.42</v>
      </c>
      <c r="I2583" s="2" t="s">
        <v>6728</v>
      </c>
      <c r="J2583" s="2" t="s">
        <v>6700</v>
      </c>
      <c r="K2583" s="2" t="s">
        <v>22</v>
      </c>
      <c r="L2583" s="2" t="s">
        <v>55</v>
      </c>
      <c r="M2583" s="2">
        <v>3</v>
      </c>
      <c r="N2583" s="2" t="s">
        <v>33</v>
      </c>
      <c r="O2583" s="2" t="s">
        <v>25</v>
      </c>
      <c r="P2583" s="2" t="s">
        <v>49</v>
      </c>
    </row>
    <row r="2584" spans="1:16" x14ac:dyDescent="0.25">
      <c r="A2584" s="2" t="s">
        <v>5811</v>
      </c>
      <c r="B2584" s="2" t="s">
        <v>3795</v>
      </c>
      <c r="C2584" s="2">
        <v>4694</v>
      </c>
      <c r="D2584" s="2" t="s">
        <v>9575</v>
      </c>
      <c r="E2584" s="2" t="s">
        <v>18</v>
      </c>
      <c r="F2584" s="2" t="s">
        <v>58</v>
      </c>
      <c r="G2584" s="2">
        <v>24450.41</v>
      </c>
      <c r="H2584" s="2">
        <v>15648.37</v>
      </c>
      <c r="I2584" s="2" t="s">
        <v>53</v>
      </c>
      <c r="J2584" s="2" t="s">
        <v>54</v>
      </c>
      <c r="K2584" s="2" t="s">
        <v>80</v>
      </c>
      <c r="L2584" s="2" t="s">
        <v>23</v>
      </c>
      <c r="M2584" s="2">
        <v>5</v>
      </c>
      <c r="N2584" s="2" t="s">
        <v>33</v>
      </c>
      <c r="O2584" s="2" t="s">
        <v>25</v>
      </c>
      <c r="P2584" s="2" t="s">
        <v>49</v>
      </c>
    </row>
    <row r="2585" spans="1:16" x14ac:dyDescent="0.25">
      <c r="A2585" s="2" t="s">
        <v>5813</v>
      </c>
      <c r="B2585" s="2" t="s">
        <v>9576</v>
      </c>
      <c r="C2585" s="2">
        <v>7382</v>
      </c>
      <c r="D2585" s="2" t="s">
        <v>9577</v>
      </c>
      <c r="E2585" s="2" t="s">
        <v>6703</v>
      </c>
      <c r="F2585" s="2" t="s">
        <v>30</v>
      </c>
      <c r="G2585" s="2">
        <v>18996.34</v>
      </c>
      <c r="H2585" s="2">
        <v>9860</v>
      </c>
      <c r="I2585" s="2" t="s">
        <v>6723</v>
      </c>
      <c r="J2585" s="2" t="s">
        <v>21</v>
      </c>
      <c r="K2585" s="2" t="s">
        <v>42</v>
      </c>
      <c r="L2585" s="2" t="s">
        <v>64</v>
      </c>
      <c r="M2585" s="2">
        <v>2</v>
      </c>
      <c r="N2585" s="2" t="s">
        <v>69</v>
      </c>
      <c r="O2585" s="2" t="s">
        <v>70</v>
      </c>
      <c r="P2585" s="2" t="s">
        <v>49</v>
      </c>
    </row>
    <row r="2586" spans="1:16" x14ac:dyDescent="0.25">
      <c r="A2586" s="2" t="s">
        <v>5815</v>
      </c>
      <c r="B2586" s="2" t="s">
        <v>5596</v>
      </c>
      <c r="C2586" s="2">
        <v>2680</v>
      </c>
      <c r="D2586" s="2" t="s">
        <v>9578</v>
      </c>
      <c r="E2586" s="2" t="s">
        <v>38</v>
      </c>
      <c r="F2586" s="2" t="s">
        <v>58</v>
      </c>
      <c r="G2586" s="2">
        <v>37870.28</v>
      </c>
      <c r="H2586" s="2">
        <v>17159.169999999998</v>
      </c>
      <c r="I2586" s="2" t="s">
        <v>120</v>
      </c>
      <c r="J2586" s="2" t="s">
        <v>21</v>
      </c>
      <c r="K2586" s="2" t="s">
        <v>80</v>
      </c>
      <c r="L2586" s="2" t="s">
        <v>48</v>
      </c>
      <c r="M2586" s="2">
        <v>4</v>
      </c>
      <c r="N2586" s="2" t="s">
        <v>33</v>
      </c>
      <c r="O2586" s="2" t="s">
        <v>25</v>
      </c>
      <c r="P2586" s="2" t="s">
        <v>49</v>
      </c>
    </row>
    <row r="2587" spans="1:16" x14ac:dyDescent="0.25">
      <c r="A2587" s="2" t="s">
        <v>5817</v>
      </c>
      <c r="B2587" s="2" t="s">
        <v>8892</v>
      </c>
      <c r="C2587" s="2">
        <v>9140</v>
      </c>
      <c r="D2587" s="2" t="s">
        <v>3856</v>
      </c>
      <c r="E2587" s="2" t="s">
        <v>18</v>
      </c>
      <c r="F2587" s="2" t="s">
        <v>58</v>
      </c>
      <c r="G2587" s="2">
        <v>14060.78</v>
      </c>
      <c r="H2587" s="2">
        <v>6803.28</v>
      </c>
      <c r="I2587" s="2" t="s">
        <v>31</v>
      </c>
      <c r="J2587" s="2" t="s">
        <v>21</v>
      </c>
      <c r="K2587" s="2" t="s">
        <v>32</v>
      </c>
      <c r="L2587" s="2" t="s">
        <v>55</v>
      </c>
      <c r="M2587" s="2">
        <v>3</v>
      </c>
      <c r="N2587" s="2" t="s">
        <v>33</v>
      </c>
      <c r="O2587" s="2" t="s">
        <v>25</v>
      </c>
      <c r="P2587" s="2" t="s">
        <v>26</v>
      </c>
    </row>
    <row r="2588" spans="1:16" x14ac:dyDescent="0.25">
      <c r="A2588" s="2" t="s">
        <v>5819</v>
      </c>
      <c r="B2588" s="2" t="s">
        <v>313</v>
      </c>
      <c r="C2588" s="2">
        <v>5034</v>
      </c>
      <c r="D2588" s="2" t="s">
        <v>6307</v>
      </c>
      <c r="E2588" s="2" t="s">
        <v>38</v>
      </c>
      <c r="F2588" s="2" t="s">
        <v>47</v>
      </c>
      <c r="G2588" s="2">
        <v>14981.25</v>
      </c>
      <c r="H2588" s="2">
        <v>7759.93</v>
      </c>
      <c r="I2588" s="2" t="s">
        <v>20</v>
      </c>
      <c r="J2588" s="2" t="s">
        <v>21</v>
      </c>
      <c r="K2588" s="2" t="s">
        <v>22</v>
      </c>
      <c r="L2588" s="2" t="s">
        <v>48</v>
      </c>
      <c r="M2588" s="2">
        <v>1</v>
      </c>
      <c r="N2588" s="2" t="s">
        <v>69</v>
      </c>
      <c r="O2588" s="2" t="s">
        <v>70</v>
      </c>
      <c r="P2588" s="2" t="s">
        <v>26</v>
      </c>
    </row>
    <row r="2589" spans="1:16" x14ac:dyDescent="0.25">
      <c r="A2589" s="2" t="s">
        <v>5822</v>
      </c>
      <c r="B2589" s="2" t="s">
        <v>6386</v>
      </c>
      <c r="C2589" s="2">
        <v>3584</v>
      </c>
      <c r="D2589" s="2" t="s">
        <v>9579</v>
      </c>
      <c r="E2589" s="2" t="s">
        <v>38</v>
      </c>
      <c r="F2589" s="2" t="s">
        <v>30</v>
      </c>
      <c r="G2589" s="2">
        <v>39264.129999999997</v>
      </c>
      <c r="H2589" s="2">
        <v>24863.46</v>
      </c>
      <c r="I2589" s="2" t="s">
        <v>68</v>
      </c>
      <c r="J2589" s="2" t="s">
        <v>41</v>
      </c>
      <c r="K2589" s="2" t="s">
        <v>22</v>
      </c>
      <c r="L2589" s="2" t="s">
        <v>88</v>
      </c>
      <c r="M2589" s="2">
        <v>1</v>
      </c>
      <c r="N2589" s="2" t="s">
        <v>24</v>
      </c>
      <c r="O2589" s="2" t="s">
        <v>25</v>
      </c>
      <c r="P2589" s="2" t="s">
        <v>34</v>
      </c>
    </row>
    <row r="2590" spans="1:16" x14ac:dyDescent="0.25">
      <c r="A2590" s="2" t="s">
        <v>5823</v>
      </c>
      <c r="B2590" s="2" t="s">
        <v>2039</v>
      </c>
      <c r="C2590" s="2">
        <v>4929</v>
      </c>
      <c r="D2590" s="2" t="s">
        <v>9580</v>
      </c>
      <c r="E2590" s="2" t="s">
        <v>18</v>
      </c>
      <c r="F2590" s="2" t="s">
        <v>39</v>
      </c>
      <c r="G2590" s="2">
        <v>16430.13</v>
      </c>
      <c r="H2590" s="2">
        <v>9665.34</v>
      </c>
      <c r="I2590" s="2" t="s">
        <v>63</v>
      </c>
      <c r="J2590" s="2" t="s">
        <v>54</v>
      </c>
      <c r="K2590" s="2" t="s">
        <v>22</v>
      </c>
      <c r="L2590" s="2" t="s">
        <v>55</v>
      </c>
      <c r="M2590" s="2">
        <v>1</v>
      </c>
      <c r="N2590" s="2" t="s">
        <v>33</v>
      </c>
      <c r="O2590" s="2" t="s">
        <v>25</v>
      </c>
      <c r="P2590" s="2" t="s">
        <v>49</v>
      </c>
    </row>
    <row r="2591" spans="1:16" x14ac:dyDescent="0.25">
      <c r="A2591" s="2" t="s">
        <v>5826</v>
      </c>
      <c r="B2591" s="2" t="s">
        <v>9581</v>
      </c>
      <c r="C2591" s="2">
        <v>2005</v>
      </c>
      <c r="D2591" s="2" t="s">
        <v>9582</v>
      </c>
      <c r="E2591" s="2" t="s">
        <v>6719</v>
      </c>
      <c r="F2591" s="2" t="s">
        <v>19</v>
      </c>
      <c r="G2591" s="2">
        <v>14068.84</v>
      </c>
      <c r="H2591" s="2">
        <v>8340.42</v>
      </c>
      <c r="I2591" s="2" t="s">
        <v>6739</v>
      </c>
      <c r="J2591" s="2" t="s">
        <v>6686</v>
      </c>
      <c r="K2591" s="2" t="s">
        <v>32</v>
      </c>
      <c r="L2591" s="2" t="s">
        <v>88</v>
      </c>
      <c r="M2591" s="2">
        <v>2</v>
      </c>
      <c r="N2591" s="2" t="s">
        <v>24</v>
      </c>
      <c r="O2591" s="2" t="s">
        <v>70</v>
      </c>
      <c r="P2591" s="2" t="s">
        <v>34</v>
      </c>
    </row>
    <row r="2592" spans="1:16" x14ac:dyDescent="0.25">
      <c r="A2592" s="2" t="s">
        <v>5827</v>
      </c>
      <c r="B2592" s="2" t="s">
        <v>9583</v>
      </c>
      <c r="C2592" s="2">
        <v>1917</v>
      </c>
      <c r="D2592" s="2" t="s">
        <v>8193</v>
      </c>
      <c r="E2592" s="2" t="s">
        <v>6680</v>
      </c>
      <c r="F2592" s="2" t="s">
        <v>39</v>
      </c>
      <c r="G2592" s="2">
        <v>-25445.22</v>
      </c>
      <c r="H2592" s="2">
        <v>16203.21</v>
      </c>
      <c r="I2592" s="2" t="s">
        <v>6726</v>
      </c>
      <c r="J2592" s="2" t="s">
        <v>6802</v>
      </c>
      <c r="K2592" s="2" t="s">
        <v>32</v>
      </c>
      <c r="L2592" s="2" t="s">
        <v>64</v>
      </c>
      <c r="M2592" s="2">
        <v>1</v>
      </c>
      <c r="N2592" s="2" t="s">
        <v>69</v>
      </c>
      <c r="O2592" s="2" t="s">
        <v>25</v>
      </c>
      <c r="P2592" s="2" t="s">
        <v>26</v>
      </c>
    </row>
    <row r="2593" spans="1:16" x14ac:dyDescent="0.25">
      <c r="A2593" s="2" t="s">
        <v>5828</v>
      </c>
      <c r="B2593" s="2" t="s">
        <v>9584</v>
      </c>
      <c r="C2593" s="2">
        <v>7931</v>
      </c>
      <c r="D2593" s="2" t="s">
        <v>9585</v>
      </c>
      <c r="E2593" s="2" t="s">
        <v>6748</v>
      </c>
      <c r="F2593" s="2" t="s">
        <v>30</v>
      </c>
      <c r="G2593" s="2">
        <v>74750.23</v>
      </c>
      <c r="H2593" s="2">
        <v>36087.410000000003</v>
      </c>
      <c r="I2593" s="2" t="s">
        <v>6736</v>
      </c>
      <c r="J2593" s="2" t="s">
        <v>6691</v>
      </c>
      <c r="K2593" s="2" t="s">
        <v>22</v>
      </c>
      <c r="L2593" s="2" t="s">
        <v>64</v>
      </c>
      <c r="M2593" s="2">
        <v>2</v>
      </c>
      <c r="N2593" s="2" t="s">
        <v>33</v>
      </c>
      <c r="O2593" s="2" t="s">
        <v>25</v>
      </c>
      <c r="P2593" s="2" t="s">
        <v>34</v>
      </c>
    </row>
    <row r="2594" spans="1:16" x14ac:dyDescent="0.25">
      <c r="A2594" s="2" t="s">
        <v>5829</v>
      </c>
      <c r="B2594" s="2" t="s">
        <v>9586</v>
      </c>
      <c r="C2594" s="2">
        <v>4182</v>
      </c>
      <c r="D2594" s="2" t="s">
        <v>9587</v>
      </c>
      <c r="E2594" s="2" t="s">
        <v>6703</v>
      </c>
      <c r="F2594" s="2" t="s">
        <v>47</v>
      </c>
      <c r="G2594" s="2">
        <v>2805.3</v>
      </c>
      <c r="H2594" s="2">
        <v>1504.86</v>
      </c>
      <c r="I2594" s="2" t="s">
        <v>6845</v>
      </c>
      <c r="J2594" s="2" t="s">
        <v>6802</v>
      </c>
      <c r="K2594" s="2" t="s">
        <v>32</v>
      </c>
      <c r="L2594" s="2" t="s">
        <v>23</v>
      </c>
      <c r="M2594" s="2">
        <v>2</v>
      </c>
      <c r="N2594" s="2" t="s">
        <v>69</v>
      </c>
      <c r="O2594" s="2" t="s">
        <v>70</v>
      </c>
      <c r="P2594" s="2" t="s">
        <v>26</v>
      </c>
    </row>
    <row r="2595" spans="1:16" x14ac:dyDescent="0.25">
      <c r="A2595" s="2" t="s">
        <v>5831</v>
      </c>
      <c r="B2595" s="2" t="s">
        <v>9588</v>
      </c>
      <c r="C2595" s="2">
        <v>8951</v>
      </c>
      <c r="D2595" s="2" t="s">
        <v>9589</v>
      </c>
      <c r="E2595" s="2" t="s">
        <v>6703</v>
      </c>
      <c r="F2595" s="2" t="s">
        <v>39</v>
      </c>
      <c r="G2595" s="2">
        <v>40570.699999999997</v>
      </c>
      <c r="H2595" s="2">
        <v>25249.56</v>
      </c>
      <c r="I2595" s="2" t="s">
        <v>6910</v>
      </c>
      <c r="J2595" s="2" t="s">
        <v>6802</v>
      </c>
      <c r="K2595" s="2" t="s">
        <v>42</v>
      </c>
      <c r="L2595" s="2" t="s">
        <v>55</v>
      </c>
      <c r="M2595" s="2">
        <v>1</v>
      </c>
      <c r="N2595" s="2" t="s">
        <v>69</v>
      </c>
      <c r="O2595" s="2" t="s">
        <v>25</v>
      </c>
      <c r="P2595" s="2" t="s">
        <v>26</v>
      </c>
    </row>
    <row r="2596" spans="1:16" x14ac:dyDescent="0.25">
      <c r="A2596" s="2" t="s">
        <v>5833</v>
      </c>
      <c r="B2596" s="2" t="s">
        <v>3096</v>
      </c>
      <c r="C2596" s="2">
        <v>4612</v>
      </c>
      <c r="D2596" s="2" t="s">
        <v>7401</v>
      </c>
      <c r="E2596" s="2" t="s">
        <v>18</v>
      </c>
      <c r="F2596" s="2" t="s">
        <v>39</v>
      </c>
      <c r="G2596" s="2">
        <v>50876.23</v>
      </c>
      <c r="H2596" s="2">
        <v>29989.9</v>
      </c>
      <c r="I2596" s="2" t="s">
        <v>53</v>
      </c>
      <c r="J2596" s="2" t="s">
        <v>54</v>
      </c>
      <c r="K2596" s="2" t="s">
        <v>42</v>
      </c>
      <c r="L2596" s="2" t="s">
        <v>55</v>
      </c>
      <c r="M2596" s="2">
        <v>3</v>
      </c>
      <c r="N2596" s="2" t="s">
        <v>33</v>
      </c>
      <c r="O2596" s="2" t="s">
        <v>25</v>
      </c>
      <c r="P2596" s="2" t="s">
        <v>49</v>
      </c>
    </row>
    <row r="2597" spans="1:16" x14ac:dyDescent="0.25">
      <c r="A2597" s="2" t="s">
        <v>5835</v>
      </c>
      <c r="B2597" s="2" t="s">
        <v>8186</v>
      </c>
      <c r="C2597" s="2">
        <v>4838</v>
      </c>
      <c r="D2597" s="2" t="s">
        <v>9590</v>
      </c>
      <c r="E2597" s="2" t="s">
        <v>6694</v>
      </c>
      <c r="F2597" s="2" t="s">
        <v>39</v>
      </c>
      <c r="G2597" s="2">
        <v>36740.910000000003</v>
      </c>
      <c r="H2597" s="2">
        <v>19816.43</v>
      </c>
      <c r="I2597" s="2" t="s">
        <v>6812</v>
      </c>
      <c r="J2597" s="2" t="s">
        <v>6700</v>
      </c>
      <c r="K2597" s="2" t="s">
        <v>42</v>
      </c>
      <c r="L2597" s="2" t="s">
        <v>43</v>
      </c>
      <c r="M2597" s="2">
        <v>1</v>
      </c>
      <c r="N2597" s="2" t="s">
        <v>24</v>
      </c>
      <c r="O2597" s="2" t="s">
        <v>70</v>
      </c>
      <c r="P2597" s="2" t="s">
        <v>49</v>
      </c>
    </row>
    <row r="2598" spans="1:16" x14ac:dyDescent="0.25">
      <c r="A2598" s="2" t="s">
        <v>5837</v>
      </c>
      <c r="B2598" s="2" t="s">
        <v>8318</v>
      </c>
      <c r="C2598" s="2">
        <v>6658</v>
      </c>
      <c r="D2598" s="2" t="s">
        <v>6069</v>
      </c>
      <c r="E2598" s="2" t="s">
        <v>38</v>
      </c>
      <c r="F2598" s="2" t="s">
        <v>30</v>
      </c>
      <c r="G2598" s="2">
        <v>16068.8</v>
      </c>
      <c r="H2598" s="2">
        <v>7815.56</v>
      </c>
      <c r="I2598" s="2" t="s">
        <v>120</v>
      </c>
      <c r="J2598" s="2" t="s">
        <v>21</v>
      </c>
      <c r="K2598" s="2" t="s">
        <v>32</v>
      </c>
      <c r="L2598" s="2" t="s">
        <v>55</v>
      </c>
      <c r="M2598" s="2">
        <v>1</v>
      </c>
      <c r="N2598" s="2" t="s">
        <v>24</v>
      </c>
      <c r="O2598" s="2" t="s">
        <v>25</v>
      </c>
      <c r="P2598" s="2" t="s">
        <v>26</v>
      </c>
    </row>
    <row r="2599" spans="1:16" x14ac:dyDescent="0.25">
      <c r="A2599" s="2" t="s">
        <v>5840</v>
      </c>
      <c r="B2599" s="2" t="s">
        <v>9591</v>
      </c>
      <c r="C2599" s="2">
        <v>5671</v>
      </c>
      <c r="D2599" s="2" t="s">
        <v>5322</v>
      </c>
      <c r="E2599" s="2" t="s">
        <v>6708</v>
      </c>
      <c r="F2599" s="2" t="s">
        <v>30</v>
      </c>
      <c r="G2599" s="2">
        <v>64493.97</v>
      </c>
      <c r="H2599" s="2">
        <v>38738.050000000003</v>
      </c>
      <c r="I2599" s="2" t="s">
        <v>6845</v>
      </c>
      <c r="J2599" s="2" t="s">
        <v>21</v>
      </c>
      <c r="K2599" s="2" t="s">
        <v>32</v>
      </c>
      <c r="L2599" s="2" t="s">
        <v>48</v>
      </c>
      <c r="M2599" s="2">
        <v>5</v>
      </c>
      <c r="N2599" s="2" t="s">
        <v>33</v>
      </c>
      <c r="O2599" s="2" t="s">
        <v>25</v>
      </c>
      <c r="P2599" s="2" t="s">
        <v>49</v>
      </c>
    </row>
    <row r="2600" spans="1:16" x14ac:dyDescent="0.25">
      <c r="A2600" s="2" t="s">
        <v>5843</v>
      </c>
      <c r="B2600" s="2" t="s">
        <v>3743</v>
      </c>
      <c r="C2600" s="2">
        <v>1011</v>
      </c>
      <c r="D2600" s="2" t="s">
        <v>9592</v>
      </c>
      <c r="E2600" s="2" t="s">
        <v>18</v>
      </c>
      <c r="F2600" s="2" t="s">
        <v>30</v>
      </c>
      <c r="G2600" s="2">
        <v>41750.29</v>
      </c>
      <c r="H2600" s="2">
        <v>19874.7</v>
      </c>
      <c r="I2600" s="2" t="s">
        <v>120</v>
      </c>
      <c r="J2600" s="2" t="s">
        <v>21</v>
      </c>
      <c r="K2600" s="2" t="s">
        <v>42</v>
      </c>
      <c r="L2600" s="2" t="s">
        <v>48</v>
      </c>
      <c r="M2600" s="2">
        <v>3</v>
      </c>
      <c r="N2600" s="2" t="s">
        <v>69</v>
      </c>
      <c r="O2600" s="2" t="s">
        <v>25</v>
      </c>
      <c r="P2600" s="2" t="s">
        <v>26</v>
      </c>
    </row>
    <row r="2601" spans="1:16" x14ac:dyDescent="0.25">
      <c r="A2601" s="2" t="s">
        <v>5845</v>
      </c>
      <c r="B2601" s="2" t="s">
        <v>1869</v>
      </c>
      <c r="C2601" s="2">
        <v>2174</v>
      </c>
      <c r="D2601" s="2" t="s">
        <v>9593</v>
      </c>
      <c r="E2601" s="2" t="s">
        <v>18</v>
      </c>
      <c r="F2601" s="2" t="s">
        <v>39</v>
      </c>
      <c r="G2601" s="2">
        <v>25143.7</v>
      </c>
      <c r="H2601" s="2">
        <v>13367.18</v>
      </c>
      <c r="I2601" s="2" t="s">
        <v>53</v>
      </c>
      <c r="J2601" s="2" t="s">
        <v>54</v>
      </c>
      <c r="K2601" s="2" t="s">
        <v>80</v>
      </c>
      <c r="L2601" s="2" t="s">
        <v>48</v>
      </c>
      <c r="M2601" s="2">
        <v>5</v>
      </c>
      <c r="N2601" s="2" t="s">
        <v>33</v>
      </c>
      <c r="O2601" s="2" t="s">
        <v>70</v>
      </c>
      <c r="P2601" s="2" t="s">
        <v>49</v>
      </c>
    </row>
    <row r="2602" spans="1:16" x14ac:dyDescent="0.25">
      <c r="A2602" s="2" t="s">
        <v>5847</v>
      </c>
      <c r="B2602" s="2" t="s">
        <v>9594</v>
      </c>
      <c r="C2602" s="2">
        <v>5069</v>
      </c>
      <c r="D2602" s="2" t="s">
        <v>6108</v>
      </c>
      <c r="E2602" s="2" t="s">
        <v>6756</v>
      </c>
      <c r="F2602" s="2" t="s">
        <v>39</v>
      </c>
      <c r="G2602" s="2">
        <v>15751.32</v>
      </c>
      <c r="H2602" s="2">
        <v>7928.07</v>
      </c>
      <c r="I2602" s="2" t="s">
        <v>6761</v>
      </c>
      <c r="J2602" s="2" t="s">
        <v>6705</v>
      </c>
      <c r="K2602" s="2" t="s">
        <v>42</v>
      </c>
      <c r="L2602" s="2" t="s">
        <v>88</v>
      </c>
      <c r="M2602" s="2">
        <v>2</v>
      </c>
      <c r="N2602" s="2" t="s">
        <v>69</v>
      </c>
      <c r="O2602" s="2" t="s">
        <v>25</v>
      </c>
      <c r="P2602" s="2" t="s">
        <v>34</v>
      </c>
    </row>
    <row r="2603" spans="1:16" x14ac:dyDescent="0.25">
      <c r="A2603" s="2" t="s">
        <v>5849</v>
      </c>
      <c r="B2603" s="2" t="s">
        <v>2895</v>
      </c>
      <c r="C2603" s="2">
        <v>4403</v>
      </c>
      <c r="D2603" s="2" t="s">
        <v>3566</v>
      </c>
      <c r="E2603" s="2" t="s">
        <v>38</v>
      </c>
      <c r="F2603" s="2" t="s">
        <v>58</v>
      </c>
      <c r="G2603" s="2">
        <v>9969.6</v>
      </c>
      <c r="H2603" s="2">
        <v>4784.13</v>
      </c>
      <c r="I2603" s="2" t="s">
        <v>40</v>
      </c>
      <c r="J2603" s="2" t="s">
        <v>41</v>
      </c>
      <c r="K2603" s="2" t="s">
        <v>42</v>
      </c>
      <c r="L2603" s="2" t="s">
        <v>23</v>
      </c>
      <c r="M2603" s="2">
        <v>1</v>
      </c>
      <c r="N2603" s="2" t="s">
        <v>33</v>
      </c>
      <c r="O2603" s="2" t="s">
        <v>25</v>
      </c>
      <c r="P2603" s="2" t="s">
        <v>49</v>
      </c>
    </row>
    <row r="2604" spans="1:16" x14ac:dyDescent="0.25">
      <c r="A2604" s="2" t="s">
        <v>5850</v>
      </c>
      <c r="B2604" s="2" t="s">
        <v>9595</v>
      </c>
      <c r="C2604" s="2">
        <v>2278</v>
      </c>
      <c r="D2604" s="2" t="s">
        <v>9596</v>
      </c>
      <c r="E2604" s="2" t="s">
        <v>6756</v>
      </c>
      <c r="F2604" s="2" t="s">
        <v>19</v>
      </c>
      <c r="G2604" s="2">
        <v>5284.1</v>
      </c>
      <c r="H2604" s="2">
        <v>2761.95</v>
      </c>
      <c r="I2604" s="2" t="s">
        <v>6690</v>
      </c>
      <c r="J2604" s="2" t="s">
        <v>6700</v>
      </c>
      <c r="K2604" s="2" t="s">
        <v>80</v>
      </c>
      <c r="L2604" s="2" t="s">
        <v>88</v>
      </c>
      <c r="M2604" s="2">
        <v>5</v>
      </c>
      <c r="N2604" s="2" t="s">
        <v>33</v>
      </c>
      <c r="O2604" s="2" t="s">
        <v>25</v>
      </c>
      <c r="P2604" s="2" t="s">
        <v>34</v>
      </c>
    </row>
    <row r="2605" spans="1:16" x14ac:dyDescent="0.25">
      <c r="A2605" s="2" t="s">
        <v>5852</v>
      </c>
      <c r="B2605" s="2" t="s">
        <v>439</v>
      </c>
      <c r="C2605" s="2">
        <v>8646</v>
      </c>
      <c r="D2605" s="2" t="s">
        <v>7385</v>
      </c>
      <c r="E2605" s="2" t="s">
        <v>18</v>
      </c>
      <c r="F2605" s="2" t="s">
        <v>39</v>
      </c>
      <c r="G2605" s="2">
        <v>33280.04</v>
      </c>
      <c r="H2605" s="2">
        <v>15504.05</v>
      </c>
      <c r="I2605" s="2" t="s">
        <v>84</v>
      </c>
      <c r="J2605" s="2" t="s">
        <v>54</v>
      </c>
      <c r="K2605" s="2" t="s">
        <v>22</v>
      </c>
      <c r="L2605" s="2" t="s">
        <v>48</v>
      </c>
      <c r="M2605" s="2">
        <v>1</v>
      </c>
      <c r="N2605" s="2" t="s">
        <v>24</v>
      </c>
      <c r="O2605" s="2" t="s">
        <v>25</v>
      </c>
      <c r="P2605" s="2" t="s">
        <v>34</v>
      </c>
    </row>
    <row r="2606" spans="1:16" x14ac:dyDescent="0.25">
      <c r="A2606" s="2" t="s">
        <v>5854</v>
      </c>
      <c r="B2606" s="2" t="s">
        <v>3899</v>
      </c>
      <c r="C2606" s="2">
        <v>5871</v>
      </c>
      <c r="D2606" s="2" t="s">
        <v>9597</v>
      </c>
      <c r="E2606" s="2" t="s">
        <v>18</v>
      </c>
      <c r="F2606" s="2" t="s">
        <v>19</v>
      </c>
      <c r="G2606" s="2">
        <v>3764.54</v>
      </c>
      <c r="H2606" s="2">
        <v>2250.36</v>
      </c>
      <c r="I2606" s="2" t="s">
        <v>40</v>
      </c>
      <c r="J2606" s="2" t="s">
        <v>41</v>
      </c>
      <c r="K2606" s="2" t="s">
        <v>80</v>
      </c>
      <c r="L2606" s="2" t="s">
        <v>88</v>
      </c>
      <c r="M2606" s="2">
        <v>5</v>
      </c>
      <c r="N2606" s="2" t="s">
        <v>24</v>
      </c>
      <c r="O2606" s="2" t="s">
        <v>25</v>
      </c>
      <c r="P2606" s="2" t="s">
        <v>34</v>
      </c>
    </row>
    <row r="2607" spans="1:16" x14ac:dyDescent="0.25">
      <c r="A2607" s="2" t="s">
        <v>5855</v>
      </c>
      <c r="B2607" s="2" t="s">
        <v>2807</v>
      </c>
      <c r="C2607" s="2">
        <v>4151</v>
      </c>
      <c r="D2607" s="2" t="s">
        <v>3526</v>
      </c>
      <c r="E2607" s="2" t="s">
        <v>18</v>
      </c>
      <c r="F2607" s="2" t="s">
        <v>47</v>
      </c>
      <c r="G2607" s="2">
        <v>10921.47</v>
      </c>
      <c r="H2607" s="2">
        <v>6674.33</v>
      </c>
      <c r="I2607" s="2" t="s">
        <v>40</v>
      </c>
      <c r="J2607" s="2" t="s">
        <v>41</v>
      </c>
      <c r="K2607" s="2" t="s">
        <v>32</v>
      </c>
      <c r="L2607" s="2" t="s">
        <v>55</v>
      </c>
      <c r="M2607" s="2">
        <v>3</v>
      </c>
      <c r="N2607" s="2" t="s">
        <v>24</v>
      </c>
      <c r="O2607" s="2" t="s">
        <v>25</v>
      </c>
      <c r="P2607" s="2" t="s">
        <v>49</v>
      </c>
    </row>
    <row r="2608" spans="1:16" x14ac:dyDescent="0.25">
      <c r="A2608" s="2" t="s">
        <v>5857</v>
      </c>
      <c r="B2608" s="2" t="s">
        <v>1707</v>
      </c>
      <c r="C2608" s="2">
        <v>5497</v>
      </c>
      <c r="D2608" s="2" t="s">
        <v>9598</v>
      </c>
      <c r="E2608" s="2" t="s">
        <v>6743</v>
      </c>
      <c r="F2608" s="2" t="s">
        <v>58</v>
      </c>
      <c r="G2608" s="2">
        <v>9698.83</v>
      </c>
      <c r="H2608" s="2">
        <v>5917.67</v>
      </c>
      <c r="I2608" s="2" t="s">
        <v>53</v>
      </c>
      <c r="J2608" s="2" t="s">
        <v>6753</v>
      </c>
      <c r="K2608" s="2" t="s">
        <v>42</v>
      </c>
      <c r="L2608" s="2" t="s">
        <v>55</v>
      </c>
      <c r="M2608" s="2">
        <v>2</v>
      </c>
      <c r="N2608" s="2" t="s">
        <v>33</v>
      </c>
      <c r="O2608" s="2" t="s">
        <v>70</v>
      </c>
      <c r="P2608" s="2" t="s">
        <v>49</v>
      </c>
    </row>
    <row r="2609" spans="1:16" x14ac:dyDescent="0.25">
      <c r="A2609" s="2" t="s">
        <v>5858</v>
      </c>
      <c r="B2609" s="2" t="s">
        <v>661</v>
      </c>
      <c r="C2609" s="2">
        <v>5379</v>
      </c>
      <c r="D2609" s="2" t="s">
        <v>2764</v>
      </c>
      <c r="E2609" s="2" t="s">
        <v>18</v>
      </c>
      <c r="F2609" s="2" t="s">
        <v>30</v>
      </c>
      <c r="G2609" s="2">
        <v>47004.25</v>
      </c>
      <c r="H2609" s="2">
        <v>23294.78</v>
      </c>
      <c r="I2609" s="2" t="s">
        <v>53</v>
      </c>
      <c r="J2609" s="2" t="s">
        <v>54</v>
      </c>
      <c r="K2609" s="2" t="s">
        <v>22</v>
      </c>
      <c r="L2609" s="2" t="s">
        <v>88</v>
      </c>
      <c r="M2609" s="2">
        <v>4</v>
      </c>
      <c r="N2609" s="2" t="s">
        <v>33</v>
      </c>
      <c r="O2609" s="2" t="s">
        <v>25</v>
      </c>
      <c r="P2609" s="2" t="s">
        <v>34</v>
      </c>
    </row>
    <row r="2610" spans="1:16" x14ac:dyDescent="0.25">
      <c r="A2610" s="2" t="s">
        <v>5860</v>
      </c>
      <c r="B2610" s="2" t="s">
        <v>4198</v>
      </c>
      <c r="C2610" s="2">
        <v>9845</v>
      </c>
      <c r="D2610" s="2" t="s">
        <v>9599</v>
      </c>
      <c r="E2610" s="2" t="s">
        <v>38</v>
      </c>
      <c r="F2610" s="2" t="s">
        <v>58</v>
      </c>
      <c r="G2610" s="2">
        <v>7809.22</v>
      </c>
      <c r="H2610" s="2">
        <v>5020.7299999999996</v>
      </c>
      <c r="I2610" s="2" t="s">
        <v>6681</v>
      </c>
      <c r="J2610" s="2" t="s">
        <v>6705</v>
      </c>
      <c r="K2610" s="2" t="s">
        <v>22</v>
      </c>
      <c r="L2610" s="2" t="s">
        <v>55</v>
      </c>
      <c r="M2610" s="2">
        <v>1</v>
      </c>
      <c r="N2610" s="2" t="s">
        <v>69</v>
      </c>
      <c r="O2610" s="2" t="s">
        <v>25</v>
      </c>
      <c r="P2610" s="2" t="s">
        <v>49</v>
      </c>
    </row>
    <row r="2611" spans="1:16" x14ac:dyDescent="0.25">
      <c r="A2611" s="2" t="s">
        <v>5862</v>
      </c>
      <c r="B2611" s="2" t="s">
        <v>9600</v>
      </c>
      <c r="C2611" s="2">
        <v>7911</v>
      </c>
      <c r="D2611" s="2" t="s">
        <v>9601</v>
      </c>
      <c r="E2611" s="2" t="s">
        <v>38</v>
      </c>
      <c r="F2611" s="2" t="s">
        <v>58</v>
      </c>
      <c r="G2611" s="2">
        <v>7127.63</v>
      </c>
      <c r="H2611" s="2">
        <v>3570.59</v>
      </c>
      <c r="I2611" s="2" t="s">
        <v>31</v>
      </c>
      <c r="J2611" s="2" t="s">
        <v>6724</v>
      </c>
      <c r="K2611" s="2" t="s">
        <v>80</v>
      </c>
      <c r="L2611" s="2" t="s">
        <v>23</v>
      </c>
      <c r="M2611" s="2">
        <v>3</v>
      </c>
      <c r="N2611" s="2" t="s">
        <v>33</v>
      </c>
      <c r="O2611" s="2" t="s">
        <v>25</v>
      </c>
      <c r="P2611" s="2" t="s">
        <v>49</v>
      </c>
    </row>
    <row r="2612" spans="1:16" x14ac:dyDescent="0.25">
      <c r="A2612" s="2" t="s">
        <v>5864</v>
      </c>
      <c r="B2612" s="2" t="s">
        <v>6133</v>
      </c>
      <c r="C2612" s="2">
        <v>3896</v>
      </c>
      <c r="D2612" s="2" t="s">
        <v>9602</v>
      </c>
      <c r="E2612" s="2" t="s">
        <v>6708</v>
      </c>
      <c r="F2612" s="2" t="s">
        <v>58</v>
      </c>
      <c r="G2612" s="2">
        <v>58342.25</v>
      </c>
      <c r="H2612" s="2">
        <v>32657.58</v>
      </c>
      <c r="I2612" s="2" t="s">
        <v>84</v>
      </c>
      <c r="J2612" s="2" t="s">
        <v>54</v>
      </c>
      <c r="K2612" s="2" t="s">
        <v>80</v>
      </c>
      <c r="L2612" s="2" t="s">
        <v>48</v>
      </c>
      <c r="M2612" s="2">
        <v>1</v>
      </c>
      <c r="N2612" s="2" t="s">
        <v>24</v>
      </c>
      <c r="O2612" s="2" t="s">
        <v>25</v>
      </c>
      <c r="P2612" s="2" t="s">
        <v>49</v>
      </c>
    </row>
    <row r="2613" spans="1:16" x14ac:dyDescent="0.25">
      <c r="A2613" s="2" t="s">
        <v>5866</v>
      </c>
      <c r="B2613" s="2" t="s">
        <v>9603</v>
      </c>
      <c r="C2613" s="2">
        <v>2611</v>
      </c>
      <c r="D2613" s="2" t="s">
        <v>9604</v>
      </c>
      <c r="E2613" s="2" t="s">
        <v>6719</v>
      </c>
      <c r="F2613" s="2" t="s">
        <v>19</v>
      </c>
      <c r="G2613" s="2">
        <v>16907.98</v>
      </c>
      <c r="H2613" s="2">
        <v>7695.63</v>
      </c>
      <c r="I2613" s="2" t="s">
        <v>6771</v>
      </c>
      <c r="J2613" s="2" t="s">
        <v>6696</v>
      </c>
      <c r="K2613" s="2" t="s">
        <v>22</v>
      </c>
      <c r="L2613" s="2" t="s">
        <v>23</v>
      </c>
      <c r="M2613" s="2">
        <v>5</v>
      </c>
      <c r="N2613" s="2" t="s">
        <v>24</v>
      </c>
      <c r="O2613" s="2" t="s">
        <v>70</v>
      </c>
      <c r="P2613" s="2" t="s">
        <v>49</v>
      </c>
    </row>
    <row r="2614" spans="1:16" x14ac:dyDescent="0.25">
      <c r="A2614" s="2" t="s">
        <v>5868</v>
      </c>
      <c r="B2614" s="2" t="s">
        <v>2245</v>
      </c>
      <c r="C2614" s="2">
        <v>3457</v>
      </c>
      <c r="D2614" s="2" t="s">
        <v>9605</v>
      </c>
      <c r="E2614" s="2" t="s">
        <v>6680</v>
      </c>
      <c r="F2614" s="2" t="s">
        <v>19</v>
      </c>
      <c r="G2614" s="2">
        <v>9172.48</v>
      </c>
      <c r="H2614" s="2">
        <v>4479.32</v>
      </c>
      <c r="I2614" s="2" t="s">
        <v>6794</v>
      </c>
      <c r="J2614" s="2" t="s">
        <v>6795</v>
      </c>
      <c r="K2614" s="2" t="s">
        <v>42</v>
      </c>
      <c r="L2614" s="2" t="s">
        <v>55</v>
      </c>
      <c r="M2614" s="2">
        <v>2</v>
      </c>
      <c r="N2614" s="2" t="s">
        <v>33</v>
      </c>
      <c r="O2614" s="2" t="s">
        <v>25</v>
      </c>
      <c r="P2614" s="2" t="s">
        <v>26</v>
      </c>
    </row>
    <row r="2615" spans="1:16" x14ac:dyDescent="0.25">
      <c r="A2615" s="2" t="s">
        <v>5870</v>
      </c>
      <c r="B2615" s="2" t="s">
        <v>9606</v>
      </c>
      <c r="C2615" s="2">
        <v>2360</v>
      </c>
      <c r="D2615" s="2" t="s">
        <v>9607</v>
      </c>
      <c r="E2615" s="2" t="s">
        <v>32</v>
      </c>
      <c r="F2615" s="2" t="s">
        <v>47</v>
      </c>
      <c r="G2615" s="2">
        <v>8348.0400000000009</v>
      </c>
      <c r="H2615" s="2">
        <v>5346.41</v>
      </c>
      <c r="I2615" s="2" t="s">
        <v>6794</v>
      </c>
      <c r="J2615" s="2" t="s">
        <v>6724</v>
      </c>
      <c r="K2615" s="2" t="s">
        <v>32</v>
      </c>
      <c r="L2615" s="2" t="s">
        <v>43</v>
      </c>
      <c r="M2615" s="2">
        <v>2</v>
      </c>
      <c r="N2615" s="2" t="s">
        <v>24</v>
      </c>
      <c r="O2615" s="2" t="s">
        <v>25</v>
      </c>
      <c r="P2615" s="2" t="s">
        <v>34</v>
      </c>
    </row>
    <row r="2616" spans="1:16" x14ac:dyDescent="0.25">
      <c r="A2616" s="2" t="s">
        <v>5872</v>
      </c>
      <c r="B2616" s="2" t="s">
        <v>9608</v>
      </c>
      <c r="C2616" s="2">
        <v>1189</v>
      </c>
      <c r="D2616" s="2" t="s">
        <v>9609</v>
      </c>
      <c r="E2616" s="2" t="s">
        <v>6748</v>
      </c>
      <c r="F2616" s="2" t="s">
        <v>19</v>
      </c>
      <c r="G2616" s="2">
        <v>4075.77</v>
      </c>
      <c r="H2616" s="2">
        <v>2397.5</v>
      </c>
      <c r="I2616" s="2" t="s">
        <v>6918</v>
      </c>
      <c r="J2616" s="2" t="s">
        <v>6802</v>
      </c>
      <c r="K2616" s="2" t="s">
        <v>32</v>
      </c>
      <c r="L2616" s="2" t="s">
        <v>88</v>
      </c>
      <c r="M2616" s="2">
        <v>1</v>
      </c>
      <c r="N2616" s="2" t="s">
        <v>24</v>
      </c>
      <c r="O2616" s="2" t="s">
        <v>70</v>
      </c>
      <c r="P2616" s="2" t="s">
        <v>49</v>
      </c>
    </row>
    <row r="2617" spans="1:16" x14ac:dyDescent="0.25">
      <c r="A2617" s="2" t="s">
        <v>5874</v>
      </c>
      <c r="B2617" s="2" t="s">
        <v>9610</v>
      </c>
      <c r="C2617" s="2">
        <v>3953</v>
      </c>
      <c r="D2617" s="2" t="s">
        <v>6788</v>
      </c>
      <c r="E2617" s="2" t="s">
        <v>18</v>
      </c>
      <c r="F2617" s="2" t="s">
        <v>47</v>
      </c>
      <c r="G2617" s="2">
        <v>14252.14</v>
      </c>
      <c r="H2617" s="2">
        <v>7511.86</v>
      </c>
      <c r="I2617" s="2" t="s">
        <v>20</v>
      </c>
      <c r="J2617" s="2" t="s">
        <v>21</v>
      </c>
      <c r="K2617" s="2" t="s">
        <v>80</v>
      </c>
      <c r="L2617" s="2" t="s">
        <v>48</v>
      </c>
      <c r="M2617" s="2">
        <v>2</v>
      </c>
      <c r="N2617" s="2" t="s">
        <v>33</v>
      </c>
      <c r="O2617" s="2" t="s">
        <v>25</v>
      </c>
      <c r="P2617" s="2" t="s">
        <v>26</v>
      </c>
    </row>
    <row r="2618" spans="1:16" x14ac:dyDescent="0.25">
      <c r="A2618" s="2" t="s">
        <v>5876</v>
      </c>
      <c r="B2618" s="2" t="s">
        <v>2763</v>
      </c>
      <c r="C2618" s="2">
        <v>1949</v>
      </c>
      <c r="D2618" s="2" t="s">
        <v>9611</v>
      </c>
      <c r="E2618" s="2" t="s">
        <v>38</v>
      </c>
      <c r="F2618" s="2" t="s">
        <v>58</v>
      </c>
      <c r="G2618" s="2">
        <v>27534.19</v>
      </c>
      <c r="H2618" s="2">
        <v>14721.26</v>
      </c>
      <c r="I2618" s="2" t="s">
        <v>40</v>
      </c>
      <c r="J2618" s="2" t="s">
        <v>41</v>
      </c>
      <c r="K2618" s="2" t="s">
        <v>22</v>
      </c>
      <c r="L2618" s="2" t="s">
        <v>55</v>
      </c>
      <c r="M2618" s="2">
        <v>1</v>
      </c>
      <c r="N2618" s="2" t="s">
        <v>24</v>
      </c>
      <c r="O2618" s="2" t="s">
        <v>25</v>
      </c>
      <c r="P2618" s="2" t="s">
        <v>26</v>
      </c>
    </row>
    <row r="2619" spans="1:16" x14ac:dyDescent="0.25">
      <c r="A2619" s="2" t="s">
        <v>5878</v>
      </c>
      <c r="B2619" s="2" t="s">
        <v>2622</v>
      </c>
      <c r="C2619" s="2">
        <v>8920</v>
      </c>
      <c r="D2619" s="2" t="s">
        <v>1449</v>
      </c>
      <c r="E2619" s="2" t="s">
        <v>18</v>
      </c>
      <c r="F2619" s="2" t="s">
        <v>19</v>
      </c>
      <c r="G2619" s="2">
        <v>16654.810000000001</v>
      </c>
      <c r="H2619" s="2">
        <v>7563.41</v>
      </c>
      <c r="I2619" s="2" t="s">
        <v>20</v>
      </c>
      <c r="J2619" s="2" t="s">
        <v>21</v>
      </c>
      <c r="K2619" s="2" t="s">
        <v>80</v>
      </c>
      <c r="L2619" s="2" t="s">
        <v>23</v>
      </c>
      <c r="M2619" s="2">
        <v>2</v>
      </c>
      <c r="N2619" s="2" t="s">
        <v>33</v>
      </c>
      <c r="O2619" s="2" t="s">
        <v>25</v>
      </c>
      <c r="P2619" s="2" t="s">
        <v>49</v>
      </c>
    </row>
    <row r="2620" spans="1:16" x14ac:dyDescent="0.25">
      <c r="A2620" s="2" t="s">
        <v>5880</v>
      </c>
      <c r="B2620" s="2" t="s">
        <v>1194</v>
      </c>
      <c r="C2620" s="2">
        <v>1140</v>
      </c>
      <c r="D2620" s="2" t="s">
        <v>9612</v>
      </c>
      <c r="E2620" s="2" t="s">
        <v>38</v>
      </c>
      <c r="F2620" s="2" t="s">
        <v>19</v>
      </c>
      <c r="G2620" s="2">
        <v>11917.96</v>
      </c>
      <c r="H2620" s="2">
        <v>6617.15</v>
      </c>
      <c r="I2620" s="2" t="s">
        <v>53</v>
      </c>
      <c r="J2620" s="2" t="s">
        <v>54</v>
      </c>
      <c r="K2620" s="2" t="s">
        <v>22</v>
      </c>
      <c r="L2620" s="2" t="s">
        <v>48</v>
      </c>
      <c r="M2620" s="2">
        <v>1</v>
      </c>
      <c r="N2620" s="2" t="s">
        <v>33</v>
      </c>
      <c r="O2620" s="2" t="s">
        <v>70</v>
      </c>
      <c r="P2620" s="2" t="s">
        <v>49</v>
      </c>
    </row>
    <row r="2621" spans="1:16" x14ac:dyDescent="0.25">
      <c r="A2621" s="2" t="s">
        <v>5881</v>
      </c>
      <c r="B2621" s="2" t="s">
        <v>1179</v>
      </c>
      <c r="C2621" s="2">
        <v>9274</v>
      </c>
      <c r="D2621" s="2" t="s">
        <v>9613</v>
      </c>
      <c r="E2621" s="2" t="s">
        <v>18</v>
      </c>
      <c r="F2621" s="2" t="s">
        <v>39</v>
      </c>
      <c r="G2621" s="2">
        <v>21388.84</v>
      </c>
      <c r="H2621" s="2">
        <v>13800.49</v>
      </c>
      <c r="I2621" s="2" t="s">
        <v>20</v>
      </c>
      <c r="J2621" s="2" t="s">
        <v>21</v>
      </c>
      <c r="K2621" s="2" t="s">
        <v>42</v>
      </c>
      <c r="L2621" s="2" t="s">
        <v>64</v>
      </c>
      <c r="M2621" s="2">
        <v>3</v>
      </c>
      <c r="N2621" s="2" t="s">
        <v>33</v>
      </c>
      <c r="O2621" s="2" t="s">
        <v>25</v>
      </c>
      <c r="P2621" s="2" t="s">
        <v>49</v>
      </c>
    </row>
    <row r="2622" spans="1:16" x14ac:dyDescent="0.25">
      <c r="A2622" s="2" t="s">
        <v>5882</v>
      </c>
      <c r="B2622" s="2" t="s">
        <v>1927</v>
      </c>
      <c r="C2622" s="2">
        <v>7091</v>
      </c>
      <c r="D2622" s="2" t="s">
        <v>9614</v>
      </c>
      <c r="E2622" s="2" t="s">
        <v>18</v>
      </c>
      <c r="F2622" s="2" t="s">
        <v>39</v>
      </c>
      <c r="G2622" s="2">
        <v>30072.49</v>
      </c>
      <c r="H2622" s="2">
        <v>17118.62</v>
      </c>
      <c r="I2622" s="2" t="s">
        <v>20</v>
      </c>
      <c r="J2622" s="2" t="s">
        <v>21</v>
      </c>
      <c r="K2622" s="2" t="s">
        <v>22</v>
      </c>
      <c r="L2622" s="2" t="s">
        <v>64</v>
      </c>
      <c r="M2622" s="2">
        <v>4</v>
      </c>
      <c r="N2622" s="2" t="s">
        <v>33</v>
      </c>
      <c r="O2622" s="2" t="s">
        <v>25</v>
      </c>
      <c r="P2622" s="2" t="s">
        <v>49</v>
      </c>
    </row>
    <row r="2623" spans="1:16" x14ac:dyDescent="0.25">
      <c r="A2623" s="2" t="s">
        <v>5883</v>
      </c>
      <c r="B2623" s="2" t="s">
        <v>987</v>
      </c>
      <c r="C2623" s="2">
        <v>9550</v>
      </c>
      <c r="D2623" s="2" t="s">
        <v>9615</v>
      </c>
      <c r="E2623" s="2" t="s">
        <v>6708</v>
      </c>
      <c r="F2623" s="2" t="s">
        <v>30</v>
      </c>
      <c r="G2623" s="2">
        <v>65002.3</v>
      </c>
      <c r="H2623" s="2">
        <v>32332.28</v>
      </c>
      <c r="I2623" s="2" t="s">
        <v>6794</v>
      </c>
      <c r="J2623" s="2" t="s">
        <v>6696</v>
      </c>
      <c r="K2623" s="2" t="s">
        <v>22</v>
      </c>
      <c r="L2623" s="2" t="s">
        <v>64</v>
      </c>
      <c r="M2623" s="2">
        <v>4</v>
      </c>
      <c r="N2623" s="2" t="s">
        <v>33</v>
      </c>
      <c r="O2623" s="2" t="s">
        <v>70</v>
      </c>
      <c r="P2623" s="2" t="s">
        <v>49</v>
      </c>
    </row>
    <row r="2624" spans="1:16" x14ac:dyDescent="0.25">
      <c r="A2624" s="2" t="s">
        <v>5884</v>
      </c>
      <c r="B2624" s="2" t="s">
        <v>3577</v>
      </c>
      <c r="C2624" s="2">
        <v>9088</v>
      </c>
      <c r="D2624" s="2" t="s">
        <v>6014</v>
      </c>
      <c r="E2624" s="2" t="s">
        <v>38</v>
      </c>
      <c r="F2624" s="2" t="s">
        <v>47</v>
      </c>
      <c r="G2624" s="2">
        <v>15781.61</v>
      </c>
      <c r="H2624" s="2">
        <v>7730.07</v>
      </c>
      <c r="I2624" s="2" t="s">
        <v>84</v>
      </c>
      <c r="J2624" s="2" t="s">
        <v>54</v>
      </c>
      <c r="K2624" s="2" t="s">
        <v>22</v>
      </c>
      <c r="L2624" s="2" t="s">
        <v>88</v>
      </c>
      <c r="M2624" s="2">
        <v>4</v>
      </c>
      <c r="N2624" s="2" t="s">
        <v>33</v>
      </c>
      <c r="O2624" s="2" t="s">
        <v>70</v>
      </c>
      <c r="P2624" s="2" t="s">
        <v>26</v>
      </c>
    </row>
    <row r="2625" spans="1:16" x14ac:dyDescent="0.25">
      <c r="A2625" s="2" t="s">
        <v>5886</v>
      </c>
      <c r="B2625" s="2" t="s">
        <v>6408</v>
      </c>
      <c r="C2625" s="2">
        <v>1586</v>
      </c>
      <c r="D2625" s="2" t="s">
        <v>9616</v>
      </c>
      <c r="E2625" s="2" t="s">
        <v>18</v>
      </c>
      <c r="F2625" s="2" t="s">
        <v>19</v>
      </c>
      <c r="G2625" s="2">
        <v>14644.66</v>
      </c>
      <c r="H2625" s="2">
        <v>6762.58</v>
      </c>
      <c r="I2625" s="2" t="s">
        <v>20</v>
      </c>
      <c r="J2625" s="2" t="s">
        <v>21</v>
      </c>
      <c r="K2625" s="2" t="s">
        <v>80</v>
      </c>
      <c r="L2625" s="2" t="s">
        <v>64</v>
      </c>
      <c r="M2625" s="2">
        <v>3</v>
      </c>
      <c r="N2625" s="2" t="s">
        <v>24</v>
      </c>
      <c r="O2625" s="2" t="s">
        <v>25</v>
      </c>
      <c r="P2625" s="2" t="s">
        <v>34</v>
      </c>
    </row>
    <row r="2626" spans="1:16" x14ac:dyDescent="0.25">
      <c r="A2626" s="2" t="s">
        <v>5888</v>
      </c>
      <c r="B2626" s="2" t="s">
        <v>4408</v>
      </c>
      <c r="C2626" s="2">
        <v>6168</v>
      </c>
      <c r="D2626" s="2" t="s">
        <v>9617</v>
      </c>
      <c r="E2626" s="2" t="s">
        <v>18</v>
      </c>
      <c r="F2626" s="2" t="s">
        <v>47</v>
      </c>
      <c r="G2626" s="2">
        <v>7167.36</v>
      </c>
      <c r="H2626" s="2">
        <v>4226.91</v>
      </c>
      <c r="I2626" s="2" t="s">
        <v>120</v>
      </c>
      <c r="J2626" s="2" t="s">
        <v>21</v>
      </c>
      <c r="K2626" s="2" t="s">
        <v>80</v>
      </c>
      <c r="L2626" s="2" t="s">
        <v>88</v>
      </c>
      <c r="M2626" s="2">
        <v>2</v>
      </c>
      <c r="N2626" s="2" t="s">
        <v>24</v>
      </c>
      <c r="O2626" s="2" t="s">
        <v>25</v>
      </c>
      <c r="P2626" s="2" t="s">
        <v>26</v>
      </c>
    </row>
    <row r="2627" spans="1:16" x14ac:dyDescent="0.25">
      <c r="A2627" s="2" t="s">
        <v>5890</v>
      </c>
      <c r="B2627" s="2" t="s">
        <v>2126</v>
      </c>
      <c r="C2627" s="2">
        <v>9070</v>
      </c>
      <c r="D2627" s="2" t="s">
        <v>9618</v>
      </c>
      <c r="E2627" s="2" t="s">
        <v>18</v>
      </c>
      <c r="F2627" s="2" t="s">
        <v>30</v>
      </c>
      <c r="G2627" s="2">
        <v>111759.03999999999</v>
      </c>
      <c r="H2627" s="2">
        <v>52877.14</v>
      </c>
      <c r="I2627" s="2" t="s">
        <v>53</v>
      </c>
      <c r="J2627" s="2" t="s">
        <v>54</v>
      </c>
      <c r="K2627" s="2" t="s">
        <v>32</v>
      </c>
      <c r="L2627" s="2" t="s">
        <v>48</v>
      </c>
      <c r="M2627" s="2">
        <v>2</v>
      </c>
      <c r="N2627" s="2" t="s">
        <v>69</v>
      </c>
      <c r="O2627" s="2" t="s">
        <v>25</v>
      </c>
      <c r="P2627" s="2" t="s">
        <v>26</v>
      </c>
    </row>
    <row r="2628" spans="1:16" x14ac:dyDescent="0.25">
      <c r="A2628" s="2" t="s">
        <v>5891</v>
      </c>
      <c r="B2628" s="2" t="s">
        <v>8234</v>
      </c>
      <c r="C2628" s="2">
        <v>1402</v>
      </c>
      <c r="D2628" s="2" t="s">
        <v>9619</v>
      </c>
      <c r="E2628" s="2" t="s">
        <v>38</v>
      </c>
      <c r="F2628" s="2" t="s">
        <v>47</v>
      </c>
      <c r="G2628" s="2">
        <v>8212.44</v>
      </c>
      <c r="H2628" s="2">
        <v>4852.3900000000003</v>
      </c>
      <c r="I2628" s="2" t="s">
        <v>63</v>
      </c>
      <c r="J2628" s="2" t="s">
        <v>54</v>
      </c>
      <c r="K2628" s="2" t="s">
        <v>42</v>
      </c>
      <c r="L2628" s="2" t="s">
        <v>55</v>
      </c>
      <c r="M2628" s="2">
        <v>4</v>
      </c>
      <c r="N2628" s="2" t="s">
        <v>33</v>
      </c>
      <c r="O2628" s="2" t="s">
        <v>25</v>
      </c>
      <c r="P2628" s="2" t="s">
        <v>34</v>
      </c>
    </row>
    <row r="2629" spans="1:16" x14ac:dyDescent="0.25">
      <c r="A2629" s="2" t="s">
        <v>5893</v>
      </c>
      <c r="B2629" s="2" t="s">
        <v>1883</v>
      </c>
      <c r="C2629" s="2">
        <v>5733</v>
      </c>
      <c r="D2629" s="2" t="s">
        <v>9620</v>
      </c>
      <c r="E2629" s="2" t="s">
        <v>6698</v>
      </c>
      <c r="F2629" s="2" t="s">
        <v>47</v>
      </c>
      <c r="G2629" s="2">
        <v>10322.120000000001</v>
      </c>
      <c r="H2629" s="2">
        <v>5541.27</v>
      </c>
      <c r="I2629" s="2" t="s">
        <v>6812</v>
      </c>
      <c r="J2629" s="2" t="s">
        <v>6686</v>
      </c>
      <c r="K2629" s="2" t="s">
        <v>32</v>
      </c>
      <c r="L2629" s="2" t="s">
        <v>23</v>
      </c>
      <c r="M2629" s="2">
        <v>2</v>
      </c>
      <c r="N2629" s="2" t="s">
        <v>69</v>
      </c>
      <c r="O2629" s="2" t="s">
        <v>70</v>
      </c>
      <c r="P2629" s="2" t="s">
        <v>34</v>
      </c>
    </row>
    <row r="2630" spans="1:16" x14ac:dyDescent="0.25">
      <c r="A2630" s="2" t="s">
        <v>5895</v>
      </c>
      <c r="B2630" s="2" t="s">
        <v>3209</v>
      </c>
      <c r="C2630" s="2">
        <v>5952</v>
      </c>
      <c r="D2630" s="2" t="s">
        <v>5744</v>
      </c>
      <c r="E2630" s="2" t="s">
        <v>38</v>
      </c>
      <c r="F2630" s="2" t="s">
        <v>58</v>
      </c>
      <c r="G2630" s="2">
        <v>21160.92</v>
      </c>
      <c r="H2630" s="2">
        <v>10923.66</v>
      </c>
      <c r="I2630" s="2" t="s">
        <v>20</v>
      </c>
      <c r="J2630" s="2" t="s">
        <v>21</v>
      </c>
      <c r="K2630" s="2" t="s">
        <v>32</v>
      </c>
      <c r="L2630" s="2" t="s">
        <v>55</v>
      </c>
      <c r="M2630" s="2">
        <v>5</v>
      </c>
      <c r="N2630" s="2" t="s">
        <v>24</v>
      </c>
      <c r="O2630" s="2" t="s">
        <v>25</v>
      </c>
      <c r="P2630" s="2" t="s">
        <v>49</v>
      </c>
    </row>
    <row r="2631" spans="1:16" x14ac:dyDescent="0.25">
      <c r="A2631" s="2" t="s">
        <v>5897</v>
      </c>
      <c r="B2631" s="2" t="s">
        <v>8119</v>
      </c>
      <c r="C2631" s="2">
        <v>8369</v>
      </c>
      <c r="D2631" s="2" t="s">
        <v>2642</v>
      </c>
      <c r="E2631" s="2" t="s">
        <v>38</v>
      </c>
      <c r="F2631" s="2" t="s">
        <v>30</v>
      </c>
      <c r="G2631" s="2">
        <v>24044.1</v>
      </c>
      <c r="H2631" s="2">
        <v>15036.33</v>
      </c>
      <c r="I2631" s="2" t="s">
        <v>6777</v>
      </c>
      <c r="J2631" s="2" t="s">
        <v>6682</v>
      </c>
      <c r="K2631" s="2" t="s">
        <v>22</v>
      </c>
      <c r="L2631" s="2" t="s">
        <v>43</v>
      </c>
      <c r="M2631" s="2">
        <v>1</v>
      </c>
      <c r="N2631" s="2" t="s">
        <v>33</v>
      </c>
      <c r="O2631" s="2" t="s">
        <v>25</v>
      </c>
      <c r="P2631" s="2" t="s">
        <v>49</v>
      </c>
    </row>
    <row r="2632" spans="1:16" x14ac:dyDescent="0.25">
      <c r="A2632" s="2" t="s">
        <v>5899</v>
      </c>
      <c r="B2632" s="2" t="s">
        <v>399</v>
      </c>
      <c r="C2632" s="2">
        <v>4798</v>
      </c>
      <c r="D2632" s="2" t="s">
        <v>9621</v>
      </c>
      <c r="E2632" s="2" t="s">
        <v>6698</v>
      </c>
      <c r="F2632" s="2" t="s">
        <v>19</v>
      </c>
      <c r="G2632" s="2">
        <v>14975.12</v>
      </c>
      <c r="H2632" s="2">
        <v>8673.4500000000007</v>
      </c>
      <c r="I2632" s="2" t="s">
        <v>6752</v>
      </c>
      <c r="J2632" s="2" t="s">
        <v>6753</v>
      </c>
      <c r="K2632" s="2" t="s">
        <v>22</v>
      </c>
      <c r="L2632" s="2" t="s">
        <v>43</v>
      </c>
      <c r="M2632" s="2">
        <v>3</v>
      </c>
      <c r="N2632" s="2" t="s">
        <v>33</v>
      </c>
      <c r="O2632" s="2" t="s">
        <v>25</v>
      </c>
      <c r="P2632" s="2" t="s">
        <v>49</v>
      </c>
    </row>
    <row r="2633" spans="1:16" x14ac:dyDescent="0.25">
      <c r="A2633" s="2" t="s">
        <v>5901</v>
      </c>
      <c r="B2633" s="2" t="s">
        <v>9622</v>
      </c>
      <c r="C2633" s="2">
        <v>1262</v>
      </c>
      <c r="D2633" s="2" t="s">
        <v>9623</v>
      </c>
      <c r="E2633" s="2" t="s">
        <v>18</v>
      </c>
      <c r="F2633" s="2" t="s">
        <v>30</v>
      </c>
      <c r="G2633" s="2">
        <v>20031.689999999999</v>
      </c>
      <c r="H2633" s="2">
        <v>12750.11</v>
      </c>
      <c r="I2633" s="2" t="s">
        <v>20</v>
      </c>
      <c r="J2633" s="2" t="s">
        <v>21</v>
      </c>
      <c r="K2633" s="2" t="s">
        <v>32</v>
      </c>
      <c r="L2633" s="2" t="s">
        <v>48</v>
      </c>
      <c r="M2633" s="2">
        <v>4</v>
      </c>
      <c r="N2633" s="2" t="s">
        <v>24</v>
      </c>
      <c r="O2633" s="2" t="s">
        <v>70</v>
      </c>
      <c r="P2633" s="2" t="s">
        <v>26</v>
      </c>
    </row>
    <row r="2634" spans="1:16" x14ac:dyDescent="0.25">
      <c r="A2634" s="2" t="s">
        <v>5903</v>
      </c>
      <c r="B2634" s="2" t="s">
        <v>4507</v>
      </c>
      <c r="C2634" s="2">
        <v>2824</v>
      </c>
      <c r="D2634" s="2" t="s">
        <v>603</v>
      </c>
      <c r="E2634" s="2" t="s">
        <v>38</v>
      </c>
      <c r="F2634" s="2" t="s">
        <v>47</v>
      </c>
      <c r="G2634" s="2">
        <v>7784.32</v>
      </c>
      <c r="H2634" s="2">
        <v>4647.47</v>
      </c>
      <c r="I2634" s="2" t="s">
        <v>84</v>
      </c>
      <c r="J2634" s="2" t="s">
        <v>54</v>
      </c>
      <c r="K2634" s="2" t="s">
        <v>80</v>
      </c>
      <c r="L2634" s="2" t="s">
        <v>55</v>
      </c>
      <c r="M2634" s="2">
        <v>1</v>
      </c>
      <c r="N2634" s="2" t="s">
        <v>33</v>
      </c>
      <c r="O2634" s="2" t="s">
        <v>70</v>
      </c>
      <c r="P2634" s="2" t="s">
        <v>34</v>
      </c>
    </row>
    <row r="2635" spans="1:16" x14ac:dyDescent="0.25">
      <c r="A2635" s="2" t="s">
        <v>5905</v>
      </c>
      <c r="B2635" s="2" t="s">
        <v>4172</v>
      </c>
      <c r="C2635" s="2">
        <v>3120</v>
      </c>
      <c r="D2635" s="2" t="s">
        <v>4153</v>
      </c>
      <c r="E2635" s="2" t="s">
        <v>38</v>
      </c>
      <c r="F2635" s="2" t="s">
        <v>30</v>
      </c>
      <c r="G2635" s="2">
        <v>84950.27</v>
      </c>
      <c r="H2635" s="2">
        <v>44353.1</v>
      </c>
      <c r="I2635" s="2" t="s">
        <v>31</v>
      </c>
      <c r="J2635" s="2" t="s">
        <v>21</v>
      </c>
      <c r="K2635" s="2" t="s">
        <v>32</v>
      </c>
      <c r="L2635" s="2" t="s">
        <v>43</v>
      </c>
      <c r="M2635" s="2">
        <v>2</v>
      </c>
      <c r="N2635" s="2" t="s">
        <v>24</v>
      </c>
      <c r="O2635" s="2" t="s">
        <v>25</v>
      </c>
      <c r="P2635" s="2" t="s">
        <v>49</v>
      </c>
    </row>
    <row r="2636" spans="1:16" x14ac:dyDescent="0.25">
      <c r="A2636" s="2" t="s">
        <v>5907</v>
      </c>
      <c r="B2636" s="2" t="s">
        <v>3411</v>
      </c>
      <c r="C2636" s="2">
        <v>4810</v>
      </c>
      <c r="D2636" s="2" t="s">
        <v>9624</v>
      </c>
      <c r="E2636" s="2" t="s">
        <v>38</v>
      </c>
      <c r="F2636" s="2" t="s">
        <v>39</v>
      </c>
      <c r="G2636" s="2">
        <v>16068.09</v>
      </c>
      <c r="H2636" s="2">
        <v>10070.129999999999</v>
      </c>
      <c r="I2636" s="2" t="s">
        <v>84</v>
      </c>
      <c r="J2636" s="2" t="s">
        <v>54</v>
      </c>
      <c r="K2636" s="2" t="s">
        <v>32</v>
      </c>
      <c r="L2636" s="2" t="s">
        <v>48</v>
      </c>
      <c r="M2636" s="2">
        <v>3</v>
      </c>
      <c r="N2636" s="2" t="s">
        <v>33</v>
      </c>
      <c r="O2636" s="2" t="s">
        <v>70</v>
      </c>
      <c r="P2636" s="2" t="s">
        <v>34</v>
      </c>
    </row>
    <row r="2637" spans="1:16" x14ac:dyDescent="0.25">
      <c r="A2637" s="2" t="s">
        <v>5908</v>
      </c>
      <c r="B2637" s="2" t="s">
        <v>1048</v>
      </c>
      <c r="C2637" s="2">
        <v>1713</v>
      </c>
      <c r="D2637" s="2" t="s">
        <v>2253</v>
      </c>
      <c r="E2637" s="2" t="s">
        <v>18</v>
      </c>
      <c r="F2637" s="2" t="s">
        <v>47</v>
      </c>
      <c r="G2637" s="2">
        <v>12075.31</v>
      </c>
      <c r="H2637" s="2">
        <v>6410.61</v>
      </c>
      <c r="I2637" s="2" t="s">
        <v>63</v>
      </c>
      <c r="J2637" s="2" t="s">
        <v>54</v>
      </c>
      <c r="K2637" s="2" t="s">
        <v>42</v>
      </c>
      <c r="L2637" s="2" t="s">
        <v>23</v>
      </c>
      <c r="M2637" s="2">
        <v>2</v>
      </c>
      <c r="N2637" s="2" t="s">
        <v>24</v>
      </c>
      <c r="O2637" s="2" t="s">
        <v>70</v>
      </c>
      <c r="P2637" s="2" t="s">
        <v>26</v>
      </c>
    </row>
    <row r="2638" spans="1:16" x14ac:dyDescent="0.25">
      <c r="A2638" s="2" t="s">
        <v>5911</v>
      </c>
      <c r="B2638" s="2" t="s">
        <v>9625</v>
      </c>
      <c r="C2638" s="2">
        <v>1695</v>
      </c>
      <c r="D2638" s="2" t="s">
        <v>5352</v>
      </c>
      <c r="E2638" s="2" t="s">
        <v>38</v>
      </c>
      <c r="F2638" s="2" t="s">
        <v>58</v>
      </c>
      <c r="G2638" s="2">
        <v>30691.98</v>
      </c>
      <c r="H2638" s="2">
        <v>18083.86</v>
      </c>
      <c r="I2638" s="2" t="s">
        <v>63</v>
      </c>
      <c r="J2638" s="2" t="s">
        <v>54</v>
      </c>
      <c r="K2638" s="2" t="s">
        <v>80</v>
      </c>
      <c r="L2638" s="2" t="s">
        <v>55</v>
      </c>
      <c r="M2638" s="2">
        <v>1</v>
      </c>
      <c r="N2638" s="2" t="s">
        <v>33</v>
      </c>
      <c r="O2638" s="2" t="s">
        <v>25</v>
      </c>
      <c r="P2638" s="2" t="s">
        <v>49</v>
      </c>
    </row>
    <row r="2639" spans="1:16" x14ac:dyDescent="0.25">
      <c r="A2639" s="2" t="s">
        <v>5913</v>
      </c>
      <c r="B2639" s="2" t="s">
        <v>2942</v>
      </c>
      <c r="C2639" s="2">
        <v>3938</v>
      </c>
      <c r="D2639" s="2" t="s">
        <v>9626</v>
      </c>
      <c r="E2639" s="2" t="s">
        <v>18</v>
      </c>
      <c r="F2639" s="2" t="s">
        <v>47</v>
      </c>
      <c r="G2639" s="2">
        <v>7527.17</v>
      </c>
      <c r="H2639" s="2">
        <v>4359.13</v>
      </c>
      <c r="I2639" s="2" t="s">
        <v>68</v>
      </c>
      <c r="J2639" s="2" t="s">
        <v>41</v>
      </c>
      <c r="K2639" s="2" t="s">
        <v>42</v>
      </c>
      <c r="L2639" s="2" t="s">
        <v>88</v>
      </c>
      <c r="M2639" s="2">
        <v>3</v>
      </c>
      <c r="N2639" s="2" t="s">
        <v>24</v>
      </c>
      <c r="O2639" s="2" t="s">
        <v>25</v>
      </c>
      <c r="P2639" s="2" t="s">
        <v>26</v>
      </c>
    </row>
    <row r="2640" spans="1:16" x14ac:dyDescent="0.25">
      <c r="A2640" s="2" t="s">
        <v>5915</v>
      </c>
      <c r="B2640" s="2" t="s">
        <v>4556</v>
      </c>
      <c r="C2640" s="2">
        <v>3370</v>
      </c>
      <c r="D2640" s="2" t="s">
        <v>3680</v>
      </c>
      <c r="E2640" s="2" t="s">
        <v>38</v>
      </c>
      <c r="F2640" s="2" t="s">
        <v>39</v>
      </c>
      <c r="G2640" s="2">
        <v>8946.9500000000007</v>
      </c>
      <c r="H2640" s="2">
        <v>5462.6</v>
      </c>
      <c r="I2640" s="2" t="s">
        <v>20</v>
      </c>
      <c r="J2640" s="2" t="s">
        <v>21</v>
      </c>
      <c r="K2640" s="2" t="s">
        <v>42</v>
      </c>
      <c r="L2640" s="2" t="s">
        <v>23</v>
      </c>
      <c r="M2640" s="2">
        <v>5</v>
      </c>
      <c r="N2640" s="2" t="s">
        <v>69</v>
      </c>
      <c r="O2640" s="2" t="s">
        <v>25</v>
      </c>
      <c r="P2640" s="2" t="s">
        <v>26</v>
      </c>
    </row>
    <row r="2641" spans="1:16" x14ac:dyDescent="0.25">
      <c r="A2641" s="2" t="s">
        <v>5917</v>
      </c>
      <c r="B2641" s="2" t="s">
        <v>5494</v>
      </c>
      <c r="C2641" s="2">
        <v>8009</v>
      </c>
      <c r="D2641" s="2" t="s">
        <v>9627</v>
      </c>
      <c r="E2641" s="2" t="s">
        <v>38</v>
      </c>
      <c r="F2641" s="2" t="s">
        <v>19</v>
      </c>
      <c r="G2641" s="2">
        <v>9350.32</v>
      </c>
      <c r="H2641" s="2">
        <v>4830.2700000000004</v>
      </c>
      <c r="I2641" s="2" t="s">
        <v>68</v>
      </c>
      <c r="J2641" s="2" t="s">
        <v>41</v>
      </c>
      <c r="K2641" s="2" t="s">
        <v>22</v>
      </c>
      <c r="L2641" s="2" t="s">
        <v>55</v>
      </c>
      <c r="M2641" s="2">
        <v>3</v>
      </c>
      <c r="N2641" s="2" t="s">
        <v>33</v>
      </c>
      <c r="O2641" s="2" t="s">
        <v>70</v>
      </c>
      <c r="P2641" s="2" t="s">
        <v>34</v>
      </c>
    </row>
    <row r="2642" spans="1:16" x14ac:dyDescent="0.25">
      <c r="A2642" s="2" t="s">
        <v>5919</v>
      </c>
      <c r="B2642" s="2" t="s">
        <v>9628</v>
      </c>
      <c r="C2642" s="2">
        <v>4603</v>
      </c>
      <c r="D2642" s="2" t="s">
        <v>9629</v>
      </c>
      <c r="E2642" s="2" t="s">
        <v>6708</v>
      </c>
      <c r="F2642" s="2" t="s">
        <v>47</v>
      </c>
      <c r="G2642" s="2">
        <v>9924.64</v>
      </c>
      <c r="H2642" s="2">
        <v>4880.8999999999996</v>
      </c>
      <c r="I2642" s="2" t="s">
        <v>6761</v>
      </c>
      <c r="J2642" s="2" t="s">
        <v>6705</v>
      </c>
      <c r="K2642" s="2" t="s">
        <v>80</v>
      </c>
      <c r="L2642" s="2" t="s">
        <v>55</v>
      </c>
      <c r="M2642" s="2">
        <v>3</v>
      </c>
      <c r="N2642" s="2" t="s">
        <v>33</v>
      </c>
      <c r="O2642" s="2" t="s">
        <v>25</v>
      </c>
      <c r="P2642" s="2" t="s">
        <v>34</v>
      </c>
    </row>
    <row r="2643" spans="1:16" x14ac:dyDescent="0.25">
      <c r="A2643" s="2" t="s">
        <v>5921</v>
      </c>
      <c r="B2643" s="2" t="s">
        <v>9630</v>
      </c>
      <c r="C2643" s="2">
        <v>3560</v>
      </c>
      <c r="D2643" s="2" t="s">
        <v>9631</v>
      </c>
      <c r="E2643" s="2" t="s">
        <v>6708</v>
      </c>
      <c r="F2643" s="2" t="s">
        <v>39</v>
      </c>
      <c r="G2643" s="2">
        <v>21401.43</v>
      </c>
      <c r="H2643" s="2">
        <v>11413.71</v>
      </c>
      <c r="I2643" s="2" t="s">
        <v>6726</v>
      </c>
      <c r="J2643" s="2" t="s">
        <v>21</v>
      </c>
      <c r="K2643" s="2" t="s">
        <v>42</v>
      </c>
      <c r="L2643" s="2" t="s">
        <v>55</v>
      </c>
      <c r="M2643" s="2">
        <v>4</v>
      </c>
      <c r="N2643" s="2" t="s">
        <v>24</v>
      </c>
      <c r="O2643" s="2" t="s">
        <v>70</v>
      </c>
      <c r="P2643" s="2" t="s">
        <v>49</v>
      </c>
    </row>
    <row r="2644" spans="1:16" x14ac:dyDescent="0.25">
      <c r="A2644" s="2" t="s">
        <v>5923</v>
      </c>
      <c r="B2644" s="2" t="s">
        <v>9632</v>
      </c>
      <c r="C2644" s="2">
        <v>9070</v>
      </c>
      <c r="D2644" s="2" t="s">
        <v>854</v>
      </c>
      <c r="E2644" s="2" t="s">
        <v>6680</v>
      </c>
      <c r="F2644" s="2" t="s">
        <v>39</v>
      </c>
      <c r="G2644" s="2">
        <v>40342.949999999997</v>
      </c>
      <c r="H2644" s="2">
        <v>22958.9</v>
      </c>
      <c r="I2644" s="2" t="s">
        <v>6918</v>
      </c>
      <c r="J2644" s="2" t="s">
        <v>6795</v>
      </c>
      <c r="K2644" s="2" t="s">
        <v>42</v>
      </c>
      <c r="L2644" s="2" t="s">
        <v>55</v>
      </c>
      <c r="M2644" s="2">
        <v>1</v>
      </c>
      <c r="N2644" s="2" t="s">
        <v>33</v>
      </c>
      <c r="O2644" s="2" t="s">
        <v>70</v>
      </c>
      <c r="P2644" s="2" t="s">
        <v>26</v>
      </c>
    </row>
    <row r="2645" spans="1:16" x14ac:dyDescent="0.25">
      <c r="A2645" s="2" t="s">
        <v>5924</v>
      </c>
      <c r="B2645" s="2" t="s">
        <v>9633</v>
      </c>
      <c r="C2645" s="2">
        <v>9524</v>
      </c>
      <c r="D2645" s="2" t="s">
        <v>7211</v>
      </c>
      <c r="E2645" s="2" t="s">
        <v>6743</v>
      </c>
      <c r="F2645" s="2" t="s">
        <v>19</v>
      </c>
      <c r="G2645" s="2">
        <v>15090.16</v>
      </c>
      <c r="H2645" s="2">
        <v>9700.6299999999992</v>
      </c>
      <c r="I2645" s="2" t="s">
        <v>6739</v>
      </c>
      <c r="J2645" s="2" t="s">
        <v>54</v>
      </c>
      <c r="K2645" s="2" t="s">
        <v>80</v>
      </c>
      <c r="L2645" s="2" t="s">
        <v>64</v>
      </c>
      <c r="M2645" s="2">
        <v>4</v>
      </c>
      <c r="N2645" s="2" t="s">
        <v>33</v>
      </c>
      <c r="O2645" s="2" t="s">
        <v>25</v>
      </c>
      <c r="P2645" s="2" t="s">
        <v>26</v>
      </c>
    </row>
    <row r="2646" spans="1:16" x14ac:dyDescent="0.25">
      <c r="A2646" s="2" t="s">
        <v>5926</v>
      </c>
      <c r="B2646" s="2" t="s">
        <v>5123</v>
      </c>
      <c r="C2646" s="2">
        <v>3676</v>
      </c>
      <c r="D2646" s="2" t="s">
        <v>9634</v>
      </c>
      <c r="E2646" s="2" t="s">
        <v>6708</v>
      </c>
      <c r="F2646" s="2" t="s">
        <v>39</v>
      </c>
      <c r="G2646" s="2">
        <v>31883.3</v>
      </c>
      <c r="H2646" s="2">
        <v>19433.73</v>
      </c>
      <c r="I2646" s="2" t="s">
        <v>59</v>
      </c>
      <c r="J2646" s="2" t="s">
        <v>6732</v>
      </c>
      <c r="K2646" s="2" t="s">
        <v>80</v>
      </c>
      <c r="L2646" s="2" t="s">
        <v>88</v>
      </c>
      <c r="M2646" s="2">
        <v>2</v>
      </c>
      <c r="N2646" s="2" t="s">
        <v>24</v>
      </c>
      <c r="O2646" s="2" t="s">
        <v>70</v>
      </c>
      <c r="P2646" s="2" t="s">
        <v>34</v>
      </c>
    </row>
    <row r="2647" spans="1:16" x14ac:dyDescent="0.25">
      <c r="A2647" s="2" t="s">
        <v>5928</v>
      </c>
      <c r="B2647" s="2" t="s">
        <v>217</v>
      </c>
      <c r="C2647" s="2">
        <v>5996</v>
      </c>
      <c r="D2647" s="2" t="s">
        <v>9635</v>
      </c>
      <c r="E2647" s="2" t="s">
        <v>6743</v>
      </c>
      <c r="F2647" s="2" t="s">
        <v>39</v>
      </c>
      <c r="G2647" s="2">
        <v>40450.29</v>
      </c>
      <c r="H2647" s="2">
        <v>21125.15</v>
      </c>
      <c r="I2647" s="2" t="s">
        <v>6759</v>
      </c>
      <c r="J2647" s="2" t="s">
        <v>54</v>
      </c>
      <c r="K2647" s="2" t="s">
        <v>42</v>
      </c>
      <c r="L2647" s="2" t="s">
        <v>88</v>
      </c>
      <c r="M2647" s="2">
        <v>2</v>
      </c>
      <c r="N2647" s="2" t="s">
        <v>33</v>
      </c>
      <c r="O2647" s="2" t="s">
        <v>25</v>
      </c>
      <c r="P2647" s="2" t="s">
        <v>26</v>
      </c>
    </row>
    <row r="2648" spans="1:16" x14ac:dyDescent="0.25">
      <c r="A2648" s="2" t="s">
        <v>5930</v>
      </c>
      <c r="B2648" s="2" t="s">
        <v>2864</v>
      </c>
      <c r="C2648" s="2">
        <v>1183</v>
      </c>
      <c r="D2648" s="2" t="s">
        <v>5362</v>
      </c>
      <c r="E2648" s="2" t="s">
        <v>18</v>
      </c>
      <c r="F2648" s="2" t="s">
        <v>30</v>
      </c>
      <c r="G2648" s="2">
        <v>97170.3</v>
      </c>
      <c r="H2648" s="2">
        <v>57885.42</v>
      </c>
      <c r="I2648" s="2" t="s">
        <v>53</v>
      </c>
      <c r="J2648" s="2" t="s">
        <v>54</v>
      </c>
      <c r="K2648" s="2" t="s">
        <v>80</v>
      </c>
      <c r="L2648" s="2" t="s">
        <v>64</v>
      </c>
      <c r="M2648" s="2">
        <v>5</v>
      </c>
      <c r="N2648" s="2" t="s">
        <v>33</v>
      </c>
      <c r="O2648" s="2" t="s">
        <v>25</v>
      </c>
      <c r="P2648" s="2" t="s">
        <v>34</v>
      </c>
    </row>
    <row r="2649" spans="1:16" x14ac:dyDescent="0.25">
      <c r="A2649" s="2" t="s">
        <v>5932</v>
      </c>
      <c r="B2649" s="2" t="s">
        <v>2248</v>
      </c>
      <c r="C2649" s="2">
        <v>2028</v>
      </c>
      <c r="D2649" s="2" t="s">
        <v>8878</v>
      </c>
      <c r="E2649" s="2" t="s">
        <v>38</v>
      </c>
      <c r="F2649" s="2" t="s">
        <v>47</v>
      </c>
      <c r="G2649" s="2">
        <v>10298.92</v>
      </c>
      <c r="H2649" s="2">
        <v>5700.88</v>
      </c>
      <c r="I2649" s="2" t="s">
        <v>120</v>
      </c>
      <c r="J2649" s="2" t="s">
        <v>21</v>
      </c>
      <c r="K2649" s="2" t="s">
        <v>42</v>
      </c>
      <c r="L2649" s="2" t="s">
        <v>48</v>
      </c>
      <c r="M2649" s="2">
        <v>3</v>
      </c>
      <c r="N2649" s="2" t="s">
        <v>33</v>
      </c>
      <c r="O2649" s="2" t="s">
        <v>25</v>
      </c>
      <c r="P2649" s="2" t="s">
        <v>49</v>
      </c>
    </row>
    <row r="2650" spans="1:16" x14ac:dyDescent="0.25">
      <c r="A2650" s="2" t="s">
        <v>5934</v>
      </c>
      <c r="B2650" s="2" t="s">
        <v>9636</v>
      </c>
      <c r="C2650" s="2">
        <v>5592</v>
      </c>
      <c r="D2650" s="2" t="s">
        <v>9637</v>
      </c>
      <c r="E2650" s="2" t="s">
        <v>6756</v>
      </c>
      <c r="F2650" s="2" t="s">
        <v>39</v>
      </c>
      <c r="G2650" s="2">
        <v>12142.63</v>
      </c>
      <c r="H2650" s="2">
        <v>7642.57</v>
      </c>
      <c r="I2650" s="2" t="s">
        <v>31</v>
      </c>
      <c r="J2650" s="2" t="s">
        <v>6789</v>
      </c>
      <c r="K2650" s="2" t="s">
        <v>42</v>
      </c>
      <c r="L2650" s="2" t="s">
        <v>43</v>
      </c>
      <c r="M2650" s="2">
        <v>1</v>
      </c>
      <c r="N2650" s="2" t="s">
        <v>33</v>
      </c>
      <c r="O2650" s="2" t="s">
        <v>25</v>
      </c>
      <c r="P2650" s="2" t="s">
        <v>49</v>
      </c>
    </row>
    <row r="2651" spans="1:16" x14ac:dyDescent="0.25">
      <c r="A2651" s="2" t="s">
        <v>5936</v>
      </c>
      <c r="B2651" s="2" t="s">
        <v>3051</v>
      </c>
      <c r="C2651" s="2">
        <v>3852</v>
      </c>
      <c r="D2651" s="2" t="s">
        <v>2034</v>
      </c>
      <c r="E2651" s="2" t="s">
        <v>6680</v>
      </c>
      <c r="F2651" s="2" t="s">
        <v>58</v>
      </c>
      <c r="G2651" s="2">
        <v>17657.05</v>
      </c>
      <c r="H2651" s="2">
        <v>9496.65</v>
      </c>
      <c r="I2651" s="2" t="s">
        <v>120</v>
      </c>
      <c r="J2651" s="2" t="s">
        <v>6696</v>
      </c>
      <c r="K2651" s="2" t="s">
        <v>80</v>
      </c>
      <c r="L2651" s="2" t="s">
        <v>55</v>
      </c>
      <c r="M2651" s="2">
        <v>1</v>
      </c>
      <c r="N2651" s="2" t="s">
        <v>33</v>
      </c>
      <c r="O2651" s="2" t="s">
        <v>25</v>
      </c>
      <c r="P2651" s="2" t="s">
        <v>26</v>
      </c>
    </row>
    <row r="2652" spans="1:16" x14ac:dyDescent="0.25">
      <c r="A2652" s="2" t="s">
        <v>5938</v>
      </c>
      <c r="B2652" s="2" t="s">
        <v>9638</v>
      </c>
      <c r="C2652" s="2">
        <v>4467</v>
      </c>
      <c r="D2652" s="2" t="s">
        <v>9639</v>
      </c>
      <c r="E2652" s="2" t="s">
        <v>38</v>
      </c>
      <c r="F2652" s="2" t="s">
        <v>47</v>
      </c>
      <c r="G2652" s="2">
        <v>10616.32</v>
      </c>
      <c r="H2652" s="2">
        <v>6570.96</v>
      </c>
      <c r="I2652" s="2" t="s">
        <v>68</v>
      </c>
      <c r="J2652" s="2" t="s">
        <v>6732</v>
      </c>
      <c r="K2652" s="2" t="s">
        <v>32</v>
      </c>
      <c r="L2652" s="2" t="s">
        <v>48</v>
      </c>
      <c r="M2652" s="2">
        <v>5</v>
      </c>
      <c r="N2652" s="2" t="s">
        <v>24</v>
      </c>
      <c r="O2652" s="2" t="s">
        <v>25</v>
      </c>
      <c r="P2652" s="2" t="s">
        <v>34</v>
      </c>
    </row>
    <row r="2653" spans="1:16" x14ac:dyDescent="0.25">
      <c r="A2653" s="2" t="s">
        <v>5940</v>
      </c>
      <c r="B2653" s="2" t="s">
        <v>5182</v>
      </c>
      <c r="C2653" s="2">
        <v>7506</v>
      </c>
      <c r="D2653" s="2" t="s">
        <v>9640</v>
      </c>
      <c r="E2653" s="2" t="s">
        <v>38</v>
      </c>
      <c r="F2653" s="2" t="s">
        <v>58</v>
      </c>
      <c r="G2653" s="2">
        <v>26257.03</v>
      </c>
      <c r="H2653" s="2">
        <v>16660.259999999998</v>
      </c>
      <c r="I2653" s="2" t="s">
        <v>84</v>
      </c>
      <c r="J2653" s="2" t="s">
        <v>54</v>
      </c>
      <c r="K2653" s="2" t="s">
        <v>32</v>
      </c>
      <c r="L2653" s="2" t="s">
        <v>48</v>
      </c>
      <c r="M2653" s="2">
        <v>1</v>
      </c>
      <c r="N2653" s="2" t="s">
        <v>24</v>
      </c>
      <c r="O2653" s="2" t="s">
        <v>25</v>
      </c>
      <c r="P2653" s="2" t="s">
        <v>34</v>
      </c>
    </row>
    <row r="2654" spans="1:16" x14ac:dyDescent="0.25">
      <c r="A2654" s="2" t="s">
        <v>5942</v>
      </c>
      <c r="B2654" s="2" t="s">
        <v>9641</v>
      </c>
      <c r="C2654" s="2">
        <v>7940</v>
      </c>
      <c r="D2654" s="2" t="s">
        <v>9642</v>
      </c>
      <c r="E2654" s="2" t="s">
        <v>38</v>
      </c>
      <c r="F2654" s="2" t="s">
        <v>58</v>
      </c>
      <c r="G2654" s="2">
        <v>11004.77</v>
      </c>
      <c r="H2654" s="2">
        <v>6464.08</v>
      </c>
      <c r="I2654" s="2" t="s">
        <v>20</v>
      </c>
      <c r="J2654" s="2" t="s">
        <v>21</v>
      </c>
      <c r="K2654" s="2" t="s">
        <v>22</v>
      </c>
      <c r="L2654" s="2" t="s">
        <v>64</v>
      </c>
      <c r="M2654" s="2">
        <v>4</v>
      </c>
      <c r="N2654" s="2" t="s">
        <v>33</v>
      </c>
      <c r="O2654" s="2" t="s">
        <v>25</v>
      </c>
      <c r="P2654" s="2" t="s">
        <v>49</v>
      </c>
    </row>
    <row r="2655" spans="1:16" x14ac:dyDescent="0.25">
      <c r="A2655" s="2" t="s">
        <v>5944</v>
      </c>
      <c r="B2655" s="2" t="s">
        <v>3648</v>
      </c>
      <c r="C2655" s="2">
        <v>4150</v>
      </c>
      <c r="D2655" s="2" t="s">
        <v>9643</v>
      </c>
      <c r="E2655" s="2" t="s">
        <v>38</v>
      </c>
      <c r="F2655" s="2" t="s">
        <v>39</v>
      </c>
      <c r="G2655" s="2">
        <v>45870.51</v>
      </c>
      <c r="H2655" s="2">
        <v>26124.68</v>
      </c>
      <c r="I2655" s="2" t="s">
        <v>20</v>
      </c>
      <c r="J2655" s="2" t="s">
        <v>21</v>
      </c>
      <c r="K2655" s="2" t="s">
        <v>22</v>
      </c>
      <c r="L2655" s="2" t="s">
        <v>55</v>
      </c>
      <c r="M2655" s="2">
        <v>5</v>
      </c>
      <c r="N2655" s="2" t="s">
        <v>33</v>
      </c>
      <c r="O2655" s="2" t="s">
        <v>70</v>
      </c>
      <c r="P2655" s="2" t="s">
        <v>26</v>
      </c>
    </row>
    <row r="2656" spans="1:16" x14ac:dyDescent="0.25">
      <c r="A2656" s="2" t="s">
        <v>5945</v>
      </c>
      <c r="B2656" s="2" t="s">
        <v>1068</v>
      </c>
      <c r="C2656" s="2">
        <v>2072</v>
      </c>
      <c r="D2656" s="2" t="s">
        <v>9644</v>
      </c>
      <c r="E2656" s="2" t="s">
        <v>38</v>
      </c>
      <c r="F2656" s="2" t="s">
        <v>39</v>
      </c>
      <c r="G2656" s="2">
        <v>53852.46</v>
      </c>
      <c r="H2656" s="2">
        <v>29811.58</v>
      </c>
      <c r="I2656" s="2" t="s">
        <v>6759</v>
      </c>
      <c r="J2656" s="2" t="s">
        <v>54</v>
      </c>
      <c r="K2656" s="2" t="s">
        <v>32</v>
      </c>
      <c r="L2656" s="2" t="s">
        <v>23</v>
      </c>
      <c r="M2656" s="2">
        <v>1</v>
      </c>
      <c r="N2656" s="2" t="s">
        <v>24</v>
      </c>
      <c r="O2656" s="2" t="s">
        <v>70</v>
      </c>
      <c r="P2656" s="2" t="s">
        <v>34</v>
      </c>
    </row>
    <row r="2657" spans="1:16" x14ac:dyDescent="0.25">
      <c r="A2657" s="2" t="s">
        <v>5947</v>
      </c>
      <c r="B2657" s="2" t="s">
        <v>9645</v>
      </c>
      <c r="C2657" s="2">
        <v>2916</v>
      </c>
      <c r="D2657" s="2" t="s">
        <v>9646</v>
      </c>
      <c r="E2657" s="2" t="s">
        <v>6703</v>
      </c>
      <c r="F2657" s="2" t="s">
        <v>19</v>
      </c>
      <c r="G2657" s="2">
        <v>7363.91</v>
      </c>
      <c r="H2657" s="2">
        <v>4562.37</v>
      </c>
      <c r="I2657" s="2" t="s">
        <v>6812</v>
      </c>
      <c r="J2657" s="2" t="s">
        <v>6729</v>
      </c>
      <c r="K2657" s="2" t="s">
        <v>42</v>
      </c>
      <c r="L2657" s="2" t="s">
        <v>88</v>
      </c>
      <c r="M2657" s="2">
        <v>2</v>
      </c>
      <c r="N2657" s="2" t="s">
        <v>24</v>
      </c>
      <c r="O2657" s="2" t="s">
        <v>25</v>
      </c>
      <c r="P2657" s="2" t="s">
        <v>34</v>
      </c>
    </row>
    <row r="2658" spans="1:16" x14ac:dyDescent="0.25">
      <c r="A2658" s="2" t="s">
        <v>5948</v>
      </c>
      <c r="B2658" s="2" t="s">
        <v>1506</v>
      </c>
      <c r="C2658" s="2">
        <v>2642</v>
      </c>
      <c r="D2658" s="2" t="s">
        <v>9647</v>
      </c>
      <c r="E2658" s="2" t="s">
        <v>18</v>
      </c>
      <c r="F2658" s="2" t="s">
        <v>19</v>
      </c>
      <c r="G2658" s="2">
        <v>12586.25</v>
      </c>
      <c r="H2658" s="2">
        <v>6418.76</v>
      </c>
      <c r="I2658" s="2" t="s">
        <v>84</v>
      </c>
      <c r="J2658" s="2" t="s">
        <v>54</v>
      </c>
      <c r="K2658" s="2" t="s">
        <v>80</v>
      </c>
      <c r="L2658" s="2" t="s">
        <v>64</v>
      </c>
      <c r="M2658" s="2">
        <v>3</v>
      </c>
      <c r="N2658" s="2" t="s">
        <v>24</v>
      </c>
      <c r="O2658" s="2" t="s">
        <v>25</v>
      </c>
      <c r="P2658" s="2" t="s">
        <v>34</v>
      </c>
    </row>
    <row r="2659" spans="1:16" x14ac:dyDescent="0.25">
      <c r="A2659" s="2" t="s">
        <v>5950</v>
      </c>
      <c r="B2659" s="2" t="s">
        <v>431</v>
      </c>
      <c r="C2659" s="2">
        <v>1692</v>
      </c>
      <c r="D2659" s="2" t="s">
        <v>8180</v>
      </c>
      <c r="E2659" s="2" t="s">
        <v>18</v>
      </c>
      <c r="F2659" s="2" t="s">
        <v>47</v>
      </c>
      <c r="G2659" s="2">
        <v>4613.95</v>
      </c>
      <c r="H2659" s="2">
        <v>2818.85</v>
      </c>
      <c r="I2659" s="2" t="s">
        <v>120</v>
      </c>
      <c r="J2659" s="2" t="s">
        <v>21</v>
      </c>
      <c r="K2659" s="2" t="s">
        <v>22</v>
      </c>
      <c r="L2659" s="2" t="s">
        <v>88</v>
      </c>
      <c r="M2659" s="2">
        <v>4</v>
      </c>
      <c r="N2659" s="2" t="s">
        <v>24</v>
      </c>
      <c r="O2659" s="2" t="s">
        <v>70</v>
      </c>
      <c r="P2659" s="2" t="s">
        <v>34</v>
      </c>
    </row>
    <row r="2660" spans="1:16" x14ac:dyDescent="0.25">
      <c r="A2660" s="2" t="s">
        <v>5952</v>
      </c>
      <c r="B2660" s="2" t="s">
        <v>3931</v>
      </c>
      <c r="C2660" s="2">
        <v>6023</v>
      </c>
      <c r="D2660" s="2" t="s">
        <v>5069</v>
      </c>
      <c r="E2660" s="2" t="s">
        <v>6708</v>
      </c>
      <c r="F2660" s="2" t="s">
        <v>47</v>
      </c>
      <c r="G2660" s="2">
        <v>11031.61</v>
      </c>
      <c r="H2660" s="2">
        <v>6981.77</v>
      </c>
      <c r="I2660" s="2" t="s">
        <v>6808</v>
      </c>
      <c r="J2660" s="2" t="s">
        <v>6753</v>
      </c>
      <c r="K2660" s="2" t="s">
        <v>32</v>
      </c>
      <c r="L2660" s="2" t="s">
        <v>64</v>
      </c>
      <c r="M2660" s="2">
        <v>4</v>
      </c>
      <c r="N2660" s="2" t="s">
        <v>24</v>
      </c>
      <c r="O2660" s="2" t="s">
        <v>25</v>
      </c>
      <c r="P2660" s="2" t="s">
        <v>26</v>
      </c>
    </row>
    <row r="2661" spans="1:16" x14ac:dyDescent="0.25">
      <c r="A2661" s="2" t="s">
        <v>5954</v>
      </c>
      <c r="B2661" s="2" t="s">
        <v>1675</v>
      </c>
      <c r="C2661" s="2">
        <v>9319</v>
      </c>
      <c r="D2661" s="2" t="s">
        <v>9648</v>
      </c>
      <c r="E2661" s="2" t="s">
        <v>6756</v>
      </c>
      <c r="F2661" s="2" t="s">
        <v>47</v>
      </c>
      <c r="G2661" s="2">
        <v>2879.48</v>
      </c>
      <c r="H2661" s="2">
        <v>1528.32</v>
      </c>
      <c r="I2661" s="2" t="s">
        <v>120</v>
      </c>
      <c r="J2661" s="2" t="s">
        <v>6696</v>
      </c>
      <c r="K2661" s="2" t="s">
        <v>32</v>
      </c>
      <c r="L2661" s="2" t="s">
        <v>23</v>
      </c>
      <c r="M2661" s="2">
        <v>4</v>
      </c>
      <c r="N2661" s="2" t="s">
        <v>69</v>
      </c>
      <c r="O2661" s="2" t="s">
        <v>70</v>
      </c>
      <c r="P2661" s="2" t="s">
        <v>49</v>
      </c>
    </row>
    <row r="2662" spans="1:16" x14ac:dyDescent="0.25">
      <c r="A2662" s="2" t="s">
        <v>5956</v>
      </c>
      <c r="B2662" s="2" t="s">
        <v>3743</v>
      </c>
      <c r="C2662" s="2">
        <v>2467</v>
      </c>
      <c r="D2662" s="2" t="s">
        <v>1166</v>
      </c>
      <c r="E2662" s="2" t="s">
        <v>18</v>
      </c>
      <c r="F2662" s="2" t="s">
        <v>39</v>
      </c>
      <c r="G2662" s="2">
        <v>21789.86</v>
      </c>
      <c r="H2662" s="2">
        <v>10950.03</v>
      </c>
      <c r="I2662" s="2" t="s">
        <v>84</v>
      </c>
      <c r="J2662" s="2" t="s">
        <v>54</v>
      </c>
      <c r="K2662" s="2" t="s">
        <v>32</v>
      </c>
      <c r="L2662" s="2" t="s">
        <v>48</v>
      </c>
      <c r="M2662" s="2">
        <v>3</v>
      </c>
      <c r="N2662" s="2" t="s">
        <v>33</v>
      </c>
      <c r="O2662" s="2" t="s">
        <v>70</v>
      </c>
      <c r="P2662" s="2" t="s">
        <v>34</v>
      </c>
    </row>
    <row r="2663" spans="1:16" x14ac:dyDescent="0.25">
      <c r="A2663" s="2" t="s">
        <v>5958</v>
      </c>
      <c r="B2663" s="2" t="s">
        <v>449</v>
      </c>
      <c r="C2663" s="2">
        <v>2944</v>
      </c>
      <c r="D2663" s="2" t="s">
        <v>652</v>
      </c>
      <c r="E2663" s="2" t="s">
        <v>18</v>
      </c>
      <c r="F2663" s="2" t="s">
        <v>30</v>
      </c>
      <c r="G2663" s="2">
        <v>22545.599999999999</v>
      </c>
      <c r="H2663" s="2">
        <v>10229.030000000001</v>
      </c>
      <c r="I2663" s="2" t="s">
        <v>84</v>
      </c>
      <c r="J2663" s="2" t="s">
        <v>54</v>
      </c>
      <c r="K2663" s="2" t="s">
        <v>32</v>
      </c>
      <c r="L2663" s="2" t="s">
        <v>48</v>
      </c>
      <c r="M2663" s="2">
        <v>5</v>
      </c>
      <c r="N2663" s="2" t="s">
        <v>24</v>
      </c>
      <c r="O2663" s="2" t="s">
        <v>25</v>
      </c>
      <c r="P2663" s="2" t="s">
        <v>49</v>
      </c>
    </row>
    <row r="2664" spans="1:16" x14ac:dyDescent="0.25">
      <c r="A2664" s="2" t="s">
        <v>5960</v>
      </c>
      <c r="B2664" s="2" t="s">
        <v>1597</v>
      </c>
      <c r="C2664" s="2">
        <v>7021</v>
      </c>
      <c r="D2664" s="2" t="s">
        <v>9649</v>
      </c>
      <c r="E2664" s="2" t="s">
        <v>38</v>
      </c>
      <c r="F2664" s="2" t="s">
        <v>39</v>
      </c>
      <c r="G2664" s="2">
        <v>21390.58</v>
      </c>
      <c r="H2664" s="2">
        <v>11722.34</v>
      </c>
      <c r="I2664" s="2" t="s">
        <v>68</v>
      </c>
      <c r="J2664" s="2" t="s">
        <v>41</v>
      </c>
      <c r="K2664" s="2" t="s">
        <v>80</v>
      </c>
      <c r="L2664" s="2" t="s">
        <v>55</v>
      </c>
      <c r="M2664" s="2">
        <v>4</v>
      </c>
      <c r="N2664" s="2" t="s">
        <v>24</v>
      </c>
      <c r="O2664" s="2" t="s">
        <v>70</v>
      </c>
      <c r="P2664" s="2" t="s">
        <v>49</v>
      </c>
    </row>
    <row r="2665" spans="1:16" x14ac:dyDescent="0.25">
      <c r="A2665" s="2" t="s">
        <v>5963</v>
      </c>
      <c r="B2665" s="2" t="s">
        <v>9650</v>
      </c>
      <c r="C2665" s="2">
        <v>6353</v>
      </c>
      <c r="D2665" s="2" t="s">
        <v>9651</v>
      </c>
      <c r="E2665" s="2" t="s">
        <v>38</v>
      </c>
      <c r="F2665" s="2" t="s">
        <v>47</v>
      </c>
      <c r="G2665" s="2">
        <v>12039.43</v>
      </c>
      <c r="H2665" s="2">
        <v>6671.8</v>
      </c>
      <c r="I2665" s="2" t="s">
        <v>6720</v>
      </c>
      <c r="J2665" s="2" t="s">
        <v>6753</v>
      </c>
      <c r="K2665" s="2" t="s">
        <v>22</v>
      </c>
      <c r="L2665" s="2" t="s">
        <v>48</v>
      </c>
      <c r="M2665" s="2">
        <v>2</v>
      </c>
      <c r="N2665" s="2" t="s">
        <v>33</v>
      </c>
      <c r="O2665" s="2" t="s">
        <v>70</v>
      </c>
      <c r="P2665" s="2" t="s">
        <v>34</v>
      </c>
    </row>
    <row r="2666" spans="1:16" x14ac:dyDescent="0.25">
      <c r="A2666" s="2" t="s">
        <v>5964</v>
      </c>
      <c r="B2666" s="2" t="s">
        <v>5808</v>
      </c>
      <c r="C2666" s="2">
        <v>5359</v>
      </c>
      <c r="D2666" s="2" t="s">
        <v>9153</v>
      </c>
      <c r="E2666" s="2" t="s">
        <v>38</v>
      </c>
      <c r="F2666" s="2" t="s">
        <v>58</v>
      </c>
      <c r="G2666" s="2">
        <v>46379.47</v>
      </c>
      <c r="H2666" s="2">
        <v>27726.959999999999</v>
      </c>
      <c r="I2666" s="2" t="s">
        <v>63</v>
      </c>
      <c r="J2666" s="2" t="s">
        <v>54</v>
      </c>
      <c r="K2666" s="2" t="s">
        <v>32</v>
      </c>
      <c r="L2666" s="2" t="s">
        <v>43</v>
      </c>
      <c r="M2666" s="2">
        <v>1</v>
      </c>
      <c r="N2666" s="2" t="s">
        <v>24</v>
      </c>
      <c r="O2666" s="2" t="s">
        <v>25</v>
      </c>
      <c r="P2666" s="2" t="s">
        <v>49</v>
      </c>
    </row>
    <row r="2667" spans="1:16" x14ac:dyDescent="0.25">
      <c r="A2667" s="2" t="s">
        <v>5966</v>
      </c>
      <c r="B2667" s="2" t="s">
        <v>9652</v>
      </c>
      <c r="C2667" s="2">
        <v>7214</v>
      </c>
      <c r="D2667" s="2" t="s">
        <v>9653</v>
      </c>
      <c r="E2667" s="2" t="s">
        <v>38</v>
      </c>
      <c r="F2667" s="2" t="s">
        <v>19</v>
      </c>
      <c r="G2667" s="2">
        <v>3340.18</v>
      </c>
      <c r="H2667" s="2">
        <v>1932.92</v>
      </c>
      <c r="I2667" s="2" t="s">
        <v>31</v>
      </c>
      <c r="J2667" s="2" t="s">
        <v>21</v>
      </c>
      <c r="K2667" s="2" t="s">
        <v>42</v>
      </c>
      <c r="L2667" s="2" t="s">
        <v>48</v>
      </c>
      <c r="M2667" s="2">
        <v>5</v>
      </c>
      <c r="N2667" s="2" t="s">
        <v>33</v>
      </c>
      <c r="O2667" s="2" t="s">
        <v>70</v>
      </c>
      <c r="P2667" s="2" t="s">
        <v>34</v>
      </c>
    </row>
    <row r="2668" spans="1:16" x14ac:dyDescent="0.25">
      <c r="A2668" s="2" t="s">
        <v>5967</v>
      </c>
      <c r="B2668" s="2" t="s">
        <v>9654</v>
      </c>
      <c r="C2668" s="2">
        <v>2221</v>
      </c>
      <c r="D2668" s="2" t="s">
        <v>9655</v>
      </c>
      <c r="E2668" s="2" t="s">
        <v>6680</v>
      </c>
      <c r="F2668" s="2" t="s">
        <v>58</v>
      </c>
      <c r="G2668" s="2">
        <v>46207.73</v>
      </c>
      <c r="H2668" s="2">
        <v>20919.09</v>
      </c>
      <c r="I2668" s="2" t="s">
        <v>6739</v>
      </c>
      <c r="J2668" s="2" t="s">
        <v>6700</v>
      </c>
      <c r="K2668" s="2" t="s">
        <v>22</v>
      </c>
      <c r="L2668" s="2" t="s">
        <v>88</v>
      </c>
      <c r="M2668" s="2">
        <v>2</v>
      </c>
      <c r="N2668" s="2" t="s">
        <v>69</v>
      </c>
      <c r="O2668" s="2" t="s">
        <v>25</v>
      </c>
      <c r="P2668" s="2" t="s">
        <v>49</v>
      </c>
    </row>
    <row r="2669" spans="1:16" x14ac:dyDescent="0.25">
      <c r="A2669" s="2" t="s">
        <v>5970</v>
      </c>
      <c r="B2669" s="2" t="s">
        <v>1459</v>
      </c>
      <c r="C2669" s="2">
        <v>3066</v>
      </c>
      <c r="D2669" s="2" t="s">
        <v>4912</v>
      </c>
      <c r="E2669" s="2" t="s">
        <v>18</v>
      </c>
      <c r="F2669" s="2" t="s">
        <v>19</v>
      </c>
      <c r="G2669" s="2">
        <v>4429.0600000000004</v>
      </c>
      <c r="H2669" s="2">
        <v>2509.85</v>
      </c>
      <c r="I2669" s="2" t="s">
        <v>20</v>
      </c>
      <c r="J2669" s="2" t="s">
        <v>21</v>
      </c>
      <c r="K2669" s="2" t="s">
        <v>22</v>
      </c>
      <c r="L2669" s="2" t="s">
        <v>55</v>
      </c>
      <c r="M2669" s="2">
        <v>3</v>
      </c>
      <c r="N2669" s="2" t="s">
        <v>33</v>
      </c>
      <c r="O2669" s="2" t="s">
        <v>25</v>
      </c>
      <c r="P2669" s="2" t="s">
        <v>49</v>
      </c>
    </row>
    <row r="2670" spans="1:16" x14ac:dyDescent="0.25">
      <c r="A2670" s="2" t="s">
        <v>5972</v>
      </c>
      <c r="B2670" s="2" t="s">
        <v>2924</v>
      </c>
      <c r="C2670" s="2">
        <v>3830</v>
      </c>
      <c r="D2670" s="2" t="s">
        <v>8969</v>
      </c>
      <c r="E2670" s="2" t="s">
        <v>38</v>
      </c>
      <c r="F2670" s="2" t="s">
        <v>39</v>
      </c>
      <c r="G2670" s="2">
        <v>36682.81</v>
      </c>
      <c r="H2670" s="2">
        <v>23825.9</v>
      </c>
      <c r="I2670" s="2" t="s">
        <v>120</v>
      </c>
      <c r="J2670" s="2" t="s">
        <v>21</v>
      </c>
      <c r="K2670" s="2" t="s">
        <v>22</v>
      </c>
      <c r="L2670" s="2" t="s">
        <v>88</v>
      </c>
      <c r="M2670" s="2">
        <v>5</v>
      </c>
      <c r="N2670" s="2" t="s">
        <v>24</v>
      </c>
      <c r="O2670" s="2" t="s">
        <v>25</v>
      </c>
      <c r="P2670" s="2" t="s">
        <v>34</v>
      </c>
    </row>
    <row r="2671" spans="1:16" x14ac:dyDescent="0.25">
      <c r="A2671" s="2" t="s">
        <v>5974</v>
      </c>
      <c r="B2671" s="2" t="s">
        <v>9656</v>
      </c>
      <c r="C2671" s="2">
        <v>4445</v>
      </c>
      <c r="D2671" s="2" t="s">
        <v>9657</v>
      </c>
      <c r="E2671" s="2" t="s">
        <v>6703</v>
      </c>
      <c r="F2671" s="2" t="s">
        <v>39</v>
      </c>
      <c r="G2671" s="2">
        <v>38346.53</v>
      </c>
      <c r="H2671" s="2">
        <v>17498.21</v>
      </c>
      <c r="I2671" s="2" t="s">
        <v>6845</v>
      </c>
      <c r="J2671" s="2" t="s">
        <v>6802</v>
      </c>
      <c r="K2671" s="2" t="s">
        <v>42</v>
      </c>
      <c r="L2671" s="2" t="s">
        <v>48</v>
      </c>
      <c r="M2671" s="2">
        <v>4</v>
      </c>
      <c r="N2671" s="2" t="s">
        <v>24</v>
      </c>
      <c r="O2671" s="2" t="s">
        <v>70</v>
      </c>
      <c r="P2671" s="2" t="s">
        <v>34</v>
      </c>
    </row>
    <row r="2672" spans="1:16" x14ac:dyDescent="0.25">
      <c r="A2672" s="2" t="s">
        <v>5977</v>
      </c>
      <c r="B2672" s="2" t="s">
        <v>4369</v>
      </c>
      <c r="C2672" s="2">
        <v>7495</v>
      </c>
      <c r="D2672" s="2" t="s">
        <v>9658</v>
      </c>
      <c r="E2672" s="2" t="s">
        <v>38</v>
      </c>
      <c r="F2672" s="2" t="s">
        <v>58</v>
      </c>
      <c r="G2672" s="2">
        <v>30373.47</v>
      </c>
      <c r="H2672" s="2">
        <v>17842.72</v>
      </c>
      <c r="I2672" s="2" t="s">
        <v>31</v>
      </c>
      <c r="J2672" s="2" t="s">
        <v>21</v>
      </c>
      <c r="K2672" s="2" t="s">
        <v>42</v>
      </c>
      <c r="L2672" s="2" t="s">
        <v>23</v>
      </c>
      <c r="M2672" s="2">
        <v>1</v>
      </c>
      <c r="N2672" s="2" t="s">
        <v>69</v>
      </c>
      <c r="O2672" s="2" t="s">
        <v>70</v>
      </c>
      <c r="P2672" s="2" t="s">
        <v>34</v>
      </c>
    </row>
    <row r="2673" spans="1:16" x14ac:dyDescent="0.25">
      <c r="A2673" s="2" t="s">
        <v>5980</v>
      </c>
      <c r="B2673" s="2" t="s">
        <v>846</v>
      </c>
      <c r="C2673" s="2">
        <v>5266</v>
      </c>
      <c r="D2673" s="2" t="s">
        <v>9659</v>
      </c>
      <c r="E2673" s="2" t="s">
        <v>18</v>
      </c>
      <c r="F2673" s="2" t="s">
        <v>30</v>
      </c>
      <c r="G2673" s="2">
        <v>51622.31</v>
      </c>
      <c r="H2673" s="2">
        <v>23567.75</v>
      </c>
      <c r="I2673" s="2" t="s">
        <v>59</v>
      </c>
      <c r="J2673" s="2" t="s">
        <v>41</v>
      </c>
      <c r="K2673" s="2" t="s">
        <v>32</v>
      </c>
      <c r="L2673" s="2" t="s">
        <v>88</v>
      </c>
      <c r="M2673" s="2">
        <v>5</v>
      </c>
      <c r="N2673" s="2" t="s">
        <v>69</v>
      </c>
      <c r="O2673" s="2" t="s">
        <v>25</v>
      </c>
      <c r="P2673" s="2" t="s">
        <v>49</v>
      </c>
    </row>
    <row r="2674" spans="1:16" x14ac:dyDescent="0.25">
      <c r="A2674" s="2" t="s">
        <v>5982</v>
      </c>
      <c r="B2674" s="2" t="s">
        <v>755</v>
      </c>
      <c r="C2674" s="2">
        <v>8724</v>
      </c>
      <c r="D2674" s="2" t="s">
        <v>9660</v>
      </c>
      <c r="E2674" s="2" t="s">
        <v>18</v>
      </c>
      <c r="F2674" s="2" t="s">
        <v>58</v>
      </c>
      <c r="G2674" s="2">
        <v>41177.32</v>
      </c>
      <c r="H2674" s="2">
        <v>19793.150000000001</v>
      </c>
      <c r="I2674" s="2" t="s">
        <v>31</v>
      </c>
      <c r="J2674" s="2" t="s">
        <v>21</v>
      </c>
      <c r="K2674" s="2" t="s">
        <v>42</v>
      </c>
      <c r="L2674" s="2" t="s">
        <v>43</v>
      </c>
      <c r="M2674" s="2">
        <v>5</v>
      </c>
      <c r="N2674" s="2" t="s">
        <v>33</v>
      </c>
      <c r="O2674" s="2" t="s">
        <v>70</v>
      </c>
      <c r="P2674" s="2" t="s">
        <v>34</v>
      </c>
    </row>
    <row r="2675" spans="1:16" x14ac:dyDescent="0.25">
      <c r="A2675" s="2" t="s">
        <v>5984</v>
      </c>
      <c r="B2675" s="2" t="s">
        <v>644</v>
      </c>
      <c r="C2675" s="2">
        <v>4094</v>
      </c>
      <c r="D2675" s="2" t="s">
        <v>5667</v>
      </c>
      <c r="E2675" s="2" t="s">
        <v>38</v>
      </c>
      <c r="F2675" s="2" t="s">
        <v>30</v>
      </c>
      <c r="G2675" s="2">
        <v>114787</v>
      </c>
      <c r="H2675" s="2">
        <v>68247.899999999994</v>
      </c>
      <c r="I2675" s="2" t="s">
        <v>63</v>
      </c>
      <c r="J2675" s="2" t="s">
        <v>54</v>
      </c>
      <c r="K2675" s="2" t="s">
        <v>42</v>
      </c>
      <c r="L2675" s="2" t="s">
        <v>48</v>
      </c>
      <c r="M2675" s="2">
        <v>1</v>
      </c>
      <c r="N2675" s="2" t="s">
        <v>69</v>
      </c>
      <c r="O2675" s="2" t="s">
        <v>25</v>
      </c>
      <c r="P2675" s="2" t="s">
        <v>26</v>
      </c>
    </row>
    <row r="2676" spans="1:16" x14ac:dyDescent="0.25">
      <c r="A2676" s="2" t="s">
        <v>5987</v>
      </c>
      <c r="B2676" s="2" t="s">
        <v>1702</v>
      </c>
      <c r="C2676" s="2">
        <v>1548</v>
      </c>
      <c r="D2676" s="2" t="s">
        <v>9661</v>
      </c>
      <c r="E2676" s="2" t="s">
        <v>6743</v>
      </c>
      <c r="F2676" s="2" t="s">
        <v>19</v>
      </c>
      <c r="G2676" s="2">
        <v>5049.32</v>
      </c>
      <c r="H2676" s="2">
        <v>2551.0700000000002</v>
      </c>
      <c r="I2676" s="2" t="s">
        <v>6910</v>
      </c>
      <c r="J2676" s="2" t="s">
        <v>21</v>
      </c>
      <c r="K2676" s="2" t="s">
        <v>42</v>
      </c>
      <c r="L2676" s="2" t="s">
        <v>88</v>
      </c>
      <c r="M2676" s="2">
        <v>1</v>
      </c>
      <c r="N2676" s="2" t="s">
        <v>24</v>
      </c>
      <c r="O2676" s="2" t="s">
        <v>70</v>
      </c>
      <c r="P2676" s="2" t="s">
        <v>49</v>
      </c>
    </row>
    <row r="2677" spans="1:16" x14ac:dyDescent="0.25">
      <c r="A2677" s="2" t="s">
        <v>5989</v>
      </c>
      <c r="B2677" s="2" t="s">
        <v>1355</v>
      </c>
      <c r="C2677" s="2">
        <v>6354</v>
      </c>
      <c r="D2677" s="2" t="s">
        <v>1373</v>
      </c>
      <c r="E2677" s="2" t="s">
        <v>18</v>
      </c>
      <c r="F2677" s="2" t="s">
        <v>30</v>
      </c>
      <c r="G2677" s="2">
        <v>87049.62</v>
      </c>
      <c r="H2677" s="2">
        <v>45878.41</v>
      </c>
      <c r="I2677" s="2" t="s">
        <v>84</v>
      </c>
      <c r="J2677" s="2" t="s">
        <v>54</v>
      </c>
      <c r="K2677" s="2" t="s">
        <v>42</v>
      </c>
      <c r="L2677" s="2" t="s">
        <v>88</v>
      </c>
      <c r="M2677" s="2">
        <v>4</v>
      </c>
      <c r="N2677" s="2" t="s">
        <v>33</v>
      </c>
      <c r="O2677" s="2" t="s">
        <v>25</v>
      </c>
      <c r="P2677" s="2" t="s">
        <v>26</v>
      </c>
    </row>
    <row r="2678" spans="1:16" x14ac:dyDescent="0.25">
      <c r="A2678" s="2" t="s">
        <v>5991</v>
      </c>
      <c r="B2678" s="2" t="s">
        <v>9662</v>
      </c>
      <c r="C2678" s="2">
        <v>2003</v>
      </c>
      <c r="D2678" s="2" t="s">
        <v>9663</v>
      </c>
      <c r="E2678" s="2" t="s">
        <v>18</v>
      </c>
      <c r="F2678" s="2" t="s">
        <v>19</v>
      </c>
      <c r="G2678" s="2">
        <v>20894.41</v>
      </c>
      <c r="H2678" s="2">
        <v>9647.18</v>
      </c>
      <c r="I2678" s="2" t="s">
        <v>31</v>
      </c>
      <c r="J2678" s="2" t="s">
        <v>6696</v>
      </c>
      <c r="K2678" s="2" t="s">
        <v>32</v>
      </c>
      <c r="L2678" s="2" t="s">
        <v>48</v>
      </c>
      <c r="M2678" s="2">
        <v>2</v>
      </c>
      <c r="N2678" s="2" t="s">
        <v>33</v>
      </c>
      <c r="O2678" s="2" t="s">
        <v>25</v>
      </c>
      <c r="P2678" s="2" t="s">
        <v>34</v>
      </c>
    </row>
    <row r="2679" spans="1:16" x14ac:dyDescent="0.25">
      <c r="A2679" s="2" t="s">
        <v>5993</v>
      </c>
      <c r="B2679" s="2" t="s">
        <v>6840</v>
      </c>
      <c r="C2679" s="2">
        <v>7655</v>
      </c>
      <c r="D2679" s="2" t="s">
        <v>9664</v>
      </c>
      <c r="E2679" s="2" t="s">
        <v>38</v>
      </c>
      <c r="F2679" s="2" t="s">
        <v>58</v>
      </c>
      <c r="G2679" s="2">
        <v>52923.63</v>
      </c>
      <c r="H2679" s="2">
        <v>25250.12</v>
      </c>
      <c r="I2679" s="2" t="s">
        <v>20</v>
      </c>
      <c r="J2679" s="2" t="s">
        <v>21</v>
      </c>
      <c r="K2679" s="2" t="s">
        <v>80</v>
      </c>
      <c r="L2679" s="2" t="s">
        <v>55</v>
      </c>
      <c r="M2679" s="2">
        <v>2</v>
      </c>
      <c r="N2679" s="2" t="s">
        <v>33</v>
      </c>
      <c r="O2679" s="2" t="s">
        <v>70</v>
      </c>
      <c r="P2679" s="2" t="s">
        <v>34</v>
      </c>
    </row>
    <row r="2680" spans="1:16" x14ac:dyDescent="0.25">
      <c r="A2680" s="2" t="s">
        <v>5996</v>
      </c>
      <c r="B2680" s="2" t="s">
        <v>9665</v>
      </c>
      <c r="C2680" s="2">
        <v>1030</v>
      </c>
      <c r="D2680" s="2" t="s">
        <v>3308</v>
      </c>
      <c r="E2680" s="2" t="s">
        <v>6756</v>
      </c>
      <c r="F2680" s="2" t="s">
        <v>58</v>
      </c>
      <c r="G2680" s="2">
        <v>12972.98</v>
      </c>
      <c r="H2680" s="2">
        <v>7678.99</v>
      </c>
      <c r="I2680" s="2" t="s">
        <v>6771</v>
      </c>
      <c r="J2680" s="2" t="s">
        <v>6795</v>
      </c>
      <c r="K2680" s="2" t="s">
        <v>32</v>
      </c>
      <c r="L2680" s="2" t="s">
        <v>48</v>
      </c>
      <c r="M2680" s="2">
        <v>1</v>
      </c>
      <c r="N2680" s="2" t="s">
        <v>33</v>
      </c>
      <c r="O2680" s="2" t="s">
        <v>25</v>
      </c>
      <c r="P2680" s="2" t="s">
        <v>34</v>
      </c>
    </row>
    <row r="2681" spans="1:16" x14ac:dyDescent="0.25">
      <c r="A2681" s="2" t="s">
        <v>5998</v>
      </c>
      <c r="B2681" s="2" t="s">
        <v>3120</v>
      </c>
      <c r="C2681" s="2">
        <v>7360</v>
      </c>
      <c r="D2681" s="2" t="s">
        <v>9666</v>
      </c>
      <c r="E2681" s="2" t="s">
        <v>6748</v>
      </c>
      <c r="F2681" s="2" t="s">
        <v>58</v>
      </c>
      <c r="G2681" s="2">
        <v>13431.21</v>
      </c>
      <c r="H2681" s="2">
        <v>6691.01</v>
      </c>
      <c r="I2681" s="2" t="s">
        <v>6910</v>
      </c>
      <c r="J2681" s="2" t="s">
        <v>6795</v>
      </c>
      <c r="K2681" s="2" t="s">
        <v>42</v>
      </c>
      <c r="L2681" s="2" t="s">
        <v>64</v>
      </c>
      <c r="M2681" s="2">
        <v>2</v>
      </c>
      <c r="N2681" s="2" t="s">
        <v>33</v>
      </c>
      <c r="O2681" s="2" t="s">
        <v>25</v>
      </c>
      <c r="P2681" s="2" t="s">
        <v>49</v>
      </c>
    </row>
    <row r="2682" spans="1:16" x14ac:dyDescent="0.25">
      <c r="A2682" s="2" t="s">
        <v>6001</v>
      </c>
      <c r="B2682" s="2" t="s">
        <v>9667</v>
      </c>
      <c r="C2682" s="2">
        <v>1223</v>
      </c>
      <c r="D2682" s="2" t="s">
        <v>9668</v>
      </c>
      <c r="E2682" s="2" t="s">
        <v>6708</v>
      </c>
      <c r="F2682" s="2" t="s">
        <v>30</v>
      </c>
      <c r="G2682" s="2">
        <v>97948.12</v>
      </c>
      <c r="H2682" s="2">
        <v>51270.239999999998</v>
      </c>
      <c r="I2682" s="2" t="s">
        <v>6690</v>
      </c>
      <c r="J2682" s="2" t="s">
        <v>6729</v>
      </c>
      <c r="K2682" s="2" t="s">
        <v>42</v>
      </c>
      <c r="L2682" s="2" t="s">
        <v>23</v>
      </c>
      <c r="M2682" s="2">
        <v>5</v>
      </c>
      <c r="N2682" s="2" t="s">
        <v>24</v>
      </c>
      <c r="O2682" s="2" t="s">
        <v>25</v>
      </c>
      <c r="P2682" s="2" t="s">
        <v>26</v>
      </c>
    </row>
    <row r="2683" spans="1:16" x14ac:dyDescent="0.25">
      <c r="A2683" s="2" t="s">
        <v>6003</v>
      </c>
      <c r="B2683" s="2" t="s">
        <v>2812</v>
      </c>
      <c r="C2683" s="2">
        <v>1825</v>
      </c>
      <c r="D2683" s="2" t="s">
        <v>9669</v>
      </c>
      <c r="E2683" s="2" t="s">
        <v>38</v>
      </c>
      <c r="F2683" s="2" t="s">
        <v>30</v>
      </c>
      <c r="G2683" s="2">
        <v>55650.71</v>
      </c>
      <c r="H2683" s="2">
        <v>35242.019999999997</v>
      </c>
      <c r="I2683" s="2" t="s">
        <v>84</v>
      </c>
      <c r="J2683" s="2" t="s">
        <v>54</v>
      </c>
      <c r="K2683" s="2" t="s">
        <v>42</v>
      </c>
      <c r="L2683" s="2" t="s">
        <v>48</v>
      </c>
      <c r="M2683" s="2">
        <v>4</v>
      </c>
      <c r="N2683" s="2" t="s">
        <v>69</v>
      </c>
      <c r="O2683" s="2" t="s">
        <v>25</v>
      </c>
      <c r="P2683" s="2" t="s">
        <v>49</v>
      </c>
    </row>
    <row r="2684" spans="1:16" x14ac:dyDescent="0.25">
      <c r="A2684" s="2" t="s">
        <v>6005</v>
      </c>
      <c r="B2684" s="2" t="s">
        <v>9670</v>
      </c>
      <c r="C2684" s="2">
        <v>6853</v>
      </c>
      <c r="D2684" s="2" t="s">
        <v>2525</v>
      </c>
      <c r="E2684" s="2" t="s">
        <v>6698</v>
      </c>
      <c r="F2684" s="2" t="s">
        <v>39</v>
      </c>
      <c r="G2684" s="2">
        <v>7046.09</v>
      </c>
      <c r="H2684" s="2">
        <v>3768.5</v>
      </c>
      <c r="I2684" s="2" t="s">
        <v>6799</v>
      </c>
      <c r="J2684" s="2" t="s">
        <v>6732</v>
      </c>
      <c r="K2684" s="2" t="s">
        <v>32</v>
      </c>
      <c r="L2684" s="2" t="s">
        <v>48</v>
      </c>
      <c r="M2684" s="2">
        <v>3</v>
      </c>
      <c r="N2684" s="2" t="s">
        <v>33</v>
      </c>
      <c r="O2684" s="2" t="s">
        <v>25</v>
      </c>
      <c r="P2684" s="2" t="s">
        <v>26</v>
      </c>
    </row>
    <row r="2685" spans="1:16" x14ac:dyDescent="0.25">
      <c r="A2685" s="2" t="s">
        <v>6008</v>
      </c>
      <c r="B2685" s="2" t="s">
        <v>9671</v>
      </c>
      <c r="C2685" s="2">
        <v>1368</v>
      </c>
      <c r="D2685" s="2" t="s">
        <v>9672</v>
      </c>
      <c r="E2685" s="2" t="s">
        <v>18</v>
      </c>
      <c r="F2685" s="2" t="s">
        <v>58</v>
      </c>
      <c r="G2685" s="2">
        <v>26596.98</v>
      </c>
      <c r="H2685" s="2">
        <v>15391.95</v>
      </c>
      <c r="I2685" s="2" t="s">
        <v>6777</v>
      </c>
      <c r="J2685" s="2" t="s">
        <v>6713</v>
      </c>
      <c r="K2685" s="2" t="s">
        <v>80</v>
      </c>
      <c r="L2685" s="2" t="s">
        <v>23</v>
      </c>
      <c r="M2685" s="2">
        <v>4</v>
      </c>
      <c r="N2685" s="2" t="s">
        <v>33</v>
      </c>
      <c r="O2685" s="2" t="s">
        <v>25</v>
      </c>
      <c r="P2685" s="2" t="s">
        <v>49</v>
      </c>
    </row>
    <row r="2686" spans="1:16" x14ac:dyDescent="0.25">
      <c r="A2686" s="2" t="s">
        <v>6010</v>
      </c>
      <c r="B2686" s="2" t="s">
        <v>3946</v>
      </c>
      <c r="C2686" s="2">
        <v>5767</v>
      </c>
      <c r="D2686" s="2" t="s">
        <v>9673</v>
      </c>
      <c r="E2686" s="2" t="s">
        <v>38</v>
      </c>
      <c r="F2686" s="2" t="s">
        <v>30</v>
      </c>
      <c r="G2686" s="2">
        <v>83632.639999999999</v>
      </c>
      <c r="H2686" s="2">
        <v>52075.69</v>
      </c>
      <c r="I2686" s="2" t="s">
        <v>53</v>
      </c>
      <c r="J2686" s="2" t="s">
        <v>54</v>
      </c>
      <c r="K2686" s="2" t="s">
        <v>32</v>
      </c>
      <c r="L2686" s="2" t="s">
        <v>48</v>
      </c>
      <c r="M2686" s="2">
        <v>3</v>
      </c>
      <c r="N2686" s="2" t="s">
        <v>33</v>
      </c>
      <c r="O2686" s="2" t="s">
        <v>25</v>
      </c>
      <c r="P2686" s="2" t="s">
        <v>26</v>
      </c>
    </row>
    <row r="2687" spans="1:16" x14ac:dyDescent="0.25">
      <c r="A2687" s="2" t="s">
        <v>6011</v>
      </c>
      <c r="B2687" s="2" t="s">
        <v>9674</v>
      </c>
      <c r="C2687" s="2">
        <v>2370</v>
      </c>
      <c r="D2687" s="2" t="s">
        <v>9675</v>
      </c>
      <c r="E2687" s="2" t="s">
        <v>38</v>
      </c>
      <c r="F2687" s="2" t="s">
        <v>39</v>
      </c>
      <c r="G2687" s="2">
        <v>18234.03</v>
      </c>
      <c r="H2687" s="2">
        <v>10547.27</v>
      </c>
      <c r="I2687" s="2" t="s">
        <v>6808</v>
      </c>
      <c r="J2687" s="2" t="s">
        <v>6753</v>
      </c>
      <c r="K2687" s="2" t="s">
        <v>22</v>
      </c>
      <c r="L2687" s="2" t="s">
        <v>88</v>
      </c>
      <c r="M2687" s="2">
        <v>3</v>
      </c>
      <c r="N2687" s="2" t="s">
        <v>24</v>
      </c>
      <c r="O2687" s="2" t="s">
        <v>70</v>
      </c>
      <c r="P2687" s="2" t="s">
        <v>49</v>
      </c>
    </row>
    <row r="2688" spans="1:16" x14ac:dyDescent="0.25">
      <c r="A2688" s="2" t="s">
        <v>6013</v>
      </c>
      <c r="B2688" s="2" t="s">
        <v>3609</v>
      </c>
      <c r="C2688" s="2">
        <v>9489</v>
      </c>
      <c r="D2688" s="2" t="s">
        <v>5030</v>
      </c>
      <c r="E2688" s="2" t="s">
        <v>38</v>
      </c>
      <c r="F2688" s="2" t="s">
        <v>30</v>
      </c>
      <c r="G2688" s="2">
        <v>75354.820000000007</v>
      </c>
      <c r="H2688" s="2">
        <v>39207.67</v>
      </c>
      <c r="I2688" s="2" t="s">
        <v>53</v>
      </c>
      <c r="J2688" s="2" t="s">
        <v>54</v>
      </c>
      <c r="K2688" s="2" t="s">
        <v>80</v>
      </c>
      <c r="L2688" s="2" t="s">
        <v>48</v>
      </c>
      <c r="M2688" s="2">
        <v>3</v>
      </c>
      <c r="N2688" s="2" t="s">
        <v>33</v>
      </c>
      <c r="O2688" s="2" t="s">
        <v>25</v>
      </c>
      <c r="P2688" s="2" t="s">
        <v>26</v>
      </c>
    </row>
    <row r="2689" spans="1:16" x14ac:dyDescent="0.25">
      <c r="A2689" s="2" t="s">
        <v>6015</v>
      </c>
      <c r="B2689" s="2" t="s">
        <v>4085</v>
      </c>
      <c r="C2689" s="2">
        <v>7600</v>
      </c>
      <c r="D2689" s="2" t="s">
        <v>9676</v>
      </c>
      <c r="E2689" s="2" t="s">
        <v>18</v>
      </c>
      <c r="F2689" s="2" t="s">
        <v>30</v>
      </c>
      <c r="G2689" s="2">
        <v>27896.94</v>
      </c>
      <c r="H2689" s="2">
        <v>14846.07</v>
      </c>
      <c r="I2689" s="2" t="s">
        <v>6845</v>
      </c>
      <c r="J2689" s="2" t="s">
        <v>6795</v>
      </c>
      <c r="K2689" s="2" t="s">
        <v>22</v>
      </c>
      <c r="L2689" s="2" t="s">
        <v>55</v>
      </c>
      <c r="M2689" s="2">
        <v>4</v>
      </c>
      <c r="N2689" s="2" t="s">
        <v>33</v>
      </c>
      <c r="O2689" s="2" t="s">
        <v>25</v>
      </c>
      <c r="P2689" s="2" t="s">
        <v>34</v>
      </c>
    </row>
    <row r="2690" spans="1:16" x14ac:dyDescent="0.25">
      <c r="A2690" s="2" t="s">
        <v>6016</v>
      </c>
      <c r="B2690" s="2" t="s">
        <v>6600</v>
      </c>
      <c r="C2690" s="2">
        <v>5619</v>
      </c>
      <c r="D2690" s="2" t="s">
        <v>9677</v>
      </c>
      <c r="E2690" s="2" t="s">
        <v>18</v>
      </c>
      <c r="F2690" s="2" t="s">
        <v>58</v>
      </c>
      <c r="G2690" s="2">
        <v>13012.86</v>
      </c>
      <c r="H2690" s="2">
        <v>7676.79</v>
      </c>
      <c r="I2690" s="2" t="s">
        <v>6690</v>
      </c>
      <c r="J2690" s="2" t="s">
        <v>6753</v>
      </c>
      <c r="K2690" s="2" t="s">
        <v>32</v>
      </c>
      <c r="L2690" s="2" t="s">
        <v>23</v>
      </c>
      <c r="M2690" s="2">
        <v>2</v>
      </c>
      <c r="N2690" s="2" t="s">
        <v>33</v>
      </c>
      <c r="O2690" s="2" t="s">
        <v>25</v>
      </c>
      <c r="P2690" s="2" t="s">
        <v>34</v>
      </c>
    </row>
    <row r="2691" spans="1:16" x14ac:dyDescent="0.25">
      <c r="A2691" s="2" t="s">
        <v>6017</v>
      </c>
      <c r="B2691" s="2" t="s">
        <v>9678</v>
      </c>
      <c r="C2691" s="2">
        <v>7771</v>
      </c>
      <c r="D2691" s="2" t="s">
        <v>4437</v>
      </c>
      <c r="E2691" s="2" t="s">
        <v>6719</v>
      </c>
      <c r="F2691" s="2" t="s">
        <v>47</v>
      </c>
      <c r="G2691" s="2">
        <v>3445.23</v>
      </c>
      <c r="H2691" s="2">
        <v>1629.23</v>
      </c>
      <c r="I2691" s="2" t="s">
        <v>6771</v>
      </c>
      <c r="J2691" s="2" t="s">
        <v>21</v>
      </c>
      <c r="K2691" s="2" t="s">
        <v>42</v>
      </c>
      <c r="L2691" s="2" t="s">
        <v>55</v>
      </c>
      <c r="M2691" s="2">
        <v>1</v>
      </c>
      <c r="N2691" s="2" t="s">
        <v>33</v>
      </c>
      <c r="O2691" s="2" t="s">
        <v>25</v>
      </c>
      <c r="P2691" s="2" t="s">
        <v>34</v>
      </c>
    </row>
    <row r="2692" spans="1:16" x14ac:dyDescent="0.25">
      <c r="A2692" s="2" t="s">
        <v>6019</v>
      </c>
      <c r="B2692" s="2" t="s">
        <v>710</v>
      </c>
      <c r="C2692" s="2">
        <v>7591</v>
      </c>
      <c r="D2692" s="2" t="s">
        <v>9679</v>
      </c>
      <c r="E2692" s="2" t="s">
        <v>38</v>
      </c>
      <c r="F2692" s="2" t="s">
        <v>47</v>
      </c>
      <c r="G2692" s="2">
        <v>5696.43</v>
      </c>
      <c r="H2692" s="2">
        <v>3022.76</v>
      </c>
      <c r="I2692" s="2" t="s">
        <v>53</v>
      </c>
      <c r="J2692" s="2" t="s">
        <v>54</v>
      </c>
      <c r="K2692" s="2" t="s">
        <v>32</v>
      </c>
      <c r="L2692" s="2" t="s">
        <v>48</v>
      </c>
      <c r="M2692" s="2">
        <v>3</v>
      </c>
      <c r="N2692" s="2" t="s">
        <v>33</v>
      </c>
      <c r="O2692" s="2" t="s">
        <v>25</v>
      </c>
      <c r="P2692" s="2" t="s">
        <v>49</v>
      </c>
    </row>
    <row r="2693" spans="1:16" x14ac:dyDescent="0.25">
      <c r="A2693" s="2" t="s">
        <v>6020</v>
      </c>
      <c r="B2693" s="2" t="s">
        <v>8981</v>
      </c>
      <c r="C2693" s="2">
        <v>8564</v>
      </c>
      <c r="D2693" s="2" t="s">
        <v>9680</v>
      </c>
      <c r="E2693" s="2" t="s">
        <v>38</v>
      </c>
      <c r="F2693" s="2" t="s">
        <v>30</v>
      </c>
      <c r="G2693" s="2">
        <v>31693.89</v>
      </c>
      <c r="H2693" s="2">
        <v>14425.83</v>
      </c>
      <c r="I2693" s="2" t="s">
        <v>31</v>
      </c>
      <c r="J2693" s="2" t="s">
        <v>21</v>
      </c>
      <c r="K2693" s="2" t="s">
        <v>22</v>
      </c>
      <c r="L2693" s="2" t="s">
        <v>88</v>
      </c>
      <c r="M2693" s="2">
        <v>4</v>
      </c>
      <c r="N2693" s="2" t="s">
        <v>24</v>
      </c>
      <c r="O2693" s="2" t="s">
        <v>25</v>
      </c>
      <c r="P2693" s="2" t="s">
        <v>34</v>
      </c>
    </row>
    <row r="2694" spans="1:16" x14ac:dyDescent="0.25">
      <c r="A2694" s="2" t="s">
        <v>6022</v>
      </c>
      <c r="B2694" s="2" t="s">
        <v>2088</v>
      </c>
      <c r="C2694" s="2">
        <v>9338</v>
      </c>
      <c r="D2694" s="2" t="s">
        <v>1730</v>
      </c>
      <c r="E2694" s="2" t="s">
        <v>38</v>
      </c>
      <c r="F2694" s="2" t="s">
        <v>58</v>
      </c>
      <c r="G2694" s="2">
        <v>12146.03</v>
      </c>
      <c r="H2694" s="2">
        <v>6211.09</v>
      </c>
      <c r="I2694" s="2" t="s">
        <v>120</v>
      </c>
      <c r="J2694" s="2" t="s">
        <v>21</v>
      </c>
      <c r="K2694" s="2" t="s">
        <v>32</v>
      </c>
      <c r="L2694" s="2" t="s">
        <v>64</v>
      </c>
      <c r="M2694" s="2">
        <v>5</v>
      </c>
      <c r="N2694" s="2" t="s">
        <v>69</v>
      </c>
      <c r="O2694" s="2" t="s">
        <v>25</v>
      </c>
      <c r="P2694" s="2" t="s">
        <v>34</v>
      </c>
    </row>
    <row r="2695" spans="1:16" x14ac:dyDescent="0.25">
      <c r="A2695" s="2" t="s">
        <v>6025</v>
      </c>
      <c r="B2695" s="2" t="s">
        <v>1456</v>
      </c>
      <c r="C2695" s="2">
        <v>2958</v>
      </c>
      <c r="D2695" s="2" t="s">
        <v>9681</v>
      </c>
      <c r="E2695" s="2" t="s">
        <v>6694</v>
      </c>
      <c r="F2695" s="2" t="s">
        <v>19</v>
      </c>
      <c r="G2695" s="2">
        <v>14104.81</v>
      </c>
      <c r="H2695" s="2">
        <v>7831.22</v>
      </c>
      <c r="I2695" s="2" t="s">
        <v>6752</v>
      </c>
      <c r="J2695" s="2" t="s">
        <v>6753</v>
      </c>
      <c r="K2695" s="2" t="s">
        <v>80</v>
      </c>
      <c r="L2695" s="2" t="s">
        <v>48</v>
      </c>
      <c r="M2695" s="2">
        <v>4</v>
      </c>
      <c r="N2695" s="2" t="s">
        <v>24</v>
      </c>
      <c r="O2695" s="2" t="s">
        <v>25</v>
      </c>
      <c r="P2695" s="2" t="s">
        <v>34</v>
      </c>
    </row>
    <row r="2696" spans="1:16" x14ac:dyDescent="0.25">
      <c r="A2696" s="2" t="s">
        <v>6027</v>
      </c>
      <c r="B2696" s="2" t="s">
        <v>6805</v>
      </c>
      <c r="C2696" s="2">
        <v>4970</v>
      </c>
      <c r="D2696" s="2" t="s">
        <v>9682</v>
      </c>
      <c r="E2696" s="2" t="s">
        <v>18</v>
      </c>
      <c r="F2696" s="2" t="s">
        <v>39</v>
      </c>
      <c r="G2696" s="2">
        <v>26380.68</v>
      </c>
      <c r="H2696" s="2">
        <v>16248.02</v>
      </c>
      <c r="I2696" s="2" t="s">
        <v>40</v>
      </c>
      <c r="J2696" s="2" t="s">
        <v>41</v>
      </c>
      <c r="K2696" s="2" t="s">
        <v>22</v>
      </c>
      <c r="L2696" s="2" t="s">
        <v>88</v>
      </c>
      <c r="M2696" s="2">
        <v>4</v>
      </c>
      <c r="N2696" s="2" t="s">
        <v>24</v>
      </c>
      <c r="O2696" s="2" t="s">
        <v>70</v>
      </c>
      <c r="P2696" s="2" t="s">
        <v>26</v>
      </c>
    </row>
    <row r="2697" spans="1:16" x14ac:dyDescent="0.25">
      <c r="A2697" s="2" t="s">
        <v>6030</v>
      </c>
      <c r="B2697" s="2" t="s">
        <v>9683</v>
      </c>
      <c r="C2697" s="2">
        <v>8179</v>
      </c>
      <c r="D2697" s="2" t="s">
        <v>9684</v>
      </c>
      <c r="E2697" s="2" t="s">
        <v>38</v>
      </c>
      <c r="F2697" s="2" t="s">
        <v>19</v>
      </c>
      <c r="G2697" s="2">
        <v>15916.53</v>
      </c>
      <c r="H2697" s="2">
        <v>7257.61</v>
      </c>
      <c r="I2697" s="2" t="s">
        <v>120</v>
      </c>
      <c r="J2697" s="2" t="s">
        <v>21</v>
      </c>
      <c r="K2697" s="2" t="s">
        <v>80</v>
      </c>
      <c r="L2697" s="2" t="s">
        <v>43</v>
      </c>
      <c r="M2697" s="2">
        <v>1</v>
      </c>
      <c r="N2697" s="2" t="s">
        <v>24</v>
      </c>
      <c r="O2697" s="2" t="s">
        <v>25</v>
      </c>
      <c r="P2697" s="2" t="s">
        <v>26</v>
      </c>
    </row>
    <row r="2698" spans="1:16" x14ac:dyDescent="0.25">
      <c r="A2698" s="2" t="s">
        <v>6032</v>
      </c>
      <c r="B2698" s="2" t="s">
        <v>3001</v>
      </c>
      <c r="C2698" s="2">
        <v>8945</v>
      </c>
      <c r="D2698" s="2" t="s">
        <v>9685</v>
      </c>
      <c r="E2698" s="2" t="s">
        <v>6756</v>
      </c>
      <c r="F2698" s="2" t="s">
        <v>39</v>
      </c>
      <c r="G2698" s="2">
        <v>8863.84</v>
      </c>
      <c r="H2698" s="2">
        <v>5634.05</v>
      </c>
      <c r="I2698" s="2" t="s">
        <v>6845</v>
      </c>
      <c r="J2698" s="2" t="s">
        <v>6724</v>
      </c>
      <c r="K2698" s="2" t="s">
        <v>22</v>
      </c>
      <c r="L2698" s="2" t="s">
        <v>23</v>
      </c>
      <c r="M2698" s="2">
        <v>4</v>
      </c>
      <c r="N2698" s="2" t="s">
        <v>33</v>
      </c>
      <c r="O2698" s="2" t="s">
        <v>25</v>
      </c>
      <c r="P2698" s="2" t="s">
        <v>26</v>
      </c>
    </row>
    <row r="2699" spans="1:16" x14ac:dyDescent="0.25">
      <c r="A2699" s="2" t="s">
        <v>6034</v>
      </c>
      <c r="B2699" s="2" t="s">
        <v>4518</v>
      </c>
      <c r="C2699" s="2">
        <v>3663</v>
      </c>
      <c r="D2699" s="2" t="s">
        <v>9686</v>
      </c>
      <c r="E2699" s="2" t="s">
        <v>6719</v>
      </c>
      <c r="F2699" s="2" t="s">
        <v>39</v>
      </c>
      <c r="G2699" s="2">
        <v>42110.239999999998</v>
      </c>
      <c r="H2699" s="2">
        <v>19830.599999999999</v>
      </c>
      <c r="I2699" s="2" t="s">
        <v>6720</v>
      </c>
      <c r="J2699" s="2" t="s">
        <v>6729</v>
      </c>
      <c r="K2699" s="2" t="s">
        <v>80</v>
      </c>
      <c r="L2699" s="2" t="s">
        <v>88</v>
      </c>
      <c r="M2699" s="2">
        <v>5</v>
      </c>
      <c r="N2699" s="2" t="s">
        <v>33</v>
      </c>
      <c r="O2699" s="2" t="s">
        <v>25</v>
      </c>
      <c r="P2699" s="2" t="s">
        <v>49</v>
      </c>
    </row>
    <row r="2700" spans="1:16" x14ac:dyDescent="0.25">
      <c r="A2700" s="2" t="s">
        <v>6036</v>
      </c>
      <c r="B2700" s="2" t="s">
        <v>9687</v>
      </c>
      <c r="C2700" s="2">
        <v>4028</v>
      </c>
      <c r="D2700" s="2" t="s">
        <v>9688</v>
      </c>
      <c r="E2700" s="2" t="s">
        <v>18</v>
      </c>
      <c r="F2700" s="2" t="s">
        <v>30</v>
      </c>
      <c r="G2700" s="2">
        <v>16058.91</v>
      </c>
      <c r="H2700" s="2">
        <v>7460.47</v>
      </c>
      <c r="I2700" s="2" t="s">
        <v>63</v>
      </c>
      <c r="J2700" s="2" t="s">
        <v>6686</v>
      </c>
      <c r="K2700" s="2" t="s">
        <v>80</v>
      </c>
      <c r="L2700" s="2" t="s">
        <v>88</v>
      </c>
      <c r="M2700" s="2">
        <v>5</v>
      </c>
      <c r="N2700" s="2" t="s">
        <v>33</v>
      </c>
      <c r="O2700" s="2" t="s">
        <v>25</v>
      </c>
      <c r="P2700" s="2" t="s">
        <v>34</v>
      </c>
    </row>
    <row r="2701" spans="1:16" x14ac:dyDescent="0.25">
      <c r="A2701" s="2" t="s">
        <v>6039</v>
      </c>
      <c r="B2701" s="2" t="s">
        <v>954</v>
      </c>
      <c r="C2701" s="2">
        <v>8194</v>
      </c>
      <c r="D2701" s="2" t="s">
        <v>8520</v>
      </c>
      <c r="E2701" s="2" t="s">
        <v>18</v>
      </c>
      <c r="F2701" s="2" t="s">
        <v>39</v>
      </c>
      <c r="G2701" s="2">
        <v>26688.880000000001</v>
      </c>
      <c r="H2701" s="2">
        <v>12303.28</v>
      </c>
      <c r="I2701" s="2" t="s">
        <v>53</v>
      </c>
      <c r="J2701" s="2" t="s">
        <v>54</v>
      </c>
      <c r="K2701" s="2" t="s">
        <v>32</v>
      </c>
      <c r="L2701" s="2" t="s">
        <v>23</v>
      </c>
      <c r="M2701" s="2">
        <v>1</v>
      </c>
      <c r="N2701" s="2" t="s">
        <v>24</v>
      </c>
      <c r="O2701" s="2" t="s">
        <v>25</v>
      </c>
      <c r="P2701" s="2" t="s">
        <v>49</v>
      </c>
    </row>
    <row r="2702" spans="1:16" x14ac:dyDescent="0.25">
      <c r="A2702" s="2" t="s">
        <v>6041</v>
      </c>
      <c r="B2702" s="2" t="s">
        <v>9025</v>
      </c>
      <c r="C2702" s="2">
        <v>1682</v>
      </c>
      <c r="D2702" s="2" t="s">
        <v>9689</v>
      </c>
      <c r="E2702" s="2" t="s">
        <v>38</v>
      </c>
      <c r="F2702" s="2" t="s">
        <v>58</v>
      </c>
      <c r="G2702" s="2">
        <v>51328.35</v>
      </c>
      <c r="H2702" s="2">
        <v>27083.59</v>
      </c>
      <c r="I2702" s="2" t="s">
        <v>20</v>
      </c>
      <c r="J2702" s="2" t="s">
        <v>21</v>
      </c>
      <c r="K2702" s="2" t="s">
        <v>22</v>
      </c>
      <c r="L2702" s="2" t="s">
        <v>48</v>
      </c>
      <c r="M2702" s="2">
        <v>3</v>
      </c>
      <c r="N2702" s="2" t="s">
        <v>69</v>
      </c>
      <c r="O2702" s="2" t="s">
        <v>25</v>
      </c>
      <c r="P2702" s="2" t="s">
        <v>34</v>
      </c>
    </row>
    <row r="2703" spans="1:16" x14ac:dyDescent="0.25">
      <c r="A2703" s="2" t="s">
        <v>6043</v>
      </c>
      <c r="B2703" s="2" t="s">
        <v>9049</v>
      </c>
      <c r="C2703" s="2">
        <v>1446</v>
      </c>
      <c r="D2703" s="2" t="s">
        <v>9690</v>
      </c>
      <c r="E2703" s="2" t="s">
        <v>6703</v>
      </c>
      <c r="F2703" s="2" t="s">
        <v>39</v>
      </c>
      <c r="G2703" s="2">
        <v>49840.7</v>
      </c>
      <c r="H2703" s="2">
        <v>29180.82</v>
      </c>
      <c r="I2703" s="2" t="s">
        <v>6728</v>
      </c>
      <c r="J2703" s="2" t="s">
        <v>54</v>
      </c>
      <c r="K2703" s="2" t="s">
        <v>22</v>
      </c>
      <c r="L2703" s="2" t="s">
        <v>43</v>
      </c>
      <c r="M2703" s="2">
        <v>5</v>
      </c>
      <c r="N2703" s="2" t="s">
        <v>33</v>
      </c>
      <c r="O2703" s="2" t="s">
        <v>25</v>
      </c>
      <c r="P2703" s="2" t="s">
        <v>26</v>
      </c>
    </row>
    <row r="2704" spans="1:16" x14ac:dyDescent="0.25">
      <c r="A2704" s="2" t="s">
        <v>6045</v>
      </c>
      <c r="B2704" s="2" t="s">
        <v>336</v>
      </c>
      <c r="C2704" s="2">
        <v>7165</v>
      </c>
      <c r="D2704" s="2" t="s">
        <v>9691</v>
      </c>
      <c r="E2704" s="2" t="s">
        <v>38</v>
      </c>
      <c r="F2704" s="2" t="s">
        <v>19</v>
      </c>
      <c r="G2704" s="2">
        <v>11304.83</v>
      </c>
      <c r="H2704" s="2">
        <v>5491.51</v>
      </c>
      <c r="I2704" s="2" t="s">
        <v>68</v>
      </c>
      <c r="J2704" s="2" t="s">
        <v>41</v>
      </c>
      <c r="K2704" s="2" t="s">
        <v>80</v>
      </c>
      <c r="L2704" s="2" t="s">
        <v>55</v>
      </c>
      <c r="M2704" s="2">
        <v>3</v>
      </c>
      <c r="N2704" s="2" t="s">
        <v>24</v>
      </c>
      <c r="O2704" s="2" t="s">
        <v>25</v>
      </c>
      <c r="P2704" s="2" t="s">
        <v>26</v>
      </c>
    </row>
    <row r="2706" spans="1:16" x14ac:dyDescent="0.25">
      <c r="A2706" s="2" t="s">
        <v>6047</v>
      </c>
      <c r="B2706" s="2" t="s">
        <v>8008</v>
      </c>
      <c r="C2706" s="2">
        <v>1764</v>
      </c>
      <c r="D2706" s="2" t="s">
        <v>9692</v>
      </c>
      <c r="E2706" s="2" t="s">
        <v>6680</v>
      </c>
      <c r="F2706" s="2" t="s">
        <v>39</v>
      </c>
      <c r="G2706" s="2">
        <v>12036.52</v>
      </c>
      <c r="H2706" s="2">
        <v>7318.27</v>
      </c>
      <c r="I2706" s="2" t="s">
        <v>6910</v>
      </c>
      <c r="J2706" s="2" t="s">
        <v>6802</v>
      </c>
      <c r="K2706" s="2" t="s">
        <v>22</v>
      </c>
      <c r="L2706" s="2" t="s">
        <v>64</v>
      </c>
      <c r="M2706" s="2">
        <v>4</v>
      </c>
      <c r="N2706" s="2" t="s">
        <v>33</v>
      </c>
      <c r="O2706" s="2" t="s">
        <v>25</v>
      </c>
      <c r="P2706" s="2" t="s">
        <v>34</v>
      </c>
    </row>
    <row r="2707" spans="1:16" x14ac:dyDescent="0.25">
      <c r="A2707" s="2" t="s">
        <v>6049</v>
      </c>
      <c r="B2707" s="2" t="s">
        <v>2365</v>
      </c>
      <c r="C2707" s="2">
        <v>2344</v>
      </c>
      <c r="D2707" s="2" t="s">
        <v>5090</v>
      </c>
      <c r="E2707" s="2" t="s">
        <v>38</v>
      </c>
      <c r="F2707" s="2" t="s">
        <v>47</v>
      </c>
      <c r="G2707" s="2">
        <v>10346.120000000001</v>
      </c>
      <c r="H2707" s="2">
        <v>6692.86</v>
      </c>
      <c r="I2707" s="2" t="s">
        <v>120</v>
      </c>
      <c r="J2707" s="2" t="s">
        <v>21</v>
      </c>
      <c r="K2707" s="2" t="s">
        <v>80</v>
      </c>
      <c r="L2707" s="2" t="s">
        <v>48</v>
      </c>
      <c r="M2707" s="2">
        <v>5</v>
      </c>
      <c r="N2707" s="2" t="s">
        <v>24</v>
      </c>
      <c r="O2707" s="2" t="s">
        <v>25</v>
      </c>
      <c r="P2707" s="2" t="s">
        <v>49</v>
      </c>
    </row>
    <row r="2708" spans="1:16" x14ac:dyDescent="0.25">
      <c r="A2708" s="2" t="s">
        <v>6052</v>
      </c>
      <c r="B2708" s="2" t="s">
        <v>9693</v>
      </c>
      <c r="C2708" s="2">
        <v>6735</v>
      </c>
      <c r="D2708" s="2" t="s">
        <v>9694</v>
      </c>
      <c r="E2708" s="2" t="s">
        <v>18</v>
      </c>
      <c r="F2708" s="2" t="s">
        <v>58</v>
      </c>
      <c r="G2708" s="2">
        <v>41775.589999999997</v>
      </c>
      <c r="H2708" s="2">
        <v>23649.45</v>
      </c>
      <c r="I2708" s="2" t="s">
        <v>6915</v>
      </c>
      <c r="J2708" s="2" t="s">
        <v>6696</v>
      </c>
      <c r="K2708" s="2" t="s">
        <v>32</v>
      </c>
      <c r="L2708" s="2" t="s">
        <v>43</v>
      </c>
      <c r="M2708" s="2">
        <v>2</v>
      </c>
      <c r="N2708" s="2" t="s">
        <v>33</v>
      </c>
      <c r="O2708" s="2" t="s">
        <v>70</v>
      </c>
      <c r="P2708" s="2" t="s">
        <v>26</v>
      </c>
    </row>
    <row r="2709" spans="1:16" x14ac:dyDescent="0.25">
      <c r="A2709" s="2" t="s">
        <v>6054</v>
      </c>
      <c r="B2709" s="2" t="s">
        <v>9695</v>
      </c>
      <c r="C2709" s="2">
        <v>5565</v>
      </c>
      <c r="D2709" s="2" t="s">
        <v>9696</v>
      </c>
      <c r="E2709" s="2" t="s">
        <v>6698</v>
      </c>
      <c r="F2709" s="2" t="s">
        <v>39</v>
      </c>
      <c r="G2709" s="2">
        <v>21346.32</v>
      </c>
      <c r="H2709" s="2">
        <v>11355.23</v>
      </c>
      <c r="I2709" s="2" t="s">
        <v>6918</v>
      </c>
      <c r="J2709" s="2" t="s">
        <v>6724</v>
      </c>
      <c r="K2709" s="2" t="s">
        <v>42</v>
      </c>
      <c r="L2709" s="2" t="s">
        <v>55</v>
      </c>
      <c r="M2709" s="2">
        <v>2</v>
      </c>
      <c r="N2709" s="2" t="s">
        <v>33</v>
      </c>
      <c r="O2709" s="2" t="s">
        <v>25</v>
      </c>
      <c r="P2709" s="2" t="s">
        <v>49</v>
      </c>
    </row>
    <row r="2710" spans="1:16" x14ac:dyDescent="0.25">
      <c r="A2710" s="2" t="s">
        <v>6056</v>
      </c>
      <c r="B2710" s="2" t="s">
        <v>9697</v>
      </c>
      <c r="C2710" s="2">
        <v>2978</v>
      </c>
      <c r="D2710" s="2" t="s">
        <v>9698</v>
      </c>
      <c r="E2710" s="2" t="s">
        <v>6748</v>
      </c>
      <c r="F2710" s="2" t="s">
        <v>19</v>
      </c>
      <c r="G2710" s="2">
        <v>15202.89</v>
      </c>
      <c r="H2710" s="2">
        <v>7076.64</v>
      </c>
      <c r="I2710" s="2" t="s">
        <v>6915</v>
      </c>
      <c r="J2710" s="2" t="s">
        <v>6696</v>
      </c>
      <c r="K2710" s="2" t="s">
        <v>80</v>
      </c>
      <c r="L2710" s="2" t="s">
        <v>43</v>
      </c>
      <c r="M2710" s="2">
        <v>1</v>
      </c>
      <c r="N2710" s="2" t="s">
        <v>33</v>
      </c>
      <c r="O2710" s="2" t="s">
        <v>70</v>
      </c>
      <c r="P2710" s="2" t="s">
        <v>26</v>
      </c>
    </row>
    <row r="2711" spans="1:16" x14ac:dyDescent="0.25">
      <c r="A2711" s="2" t="s">
        <v>6059</v>
      </c>
      <c r="B2711" s="2" t="s">
        <v>633</v>
      </c>
      <c r="C2711" s="2">
        <v>9016</v>
      </c>
      <c r="D2711" s="2" t="s">
        <v>9699</v>
      </c>
      <c r="E2711" s="2" t="s">
        <v>38</v>
      </c>
      <c r="F2711" s="2" t="s">
        <v>19</v>
      </c>
      <c r="G2711" s="2">
        <v>24104.48</v>
      </c>
      <c r="H2711" s="2">
        <v>11651.9</v>
      </c>
      <c r="I2711" s="2" t="s">
        <v>84</v>
      </c>
      <c r="J2711" s="2" t="s">
        <v>54</v>
      </c>
      <c r="K2711" s="2" t="s">
        <v>80</v>
      </c>
      <c r="L2711" s="2" t="s">
        <v>64</v>
      </c>
      <c r="M2711" s="2">
        <v>1</v>
      </c>
      <c r="N2711" s="2" t="s">
        <v>33</v>
      </c>
      <c r="O2711" s="2" t="s">
        <v>25</v>
      </c>
      <c r="P2711" s="2" t="s">
        <v>34</v>
      </c>
    </row>
    <row r="2712" spans="1:16" x14ac:dyDescent="0.25">
      <c r="A2712" s="2" t="s">
        <v>6060</v>
      </c>
      <c r="B2712" s="2" t="s">
        <v>9700</v>
      </c>
      <c r="C2712" s="2">
        <v>5399</v>
      </c>
      <c r="D2712" s="2" t="s">
        <v>9701</v>
      </c>
      <c r="E2712" s="2" t="s">
        <v>6708</v>
      </c>
      <c r="F2712" s="2" t="s">
        <v>47</v>
      </c>
      <c r="G2712" s="2">
        <v>13853.46</v>
      </c>
      <c r="H2712" s="2">
        <v>8474.15</v>
      </c>
      <c r="I2712" s="2" t="s">
        <v>6704</v>
      </c>
      <c r="J2712" s="2" t="s">
        <v>6732</v>
      </c>
      <c r="K2712" s="2" t="s">
        <v>22</v>
      </c>
      <c r="L2712" s="2" t="s">
        <v>88</v>
      </c>
      <c r="M2712" s="2">
        <v>5</v>
      </c>
      <c r="N2712" s="2" t="s">
        <v>24</v>
      </c>
      <c r="O2712" s="2" t="s">
        <v>70</v>
      </c>
      <c r="P2712" s="2" t="s">
        <v>26</v>
      </c>
    </row>
    <row r="2713" spans="1:16" x14ac:dyDescent="0.25">
      <c r="A2713" s="2" t="s">
        <v>6061</v>
      </c>
      <c r="B2713" s="2" t="s">
        <v>3427</v>
      </c>
      <c r="C2713" s="2">
        <v>2167</v>
      </c>
      <c r="D2713" s="2" t="s">
        <v>9702</v>
      </c>
      <c r="E2713" s="2" t="s">
        <v>6694</v>
      </c>
      <c r="F2713" s="2" t="s">
        <v>47</v>
      </c>
      <c r="G2713" s="2">
        <v>3980.96</v>
      </c>
      <c r="H2713" s="2">
        <v>2182.67</v>
      </c>
      <c r="I2713" s="2" t="s">
        <v>20</v>
      </c>
      <c r="J2713" s="2" t="s">
        <v>6724</v>
      </c>
      <c r="K2713" s="2" t="s">
        <v>42</v>
      </c>
      <c r="L2713" s="2" t="s">
        <v>55</v>
      </c>
      <c r="M2713" s="2">
        <v>2</v>
      </c>
      <c r="N2713" s="2" t="s">
        <v>33</v>
      </c>
      <c r="O2713" s="2" t="s">
        <v>70</v>
      </c>
      <c r="P2713" s="2" t="s">
        <v>49</v>
      </c>
    </row>
    <row r="2714" spans="1:16" x14ac:dyDescent="0.25">
      <c r="A2714" s="2" t="s">
        <v>6063</v>
      </c>
      <c r="B2714" s="2" t="s">
        <v>2335</v>
      </c>
      <c r="C2714" s="2">
        <v>6704</v>
      </c>
      <c r="D2714" s="2" t="s">
        <v>3437</v>
      </c>
      <c r="E2714" s="2" t="s">
        <v>6756</v>
      </c>
      <c r="F2714" s="2" t="s">
        <v>19</v>
      </c>
      <c r="G2714" s="2">
        <v>9707.91</v>
      </c>
      <c r="H2714" s="2">
        <v>4505.8100000000004</v>
      </c>
      <c r="I2714" s="2" t="s">
        <v>6723</v>
      </c>
      <c r="J2714" s="2" t="s">
        <v>6802</v>
      </c>
      <c r="K2714" s="2" t="s">
        <v>80</v>
      </c>
      <c r="L2714" s="2" t="s">
        <v>88</v>
      </c>
      <c r="M2714" s="2">
        <v>4</v>
      </c>
      <c r="N2714" s="2" t="s">
        <v>69</v>
      </c>
      <c r="O2714" s="2" t="s">
        <v>25</v>
      </c>
      <c r="P2714" s="2" t="s">
        <v>34</v>
      </c>
    </row>
    <row r="2715" spans="1:16" x14ac:dyDescent="0.25">
      <c r="A2715" s="2" t="s">
        <v>6065</v>
      </c>
      <c r="B2715" s="2" t="s">
        <v>1914</v>
      </c>
      <c r="C2715" s="2">
        <v>4859</v>
      </c>
      <c r="D2715" s="2" t="s">
        <v>7045</v>
      </c>
      <c r="E2715" s="2" t="s">
        <v>6719</v>
      </c>
      <c r="F2715" s="2" t="s">
        <v>47</v>
      </c>
      <c r="G2715" s="2">
        <v>11866.67</v>
      </c>
      <c r="H2715" s="2">
        <v>6525.84</v>
      </c>
      <c r="I2715" s="2" t="s">
        <v>6759</v>
      </c>
      <c r="J2715" s="2" t="s">
        <v>6686</v>
      </c>
      <c r="K2715" s="2" t="s">
        <v>32</v>
      </c>
      <c r="L2715" s="2" t="s">
        <v>23</v>
      </c>
      <c r="M2715" s="2">
        <v>3</v>
      </c>
      <c r="N2715" s="2" t="s">
        <v>33</v>
      </c>
      <c r="O2715" s="2" t="s">
        <v>25</v>
      </c>
      <c r="P2715" s="2" t="s">
        <v>26</v>
      </c>
    </row>
    <row r="2716" spans="1:16" x14ac:dyDescent="0.25">
      <c r="A2716" s="2" t="s">
        <v>6067</v>
      </c>
      <c r="B2716" s="2" t="s">
        <v>9703</v>
      </c>
      <c r="C2716" s="2">
        <v>7648</v>
      </c>
      <c r="D2716" s="2" t="s">
        <v>9704</v>
      </c>
      <c r="E2716" s="2" t="s">
        <v>6708</v>
      </c>
      <c r="F2716" s="2" t="s">
        <v>30</v>
      </c>
      <c r="G2716" s="2">
        <v>88567.22</v>
      </c>
      <c r="H2716" s="2">
        <v>40273.21</v>
      </c>
      <c r="I2716" s="2" t="s">
        <v>84</v>
      </c>
      <c r="J2716" s="2" t="s">
        <v>6691</v>
      </c>
      <c r="K2716" s="2" t="s">
        <v>22</v>
      </c>
      <c r="L2716" s="2" t="s">
        <v>64</v>
      </c>
      <c r="M2716" s="2">
        <v>5</v>
      </c>
      <c r="N2716" s="2" t="s">
        <v>33</v>
      </c>
      <c r="O2716" s="2" t="s">
        <v>25</v>
      </c>
      <c r="P2716" s="2" t="s">
        <v>26</v>
      </c>
    </row>
    <row r="2717" spans="1:16" x14ac:dyDescent="0.25">
      <c r="A2717" s="2" t="s">
        <v>6068</v>
      </c>
      <c r="B2717" s="2" t="s">
        <v>9705</v>
      </c>
      <c r="C2717" s="2">
        <v>3545</v>
      </c>
      <c r="D2717" s="2" t="s">
        <v>9706</v>
      </c>
      <c r="E2717" s="2" t="s">
        <v>6694</v>
      </c>
      <c r="F2717" s="2" t="s">
        <v>19</v>
      </c>
      <c r="G2717" s="2">
        <v>6214.95</v>
      </c>
      <c r="H2717" s="2">
        <v>3072.82</v>
      </c>
      <c r="I2717" s="2" t="s">
        <v>6728</v>
      </c>
      <c r="J2717" s="2" t="s">
        <v>6691</v>
      </c>
      <c r="K2717" s="2" t="s">
        <v>22</v>
      </c>
      <c r="L2717" s="2" t="s">
        <v>88</v>
      </c>
      <c r="M2717" s="2">
        <v>2</v>
      </c>
      <c r="N2717" s="2" t="s">
        <v>24</v>
      </c>
      <c r="O2717" s="2" t="s">
        <v>25</v>
      </c>
      <c r="P2717" s="2" t="s">
        <v>34</v>
      </c>
    </row>
    <row r="2718" spans="1:16" x14ac:dyDescent="0.25">
      <c r="A2718" s="2" t="s">
        <v>6070</v>
      </c>
      <c r="B2718" s="2" t="s">
        <v>2796</v>
      </c>
      <c r="C2718" s="2">
        <v>5560</v>
      </c>
      <c r="D2718" s="2" t="s">
        <v>9707</v>
      </c>
      <c r="E2718" s="2" t="s">
        <v>38</v>
      </c>
      <c r="F2718" s="2" t="s">
        <v>19</v>
      </c>
      <c r="G2718" s="2">
        <v>10905.64</v>
      </c>
      <c r="H2718" s="2">
        <v>5995.37</v>
      </c>
      <c r="I2718" s="2" t="s">
        <v>63</v>
      </c>
      <c r="J2718" s="2" t="s">
        <v>54</v>
      </c>
      <c r="K2718" s="2" t="s">
        <v>80</v>
      </c>
      <c r="L2718" s="2" t="s">
        <v>48</v>
      </c>
      <c r="M2718" s="2">
        <v>2</v>
      </c>
      <c r="N2718" s="2" t="s">
        <v>24</v>
      </c>
      <c r="O2718" s="2" t="s">
        <v>70</v>
      </c>
      <c r="P2718" s="2" t="s">
        <v>26</v>
      </c>
    </row>
    <row r="2719" spans="1:16" x14ac:dyDescent="0.25">
      <c r="A2719" s="2" t="s">
        <v>6071</v>
      </c>
      <c r="B2719" s="2" t="s">
        <v>1191</v>
      </c>
      <c r="C2719" s="2">
        <v>8722</v>
      </c>
      <c r="D2719" s="2" t="s">
        <v>9708</v>
      </c>
      <c r="E2719" s="2" t="s">
        <v>18</v>
      </c>
      <c r="F2719" s="2" t="s">
        <v>58</v>
      </c>
      <c r="G2719" s="2">
        <v>46917</v>
      </c>
      <c r="H2719" s="2">
        <v>25945.67</v>
      </c>
      <c r="I2719" s="2" t="s">
        <v>31</v>
      </c>
      <c r="J2719" s="2" t="s">
        <v>21</v>
      </c>
      <c r="K2719" s="2" t="s">
        <v>42</v>
      </c>
      <c r="L2719" s="2" t="s">
        <v>43</v>
      </c>
      <c r="M2719" s="2">
        <v>5</v>
      </c>
      <c r="N2719" s="2" t="s">
        <v>33</v>
      </c>
      <c r="O2719" s="2" t="s">
        <v>70</v>
      </c>
      <c r="P2719" s="2" t="s">
        <v>34</v>
      </c>
    </row>
    <row r="2720" spans="1:16" x14ac:dyDescent="0.25">
      <c r="A2720" s="2" t="s">
        <v>6074</v>
      </c>
      <c r="B2720" s="2" t="s">
        <v>9709</v>
      </c>
      <c r="C2720" s="2">
        <v>9753</v>
      </c>
      <c r="D2720" s="2" t="s">
        <v>9710</v>
      </c>
      <c r="E2720" s="2" t="s">
        <v>6703</v>
      </c>
      <c r="F2720" s="2" t="s">
        <v>30</v>
      </c>
      <c r="G2720" s="2">
        <v>35859.83</v>
      </c>
      <c r="H2720" s="2">
        <v>20619.189999999999</v>
      </c>
      <c r="I2720" s="2" t="s">
        <v>6723</v>
      </c>
      <c r="J2720" s="2" t="s">
        <v>6696</v>
      </c>
      <c r="K2720" s="2" t="s">
        <v>32</v>
      </c>
      <c r="L2720" s="2" t="s">
        <v>64</v>
      </c>
      <c r="M2720" s="2">
        <v>2</v>
      </c>
      <c r="N2720" s="2" t="s">
        <v>33</v>
      </c>
      <c r="O2720" s="2" t="s">
        <v>70</v>
      </c>
      <c r="P2720" s="2" t="s">
        <v>34</v>
      </c>
    </row>
    <row r="2721" spans="1:16" x14ac:dyDescent="0.25">
      <c r="A2721" s="2" t="s">
        <v>6076</v>
      </c>
      <c r="B2721" s="2" t="s">
        <v>9711</v>
      </c>
      <c r="C2721" s="2">
        <v>8935</v>
      </c>
      <c r="D2721" s="2" t="s">
        <v>9712</v>
      </c>
      <c r="E2721" s="2" t="s">
        <v>6703</v>
      </c>
      <c r="F2721" s="2" t="s">
        <v>39</v>
      </c>
      <c r="G2721" s="2">
        <v>11149.6</v>
      </c>
      <c r="H2721" s="2">
        <v>5346.69</v>
      </c>
      <c r="I2721" s="2" t="s">
        <v>6918</v>
      </c>
      <c r="J2721" s="2" t="s">
        <v>6789</v>
      </c>
      <c r="K2721" s="2" t="s">
        <v>42</v>
      </c>
      <c r="L2721" s="2" t="s">
        <v>88</v>
      </c>
      <c r="M2721" s="2">
        <v>2</v>
      </c>
      <c r="N2721" s="2" t="s">
        <v>33</v>
      </c>
      <c r="O2721" s="2" t="s">
        <v>25</v>
      </c>
      <c r="P2721" s="2" t="s">
        <v>26</v>
      </c>
    </row>
    <row r="2722" spans="1:16" x14ac:dyDescent="0.25">
      <c r="A2722" s="2" t="s">
        <v>6078</v>
      </c>
      <c r="B2722" s="2" t="s">
        <v>9713</v>
      </c>
      <c r="C2722" s="2">
        <v>7465</v>
      </c>
      <c r="D2722" s="2" t="s">
        <v>9714</v>
      </c>
      <c r="E2722" s="2" t="s">
        <v>38</v>
      </c>
      <c r="F2722" s="2" t="s">
        <v>39</v>
      </c>
      <c r="G2722" s="2">
        <v>19062.47</v>
      </c>
      <c r="H2722" s="2">
        <v>12347.48</v>
      </c>
      <c r="I2722" s="2" t="s">
        <v>59</v>
      </c>
      <c r="J2722" s="2" t="s">
        <v>41</v>
      </c>
      <c r="K2722" s="2" t="s">
        <v>22</v>
      </c>
      <c r="L2722" s="2" t="s">
        <v>64</v>
      </c>
      <c r="M2722" s="2">
        <v>1</v>
      </c>
      <c r="N2722" s="2" t="s">
        <v>24</v>
      </c>
      <c r="O2722" s="2" t="s">
        <v>25</v>
      </c>
      <c r="P2722" s="2" t="s">
        <v>34</v>
      </c>
    </row>
    <row r="2723" spans="1:16" x14ac:dyDescent="0.25">
      <c r="A2723" s="2" t="s">
        <v>6080</v>
      </c>
      <c r="B2723" s="2" t="s">
        <v>1386</v>
      </c>
      <c r="C2723" s="2">
        <v>6587</v>
      </c>
      <c r="D2723" s="2" t="s">
        <v>9715</v>
      </c>
      <c r="E2723" s="2" t="s">
        <v>6719</v>
      </c>
      <c r="F2723" s="2" t="s">
        <v>39</v>
      </c>
      <c r="G2723" s="2">
        <v>20334.689999999999</v>
      </c>
      <c r="H2723" s="2">
        <v>9756.34</v>
      </c>
      <c r="I2723" s="2" t="s">
        <v>20</v>
      </c>
      <c r="J2723" s="2" t="s">
        <v>6724</v>
      </c>
      <c r="K2723" s="2" t="s">
        <v>80</v>
      </c>
      <c r="L2723" s="2" t="s">
        <v>64</v>
      </c>
      <c r="M2723" s="2">
        <v>3</v>
      </c>
      <c r="N2723" s="2" t="s">
        <v>69</v>
      </c>
      <c r="O2723" s="2" t="s">
        <v>25</v>
      </c>
      <c r="P2723" s="2" t="s">
        <v>49</v>
      </c>
    </row>
    <row r="2724" spans="1:16" x14ac:dyDescent="0.25">
      <c r="A2724" s="2" t="s">
        <v>6082</v>
      </c>
      <c r="B2724" s="2" t="s">
        <v>1147</v>
      </c>
      <c r="C2724" s="2">
        <v>5310</v>
      </c>
      <c r="D2724" s="2" t="s">
        <v>9716</v>
      </c>
      <c r="E2724" s="2" t="s">
        <v>6708</v>
      </c>
      <c r="F2724" s="2" t="s">
        <v>30</v>
      </c>
      <c r="G2724" s="2">
        <v>49765.54</v>
      </c>
      <c r="H2724" s="2">
        <v>26026.84</v>
      </c>
      <c r="I2724" s="2" t="s">
        <v>6752</v>
      </c>
      <c r="J2724" s="2" t="s">
        <v>6686</v>
      </c>
      <c r="K2724" s="2" t="s">
        <v>22</v>
      </c>
      <c r="L2724" s="2" t="s">
        <v>64</v>
      </c>
      <c r="M2724" s="2">
        <v>2</v>
      </c>
      <c r="N2724" s="2" t="s">
        <v>33</v>
      </c>
      <c r="O2724" s="2" t="s">
        <v>70</v>
      </c>
      <c r="P2724" s="2" t="s">
        <v>49</v>
      </c>
    </row>
    <row r="2725" spans="1:16" x14ac:dyDescent="0.25">
      <c r="A2725" s="2" t="s">
        <v>6084</v>
      </c>
      <c r="B2725" s="2" t="s">
        <v>9717</v>
      </c>
      <c r="C2725" s="2">
        <v>2232</v>
      </c>
      <c r="D2725" s="2" t="s">
        <v>9718</v>
      </c>
      <c r="E2725" s="2" t="s">
        <v>6748</v>
      </c>
      <c r="F2725" s="2" t="s">
        <v>47</v>
      </c>
      <c r="G2725" s="2">
        <v>11233.01</v>
      </c>
      <c r="H2725" s="2">
        <v>5981.48</v>
      </c>
      <c r="I2725" s="2" t="s">
        <v>6777</v>
      </c>
      <c r="J2725" s="2" t="s">
        <v>6713</v>
      </c>
      <c r="K2725" s="2" t="s">
        <v>80</v>
      </c>
      <c r="L2725" s="2" t="s">
        <v>64</v>
      </c>
      <c r="M2725" s="2">
        <v>1</v>
      </c>
      <c r="N2725" s="2" t="s">
        <v>24</v>
      </c>
      <c r="O2725" s="2" t="s">
        <v>25</v>
      </c>
      <c r="P2725" s="2" t="s">
        <v>34</v>
      </c>
    </row>
    <row r="2726" spans="1:16" x14ac:dyDescent="0.25">
      <c r="A2726" s="2" t="s">
        <v>6085</v>
      </c>
      <c r="B2726" s="2" t="s">
        <v>1428</v>
      </c>
      <c r="C2726" s="2">
        <v>5127</v>
      </c>
      <c r="D2726" s="2" t="s">
        <v>9719</v>
      </c>
      <c r="E2726" s="2" t="s">
        <v>18</v>
      </c>
      <c r="F2726" s="2" t="s">
        <v>39</v>
      </c>
      <c r="G2726" s="2">
        <v>23174.35</v>
      </c>
      <c r="H2726" s="2">
        <v>10908.57</v>
      </c>
      <c r="I2726" s="2" t="s">
        <v>53</v>
      </c>
      <c r="J2726" s="2" t="s">
        <v>54</v>
      </c>
      <c r="K2726" s="2" t="s">
        <v>80</v>
      </c>
      <c r="L2726" s="2" t="s">
        <v>23</v>
      </c>
      <c r="M2726" s="2">
        <v>4</v>
      </c>
      <c r="N2726" s="2" t="s">
        <v>33</v>
      </c>
      <c r="O2726" s="2" t="s">
        <v>25</v>
      </c>
      <c r="P2726" s="2" t="s">
        <v>34</v>
      </c>
    </row>
    <row r="2727" spans="1:16" x14ac:dyDescent="0.25">
      <c r="A2727" s="2" t="s">
        <v>6087</v>
      </c>
      <c r="B2727" s="2" t="s">
        <v>350</v>
      </c>
      <c r="C2727" s="2">
        <v>5940</v>
      </c>
      <c r="D2727" s="2" t="s">
        <v>9720</v>
      </c>
      <c r="E2727" s="2" t="s">
        <v>18</v>
      </c>
      <c r="F2727" s="2" t="s">
        <v>58</v>
      </c>
      <c r="G2727" s="2">
        <v>37214.120000000003</v>
      </c>
      <c r="H2727" s="2">
        <v>17548.060000000001</v>
      </c>
      <c r="I2727" s="2" t="s">
        <v>120</v>
      </c>
      <c r="J2727" s="2" t="s">
        <v>21</v>
      </c>
      <c r="K2727" s="2" t="s">
        <v>80</v>
      </c>
      <c r="L2727" s="2" t="s">
        <v>23</v>
      </c>
      <c r="M2727" s="2">
        <v>5</v>
      </c>
      <c r="N2727" s="2" t="s">
        <v>33</v>
      </c>
      <c r="O2727" s="2" t="s">
        <v>70</v>
      </c>
      <c r="P2727" s="2" t="s">
        <v>49</v>
      </c>
    </row>
    <row r="2728" spans="1:16" x14ac:dyDescent="0.25">
      <c r="A2728" s="2" t="s">
        <v>6089</v>
      </c>
      <c r="B2728" s="2" t="s">
        <v>9721</v>
      </c>
      <c r="C2728" s="2">
        <v>1512</v>
      </c>
      <c r="D2728" s="2" t="s">
        <v>9722</v>
      </c>
      <c r="E2728" s="2" t="s">
        <v>18</v>
      </c>
      <c r="F2728" s="2" t="s">
        <v>30</v>
      </c>
      <c r="G2728" s="2">
        <v>35150</v>
      </c>
      <c r="H2728" s="2">
        <v>18385.939999999999</v>
      </c>
      <c r="I2728" s="2" t="s">
        <v>6681</v>
      </c>
      <c r="J2728" s="2" t="s">
        <v>6682</v>
      </c>
      <c r="K2728" s="2" t="s">
        <v>32</v>
      </c>
      <c r="L2728" s="2" t="s">
        <v>48</v>
      </c>
      <c r="M2728" s="2">
        <v>5</v>
      </c>
      <c r="N2728" s="2" t="s">
        <v>33</v>
      </c>
      <c r="O2728" s="2" t="s">
        <v>25</v>
      </c>
      <c r="P2728" s="2" t="s">
        <v>26</v>
      </c>
    </row>
    <row r="2729" spans="1:16" x14ac:dyDescent="0.25">
      <c r="A2729" s="2" t="s">
        <v>6091</v>
      </c>
      <c r="B2729" s="2" t="s">
        <v>2559</v>
      </c>
      <c r="C2729" s="2">
        <v>4305</v>
      </c>
      <c r="D2729" s="2" t="s">
        <v>9723</v>
      </c>
      <c r="E2729" s="2" t="s">
        <v>38</v>
      </c>
      <c r="F2729" s="2" t="s">
        <v>58</v>
      </c>
      <c r="G2729" s="2">
        <v>45757.59</v>
      </c>
      <c r="H2729" s="2">
        <v>21189.78</v>
      </c>
      <c r="I2729" s="2" t="s">
        <v>53</v>
      </c>
      <c r="J2729" s="2" t="s">
        <v>54</v>
      </c>
      <c r="K2729" s="2" t="s">
        <v>80</v>
      </c>
      <c r="L2729" s="2" t="s">
        <v>55</v>
      </c>
      <c r="M2729" s="2">
        <v>5</v>
      </c>
      <c r="N2729" s="2" t="s">
        <v>24</v>
      </c>
      <c r="O2729" s="2" t="s">
        <v>70</v>
      </c>
      <c r="P2729" s="2" t="s">
        <v>26</v>
      </c>
    </row>
    <row r="2730" spans="1:16" x14ac:dyDescent="0.25">
      <c r="A2730" s="2" t="s">
        <v>6093</v>
      </c>
      <c r="B2730" s="2" t="s">
        <v>1245</v>
      </c>
      <c r="C2730" s="2">
        <v>6873</v>
      </c>
      <c r="D2730" s="2" t="s">
        <v>9724</v>
      </c>
      <c r="E2730" s="2" t="s">
        <v>38</v>
      </c>
      <c r="F2730" s="2" t="s">
        <v>19</v>
      </c>
      <c r="G2730" s="2">
        <v>19257.11</v>
      </c>
      <c r="H2730" s="2">
        <v>9479.0300000000007</v>
      </c>
      <c r="I2730" s="2" t="s">
        <v>63</v>
      </c>
      <c r="J2730" s="2" t="s">
        <v>54</v>
      </c>
      <c r="K2730" s="2" t="s">
        <v>32</v>
      </c>
      <c r="L2730" s="2" t="s">
        <v>88</v>
      </c>
      <c r="M2730" s="2">
        <v>3</v>
      </c>
      <c r="N2730" s="2" t="s">
        <v>33</v>
      </c>
      <c r="O2730" s="2" t="s">
        <v>70</v>
      </c>
      <c r="P2730" s="2" t="s">
        <v>49</v>
      </c>
    </row>
    <row r="2731" spans="1:16" x14ac:dyDescent="0.25">
      <c r="A2731" s="2" t="s">
        <v>6095</v>
      </c>
      <c r="B2731" s="2" t="s">
        <v>146</v>
      </c>
      <c r="C2731" s="2">
        <v>5173</v>
      </c>
      <c r="D2731" s="2" t="s">
        <v>7735</v>
      </c>
      <c r="E2731" s="2" t="s">
        <v>6748</v>
      </c>
      <c r="F2731" s="2" t="s">
        <v>58</v>
      </c>
      <c r="G2731" s="2">
        <v>43898.8</v>
      </c>
      <c r="H2731" s="2">
        <v>25792.74</v>
      </c>
      <c r="I2731" s="2" t="s">
        <v>84</v>
      </c>
      <c r="J2731" s="2" t="s">
        <v>6691</v>
      </c>
      <c r="K2731" s="2" t="s">
        <v>32</v>
      </c>
      <c r="L2731" s="2" t="s">
        <v>43</v>
      </c>
      <c r="M2731" s="2">
        <v>3</v>
      </c>
      <c r="N2731" s="2" t="s">
        <v>33</v>
      </c>
      <c r="O2731" s="2" t="s">
        <v>25</v>
      </c>
      <c r="P2731" s="2" t="s">
        <v>49</v>
      </c>
    </row>
    <row r="2732" spans="1:16" x14ac:dyDescent="0.25">
      <c r="A2732" s="2" t="s">
        <v>6096</v>
      </c>
      <c r="B2732" s="2" t="s">
        <v>744</v>
      </c>
      <c r="C2732" s="2">
        <v>5806</v>
      </c>
      <c r="D2732" s="2" t="s">
        <v>9725</v>
      </c>
      <c r="E2732" s="2" t="s">
        <v>18</v>
      </c>
      <c r="F2732" s="2" t="s">
        <v>47</v>
      </c>
      <c r="G2732" s="2">
        <v>3834.73</v>
      </c>
      <c r="H2732" s="2">
        <v>1957.58</v>
      </c>
      <c r="I2732" s="2" t="s">
        <v>31</v>
      </c>
      <c r="J2732" s="2" t="s">
        <v>21</v>
      </c>
      <c r="K2732" s="2" t="s">
        <v>32</v>
      </c>
      <c r="L2732" s="2" t="s">
        <v>48</v>
      </c>
      <c r="M2732" s="2">
        <v>4</v>
      </c>
      <c r="N2732" s="2" t="s">
        <v>33</v>
      </c>
      <c r="O2732" s="2" t="s">
        <v>25</v>
      </c>
      <c r="P2732" s="2" t="s">
        <v>49</v>
      </c>
    </row>
    <row r="2733" spans="1:16" x14ac:dyDescent="0.25">
      <c r="A2733" s="2" t="s">
        <v>6098</v>
      </c>
      <c r="B2733" s="2" t="s">
        <v>3988</v>
      </c>
      <c r="C2733" s="2">
        <v>8062</v>
      </c>
      <c r="D2733" s="2" t="s">
        <v>9726</v>
      </c>
      <c r="E2733" s="2" t="s">
        <v>18</v>
      </c>
      <c r="F2733" s="2" t="s">
        <v>39</v>
      </c>
      <c r="G2733" s="2">
        <v>29212.44</v>
      </c>
      <c r="H2733" s="2">
        <v>13208.98</v>
      </c>
      <c r="I2733" s="2" t="s">
        <v>63</v>
      </c>
      <c r="J2733" s="2" t="s">
        <v>54</v>
      </c>
      <c r="K2733" s="2" t="s">
        <v>42</v>
      </c>
      <c r="L2733" s="2" t="s">
        <v>23</v>
      </c>
      <c r="M2733" s="2">
        <v>2</v>
      </c>
      <c r="N2733" s="2" t="s">
        <v>24</v>
      </c>
      <c r="O2733" s="2" t="s">
        <v>25</v>
      </c>
      <c r="P2733" s="2" t="s">
        <v>49</v>
      </c>
    </row>
    <row r="2734" spans="1:16" x14ac:dyDescent="0.25">
      <c r="A2734" s="2" t="s">
        <v>6100</v>
      </c>
      <c r="B2734" s="2" t="s">
        <v>811</v>
      </c>
      <c r="C2734" s="2">
        <v>8927</v>
      </c>
      <c r="D2734" s="2" t="s">
        <v>2613</v>
      </c>
      <c r="E2734" s="2" t="s">
        <v>18</v>
      </c>
      <c r="F2734" s="2" t="s">
        <v>30</v>
      </c>
      <c r="G2734" s="2">
        <v>27084.26</v>
      </c>
      <c r="H2734" s="2">
        <v>16266.22</v>
      </c>
      <c r="I2734" s="2" t="s">
        <v>59</v>
      </c>
      <c r="J2734" s="2" t="s">
        <v>41</v>
      </c>
      <c r="K2734" s="2" t="s">
        <v>42</v>
      </c>
      <c r="L2734" s="2" t="s">
        <v>23</v>
      </c>
      <c r="M2734" s="2">
        <v>1</v>
      </c>
      <c r="N2734" s="2" t="s">
        <v>33</v>
      </c>
      <c r="O2734" s="2" t="s">
        <v>25</v>
      </c>
      <c r="P2734" s="2" t="s">
        <v>49</v>
      </c>
    </row>
    <row r="2735" spans="1:16" x14ac:dyDescent="0.25">
      <c r="A2735" s="2" t="s">
        <v>6102</v>
      </c>
      <c r="B2735" s="2" t="s">
        <v>472</v>
      </c>
      <c r="C2735" s="2">
        <v>7982</v>
      </c>
      <c r="D2735" s="2" t="s">
        <v>9727</v>
      </c>
      <c r="E2735" s="2" t="s">
        <v>38</v>
      </c>
      <c r="F2735" s="2" t="s">
        <v>19</v>
      </c>
      <c r="G2735" s="2">
        <v>17796.349999999999</v>
      </c>
      <c r="H2735" s="2">
        <v>11048.14</v>
      </c>
      <c r="I2735" s="2" t="s">
        <v>20</v>
      </c>
      <c r="J2735" s="2" t="s">
        <v>21</v>
      </c>
      <c r="K2735" s="2" t="s">
        <v>42</v>
      </c>
      <c r="L2735" s="2" t="s">
        <v>55</v>
      </c>
      <c r="M2735" s="2">
        <v>5</v>
      </c>
      <c r="N2735" s="2" t="s">
        <v>33</v>
      </c>
      <c r="O2735" s="2" t="s">
        <v>70</v>
      </c>
      <c r="P2735" s="2" t="s">
        <v>26</v>
      </c>
    </row>
    <row r="2736" spans="1:16" x14ac:dyDescent="0.25">
      <c r="A2736" s="2" t="s">
        <v>6105</v>
      </c>
      <c r="B2736" s="2" t="s">
        <v>2639</v>
      </c>
      <c r="C2736" s="2">
        <v>6136</v>
      </c>
      <c r="D2736" s="2" t="s">
        <v>9728</v>
      </c>
      <c r="E2736" s="2" t="s">
        <v>6708</v>
      </c>
      <c r="F2736" s="2" t="s">
        <v>39</v>
      </c>
      <c r="G2736" s="2">
        <v>22333.66</v>
      </c>
      <c r="H2736" s="2">
        <v>12245.1</v>
      </c>
      <c r="I2736" s="2" t="s">
        <v>6777</v>
      </c>
      <c r="J2736" s="2" t="s">
        <v>6682</v>
      </c>
      <c r="K2736" s="2" t="s">
        <v>42</v>
      </c>
      <c r="L2736" s="2" t="s">
        <v>55</v>
      </c>
      <c r="M2736" s="2">
        <v>1</v>
      </c>
      <c r="N2736" s="2" t="s">
        <v>24</v>
      </c>
      <c r="O2736" s="2" t="s">
        <v>25</v>
      </c>
      <c r="P2736" s="2" t="s">
        <v>34</v>
      </c>
    </row>
    <row r="2737" spans="1:16" x14ac:dyDescent="0.25">
      <c r="A2737" s="2" t="s">
        <v>6107</v>
      </c>
      <c r="B2737" s="2" t="s">
        <v>1587</v>
      </c>
      <c r="C2737" s="2">
        <v>4833</v>
      </c>
      <c r="D2737" s="2" t="s">
        <v>9729</v>
      </c>
      <c r="E2737" s="2" t="s">
        <v>6680</v>
      </c>
      <c r="F2737" s="2" t="s">
        <v>39</v>
      </c>
      <c r="G2737" s="2">
        <v>7320.61</v>
      </c>
      <c r="H2737" s="2">
        <v>4177.1499999999996</v>
      </c>
      <c r="I2737" s="2" t="s">
        <v>120</v>
      </c>
      <c r="J2737" s="2" t="s">
        <v>6789</v>
      </c>
      <c r="K2737" s="2" t="s">
        <v>80</v>
      </c>
      <c r="L2737" s="2" t="s">
        <v>23</v>
      </c>
      <c r="M2737" s="2">
        <v>4</v>
      </c>
      <c r="N2737" s="2" t="s">
        <v>24</v>
      </c>
      <c r="O2737" s="2" t="s">
        <v>25</v>
      </c>
      <c r="P2737" s="2" t="s">
        <v>34</v>
      </c>
    </row>
    <row r="2738" spans="1:16" x14ac:dyDescent="0.25">
      <c r="A2738" s="2" t="s">
        <v>6109</v>
      </c>
      <c r="B2738" s="2" t="s">
        <v>7423</v>
      </c>
      <c r="C2738" s="2">
        <v>6777</v>
      </c>
      <c r="D2738" s="2" t="s">
        <v>7470</v>
      </c>
      <c r="E2738" s="2" t="s">
        <v>38</v>
      </c>
      <c r="F2738" s="2" t="s">
        <v>58</v>
      </c>
      <c r="G2738" s="2">
        <v>22912.48</v>
      </c>
      <c r="H2738" s="2">
        <v>13413.99</v>
      </c>
      <c r="I2738" s="2" t="s">
        <v>53</v>
      </c>
      <c r="J2738" s="2" t="s">
        <v>54</v>
      </c>
      <c r="K2738" s="2" t="s">
        <v>22</v>
      </c>
      <c r="L2738" s="2" t="s">
        <v>23</v>
      </c>
      <c r="M2738" s="2">
        <v>5</v>
      </c>
      <c r="N2738" s="2" t="s">
        <v>33</v>
      </c>
      <c r="O2738" s="2" t="s">
        <v>25</v>
      </c>
      <c r="P2738" s="2" t="s">
        <v>49</v>
      </c>
    </row>
    <row r="2739" spans="1:16" x14ac:dyDescent="0.25">
      <c r="A2739" s="2" t="s">
        <v>6111</v>
      </c>
      <c r="B2739" s="2" t="s">
        <v>9730</v>
      </c>
      <c r="C2739" s="2">
        <v>8965</v>
      </c>
      <c r="D2739" s="2" t="s">
        <v>1864</v>
      </c>
      <c r="E2739" s="2" t="s">
        <v>18</v>
      </c>
      <c r="F2739" s="2" t="s">
        <v>47</v>
      </c>
      <c r="G2739" s="2">
        <v>13949.01</v>
      </c>
      <c r="H2739" s="2">
        <v>8675.24</v>
      </c>
      <c r="I2739" s="2" t="s">
        <v>63</v>
      </c>
      <c r="J2739" s="2" t="s">
        <v>54</v>
      </c>
      <c r="K2739" s="2" t="s">
        <v>32</v>
      </c>
      <c r="L2739" s="2" t="s">
        <v>88</v>
      </c>
      <c r="M2739" s="2">
        <v>5</v>
      </c>
      <c r="N2739" s="2" t="s">
        <v>24</v>
      </c>
      <c r="O2739" s="2" t="s">
        <v>70</v>
      </c>
      <c r="P2739" s="2" t="s">
        <v>49</v>
      </c>
    </row>
    <row r="2740" spans="1:16" x14ac:dyDescent="0.25">
      <c r="A2740" s="2" t="s">
        <v>6113</v>
      </c>
      <c r="B2740" s="2" t="s">
        <v>9731</v>
      </c>
      <c r="C2740" s="2">
        <v>6930</v>
      </c>
      <c r="D2740" s="2" t="s">
        <v>9732</v>
      </c>
      <c r="E2740" s="2" t="s">
        <v>6719</v>
      </c>
      <c r="F2740" s="2" t="s">
        <v>47</v>
      </c>
      <c r="G2740" s="2">
        <v>9742.08</v>
      </c>
      <c r="H2740" s="2">
        <v>5665.06</v>
      </c>
      <c r="I2740" s="2" t="s">
        <v>6681</v>
      </c>
      <c r="J2740" s="2" t="s">
        <v>6732</v>
      </c>
      <c r="K2740" s="2" t="s">
        <v>32</v>
      </c>
      <c r="L2740" s="2" t="s">
        <v>23</v>
      </c>
      <c r="M2740" s="2">
        <v>3</v>
      </c>
      <c r="N2740" s="2" t="s">
        <v>24</v>
      </c>
      <c r="O2740" s="2" t="s">
        <v>70</v>
      </c>
      <c r="P2740" s="2" t="s">
        <v>34</v>
      </c>
    </row>
    <row r="2741" spans="1:16" x14ac:dyDescent="0.25">
      <c r="A2741" s="2" t="s">
        <v>6115</v>
      </c>
      <c r="B2741" s="2" t="s">
        <v>4000</v>
      </c>
      <c r="C2741" s="2">
        <v>7077</v>
      </c>
      <c r="D2741" s="2" t="s">
        <v>9733</v>
      </c>
      <c r="E2741" s="2" t="s">
        <v>6694</v>
      </c>
      <c r="F2741" s="2" t="s">
        <v>58</v>
      </c>
      <c r="G2741" s="2">
        <v>60323.28</v>
      </c>
      <c r="H2741" s="2">
        <v>31277.53</v>
      </c>
      <c r="I2741" s="2" t="s">
        <v>6812</v>
      </c>
      <c r="J2741" s="2" t="s">
        <v>6691</v>
      </c>
      <c r="K2741" s="2" t="s">
        <v>42</v>
      </c>
      <c r="L2741" s="2" t="s">
        <v>88</v>
      </c>
      <c r="M2741" s="2">
        <v>2</v>
      </c>
      <c r="N2741" s="2" t="s">
        <v>24</v>
      </c>
      <c r="O2741" s="2" t="s">
        <v>70</v>
      </c>
      <c r="P2741" s="2" t="s">
        <v>26</v>
      </c>
    </row>
    <row r="2742" spans="1:16" x14ac:dyDescent="0.25">
      <c r="A2742" s="2" t="s">
        <v>6118</v>
      </c>
      <c r="B2742" s="2" t="s">
        <v>541</v>
      </c>
      <c r="C2742" s="2">
        <v>8564</v>
      </c>
      <c r="D2742" s="2" t="s">
        <v>9734</v>
      </c>
      <c r="E2742" s="2" t="s">
        <v>6743</v>
      </c>
      <c r="F2742" s="2" t="s">
        <v>30</v>
      </c>
      <c r="G2742" s="2">
        <v>57496.76</v>
      </c>
      <c r="H2742" s="2">
        <v>29613.95</v>
      </c>
      <c r="I2742" s="2" t="s">
        <v>6910</v>
      </c>
      <c r="J2742" s="2" t="s">
        <v>6795</v>
      </c>
      <c r="K2742" s="2" t="s">
        <v>42</v>
      </c>
      <c r="L2742" s="2" t="s">
        <v>55</v>
      </c>
      <c r="M2742" s="2">
        <v>4</v>
      </c>
      <c r="N2742" s="2" t="s">
        <v>24</v>
      </c>
      <c r="O2742" s="2" t="s">
        <v>70</v>
      </c>
      <c r="P2742" s="2" t="s">
        <v>49</v>
      </c>
    </row>
    <row r="2743" spans="1:16" x14ac:dyDescent="0.25">
      <c r="A2743" s="2" t="s">
        <v>6121</v>
      </c>
      <c r="B2743" s="2" t="s">
        <v>1675</v>
      </c>
      <c r="C2743" s="2">
        <v>7576</v>
      </c>
      <c r="D2743" s="2" t="s">
        <v>9735</v>
      </c>
      <c r="E2743" s="2" t="s">
        <v>38</v>
      </c>
      <c r="F2743" s="2" t="s">
        <v>47</v>
      </c>
      <c r="G2743" s="2">
        <v>15639.52</v>
      </c>
      <c r="H2743" s="2">
        <v>7497.69</v>
      </c>
      <c r="I2743" s="2" t="s">
        <v>63</v>
      </c>
      <c r="J2743" s="2" t="s">
        <v>54</v>
      </c>
      <c r="K2743" s="2" t="s">
        <v>32</v>
      </c>
      <c r="L2743" s="2" t="s">
        <v>43</v>
      </c>
      <c r="M2743" s="2">
        <v>3</v>
      </c>
      <c r="N2743" s="2" t="s">
        <v>24</v>
      </c>
      <c r="O2743" s="2" t="s">
        <v>25</v>
      </c>
      <c r="P2743" s="2" t="s">
        <v>26</v>
      </c>
    </row>
    <row r="2744" spans="1:16" x14ac:dyDescent="0.25">
      <c r="A2744" s="2" t="s">
        <v>6123</v>
      </c>
      <c r="B2744" s="2" t="s">
        <v>7164</v>
      </c>
      <c r="C2744" s="2">
        <v>1323</v>
      </c>
      <c r="D2744" s="2" t="s">
        <v>9736</v>
      </c>
      <c r="E2744" s="2" t="s">
        <v>18</v>
      </c>
      <c r="F2744" s="2" t="s">
        <v>19</v>
      </c>
      <c r="G2744" s="2">
        <v>12197.29</v>
      </c>
      <c r="H2744" s="2">
        <v>7735.29</v>
      </c>
      <c r="I2744" s="2" t="s">
        <v>84</v>
      </c>
      <c r="J2744" s="2" t="s">
        <v>54</v>
      </c>
      <c r="K2744" s="2" t="s">
        <v>80</v>
      </c>
      <c r="L2744" s="2" t="s">
        <v>64</v>
      </c>
      <c r="M2744" s="2">
        <v>2</v>
      </c>
      <c r="N2744" s="2" t="s">
        <v>33</v>
      </c>
      <c r="O2744" s="2" t="s">
        <v>25</v>
      </c>
      <c r="P2744" s="2" t="s">
        <v>49</v>
      </c>
    </row>
    <row r="2745" spans="1:16" x14ac:dyDescent="0.25">
      <c r="A2745" s="2" t="s">
        <v>6125</v>
      </c>
      <c r="B2745" s="2" t="s">
        <v>9737</v>
      </c>
      <c r="C2745" s="2">
        <v>1461</v>
      </c>
      <c r="D2745" s="2" t="s">
        <v>2706</v>
      </c>
      <c r="E2745" s="2" t="s">
        <v>6698</v>
      </c>
      <c r="F2745" s="2" t="s">
        <v>30</v>
      </c>
      <c r="G2745" s="2">
        <v>47543.62</v>
      </c>
      <c r="H2745" s="2">
        <v>24757.26</v>
      </c>
      <c r="I2745" s="2" t="s">
        <v>31</v>
      </c>
      <c r="J2745" s="2" t="s">
        <v>6696</v>
      </c>
      <c r="K2745" s="2" t="s">
        <v>22</v>
      </c>
      <c r="L2745" s="2" t="s">
        <v>43</v>
      </c>
      <c r="M2745" s="2">
        <v>3</v>
      </c>
      <c r="N2745" s="2" t="s">
        <v>33</v>
      </c>
      <c r="O2745" s="2" t="s">
        <v>25</v>
      </c>
      <c r="P2745" s="2" t="s">
        <v>26</v>
      </c>
    </row>
    <row r="2746" spans="1:16" x14ac:dyDescent="0.25">
      <c r="A2746" s="2" t="s">
        <v>6127</v>
      </c>
      <c r="B2746" s="2" t="s">
        <v>475</v>
      </c>
      <c r="C2746" s="2">
        <v>3482</v>
      </c>
      <c r="D2746" s="2" t="s">
        <v>9738</v>
      </c>
      <c r="E2746" s="2" t="s">
        <v>18</v>
      </c>
      <c r="F2746" s="2" t="s">
        <v>58</v>
      </c>
      <c r="G2746" s="2">
        <v>8953.2000000000007</v>
      </c>
      <c r="H2746" s="2">
        <v>4285.96</v>
      </c>
      <c r="I2746" s="2" t="s">
        <v>84</v>
      </c>
      <c r="J2746" s="2" t="s">
        <v>54</v>
      </c>
      <c r="K2746" s="2" t="s">
        <v>42</v>
      </c>
      <c r="L2746" s="2" t="s">
        <v>55</v>
      </c>
      <c r="M2746" s="2">
        <v>2</v>
      </c>
      <c r="N2746" s="2" t="s">
        <v>24</v>
      </c>
      <c r="O2746" s="2" t="s">
        <v>25</v>
      </c>
      <c r="P2746" s="2" t="s">
        <v>49</v>
      </c>
    </row>
    <row r="2747" spans="1:16" x14ac:dyDescent="0.25">
      <c r="A2747" s="2" t="s">
        <v>6128</v>
      </c>
      <c r="B2747" s="2" t="s">
        <v>9739</v>
      </c>
      <c r="C2747" s="2">
        <v>3891</v>
      </c>
      <c r="D2747" s="2" t="s">
        <v>9740</v>
      </c>
      <c r="E2747" s="2" t="s">
        <v>6743</v>
      </c>
      <c r="F2747" s="2" t="s">
        <v>58</v>
      </c>
      <c r="G2747" s="2">
        <v>41048.239999999998</v>
      </c>
      <c r="H2747" s="2">
        <v>26674.93</v>
      </c>
      <c r="I2747" s="2" t="s">
        <v>6739</v>
      </c>
      <c r="J2747" s="2" t="s">
        <v>6700</v>
      </c>
      <c r="K2747" s="2" t="s">
        <v>42</v>
      </c>
      <c r="L2747" s="2" t="s">
        <v>23</v>
      </c>
      <c r="M2747" s="2">
        <v>2</v>
      </c>
      <c r="N2747" s="2" t="s">
        <v>24</v>
      </c>
      <c r="O2747" s="2" t="s">
        <v>25</v>
      </c>
      <c r="P2747" s="2" t="s">
        <v>49</v>
      </c>
    </row>
    <row r="2749" spans="1:16" x14ac:dyDescent="0.25">
      <c r="A2749" s="2" t="s">
        <v>6130</v>
      </c>
      <c r="B2749" s="2" t="s">
        <v>9741</v>
      </c>
      <c r="C2749" s="2">
        <v>4204</v>
      </c>
      <c r="D2749" s="2" t="s">
        <v>9742</v>
      </c>
      <c r="E2749" s="2" t="s">
        <v>6703</v>
      </c>
      <c r="F2749" s="2" t="s">
        <v>39</v>
      </c>
      <c r="G2749" s="2">
        <v>34853.72</v>
      </c>
      <c r="H2749" s="2">
        <v>17396.41</v>
      </c>
      <c r="I2749" s="2" t="s">
        <v>84</v>
      </c>
      <c r="J2749" s="2" t="s">
        <v>6691</v>
      </c>
      <c r="K2749" s="2" t="s">
        <v>42</v>
      </c>
      <c r="L2749" s="2" t="s">
        <v>48</v>
      </c>
      <c r="M2749" s="2">
        <v>4</v>
      </c>
      <c r="N2749" s="2" t="s">
        <v>33</v>
      </c>
      <c r="O2749" s="2" t="s">
        <v>25</v>
      </c>
      <c r="P2749" s="2" t="s">
        <v>26</v>
      </c>
    </row>
    <row r="2750" spans="1:16" x14ac:dyDescent="0.25">
      <c r="A2750" s="2" t="s">
        <v>6132</v>
      </c>
      <c r="B2750" s="2" t="s">
        <v>1080</v>
      </c>
      <c r="C2750" s="2">
        <v>5172</v>
      </c>
      <c r="D2750" s="2" t="s">
        <v>9743</v>
      </c>
      <c r="E2750" s="2" t="s">
        <v>38</v>
      </c>
      <c r="F2750" s="2" t="s">
        <v>58</v>
      </c>
      <c r="G2750" s="2">
        <v>38523.480000000003</v>
      </c>
      <c r="H2750" s="2">
        <v>17651.61</v>
      </c>
      <c r="I2750" s="2" t="s">
        <v>63</v>
      </c>
      <c r="J2750" s="2" t="s">
        <v>54</v>
      </c>
      <c r="K2750" s="2" t="s">
        <v>42</v>
      </c>
      <c r="L2750" s="2" t="s">
        <v>48</v>
      </c>
      <c r="M2750" s="2">
        <v>5</v>
      </c>
      <c r="N2750" s="2" t="s">
        <v>33</v>
      </c>
      <c r="O2750" s="2" t="s">
        <v>70</v>
      </c>
      <c r="P2750" s="2" t="s">
        <v>26</v>
      </c>
    </row>
    <row r="2751" spans="1:16" x14ac:dyDescent="0.25">
      <c r="A2751" s="2" t="s">
        <v>6134</v>
      </c>
      <c r="B2751" s="2" t="s">
        <v>203</v>
      </c>
      <c r="C2751" s="2">
        <v>4829</v>
      </c>
      <c r="D2751" s="2" t="s">
        <v>9744</v>
      </c>
      <c r="E2751" s="2" t="s">
        <v>18</v>
      </c>
      <c r="F2751" s="2" t="s">
        <v>47</v>
      </c>
      <c r="G2751" s="2">
        <v>18079.96</v>
      </c>
      <c r="H2751" s="2">
        <v>10679.98</v>
      </c>
      <c r="I2751" s="2" t="s">
        <v>31</v>
      </c>
      <c r="J2751" s="2" t="s">
        <v>21</v>
      </c>
      <c r="K2751" s="2" t="s">
        <v>80</v>
      </c>
      <c r="L2751" s="2" t="s">
        <v>55</v>
      </c>
      <c r="M2751" s="2">
        <v>5</v>
      </c>
      <c r="N2751" s="2" t="s">
        <v>24</v>
      </c>
      <c r="O2751" s="2" t="s">
        <v>25</v>
      </c>
      <c r="P2751" s="2" t="s">
        <v>26</v>
      </c>
    </row>
    <row r="2752" spans="1:16" x14ac:dyDescent="0.25">
      <c r="A2752" s="2" t="s">
        <v>6135</v>
      </c>
      <c r="B2752" s="2" t="s">
        <v>6524</v>
      </c>
      <c r="C2752" s="2">
        <v>4085</v>
      </c>
      <c r="D2752" s="2" t="s">
        <v>9714</v>
      </c>
      <c r="E2752" s="2" t="s">
        <v>18</v>
      </c>
      <c r="F2752" s="2" t="s">
        <v>47</v>
      </c>
      <c r="G2752" s="2">
        <v>16697.75</v>
      </c>
      <c r="H2752" s="2">
        <v>7737.83</v>
      </c>
      <c r="I2752" s="2" t="s">
        <v>20</v>
      </c>
      <c r="J2752" s="2" t="s">
        <v>21</v>
      </c>
      <c r="K2752" s="2" t="s">
        <v>80</v>
      </c>
      <c r="L2752" s="2" t="s">
        <v>64</v>
      </c>
      <c r="M2752" s="2">
        <v>5</v>
      </c>
      <c r="N2752" s="2" t="s">
        <v>33</v>
      </c>
      <c r="O2752" s="2" t="s">
        <v>25</v>
      </c>
      <c r="P2752" s="2" t="s">
        <v>26</v>
      </c>
    </row>
    <row r="2753" spans="1:16" x14ac:dyDescent="0.25">
      <c r="A2753" s="2" t="s">
        <v>6136</v>
      </c>
      <c r="B2753" s="2" t="s">
        <v>2554</v>
      </c>
      <c r="C2753" s="2">
        <v>4948</v>
      </c>
      <c r="D2753" s="2" t="s">
        <v>6273</v>
      </c>
      <c r="E2753" s="2" t="s">
        <v>6698</v>
      </c>
      <c r="F2753" s="2" t="s">
        <v>58</v>
      </c>
      <c r="G2753" s="2">
        <v>42091.25</v>
      </c>
      <c r="H2753" s="2">
        <v>24664.84</v>
      </c>
      <c r="I2753" s="2" t="s">
        <v>6822</v>
      </c>
      <c r="J2753" s="2" t="s">
        <v>6682</v>
      </c>
      <c r="K2753" s="2" t="s">
        <v>22</v>
      </c>
      <c r="L2753" s="2" t="s">
        <v>48</v>
      </c>
      <c r="M2753" s="2">
        <v>2</v>
      </c>
      <c r="N2753" s="2" t="s">
        <v>24</v>
      </c>
      <c r="O2753" s="2" t="s">
        <v>70</v>
      </c>
      <c r="P2753" s="2" t="s">
        <v>34</v>
      </c>
    </row>
    <row r="2754" spans="1:16" x14ac:dyDescent="0.25">
      <c r="A2754" s="2" t="s">
        <v>6137</v>
      </c>
      <c r="B2754" s="2" t="s">
        <v>9645</v>
      </c>
      <c r="C2754" s="2">
        <v>4100</v>
      </c>
      <c r="D2754" s="2" t="s">
        <v>9745</v>
      </c>
      <c r="E2754" s="2" t="s">
        <v>38</v>
      </c>
      <c r="F2754" s="2" t="s">
        <v>19</v>
      </c>
      <c r="G2754" s="2">
        <v>11600.59</v>
      </c>
      <c r="H2754" s="2">
        <v>7030.6</v>
      </c>
      <c r="I2754" s="2" t="s">
        <v>6728</v>
      </c>
      <c r="J2754" s="2" t="s">
        <v>6729</v>
      </c>
      <c r="K2754" s="2" t="s">
        <v>32</v>
      </c>
      <c r="L2754" s="2" t="s">
        <v>43</v>
      </c>
      <c r="M2754" s="2">
        <v>4</v>
      </c>
      <c r="N2754" s="2" t="s">
        <v>33</v>
      </c>
      <c r="O2754" s="2" t="s">
        <v>70</v>
      </c>
      <c r="P2754" s="2" t="s">
        <v>49</v>
      </c>
    </row>
    <row r="2755" spans="1:16" x14ac:dyDescent="0.25">
      <c r="A2755" s="2" t="s">
        <v>6140</v>
      </c>
      <c r="B2755" s="2" t="s">
        <v>949</v>
      </c>
      <c r="C2755" s="2">
        <v>8780</v>
      </c>
      <c r="D2755" s="2" t="s">
        <v>9746</v>
      </c>
      <c r="E2755" s="2" t="s">
        <v>38</v>
      </c>
      <c r="F2755" s="2" t="s">
        <v>47</v>
      </c>
      <c r="G2755" s="2">
        <v>8744.7999999999993</v>
      </c>
      <c r="H2755" s="2">
        <v>4392.25</v>
      </c>
      <c r="I2755" s="2" t="s">
        <v>120</v>
      </c>
      <c r="J2755" s="2" t="s">
        <v>21</v>
      </c>
      <c r="K2755" s="2" t="s">
        <v>22</v>
      </c>
      <c r="L2755" s="2" t="s">
        <v>43</v>
      </c>
      <c r="M2755" s="2">
        <v>1</v>
      </c>
      <c r="N2755" s="2" t="s">
        <v>24</v>
      </c>
      <c r="O2755" s="2" t="s">
        <v>25</v>
      </c>
      <c r="P2755" s="2" t="s">
        <v>26</v>
      </c>
    </row>
    <row r="2756" spans="1:16" x14ac:dyDescent="0.25">
      <c r="A2756" s="2" t="s">
        <v>6141</v>
      </c>
      <c r="B2756" s="2" t="s">
        <v>6984</v>
      </c>
      <c r="C2756" s="2">
        <v>6570</v>
      </c>
      <c r="D2756" s="2" t="s">
        <v>7294</v>
      </c>
      <c r="E2756" s="2" t="s">
        <v>32</v>
      </c>
      <c r="F2756" s="2" t="s">
        <v>58</v>
      </c>
      <c r="G2756" s="2">
        <v>43985.63</v>
      </c>
      <c r="H2756" s="2">
        <v>25416.34</v>
      </c>
      <c r="I2756" s="2" t="s">
        <v>6759</v>
      </c>
      <c r="J2756" s="2" t="s">
        <v>6700</v>
      </c>
      <c r="K2756" s="2" t="s">
        <v>22</v>
      </c>
      <c r="L2756" s="2" t="s">
        <v>55</v>
      </c>
      <c r="M2756" s="2">
        <v>4</v>
      </c>
      <c r="N2756" s="2" t="s">
        <v>69</v>
      </c>
      <c r="O2756" s="2" t="s">
        <v>25</v>
      </c>
      <c r="P2756" s="2" t="s">
        <v>26</v>
      </c>
    </row>
    <row r="2757" spans="1:16" x14ac:dyDescent="0.25">
      <c r="A2757" s="2" t="s">
        <v>6143</v>
      </c>
      <c r="B2757" s="2" t="s">
        <v>9747</v>
      </c>
      <c r="C2757" s="2">
        <v>7376</v>
      </c>
      <c r="D2757" s="2" t="s">
        <v>2089</v>
      </c>
      <c r="E2757" s="2" t="s">
        <v>38</v>
      </c>
      <c r="F2757" s="2" t="s">
        <v>30</v>
      </c>
      <c r="G2757" s="2">
        <v>28149.09</v>
      </c>
      <c r="H2757" s="2">
        <v>15903.28</v>
      </c>
      <c r="I2757" s="2" t="s">
        <v>59</v>
      </c>
      <c r="J2757" s="2" t="s">
        <v>41</v>
      </c>
      <c r="K2757" s="2" t="s">
        <v>32</v>
      </c>
      <c r="L2757" s="2" t="s">
        <v>23</v>
      </c>
      <c r="M2757" s="2">
        <v>5</v>
      </c>
      <c r="N2757" s="2" t="s">
        <v>33</v>
      </c>
      <c r="O2757" s="2" t="s">
        <v>25</v>
      </c>
      <c r="P2757" s="2" t="s">
        <v>34</v>
      </c>
    </row>
    <row r="2758" spans="1:16" x14ac:dyDescent="0.25">
      <c r="A2758" s="2" t="s">
        <v>6144</v>
      </c>
      <c r="B2758" s="2" t="s">
        <v>9748</v>
      </c>
      <c r="C2758" s="2">
        <v>6966</v>
      </c>
      <c r="D2758" s="2" t="s">
        <v>9749</v>
      </c>
      <c r="E2758" s="2" t="s">
        <v>6748</v>
      </c>
      <c r="F2758" s="2" t="s">
        <v>19</v>
      </c>
      <c r="G2758" s="2">
        <v>8047.48</v>
      </c>
      <c r="H2758" s="2">
        <v>4117.37</v>
      </c>
      <c r="I2758" s="2" t="s">
        <v>6736</v>
      </c>
      <c r="J2758" s="2" t="s">
        <v>6753</v>
      </c>
      <c r="K2758" s="2" t="s">
        <v>42</v>
      </c>
      <c r="L2758" s="2" t="s">
        <v>64</v>
      </c>
      <c r="M2758" s="2">
        <v>5</v>
      </c>
      <c r="N2758" s="2" t="s">
        <v>33</v>
      </c>
      <c r="O2758" s="2" t="s">
        <v>25</v>
      </c>
      <c r="P2758" s="2" t="s">
        <v>26</v>
      </c>
    </row>
    <row r="2759" spans="1:16" x14ac:dyDescent="0.25">
      <c r="A2759" s="2" t="s">
        <v>6147</v>
      </c>
      <c r="B2759" s="2" t="s">
        <v>9750</v>
      </c>
      <c r="C2759" s="2">
        <v>8475</v>
      </c>
      <c r="D2759" s="2" t="s">
        <v>6830</v>
      </c>
      <c r="E2759" s="2" t="s">
        <v>38</v>
      </c>
      <c r="F2759" s="2" t="s">
        <v>19</v>
      </c>
      <c r="G2759" s="2">
        <v>12670.92</v>
      </c>
      <c r="H2759" s="2">
        <v>5840.41</v>
      </c>
      <c r="I2759" s="2" t="s">
        <v>6720</v>
      </c>
      <c r="J2759" s="2" t="s">
        <v>54</v>
      </c>
      <c r="K2759" s="2" t="s">
        <v>42</v>
      </c>
      <c r="L2759" s="2" t="s">
        <v>88</v>
      </c>
      <c r="M2759" s="2">
        <v>5</v>
      </c>
      <c r="N2759" s="2" t="s">
        <v>69</v>
      </c>
      <c r="O2759" s="2" t="s">
        <v>25</v>
      </c>
      <c r="P2759" s="2" t="s">
        <v>49</v>
      </c>
    </row>
    <row r="2760" spans="1:16" x14ac:dyDescent="0.25">
      <c r="A2760" s="2" t="s">
        <v>6149</v>
      </c>
      <c r="B2760" s="2" t="s">
        <v>9751</v>
      </c>
      <c r="C2760" s="2">
        <v>3460</v>
      </c>
      <c r="D2760" s="2" t="s">
        <v>7234</v>
      </c>
      <c r="E2760" s="2" t="s">
        <v>38</v>
      </c>
      <c r="F2760" s="2" t="s">
        <v>19</v>
      </c>
      <c r="G2760" s="2">
        <v>5098.88</v>
      </c>
      <c r="H2760" s="2">
        <v>2642.82</v>
      </c>
      <c r="I2760" s="2" t="s">
        <v>6723</v>
      </c>
      <c r="J2760" s="2" t="s">
        <v>6789</v>
      </c>
      <c r="K2760" s="2" t="s">
        <v>80</v>
      </c>
      <c r="L2760" s="2" t="s">
        <v>88</v>
      </c>
      <c r="M2760" s="2">
        <v>3</v>
      </c>
      <c r="N2760" s="2" t="s">
        <v>69</v>
      </c>
      <c r="O2760" s="2" t="s">
        <v>25</v>
      </c>
      <c r="P2760" s="2" t="s">
        <v>34</v>
      </c>
    </row>
    <row r="2761" spans="1:16" x14ac:dyDescent="0.25">
      <c r="A2761" s="2" t="s">
        <v>6151</v>
      </c>
      <c r="B2761" s="2" t="s">
        <v>5315</v>
      </c>
      <c r="C2761" s="2">
        <v>3594</v>
      </c>
      <c r="D2761" s="2" t="s">
        <v>9752</v>
      </c>
      <c r="E2761" s="2" t="s">
        <v>6708</v>
      </c>
      <c r="F2761" s="2" t="s">
        <v>19</v>
      </c>
      <c r="G2761" s="2">
        <v>5100.3999999999996</v>
      </c>
      <c r="H2761" s="2">
        <v>2690.08</v>
      </c>
      <c r="I2761" s="2" t="s">
        <v>6699</v>
      </c>
      <c r="J2761" s="2" t="s">
        <v>54</v>
      </c>
      <c r="K2761" s="2" t="s">
        <v>80</v>
      </c>
      <c r="L2761" s="2" t="s">
        <v>43</v>
      </c>
      <c r="M2761" s="2">
        <v>5</v>
      </c>
      <c r="N2761" s="2" t="s">
        <v>24</v>
      </c>
      <c r="O2761" s="2" t="s">
        <v>25</v>
      </c>
      <c r="P2761" s="2" t="s">
        <v>26</v>
      </c>
    </row>
    <row r="2762" spans="1:16" x14ac:dyDescent="0.25">
      <c r="A2762" s="2" t="s">
        <v>6153</v>
      </c>
      <c r="B2762" s="2" t="s">
        <v>9753</v>
      </c>
      <c r="C2762" s="2">
        <v>3901</v>
      </c>
      <c r="D2762" s="2" t="s">
        <v>9754</v>
      </c>
      <c r="E2762" s="2" t="s">
        <v>38</v>
      </c>
      <c r="F2762" s="2" t="s">
        <v>39</v>
      </c>
      <c r="G2762" s="2">
        <v>33417.17</v>
      </c>
      <c r="H2762" s="2">
        <v>21298.34</v>
      </c>
      <c r="I2762" s="2" t="s">
        <v>6704</v>
      </c>
      <c r="J2762" s="2" t="s">
        <v>6682</v>
      </c>
      <c r="K2762" s="2" t="s">
        <v>80</v>
      </c>
      <c r="L2762" s="2" t="s">
        <v>23</v>
      </c>
      <c r="M2762" s="2">
        <v>1</v>
      </c>
      <c r="N2762" s="2" t="s">
        <v>24</v>
      </c>
      <c r="O2762" s="2" t="s">
        <v>25</v>
      </c>
      <c r="P2762" s="2" t="s">
        <v>49</v>
      </c>
    </row>
    <row r="2763" spans="1:16" x14ac:dyDescent="0.25">
      <c r="A2763" s="2" t="s">
        <v>6155</v>
      </c>
      <c r="B2763" s="2" t="s">
        <v>2807</v>
      </c>
      <c r="C2763" s="2">
        <v>4210</v>
      </c>
      <c r="D2763" s="2" t="s">
        <v>952</v>
      </c>
      <c r="E2763" s="2" t="s">
        <v>38</v>
      </c>
      <c r="F2763" s="2" t="s">
        <v>30</v>
      </c>
      <c r="G2763" s="2">
        <v>101312.38</v>
      </c>
      <c r="H2763" s="2">
        <v>63970.84</v>
      </c>
      <c r="I2763" s="2" t="s">
        <v>53</v>
      </c>
      <c r="J2763" s="2" t="s">
        <v>54</v>
      </c>
      <c r="K2763" s="2" t="s">
        <v>32</v>
      </c>
      <c r="L2763" s="2" t="s">
        <v>88</v>
      </c>
      <c r="M2763" s="2">
        <v>4</v>
      </c>
      <c r="N2763" s="2" t="s">
        <v>69</v>
      </c>
      <c r="O2763" s="2" t="s">
        <v>70</v>
      </c>
      <c r="P2763" s="2" t="s">
        <v>34</v>
      </c>
    </row>
    <row r="2764" spans="1:16" x14ac:dyDescent="0.25">
      <c r="A2764" s="2" t="s">
        <v>6156</v>
      </c>
      <c r="B2764" s="2" t="s">
        <v>778</v>
      </c>
      <c r="C2764" s="2">
        <v>9137</v>
      </c>
      <c r="D2764" s="2" t="s">
        <v>201</v>
      </c>
      <c r="E2764" s="2" t="s">
        <v>6698</v>
      </c>
      <c r="F2764" s="2" t="s">
        <v>30</v>
      </c>
      <c r="G2764" s="2">
        <v>55866.43</v>
      </c>
      <c r="H2764" s="2">
        <v>28732.74</v>
      </c>
      <c r="I2764" s="2" t="s">
        <v>6681</v>
      </c>
      <c r="J2764" s="2" t="s">
        <v>41</v>
      </c>
      <c r="K2764" s="2" t="s">
        <v>80</v>
      </c>
      <c r="L2764" s="2" t="s">
        <v>88</v>
      </c>
      <c r="M2764" s="2">
        <v>1</v>
      </c>
      <c r="N2764" s="2" t="s">
        <v>33</v>
      </c>
      <c r="O2764" s="2" t="s">
        <v>25</v>
      </c>
      <c r="P2764" s="2" t="s">
        <v>49</v>
      </c>
    </row>
    <row r="2765" spans="1:16" x14ac:dyDescent="0.25">
      <c r="A2765" s="2" t="s">
        <v>6158</v>
      </c>
      <c r="B2765" s="2" t="s">
        <v>9755</v>
      </c>
      <c r="C2765" s="2">
        <v>7763</v>
      </c>
      <c r="D2765" s="2" t="s">
        <v>9756</v>
      </c>
      <c r="E2765" s="2" t="s">
        <v>38</v>
      </c>
      <c r="F2765" s="2" t="s">
        <v>19</v>
      </c>
      <c r="G2765" s="2">
        <v>4248.34</v>
      </c>
      <c r="H2765" s="2">
        <v>2653.16</v>
      </c>
      <c r="I2765" s="2" t="s">
        <v>6739</v>
      </c>
      <c r="J2765" s="2" t="s">
        <v>6686</v>
      </c>
      <c r="K2765" s="2" t="s">
        <v>80</v>
      </c>
      <c r="L2765" s="2" t="s">
        <v>88</v>
      </c>
      <c r="M2765" s="2">
        <v>4</v>
      </c>
      <c r="N2765" s="2" t="s">
        <v>69</v>
      </c>
      <c r="O2765" s="2" t="s">
        <v>25</v>
      </c>
      <c r="P2765" s="2" t="s">
        <v>34</v>
      </c>
    </row>
    <row r="2766" spans="1:16" x14ac:dyDescent="0.25">
      <c r="A2766" s="2" t="s">
        <v>6160</v>
      </c>
      <c r="B2766" s="2" t="s">
        <v>2970</v>
      </c>
      <c r="C2766" s="2">
        <v>4007</v>
      </c>
      <c r="D2766" s="2" t="s">
        <v>3646</v>
      </c>
      <c r="E2766" s="2" t="s">
        <v>38</v>
      </c>
      <c r="F2766" s="2" t="s">
        <v>19</v>
      </c>
      <c r="G2766" s="2">
        <v>5463.57</v>
      </c>
      <c r="H2766" s="2">
        <v>2781.78</v>
      </c>
      <c r="I2766" s="2" t="s">
        <v>63</v>
      </c>
      <c r="J2766" s="2" t="s">
        <v>54</v>
      </c>
      <c r="K2766" s="2" t="s">
        <v>80</v>
      </c>
      <c r="L2766" s="2" t="s">
        <v>23</v>
      </c>
      <c r="M2766" s="2">
        <v>4</v>
      </c>
      <c r="N2766" s="2" t="s">
        <v>33</v>
      </c>
      <c r="O2766" s="2" t="s">
        <v>70</v>
      </c>
      <c r="P2766" s="2" t="s">
        <v>49</v>
      </c>
    </row>
    <row r="2767" spans="1:16" x14ac:dyDescent="0.25">
      <c r="A2767" s="2" t="s">
        <v>6162</v>
      </c>
      <c r="B2767" s="2" t="s">
        <v>1600</v>
      </c>
      <c r="C2767" s="2">
        <v>4673</v>
      </c>
      <c r="D2767" s="2" t="s">
        <v>9757</v>
      </c>
      <c r="E2767" s="2" t="s">
        <v>18</v>
      </c>
      <c r="F2767" s="2" t="s">
        <v>58</v>
      </c>
      <c r="G2767" s="2">
        <v>17350.38</v>
      </c>
      <c r="H2767" s="2">
        <v>10642.78</v>
      </c>
      <c r="I2767" s="2" t="s">
        <v>84</v>
      </c>
      <c r="J2767" s="2" t="s">
        <v>54</v>
      </c>
      <c r="K2767" s="2" t="s">
        <v>42</v>
      </c>
      <c r="L2767" s="2" t="s">
        <v>88</v>
      </c>
      <c r="M2767" s="2">
        <v>4</v>
      </c>
      <c r="N2767" s="2" t="s">
        <v>69</v>
      </c>
      <c r="O2767" s="2" t="s">
        <v>70</v>
      </c>
      <c r="P2767" s="2" t="s">
        <v>26</v>
      </c>
    </row>
    <row r="2768" spans="1:16" x14ac:dyDescent="0.25">
      <c r="A2768" s="2" t="s">
        <v>6165</v>
      </c>
      <c r="B2768" s="2" t="s">
        <v>9758</v>
      </c>
      <c r="C2768" s="2">
        <v>8602</v>
      </c>
      <c r="D2768" s="2" t="s">
        <v>9759</v>
      </c>
      <c r="E2768" s="2" t="s">
        <v>6719</v>
      </c>
      <c r="F2768" s="2" t="s">
        <v>47</v>
      </c>
      <c r="G2768" s="2">
        <v>8888.75</v>
      </c>
      <c r="H2768" s="2">
        <v>4837.78</v>
      </c>
      <c r="I2768" s="2" t="s">
        <v>6812</v>
      </c>
      <c r="J2768" s="2" t="s">
        <v>6729</v>
      </c>
      <c r="K2768" s="2" t="s">
        <v>22</v>
      </c>
      <c r="L2768" s="2" t="s">
        <v>88</v>
      </c>
      <c r="M2768" s="2">
        <v>1</v>
      </c>
      <c r="N2768" s="2" t="s">
        <v>33</v>
      </c>
      <c r="O2768" s="2" t="s">
        <v>25</v>
      </c>
      <c r="P2768" s="2" t="s">
        <v>34</v>
      </c>
    </row>
    <row r="2769" spans="1:16" x14ac:dyDescent="0.25">
      <c r="A2769" s="2" t="s">
        <v>6167</v>
      </c>
      <c r="B2769" s="2" t="s">
        <v>3251</v>
      </c>
      <c r="C2769" s="2">
        <v>2090</v>
      </c>
      <c r="D2769" s="2" t="s">
        <v>8635</v>
      </c>
      <c r="E2769" s="2" t="s">
        <v>38</v>
      </c>
      <c r="F2769" s="2" t="s">
        <v>39</v>
      </c>
      <c r="G2769" s="2">
        <v>24827.68</v>
      </c>
      <c r="H2769" s="2">
        <v>12278.98</v>
      </c>
      <c r="I2769" s="2" t="s">
        <v>68</v>
      </c>
      <c r="J2769" s="2" t="s">
        <v>41</v>
      </c>
      <c r="K2769" s="2" t="s">
        <v>42</v>
      </c>
      <c r="L2769" s="2" t="s">
        <v>48</v>
      </c>
      <c r="M2769" s="2">
        <v>5</v>
      </c>
      <c r="N2769" s="2" t="s">
        <v>24</v>
      </c>
      <c r="O2769" s="2" t="s">
        <v>25</v>
      </c>
      <c r="P2769" s="2" t="s">
        <v>49</v>
      </c>
    </row>
    <row r="2770" spans="1:16" x14ac:dyDescent="0.25">
      <c r="A2770" s="2" t="s">
        <v>6169</v>
      </c>
      <c r="B2770" s="2" t="s">
        <v>480</v>
      </c>
      <c r="C2770" s="2">
        <v>2077</v>
      </c>
      <c r="D2770" s="2" t="s">
        <v>2591</v>
      </c>
      <c r="E2770" s="2" t="s">
        <v>6703</v>
      </c>
      <c r="F2770" s="2" t="s">
        <v>58</v>
      </c>
      <c r="G2770" s="2">
        <v>32964.959999999999</v>
      </c>
      <c r="H2770" s="2">
        <v>16824.84</v>
      </c>
      <c r="I2770" s="2" t="s">
        <v>6794</v>
      </c>
      <c r="J2770" s="2" t="s">
        <v>21</v>
      </c>
      <c r="K2770" s="2" t="s">
        <v>80</v>
      </c>
      <c r="L2770" s="2" t="s">
        <v>23</v>
      </c>
      <c r="M2770" s="2">
        <v>1</v>
      </c>
      <c r="N2770" s="2" t="s">
        <v>33</v>
      </c>
      <c r="O2770" s="2" t="s">
        <v>25</v>
      </c>
      <c r="P2770" s="2" t="s">
        <v>49</v>
      </c>
    </row>
    <row r="2771" spans="1:16" x14ac:dyDescent="0.25">
      <c r="A2771" s="2" t="s">
        <v>6171</v>
      </c>
      <c r="B2771" s="2" t="s">
        <v>2793</v>
      </c>
      <c r="C2771" s="2">
        <v>1047</v>
      </c>
      <c r="D2771" s="2" t="s">
        <v>7086</v>
      </c>
      <c r="E2771" s="2" t="s">
        <v>38</v>
      </c>
      <c r="F2771" s="2" t="s">
        <v>19</v>
      </c>
      <c r="G2771" s="2">
        <v>16565.09</v>
      </c>
      <c r="H2771" s="2">
        <v>9943.5300000000007</v>
      </c>
      <c r="I2771" s="2" t="s">
        <v>31</v>
      </c>
      <c r="J2771" s="2" t="s">
        <v>21</v>
      </c>
      <c r="K2771" s="2" t="s">
        <v>80</v>
      </c>
      <c r="L2771" s="2" t="s">
        <v>48</v>
      </c>
      <c r="M2771" s="2">
        <v>1</v>
      </c>
      <c r="N2771" s="2" t="s">
        <v>24</v>
      </c>
      <c r="O2771" s="2" t="s">
        <v>25</v>
      </c>
      <c r="P2771" s="2" t="s">
        <v>49</v>
      </c>
    </row>
    <row r="2772" spans="1:16" x14ac:dyDescent="0.25">
      <c r="A2772" s="2" t="s">
        <v>6173</v>
      </c>
      <c r="B2772" s="2" t="s">
        <v>7692</v>
      </c>
      <c r="C2772" s="2">
        <v>5288</v>
      </c>
      <c r="D2772" s="2" t="s">
        <v>9760</v>
      </c>
      <c r="E2772" s="2" t="s">
        <v>38</v>
      </c>
      <c r="F2772" s="2" t="s">
        <v>39</v>
      </c>
      <c r="G2772" s="2">
        <v>25945.61</v>
      </c>
      <c r="H2772" s="2">
        <v>15491.61</v>
      </c>
      <c r="I2772" s="2" t="s">
        <v>84</v>
      </c>
      <c r="J2772" s="2" t="s">
        <v>54</v>
      </c>
      <c r="K2772" s="2" t="s">
        <v>32</v>
      </c>
      <c r="L2772" s="2" t="s">
        <v>55</v>
      </c>
      <c r="M2772" s="2">
        <v>1</v>
      </c>
      <c r="N2772" s="2" t="s">
        <v>24</v>
      </c>
      <c r="O2772" s="2" t="s">
        <v>25</v>
      </c>
      <c r="P2772" s="2" t="s">
        <v>49</v>
      </c>
    </row>
    <row r="2773" spans="1:16" x14ac:dyDescent="0.25">
      <c r="A2773" s="2" t="s">
        <v>6176</v>
      </c>
      <c r="B2773" s="2" t="s">
        <v>5335</v>
      </c>
      <c r="C2773" s="2">
        <v>6251</v>
      </c>
      <c r="D2773" s="2" t="s">
        <v>9761</v>
      </c>
      <c r="E2773" s="2" t="s">
        <v>38</v>
      </c>
      <c r="F2773" s="2" t="s">
        <v>47</v>
      </c>
      <c r="G2773" s="2">
        <v>9820.99</v>
      </c>
      <c r="H2773" s="2">
        <v>6055.94</v>
      </c>
      <c r="I2773" s="2" t="s">
        <v>6736</v>
      </c>
      <c r="J2773" s="2" t="s">
        <v>6729</v>
      </c>
      <c r="K2773" s="2" t="s">
        <v>80</v>
      </c>
      <c r="L2773" s="2" t="s">
        <v>23</v>
      </c>
      <c r="M2773" s="2">
        <v>3</v>
      </c>
      <c r="N2773" s="2" t="s">
        <v>33</v>
      </c>
      <c r="O2773" s="2" t="s">
        <v>70</v>
      </c>
      <c r="P2773" s="2" t="s">
        <v>34</v>
      </c>
    </row>
    <row r="2774" spans="1:16" x14ac:dyDescent="0.25">
      <c r="A2774" s="2" t="s">
        <v>6178</v>
      </c>
      <c r="B2774" s="2" t="s">
        <v>5494</v>
      </c>
      <c r="C2774" s="2">
        <v>7210</v>
      </c>
      <c r="D2774" s="2" t="s">
        <v>9762</v>
      </c>
      <c r="E2774" s="2" t="s">
        <v>18</v>
      </c>
      <c r="F2774" s="2" t="s">
        <v>19</v>
      </c>
      <c r="G2774" s="2">
        <v>22263.45</v>
      </c>
      <c r="H2774" s="2">
        <v>13054.23</v>
      </c>
      <c r="I2774" s="2" t="s">
        <v>120</v>
      </c>
      <c r="J2774" s="2" t="s">
        <v>21</v>
      </c>
      <c r="K2774" s="2" t="s">
        <v>22</v>
      </c>
      <c r="L2774" s="2" t="s">
        <v>48</v>
      </c>
      <c r="M2774" s="2">
        <v>4</v>
      </c>
      <c r="N2774" s="2" t="s">
        <v>24</v>
      </c>
      <c r="O2774" s="2" t="s">
        <v>25</v>
      </c>
      <c r="P2774" s="2" t="s">
        <v>34</v>
      </c>
    </row>
    <row r="2775" spans="1:16" x14ac:dyDescent="0.25">
      <c r="A2775" s="2" t="s">
        <v>6180</v>
      </c>
      <c r="B2775" s="2" t="s">
        <v>203</v>
      </c>
      <c r="C2775" s="2">
        <v>6130</v>
      </c>
      <c r="D2775" s="2" t="s">
        <v>455</v>
      </c>
      <c r="E2775" s="2" t="s">
        <v>38</v>
      </c>
      <c r="F2775" s="2" t="s">
        <v>39</v>
      </c>
      <c r="G2775" s="2">
        <v>39604.39</v>
      </c>
      <c r="H2775" s="2">
        <v>20709.060000000001</v>
      </c>
      <c r="I2775" s="2" t="s">
        <v>84</v>
      </c>
      <c r="J2775" s="2" t="s">
        <v>54</v>
      </c>
      <c r="K2775" s="2" t="s">
        <v>32</v>
      </c>
      <c r="L2775" s="2" t="s">
        <v>64</v>
      </c>
      <c r="M2775" s="2">
        <v>4</v>
      </c>
      <c r="N2775" s="2" t="s">
        <v>24</v>
      </c>
      <c r="O2775" s="2" t="s">
        <v>70</v>
      </c>
      <c r="P2775" s="2" t="s">
        <v>49</v>
      </c>
    </row>
    <row r="2776" spans="1:16" x14ac:dyDescent="0.25">
      <c r="A2776" s="2" t="s">
        <v>6181</v>
      </c>
      <c r="B2776" s="2" t="s">
        <v>9763</v>
      </c>
      <c r="C2776" s="2">
        <v>7367</v>
      </c>
      <c r="D2776" s="2" t="s">
        <v>9764</v>
      </c>
      <c r="E2776" s="2" t="s">
        <v>38</v>
      </c>
      <c r="F2776" s="2" t="s">
        <v>39</v>
      </c>
      <c r="G2776" s="2">
        <v>40102.54</v>
      </c>
      <c r="H2776" s="2">
        <v>21534.76</v>
      </c>
      <c r="I2776" s="2" t="s">
        <v>6808</v>
      </c>
      <c r="J2776" s="2" t="s">
        <v>54</v>
      </c>
      <c r="K2776" s="2" t="s">
        <v>22</v>
      </c>
      <c r="L2776" s="2" t="s">
        <v>43</v>
      </c>
      <c r="M2776" s="2">
        <v>2</v>
      </c>
      <c r="N2776" s="2" t="s">
        <v>24</v>
      </c>
      <c r="O2776" s="2" t="s">
        <v>25</v>
      </c>
      <c r="P2776" s="2" t="s">
        <v>26</v>
      </c>
    </row>
    <row r="2777" spans="1:16" x14ac:dyDescent="0.25">
      <c r="A2777" s="2" t="s">
        <v>6183</v>
      </c>
      <c r="B2777" s="2" t="s">
        <v>3721</v>
      </c>
      <c r="C2777" s="2">
        <v>2796</v>
      </c>
      <c r="D2777" s="2" t="s">
        <v>5277</v>
      </c>
      <c r="E2777" s="2" t="s">
        <v>38</v>
      </c>
      <c r="F2777" s="2" t="s">
        <v>39</v>
      </c>
      <c r="G2777" s="2">
        <v>33119.03</v>
      </c>
      <c r="H2777" s="2">
        <v>18012.36</v>
      </c>
      <c r="I2777" s="2" t="s">
        <v>59</v>
      </c>
      <c r="J2777" s="2" t="s">
        <v>41</v>
      </c>
      <c r="K2777" s="2" t="s">
        <v>42</v>
      </c>
      <c r="L2777" s="2" t="s">
        <v>43</v>
      </c>
      <c r="M2777" s="2">
        <v>3</v>
      </c>
      <c r="N2777" s="2" t="s">
        <v>69</v>
      </c>
      <c r="O2777" s="2" t="s">
        <v>25</v>
      </c>
      <c r="P2777" s="2" t="s">
        <v>49</v>
      </c>
    </row>
    <row r="2778" spans="1:16" x14ac:dyDescent="0.25">
      <c r="A2778" s="2" t="s">
        <v>6185</v>
      </c>
      <c r="B2778" s="2" t="s">
        <v>270</v>
      </c>
      <c r="C2778" s="2">
        <v>2393</v>
      </c>
      <c r="D2778" s="2" t="s">
        <v>9765</v>
      </c>
      <c r="E2778" s="2" t="s">
        <v>18</v>
      </c>
      <c r="F2778" s="2" t="s">
        <v>39</v>
      </c>
      <c r="G2778" s="2">
        <v>46753.07</v>
      </c>
      <c r="H2778" s="2">
        <v>27915.99</v>
      </c>
      <c r="I2778" s="2" t="s">
        <v>53</v>
      </c>
      <c r="J2778" s="2" t="s">
        <v>54</v>
      </c>
      <c r="K2778" s="2" t="s">
        <v>80</v>
      </c>
      <c r="L2778" s="2" t="s">
        <v>55</v>
      </c>
      <c r="M2778" s="2">
        <v>1</v>
      </c>
      <c r="N2778" s="2" t="s">
        <v>24</v>
      </c>
      <c r="O2778" s="2" t="s">
        <v>25</v>
      </c>
      <c r="P2778" s="2" t="s">
        <v>49</v>
      </c>
    </row>
    <row r="2779" spans="1:16" x14ac:dyDescent="0.25">
      <c r="A2779" s="2" t="s">
        <v>6187</v>
      </c>
      <c r="B2779" s="2" t="s">
        <v>134</v>
      </c>
      <c r="C2779" s="2">
        <v>6337</v>
      </c>
      <c r="D2779" s="2" t="s">
        <v>9766</v>
      </c>
      <c r="E2779" s="2" t="s">
        <v>18</v>
      </c>
      <c r="F2779" s="2" t="s">
        <v>58</v>
      </c>
      <c r="G2779" s="2">
        <v>13356.16</v>
      </c>
      <c r="H2779" s="2">
        <v>6260.73</v>
      </c>
      <c r="I2779" s="2" t="s">
        <v>20</v>
      </c>
      <c r="J2779" s="2" t="s">
        <v>21</v>
      </c>
      <c r="K2779" s="2" t="s">
        <v>32</v>
      </c>
      <c r="L2779" s="2" t="s">
        <v>23</v>
      </c>
      <c r="M2779" s="2">
        <v>3</v>
      </c>
      <c r="N2779" s="2" t="s">
        <v>33</v>
      </c>
      <c r="O2779" s="2" t="s">
        <v>70</v>
      </c>
      <c r="P2779" s="2" t="s">
        <v>26</v>
      </c>
    </row>
    <row r="2780" spans="1:16" x14ac:dyDescent="0.25">
      <c r="A2780" s="2" t="s">
        <v>6189</v>
      </c>
      <c r="B2780" s="2" t="s">
        <v>302</v>
      </c>
      <c r="C2780" s="2">
        <v>4931</v>
      </c>
      <c r="D2780" s="2" t="s">
        <v>9767</v>
      </c>
      <c r="E2780" s="2" t="s">
        <v>18</v>
      </c>
      <c r="F2780" s="2" t="s">
        <v>58</v>
      </c>
      <c r="G2780" s="2">
        <v>30696.49</v>
      </c>
      <c r="H2780" s="2">
        <v>16792.900000000001</v>
      </c>
      <c r="I2780" s="2" t="s">
        <v>68</v>
      </c>
      <c r="J2780" s="2" t="s">
        <v>41</v>
      </c>
      <c r="K2780" s="2" t="s">
        <v>22</v>
      </c>
      <c r="L2780" s="2" t="s">
        <v>43</v>
      </c>
      <c r="M2780" s="2">
        <v>1</v>
      </c>
      <c r="N2780" s="2" t="s">
        <v>33</v>
      </c>
      <c r="O2780" s="2" t="s">
        <v>70</v>
      </c>
      <c r="P2780" s="2" t="s">
        <v>26</v>
      </c>
    </row>
    <row r="2781" spans="1:16" x14ac:dyDescent="0.25">
      <c r="A2781" s="2" t="s">
        <v>6191</v>
      </c>
      <c r="B2781" s="2" t="s">
        <v>6541</v>
      </c>
      <c r="C2781" s="2">
        <v>5812</v>
      </c>
      <c r="D2781" s="2" t="s">
        <v>6476</v>
      </c>
      <c r="E2781" s="2" t="s">
        <v>18</v>
      </c>
      <c r="F2781" s="2" t="s">
        <v>58</v>
      </c>
      <c r="G2781" s="2">
        <v>22430.49</v>
      </c>
      <c r="H2781" s="2">
        <v>10597.13</v>
      </c>
      <c r="I2781" s="2" t="s">
        <v>6704</v>
      </c>
      <c r="J2781" s="2" t="s">
        <v>6705</v>
      </c>
      <c r="K2781" s="2" t="s">
        <v>80</v>
      </c>
      <c r="L2781" s="2" t="s">
        <v>43</v>
      </c>
      <c r="M2781" s="2">
        <v>5</v>
      </c>
      <c r="N2781" s="2" t="s">
        <v>33</v>
      </c>
      <c r="O2781" s="2" t="s">
        <v>70</v>
      </c>
      <c r="P2781" s="2" t="s">
        <v>49</v>
      </c>
    </row>
    <row r="2782" spans="1:16" x14ac:dyDescent="0.25">
      <c r="A2782" s="2" t="s">
        <v>6193</v>
      </c>
      <c r="B2782" s="2" t="s">
        <v>2720</v>
      </c>
      <c r="C2782" s="2">
        <v>4053</v>
      </c>
      <c r="D2782" s="2" t="s">
        <v>9768</v>
      </c>
      <c r="E2782" s="2" t="s">
        <v>38</v>
      </c>
      <c r="F2782" s="2" t="s">
        <v>47</v>
      </c>
      <c r="G2782" s="2">
        <v>5233.3999999999996</v>
      </c>
      <c r="H2782" s="2">
        <v>2642.86</v>
      </c>
      <c r="I2782" s="2" t="s">
        <v>120</v>
      </c>
      <c r="J2782" s="2" t="s">
        <v>21</v>
      </c>
      <c r="K2782" s="2" t="s">
        <v>22</v>
      </c>
      <c r="L2782" s="2" t="s">
        <v>64</v>
      </c>
      <c r="M2782" s="2">
        <v>1</v>
      </c>
      <c r="N2782" s="2" t="s">
        <v>24</v>
      </c>
      <c r="O2782" s="2" t="s">
        <v>25</v>
      </c>
      <c r="P2782" s="2" t="s">
        <v>49</v>
      </c>
    </row>
    <row r="2783" spans="1:16" x14ac:dyDescent="0.25">
      <c r="A2783" s="2" t="s">
        <v>6195</v>
      </c>
      <c r="B2783" s="2" t="s">
        <v>8437</v>
      </c>
      <c r="C2783" s="2">
        <v>5518</v>
      </c>
      <c r="D2783" s="2" t="s">
        <v>9769</v>
      </c>
      <c r="E2783" s="2" t="s">
        <v>6703</v>
      </c>
      <c r="F2783" s="2" t="s">
        <v>19</v>
      </c>
      <c r="G2783" s="2">
        <v>4611</v>
      </c>
      <c r="H2783" s="2">
        <v>2281.6799999999998</v>
      </c>
      <c r="I2783" s="2" t="s">
        <v>6777</v>
      </c>
      <c r="J2783" s="2" t="s">
        <v>6793</v>
      </c>
      <c r="K2783" s="2" t="s">
        <v>22</v>
      </c>
      <c r="L2783" s="2" t="s">
        <v>88</v>
      </c>
      <c r="M2783" s="2">
        <v>4</v>
      </c>
      <c r="N2783" s="2" t="s">
        <v>24</v>
      </c>
      <c r="O2783" s="2" t="s">
        <v>25</v>
      </c>
      <c r="P2783" s="2" t="s">
        <v>49</v>
      </c>
    </row>
    <row r="2784" spans="1:16" x14ac:dyDescent="0.25">
      <c r="A2784" s="2" t="s">
        <v>6197</v>
      </c>
      <c r="B2784" s="2" t="s">
        <v>3164</v>
      </c>
      <c r="C2784" s="2">
        <v>6483</v>
      </c>
      <c r="D2784" s="2" t="s">
        <v>9770</v>
      </c>
      <c r="E2784" s="2" t="s">
        <v>32</v>
      </c>
      <c r="F2784" s="2" t="s">
        <v>30</v>
      </c>
      <c r="G2784" s="2">
        <v>85145.29</v>
      </c>
      <c r="H2784" s="2">
        <v>54108.72</v>
      </c>
      <c r="I2784" s="2" t="s">
        <v>53</v>
      </c>
      <c r="J2784" s="2" t="s">
        <v>6686</v>
      </c>
      <c r="K2784" s="2" t="s">
        <v>80</v>
      </c>
      <c r="L2784" s="2" t="s">
        <v>43</v>
      </c>
      <c r="M2784" s="2">
        <v>4</v>
      </c>
      <c r="N2784" s="2" t="s">
        <v>24</v>
      </c>
      <c r="O2784" s="2" t="s">
        <v>70</v>
      </c>
      <c r="P2784" s="2" t="s">
        <v>34</v>
      </c>
    </row>
    <row r="2785" spans="1:16" x14ac:dyDescent="0.25">
      <c r="A2785" s="2" t="s">
        <v>6199</v>
      </c>
      <c r="B2785" s="2" t="s">
        <v>5844</v>
      </c>
      <c r="C2785" s="2">
        <v>5388</v>
      </c>
      <c r="D2785" s="2" t="s">
        <v>6904</v>
      </c>
      <c r="E2785" s="2" t="s">
        <v>18</v>
      </c>
      <c r="F2785" s="2" t="s">
        <v>58</v>
      </c>
      <c r="G2785" s="2">
        <v>25409.49</v>
      </c>
      <c r="H2785" s="2">
        <v>15372.95</v>
      </c>
      <c r="I2785" s="2" t="s">
        <v>63</v>
      </c>
      <c r="J2785" s="2" t="s">
        <v>54</v>
      </c>
      <c r="K2785" s="2" t="s">
        <v>80</v>
      </c>
      <c r="L2785" s="2" t="s">
        <v>64</v>
      </c>
      <c r="M2785" s="2">
        <v>3</v>
      </c>
      <c r="N2785" s="2" t="s">
        <v>24</v>
      </c>
      <c r="O2785" s="2" t="s">
        <v>70</v>
      </c>
      <c r="P2785" s="2" t="s">
        <v>49</v>
      </c>
    </row>
    <row r="2786" spans="1:16" x14ac:dyDescent="0.25">
      <c r="A2786" s="2" t="s">
        <v>6201</v>
      </c>
      <c r="B2786" s="2" t="s">
        <v>9771</v>
      </c>
      <c r="C2786" s="2">
        <v>1718</v>
      </c>
      <c r="D2786" s="2" t="s">
        <v>9772</v>
      </c>
      <c r="E2786" s="2" t="s">
        <v>6694</v>
      </c>
      <c r="F2786" s="2" t="s">
        <v>58</v>
      </c>
      <c r="G2786" s="2">
        <v>17820.439999999999</v>
      </c>
      <c r="H2786" s="2">
        <v>8984.58</v>
      </c>
      <c r="I2786" s="2" t="s">
        <v>6739</v>
      </c>
      <c r="J2786" s="2" t="s">
        <v>6700</v>
      </c>
      <c r="K2786" s="2" t="s">
        <v>80</v>
      </c>
      <c r="L2786" s="2" t="s">
        <v>43</v>
      </c>
      <c r="M2786" s="2">
        <v>5</v>
      </c>
      <c r="N2786" s="2" t="s">
        <v>33</v>
      </c>
      <c r="O2786" s="2" t="s">
        <v>25</v>
      </c>
      <c r="P2786" s="2" t="s">
        <v>49</v>
      </c>
    </row>
    <row r="2787" spans="1:16" x14ac:dyDescent="0.25">
      <c r="A2787" s="2" t="s">
        <v>6203</v>
      </c>
      <c r="B2787" s="2" t="s">
        <v>2807</v>
      </c>
      <c r="C2787" s="2">
        <v>6763</v>
      </c>
      <c r="D2787" s="2" t="s">
        <v>9773</v>
      </c>
      <c r="E2787" s="2" t="s">
        <v>38</v>
      </c>
      <c r="F2787" s="2" t="s">
        <v>30</v>
      </c>
      <c r="G2787" s="2">
        <v>69048.320000000007</v>
      </c>
      <c r="H2787" s="2">
        <v>33098</v>
      </c>
      <c r="I2787" s="2" t="s">
        <v>84</v>
      </c>
      <c r="J2787" s="2" t="s">
        <v>54</v>
      </c>
      <c r="K2787" s="2" t="s">
        <v>22</v>
      </c>
      <c r="L2787" s="2" t="s">
        <v>88</v>
      </c>
      <c r="M2787" s="2">
        <v>4</v>
      </c>
      <c r="N2787" s="2" t="s">
        <v>33</v>
      </c>
      <c r="O2787" s="2" t="s">
        <v>70</v>
      </c>
      <c r="P2787" s="2" t="s">
        <v>26</v>
      </c>
    </row>
    <row r="2788" spans="1:16" x14ac:dyDescent="0.25">
      <c r="A2788" s="2" t="s">
        <v>6206</v>
      </c>
      <c r="B2788" s="2" t="s">
        <v>2074</v>
      </c>
      <c r="C2788" s="2">
        <v>5307</v>
      </c>
      <c r="D2788" s="2" t="s">
        <v>9774</v>
      </c>
      <c r="E2788" s="2" t="s">
        <v>6698</v>
      </c>
      <c r="F2788" s="2" t="s">
        <v>39</v>
      </c>
      <c r="G2788" s="2">
        <v>24486.11</v>
      </c>
      <c r="H2788" s="2">
        <v>15294</v>
      </c>
      <c r="I2788" s="2" t="s">
        <v>6812</v>
      </c>
      <c r="J2788" s="2" t="s">
        <v>6729</v>
      </c>
      <c r="K2788" s="2" t="s">
        <v>42</v>
      </c>
      <c r="L2788" s="2" t="s">
        <v>88</v>
      </c>
      <c r="M2788" s="2">
        <v>3</v>
      </c>
      <c r="N2788" s="2" t="s">
        <v>33</v>
      </c>
      <c r="O2788" s="2" t="s">
        <v>70</v>
      </c>
      <c r="P2788" s="2" t="s">
        <v>34</v>
      </c>
    </row>
    <row r="2789" spans="1:16" x14ac:dyDescent="0.25">
      <c r="A2789" s="2" t="s">
        <v>6207</v>
      </c>
      <c r="B2789" s="2" t="s">
        <v>9155</v>
      </c>
      <c r="C2789" s="2">
        <v>7453</v>
      </c>
      <c r="D2789" s="2" t="s">
        <v>9775</v>
      </c>
      <c r="E2789" s="2" t="s">
        <v>6680</v>
      </c>
      <c r="F2789" s="2" t="s">
        <v>47</v>
      </c>
      <c r="G2789" s="2">
        <v>10854.5</v>
      </c>
      <c r="H2789" s="2">
        <v>6761.46</v>
      </c>
      <c r="I2789" s="2" t="s">
        <v>84</v>
      </c>
      <c r="J2789" s="2" t="s">
        <v>6729</v>
      </c>
      <c r="K2789" s="2" t="s">
        <v>32</v>
      </c>
      <c r="L2789" s="2" t="s">
        <v>55</v>
      </c>
      <c r="M2789" s="2">
        <v>3</v>
      </c>
      <c r="N2789" s="2" t="s">
        <v>33</v>
      </c>
      <c r="O2789" s="2" t="s">
        <v>25</v>
      </c>
      <c r="P2789" s="2" t="s">
        <v>49</v>
      </c>
    </row>
    <row r="2790" spans="1:16" x14ac:dyDescent="0.25">
      <c r="A2790" s="2" t="s">
        <v>6209</v>
      </c>
      <c r="B2790" s="2" t="s">
        <v>5547</v>
      </c>
      <c r="C2790" s="2">
        <v>9633</v>
      </c>
      <c r="D2790" s="2" t="s">
        <v>9776</v>
      </c>
      <c r="E2790" s="2" t="s">
        <v>18</v>
      </c>
      <c r="F2790" s="2" t="s">
        <v>30</v>
      </c>
      <c r="G2790" s="2">
        <v>71141.25</v>
      </c>
      <c r="H2790" s="2">
        <v>38952.339999999997</v>
      </c>
      <c r="I2790" s="2" t="s">
        <v>31</v>
      </c>
      <c r="J2790" s="2" t="s">
        <v>21</v>
      </c>
      <c r="K2790" s="2" t="s">
        <v>80</v>
      </c>
      <c r="L2790" s="2" t="s">
        <v>23</v>
      </c>
      <c r="M2790" s="2">
        <v>4</v>
      </c>
      <c r="N2790" s="2" t="s">
        <v>24</v>
      </c>
      <c r="O2790" s="2" t="s">
        <v>70</v>
      </c>
      <c r="P2790" s="2" t="s">
        <v>34</v>
      </c>
    </row>
    <row r="2791" spans="1:16" x14ac:dyDescent="0.25">
      <c r="A2791" s="2" t="s">
        <v>6211</v>
      </c>
      <c r="B2791" s="2" t="s">
        <v>8292</v>
      </c>
      <c r="C2791" s="2">
        <v>9635</v>
      </c>
      <c r="D2791" s="2" t="s">
        <v>9777</v>
      </c>
      <c r="E2791" s="2" t="s">
        <v>18</v>
      </c>
      <c r="F2791" s="2" t="s">
        <v>58</v>
      </c>
      <c r="G2791" s="2">
        <v>21812.42</v>
      </c>
      <c r="H2791" s="2">
        <v>10242.86</v>
      </c>
      <c r="I2791" s="2" t="s">
        <v>63</v>
      </c>
      <c r="J2791" s="2" t="s">
        <v>54</v>
      </c>
      <c r="K2791" s="2" t="s">
        <v>42</v>
      </c>
      <c r="L2791" s="2" t="s">
        <v>64</v>
      </c>
      <c r="M2791" s="2">
        <v>2</v>
      </c>
      <c r="N2791" s="2" t="s">
        <v>33</v>
      </c>
      <c r="O2791" s="2" t="s">
        <v>70</v>
      </c>
      <c r="P2791" s="2" t="s">
        <v>34</v>
      </c>
    </row>
    <row r="2792" spans="1:16" x14ac:dyDescent="0.25">
      <c r="A2792" s="2" t="s">
        <v>6213</v>
      </c>
      <c r="B2792" s="2" t="s">
        <v>125</v>
      </c>
      <c r="C2792" s="2">
        <v>8823</v>
      </c>
      <c r="D2792" s="2" t="s">
        <v>9778</v>
      </c>
      <c r="E2792" s="2" t="s">
        <v>18</v>
      </c>
      <c r="F2792" s="2" t="s">
        <v>47</v>
      </c>
      <c r="G2792" s="2">
        <v>19716.16</v>
      </c>
      <c r="H2792" s="2">
        <v>9077.15</v>
      </c>
      <c r="I2792" s="2" t="s">
        <v>53</v>
      </c>
      <c r="J2792" s="2" t="s">
        <v>54</v>
      </c>
      <c r="K2792" s="2" t="s">
        <v>80</v>
      </c>
      <c r="L2792" s="2" t="s">
        <v>23</v>
      </c>
      <c r="M2792" s="2">
        <v>2</v>
      </c>
      <c r="N2792" s="2" t="s">
        <v>33</v>
      </c>
      <c r="O2792" s="2" t="s">
        <v>70</v>
      </c>
      <c r="P2792" s="2" t="s">
        <v>49</v>
      </c>
    </row>
    <row r="2793" spans="1:16" x14ac:dyDescent="0.25">
      <c r="A2793" s="2" t="s">
        <v>6216</v>
      </c>
      <c r="B2793" s="2" t="s">
        <v>3641</v>
      </c>
      <c r="C2793" s="2">
        <v>2588</v>
      </c>
      <c r="D2793" s="2" t="s">
        <v>9779</v>
      </c>
      <c r="E2793" s="2" t="s">
        <v>18</v>
      </c>
      <c r="F2793" s="2" t="s">
        <v>47</v>
      </c>
      <c r="G2793" s="2">
        <v>7766.64</v>
      </c>
      <c r="H2793" s="2">
        <v>4917.9399999999996</v>
      </c>
      <c r="I2793" s="2" t="s">
        <v>120</v>
      </c>
      <c r="J2793" s="2" t="s">
        <v>21</v>
      </c>
      <c r="K2793" s="2" t="s">
        <v>32</v>
      </c>
      <c r="L2793" s="2" t="s">
        <v>48</v>
      </c>
      <c r="M2793" s="2">
        <v>4</v>
      </c>
      <c r="N2793" s="2" t="s">
        <v>33</v>
      </c>
      <c r="O2793" s="2" t="s">
        <v>70</v>
      </c>
      <c r="P2793" s="2" t="s">
        <v>49</v>
      </c>
    </row>
    <row r="2794" spans="1:16" x14ac:dyDescent="0.25">
      <c r="A2794" s="2" t="s">
        <v>6218</v>
      </c>
      <c r="B2794" s="2" t="s">
        <v>4852</v>
      </c>
      <c r="C2794" s="2">
        <v>5606</v>
      </c>
      <c r="D2794" s="2" t="s">
        <v>9780</v>
      </c>
      <c r="E2794" s="2" t="s">
        <v>38</v>
      </c>
      <c r="F2794" s="2" t="s">
        <v>47</v>
      </c>
      <c r="G2794" s="2">
        <v>11464.59</v>
      </c>
      <c r="H2794" s="2">
        <v>6826.61</v>
      </c>
      <c r="I2794" s="2" t="s">
        <v>120</v>
      </c>
      <c r="J2794" s="2" t="s">
        <v>21</v>
      </c>
      <c r="K2794" s="2" t="s">
        <v>42</v>
      </c>
      <c r="L2794" s="2" t="s">
        <v>43</v>
      </c>
      <c r="M2794" s="2">
        <v>5</v>
      </c>
      <c r="N2794" s="2" t="s">
        <v>24</v>
      </c>
      <c r="O2794" s="2" t="s">
        <v>25</v>
      </c>
      <c r="P2794" s="2" t="s">
        <v>49</v>
      </c>
    </row>
    <row r="2795" spans="1:16" x14ac:dyDescent="0.25">
      <c r="A2795" s="2" t="s">
        <v>6220</v>
      </c>
      <c r="B2795" s="2" t="s">
        <v>9781</v>
      </c>
      <c r="C2795" s="2">
        <v>2967</v>
      </c>
      <c r="D2795" s="2" t="s">
        <v>9782</v>
      </c>
      <c r="E2795" s="2" t="s">
        <v>6748</v>
      </c>
      <c r="F2795" s="2" t="s">
        <v>19</v>
      </c>
      <c r="G2795" s="2">
        <v>17663.53</v>
      </c>
      <c r="H2795" s="2">
        <v>10459.57</v>
      </c>
      <c r="I2795" s="2" t="s">
        <v>6915</v>
      </c>
      <c r="J2795" s="2" t="s">
        <v>6696</v>
      </c>
      <c r="K2795" s="2" t="s">
        <v>32</v>
      </c>
      <c r="L2795" s="2" t="s">
        <v>88</v>
      </c>
      <c r="M2795" s="2">
        <v>2</v>
      </c>
      <c r="N2795" s="2" t="s">
        <v>24</v>
      </c>
      <c r="O2795" s="2" t="s">
        <v>25</v>
      </c>
      <c r="P2795" s="2" t="s">
        <v>34</v>
      </c>
    </row>
    <row r="2796" spans="1:16" x14ac:dyDescent="0.25">
      <c r="A2796" s="2" t="s">
        <v>6222</v>
      </c>
      <c r="B2796" s="2" t="s">
        <v>4606</v>
      </c>
      <c r="C2796" s="2">
        <v>2618</v>
      </c>
      <c r="D2796" s="2" t="s">
        <v>8523</v>
      </c>
      <c r="E2796" s="2" t="s">
        <v>38</v>
      </c>
      <c r="F2796" s="2" t="s">
        <v>58</v>
      </c>
      <c r="G2796" s="2">
        <v>15266.25</v>
      </c>
      <c r="H2796" s="2">
        <v>6908.23</v>
      </c>
      <c r="I2796" s="2" t="s">
        <v>53</v>
      </c>
      <c r="J2796" s="2" t="s">
        <v>54</v>
      </c>
      <c r="K2796" s="2" t="s">
        <v>22</v>
      </c>
      <c r="L2796" s="2" t="s">
        <v>43</v>
      </c>
      <c r="M2796" s="2">
        <v>2</v>
      </c>
      <c r="N2796" s="2" t="s">
        <v>33</v>
      </c>
      <c r="O2796" s="2" t="s">
        <v>25</v>
      </c>
      <c r="P2796" s="2" t="s">
        <v>26</v>
      </c>
    </row>
    <row r="2797" spans="1:16" x14ac:dyDescent="0.25">
      <c r="A2797" s="2" t="s">
        <v>6223</v>
      </c>
      <c r="B2797" s="2" t="s">
        <v>3561</v>
      </c>
      <c r="C2797" s="2">
        <v>8529</v>
      </c>
      <c r="D2797" s="2" t="s">
        <v>3077</v>
      </c>
      <c r="E2797" s="2" t="s">
        <v>6703</v>
      </c>
      <c r="F2797" s="2" t="s">
        <v>47</v>
      </c>
      <c r="G2797" s="2">
        <v>3359.35</v>
      </c>
      <c r="H2797" s="2">
        <v>1641.19</v>
      </c>
      <c r="I2797" s="2" t="s">
        <v>6704</v>
      </c>
      <c r="J2797" s="2" t="s">
        <v>6682</v>
      </c>
      <c r="K2797" s="2" t="s">
        <v>32</v>
      </c>
      <c r="L2797" s="2" t="s">
        <v>88</v>
      </c>
      <c r="M2797" s="2">
        <v>2</v>
      </c>
      <c r="N2797" s="2" t="s">
        <v>33</v>
      </c>
      <c r="O2797" s="2" t="s">
        <v>25</v>
      </c>
      <c r="P2797" s="2" t="s">
        <v>49</v>
      </c>
    </row>
    <row r="2798" spans="1:16" x14ac:dyDescent="0.25">
      <c r="A2798" s="2" t="s">
        <v>6225</v>
      </c>
      <c r="B2798" s="2" t="s">
        <v>3093</v>
      </c>
      <c r="C2798" s="2">
        <v>3217</v>
      </c>
      <c r="D2798" s="2" t="s">
        <v>9783</v>
      </c>
      <c r="E2798" s="2" t="s">
        <v>18</v>
      </c>
      <c r="F2798" s="2" t="s">
        <v>47</v>
      </c>
      <c r="G2798" s="2">
        <v>17354.91</v>
      </c>
      <c r="H2798" s="2">
        <v>8389.42</v>
      </c>
      <c r="I2798" s="2" t="s">
        <v>20</v>
      </c>
      <c r="J2798" s="2" t="s">
        <v>21</v>
      </c>
      <c r="K2798" s="2" t="s">
        <v>80</v>
      </c>
      <c r="L2798" s="2" t="s">
        <v>43</v>
      </c>
      <c r="M2798" s="2">
        <v>5</v>
      </c>
      <c r="N2798" s="2" t="s">
        <v>69</v>
      </c>
      <c r="O2798" s="2" t="s">
        <v>25</v>
      </c>
      <c r="P2798" s="2" t="s">
        <v>49</v>
      </c>
    </row>
    <row r="2799" spans="1:16" x14ac:dyDescent="0.25">
      <c r="A2799" s="2" t="s">
        <v>6227</v>
      </c>
      <c r="B2799" s="2" t="s">
        <v>9784</v>
      </c>
      <c r="C2799" s="2">
        <v>3935</v>
      </c>
      <c r="D2799" s="2" t="s">
        <v>9785</v>
      </c>
      <c r="E2799" s="2" t="s">
        <v>6748</v>
      </c>
      <c r="F2799" s="2" t="s">
        <v>47</v>
      </c>
      <c r="G2799" s="2">
        <v>16650.330000000002</v>
      </c>
      <c r="H2799" s="2">
        <v>10810.7</v>
      </c>
      <c r="I2799" s="2" t="s">
        <v>53</v>
      </c>
      <c r="J2799" s="2" t="s">
        <v>6700</v>
      </c>
      <c r="K2799" s="2" t="s">
        <v>42</v>
      </c>
      <c r="L2799" s="2" t="s">
        <v>48</v>
      </c>
      <c r="M2799" s="2">
        <v>5</v>
      </c>
      <c r="N2799" s="2" t="s">
        <v>33</v>
      </c>
      <c r="O2799" s="2" t="s">
        <v>70</v>
      </c>
      <c r="P2799" s="2" t="s">
        <v>34</v>
      </c>
    </row>
    <row r="2800" spans="1:16" x14ac:dyDescent="0.25">
      <c r="A2800" s="2" t="s">
        <v>6228</v>
      </c>
      <c r="B2800" s="2" t="s">
        <v>9786</v>
      </c>
      <c r="C2800" s="2">
        <v>9077</v>
      </c>
      <c r="D2800" s="2" t="s">
        <v>7715</v>
      </c>
      <c r="E2800" s="2" t="s">
        <v>38</v>
      </c>
      <c r="F2800" s="2" t="s">
        <v>58</v>
      </c>
      <c r="G2800" s="2">
        <v>10754.48</v>
      </c>
      <c r="H2800" s="2">
        <v>5712.11</v>
      </c>
      <c r="I2800" s="2" t="s">
        <v>84</v>
      </c>
      <c r="J2800" s="2" t="s">
        <v>54</v>
      </c>
      <c r="K2800" s="2" t="s">
        <v>22</v>
      </c>
      <c r="L2800" s="2" t="s">
        <v>55</v>
      </c>
      <c r="M2800" s="2">
        <v>5</v>
      </c>
      <c r="N2800" s="2" t="s">
        <v>33</v>
      </c>
      <c r="O2800" s="2" t="s">
        <v>25</v>
      </c>
      <c r="P2800" s="2" t="s">
        <v>34</v>
      </c>
    </row>
    <row r="2801" spans="1:16" x14ac:dyDescent="0.25">
      <c r="A2801" s="2" t="s">
        <v>6230</v>
      </c>
      <c r="B2801" s="2" t="s">
        <v>9787</v>
      </c>
      <c r="C2801" s="2">
        <v>4641</v>
      </c>
      <c r="D2801" s="2" t="s">
        <v>9788</v>
      </c>
      <c r="E2801" s="2" t="s">
        <v>6694</v>
      </c>
      <c r="F2801" s="2" t="s">
        <v>30</v>
      </c>
      <c r="G2801" s="2">
        <v>30295.71</v>
      </c>
      <c r="H2801" s="2">
        <v>15690.18</v>
      </c>
      <c r="I2801" s="2" t="s">
        <v>6845</v>
      </c>
      <c r="J2801" s="2" t="s">
        <v>6724</v>
      </c>
      <c r="K2801" s="2" t="s">
        <v>80</v>
      </c>
      <c r="L2801" s="2" t="s">
        <v>88</v>
      </c>
      <c r="M2801" s="2">
        <v>1</v>
      </c>
      <c r="N2801" s="2" t="s">
        <v>33</v>
      </c>
      <c r="O2801" s="2" t="s">
        <v>25</v>
      </c>
      <c r="P2801" s="2" t="s">
        <v>26</v>
      </c>
    </row>
    <row r="2802" spans="1:16" x14ac:dyDescent="0.25">
      <c r="A2802" s="2" t="s">
        <v>6232</v>
      </c>
      <c r="B2802" s="2" t="s">
        <v>9789</v>
      </c>
      <c r="C2802" s="2">
        <v>4879</v>
      </c>
      <c r="D2802" s="2" t="s">
        <v>9790</v>
      </c>
      <c r="E2802" s="2" t="s">
        <v>38</v>
      </c>
      <c r="F2802" s="2" t="s">
        <v>30</v>
      </c>
      <c r="G2802" s="2">
        <v>69942.98</v>
      </c>
      <c r="H2802" s="2">
        <v>37783.599999999999</v>
      </c>
      <c r="I2802" s="2" t="s">
        <v>6822</v>
      </c>
      <c r="J2802" s="2" t="s">
        <v>41</v>
      </c>
      <c r="K2802" s="2" t="s">
        <v>22</v>
      </c>
      <c r="L2802" s="2" t="s">
        <v>48</v>
      </c>
      <c r="M2802" s="2">
        <v>5</v>
      </c>
      <c r="N2802" s="2" t="s">
        <v>33</v>
      </c>
      <c r="O2802" s="2" t="s">
        <v>70</v>
      </c>
      <c r="P2802" s="2" t="s">
        <v>49</v>
      </c>
    </row>
    <row r="2803" spans="1:16" x14ac:dyDescent="0.25">
      <c r="A2803" s="2" t="s">
        <v>6233</v>
      </c>
      <c r="B2803" s="2" t="s">
        <v>8295</v>
      </c>
      <c r="C2803" s="2">
        <v>3197</v>
      </c>
      <c r="D2803" s="2" t="s">
        <v>9791</v>
      </c>
      <c r="E2803" s="2" t="s">
        <v>6708</v>
      </c>
      <c r="F2803" s="2" t="s">
        <v>30</v>
      </c>
      <c r="G2803" s="2">
        <v>73697.66</v>
      </c>
      <c r="H2803" s="2">
        <v>34540.19</v>
      </c>
      <c r="I2803" s="2" t="s">
        <v>63</v>
      </c>
      <c r="J2803" s="2" t="s">
        <v>6700</v>
      </c>
      <c r="K2803" s="2" t="s">
        <v>22</v>
      </c>
      <c r="L2803" s="2" t="s">
        <v>48</v>
      </c>
      <c r="M2803" s="2">
        <v>2</v>
      </c>
      <c r="N2803" s="2" t="s">
        <v>69</v>
      </c>
      <c r="O2803" s="2" t="s">
        <v>70</v>
      </c>
      <c r="P2803" s="2" t="s">
        <v>26</v>
      </c>
    </row>
    <row r="2804" spans="1:16" x14ac:dyDescent="0.25">
      <c r="A2804" s="2" t="s">
        <v>6235</v>
      </c>
      <c r="B2804" s="2" t="s">
        <v>784</v>
      </c>
      <c r="C2804" s="2">
        <v>6741</v>
      </c>
      <c r="D2804" s="2" t="s">
        <v>9792</v>
      </c>
      <c r="E2804" s="2" t="s">
        <v>18</v>
      </c>
      <c r="F2804" s="2" t="s">
        <v>19</v>
      </c>
      <c r="G2804" s="2">
        <v>22114.04</v>
      </c>
      <c r="H2804" s="2">
        <v>10625.38</v>
      </c>
      <c r="I2804" s="2" t="s">
        <v>53</v>
      </c>
      <c r="J2804" s="2" t="s">
        <v>54</v>
      </c>
      <c r="K2804" s="2" t="s">
        <v>32</v>
      </c>
      <c r="L2804" s="2" t="s">
        <v>88</v>
      </c>
      <c r="M2804" s="2">
        <v>3</v>
      </c>
      <c r="N2804" s="2" t="s">
        <v>69</v>
      </c>
      <c r="O2804" s="2" t="s">
        <v>70</v>
      </c>
      <c r="P2804" s="2" t="s">
        <v>34</v>
      </c>
    </row>
    <row r="2805" spans="1:16" x14ac:dyDescent="0.25">
      <c r="A2805" s="2" t="s">
        <v>6236</v>
      </c>
      <c r="B2805" s="2" t="s">
        <v>9793</v>
      </c>
      <c r="C2805" s="2">
        <v>2511</v>
      </c>
      <c r="D2805" s="2" t="s">
        <v>9794</v>
      </c>
      <c r="E2805" s="2" t="s">
        <v>38</v>
      </c>
      <c r="F2805" s="2" t="s">
        <v>39</v>
      </c>
      <c r="G2805" s="2">
        <v>19229.240000000002</v>
      </c>
      <c r="H2805" s="2">
        <v>12112.03</v>
      </c>
      <c r="I2805" s="2" t="s">
        <v>31</v>
      </c>
      <c r="J2805" s="2" t="s">
        <v>21</v>
      </c>
      <c r="K2805" s="2" t="s">
        <v>22</v>
      </c>
      <c r="L2805" s="2" t="s">
        <v>23</v>
      </c>
      <c r="M2805" s="2">
        <v>4</v>
      </c>
      <c r="N2805" s="2" t="s">
        <v>33</v>
      </c>
      <c r="O2805" s="2" t="s">
        <v>25</v>
      </c>
      <c r="P2805" s="2" t="s">
        <v>49</v>
      </c>
    </row>
    <row r="2806" spans="1:16" x14ac:dyDescent="0.25">
      <c r="A2806" s="2" t="s">
        <v>6238</v>
      </c>
      <c r="B2806" s="2" t="s">
        <v>4414</v>
      </c>
      <c r="C2806" s="2">
        <v>8159</v>
      </c>
      <c r="D2806" s="2" t="s">
        <v>9795</v>
      </c>
      <c r="E2806" s="2" t="s">
        <v>6748</v>
      </c>
      <c r="F2806" s="2" t="s">
        <v>47</v>
      </c>
      <c r="G2806" s="2">
        <v>5194.79</v>
      </c>
      <c r="H2806" s="2">
        <v>2736.59</v>
      </c>
      <c r="I2806" s="2" t="s">
        <v>6749</v>
      </c>
      <c r="J2806" s="2" t="s">
        <v>6793</v>
      </c>
      <c r="K2806" s="2" t="s">
        <v>32</v>
      </c>
      <c r="L2806" s="2" t="s">
        <v>23</v>
      </c>
      <c r="M2806" s="2">
        <v>4</v>
      </c>
      <c r="N2806" s="2" t="s">
        <v>69</v>
      </c>
      <c r="O2806" s="2" t="s">
        <v>25</v>
      </c>
      <c r="P2806" s="2" t="s">
        <v>26</v>
      </c>
    </row>
    <row r="2807" spans="1:16" x14ac:dyDescent="0.25">
      <c r="A2807" s="2" t="s">
        <v>6239</v>
      </c>
      <c r="B2807" s="2" t="s">
        <v>9796</v>
      </c>
      <c r="C2807" s="2">
        <v>5820</v>
      </c>
      <c r="D2807" s="2" t="s">
        <v>9797</v>
      </c>
      <c r="E2807" s="2" t="s">
        <v>32</v>
      </c>
      <c r="F2807" s="2" t="s">
        <v>47</v>
      </c>
      <c r="G2807" s="2">
        <v>13381.26</v>
      </c>
      <c r="H2807" s="2">
        <v>6985.08</v>
      </c>
      <c r="I2807" s="2" t="s">
        <v>6759</v>
      </c>
      <c r="J2807" s="2" t="s">
        <v>54</v>
      </c>
      <c r="K2807" s="2" t="s">
        <v>80</v>
      </c>
      <c r="L2807" s="2" t="s">
        <v>88</v>
      </c>
      <c r="M2807" s="2">
        <v>2</v>
      </c>
      <c r="N2807" s="2" t="s">
        <v>33</v>
      </c>
      <c r="O2807" s="2" t="s">
        <v>70</v>
      </c>
      <c r="P2807" s="2" t="s">
        <v>49</v>
      </c>
    </row>
    <row r="2808" spans="1:16" x14ac:dyDescent="0.25">
      <c r="A2808" s="2" t="s">
        <v>6241</v>
      </c>
      <c r="B2808" s="2" t="s">
        <v>908</v>
      </c>
      <c r="C2808" s="2">
        <v>8959</v>
      </c>
      <c r="D2808" s="2" t="s">
        <v>9343</v>
      </c>
      <c r="E2808" s="2" t="s">
        <v>18</v>
      </c>
      <c r="F2808" s="2" t="s">
        <v>39</v>
      </c>
      <c r="G2808" s="2">
        <v>11600.16</v>
      </c>
      <c r="H2808" s="2">
        <v>6213.51</v>
      </c>
      <c r="I2808" s="2" t="s">
        <v>20</v>
      </c>
      <c r="J2808" s="2" t="s">
        <v>21</v>
      </c>
      <c r="K2808" s="2" t="s">
        <v>22</v>
      </c>
      <c r="L2808" s="2" t="s">
        <v>88</v>
      </c>
      <c r="M2808" s="2">
        <v>4</v>
      </c>
      <c r="N2808" s="2" t="s">
        <v>69</v>
      </c>
      <c r="O2808" s="2" t="s">
        <v>25</v>
      </c>
      <c r="P2808" s="2" t="s">
        <v>49</v>
      </c>
    </row>
    <row r="2809" spans="1:16" x14ac:dyDescent="0.25">
      <c r="A2809" s="2" t="s">
        <v>6243</v>
      </c>
      <c r="B2809" s="2" t="s">
        <v>2306</v>
      </c>
      <c r="C2809" s="2">
        <v>5586</v>
      </c>
      <c r="D2809" s="2" t="s">
        <v>3621</v>
      </c>
      <c r="E2809" s="2" t="s">
        <v>18</v>
      </c>
      <c r="F2809" s="2" t="s">
        <v>58</v>
      </c>
      <c r="G2809" s="2">
        <v>26156.26</v>
      </c>
      <c r="H2809" s="2">
        <v>12258.85</v>
      </c>
      <c r="I2809" s="2" t="s">
        <v>63</v>
      </c>
      <c r="J2809" s="2" t="s">
        <v>54</v>
      </c>
      <c r="K2809" s="2" t="s">
        <v>22</v>
      </c>
      <c r="L2809" s="2" t="s">
        <v>48</v>
      </c>
      <c r="M2809" s="2">
        <v>3</v>
      </c>
      <c r="N2809" s="2" t="s">
        <v>33</v>
      </c>
      <c r="O2809" s="2" t="s">
        <v>70</v>
      </c>
      <c r="P2809" s="2" t="s">
        <v>49</v>
      </c>
    </row>
    <row r="2810" spans="1:16" x14ac:dyDescent="0.25">
      <c r="A2810" s="2" t="s">
        <v>6245</v>
      </c>
      <c r="B2810" s="2" t="s">
        <v>5695</v>
      </c>
      <c r="C2810" s="2">
        <v>4947</v>
      </c>
      <c r="D2810" s="2" t="s">
        <v>9798</v>
      </c>
      <c r="E2810" s="2" t="s">
        <v>38</v>
      </c>
      <c r="F2810" s="2" t="s">
        <v>39</v>
      </c>
      <c r="G2810" s="2">
        <v>33673.339999999997</v>
      </c>
      <c r="H2810" s="2">
        <v>20192.900000000001</v>
      </c>
      <c r="I2810" s="2" t="s">
        <v>84</v>
      </c>
      <c r="J2810" s="2" t="s">
        <v>54</v>
      </c>
      <c r="K2810" s="2" t="s">
        <v>42</v>
      </c>
      <c r="L2810" s="2" t="s">
        <v>43</v>
      </c>
      <c r="M2810" s="2">
        <v>2</v>
      </c>
      <c r="N2810" s="2" t="s">
        <v>33</v>
      </c>
      <c r="O2810" s="2" t="s">
        <v>25</v>
      </c>
      <c r="P2810" s="2" t="s">
        <v>49</v>
      </c>
    </row>
    <row r="2811" spans="1:16" x14ac:dyDescent="0.25">
      <c r="A2811" s="2" t="s">
        <v>6246</v>
      </c>
      <c r="B2811" s="2" t="s">
        <v>9799</v>
      </c>
      <c r="C2811" s="2">
        <v>5258</v>
      </c>
      <c r="D2811" s="2" t="s">
        <v>5206</v>
      </c>
      <c r="E2811" s="2" t="s">
        <v>32</v>
      </c>
      <c r="F2811" s="2" t="s">
        <v>30</v>
      </c>
      <c r="G2811" s="2">
        <v>51762.7</v>
      </c>
      <c r="H2811" s="2">
        <v>26320.799999999999</v>
      </c>
      <c r="I2811" s="2" t="s">
        <v>6739</v>
      </c>
      <c r="J2811" s="2" t="s">
        <v>6753</v>
      </c>
      <c r="K2811" s="2" t="s">
        <v>32</v>
      </c>
      <c r="L2811" s="2" t="s">
        <v>48</v>
      </c>
      <c r="M2811" s="2">
        <v>5</v>
      </c>
      <c r="N2811" s="2" t="s">
        <v>24</v>
      </c>
      <c r="O2811" s="2" t="s">
        <v>25</v>
      </c>
      <c r="P2811" s="2" t="s">
        <v>34</v>
      </c>
    </row>
    <row r="2812" spans="1:16" x14ac:dyDescent="0.25">
      <c r="A2812" s="2" t="s">
        <v>6248</v>
      </c>
      <c r="B2812" s="2" t="s">
        <v>9800</v>
      </c>
      <c r="C2812" s="2">
        <v>2011</v>
      </c>
      <c r="D2812" s="2" t="s">
        <v>9801</v>
      </c>
      <c r="E2812" s="2" t="s">
        <v>6680</v>
      </c>
      <c r="F2812" s="2" t="s">
        <v>47</v>
      </c>
      <c r="G2812" s="2">
        <v>11289.01</v>
      </c>
      <c r="H2812" s="2">
        <v>6527.02</v>
      </c>
      <c r="I2812" s="2" t="s">
        <v>6771</v>
      </c>
      <c r="J2812" s="2" t="s">
        <v>6724</v>
      </c>
      <c r="K2812" s="2" t="s">
        <v>80</v>
      </c>
      <c r="L2812" s="2" t="s">
        <v>64</v>
      </c>
      <c r="M2812" s="2">
        <v>2</v>
      </c>
      <c r="N2812" s="2" t="s">
        <v>24</v>
      </c>
      <c r="O2812" s="2" t="s">
        <v>25</v>
      </c>
      <c r="P2812" s="2" t="s">
        <v>49</v>
      </c>
    </row>
    <row r="2813" spans="1:16" x14ac:dyDescent="0.25">
      <c r="A2813" s="2" t="s">
        <v>6250</v>
      </c>
      <c r="B2813" s="2" t="s">
        <v>2628</v>
      </c>
      <c r="C2813" s="2">
        <v>3600</v>
      </c>
      <c r="D2813" s="2" t="s">
        <v>9802</v>
      </c>
      <c r="E2813" s="2" t="s">
        <v>6719</v>
      </c>
      <c r="F2813" s="2" t="s">
        <v>39</v>
      </c>
      <c r="G2813" s="2">
        <v>17527.03</v>
      </c>
      <c r="H2813" s="2">
        <v>8136.14</v>
      </c>
      <c r="I2813" s="2" t="s">
        <v>6695</v>
      </c>
      <c r="J2813" s="2" t="s">
        <v>6789</v>
      </c>
      <c r="K2813" s="2" t="s">
        <v>32</v>
      </c>
      <c r="L2813" s="2" t="s">
        <v>64</v>
      </c>
      <c r="M2813" s="2">
        <v>3</v>
      </c>
      <c r="N2813" s="2" t="s">
        <v>33</v>
      </c>
      <c r="O2813" s="2" t="s">
        <v>25</v>
      </c>
      <c r="P2813" s="2" t="s">
        <v>26</v>
      </c>
    </row>
    <row r="2814" spans="1:16" x14ac:dyDescent="0.25">
      <c r="A2814" s="2" t="s">
        <v>6251</v>
      </c>
      <c r="B2814" s="2" t="s">
        <v>1406</v>
      </c>
      <c r="C2814" s="2">
        <v>6748</v>
      </c>
      <c r="D2814" s="2" t="s">
        <v>9803</v>
      </c>
      <c r="E2814" s="2" t="s">
        <v>38</v>
      </c>
      <c r="F2814" s="2" t="s">
        <v>39</v>
      </c>
      <c r="G2814" s="2">
        <v>11043.01</v>
      </c>
      <c r="H2814" s="2">
        <v>5419.71</v>
      </c>
      <c r="I2814" s="2" t="s">
        <v>20</v>
      </c>
      <c r="J2814" s="2" t="s">
        <v>21</v>
      </c>
      <c r="K2814" s="2" t="s">
        <v>32</v>
      </c>
      <c r="L2814" s="2" t="s">
        <v>55</v>
      </c>
      <c r="M2814" s="2">
        <v>5</v>
      </c>
      <c r="N2814" s="2" t="s">
        <v>24</v>
      </c>
      <c r="O2814" s="2" t="s">
        <v>25</v>
      </c>
      <c r="P2814" s="2" t="s">
        <v>26</v>
      </c>
    </row>
    <row r="2815" spans="1:16" x14ac:dyDescent="0.25">
      <c r="A2815" s="2" t="s">
        <v>6253</v>
      </c>
      <c r="B2815" s="2" t="s">
        <v>2749</v>
      </c>
      <c r="C2815" s="2">
        <v>8903</v>
      </c>
      <c r="D2815" s="2" t="s">
        <v>2482</v>
      </c>
      <c r="E2815" s="2" t="s">
        <v>18</v>
      </c>
      <c r="F2815" s="2" t="s">
        <v>39</v>
      </c>
      <c r="G2815" s="2">
        <v>36517.74</v>
      </c>
      <c r="H2815" s="2">
        <v>22504.19</v>
      </c>
      <c r="I2815" s="2" t="s">
        <v>53</v>
      </c>
      <c r="J2815" s="2" t="s">
        <v>54</v>
      </c>
      <c r="K2815" s="2" t="s">
        <v>42</v>
      </c>
      <c r="L2815" s="2" t="s">
        <v>55</v>
      </c>
      <c r="M2815" s="2">
        <v>1</v>
      </c>
      <c r="N2815" s="2" t="s">
        <v>33</v>
      </c>
      <c r="O2815" s="2" t="s">
        <v>25</v>
      </c>
      <c r="P2815" s="2" t="s">
        <v>49</v>
      </c>
    </row>
    <row r="2816" spans="1:16" x14ac:dyDescent="0.25">
      <c r="A2816" s="2" t="s">
        <v>6255</v>
      </c>
      <c r="B2816" s="2" t="s">
        <v>9804</v>
      </c>
      <c r="C2816" s="2">
        <v>5360</v>
      </c>
      <c r="D2816" s="2" t="s">
        <v>9805</v>
      </c>
      <c r="E2816" s="2" t="s">
        <v>6694</v>
      </c>
      <c r="F2816" s="2" t="s">
        <v>39</v>
      </c>
      <c r="G2816" s="2">
        <v>14006.86</v>
      </c>
      <c r="H2816" s="2">
        <v>6559.11</v>
      </c>
      <c r="I2816" s="2" t="s">
        <v>6752</v>
      </c>
      <c r="J2816" s="2" t="s">
        <v>6691</v>
      </c>
      <c r="K2816" s="2" t="s">
        <v>22</v>
      </c>
      <c r="L2816" s="2" t="s">
        <v>23</v>
      </c>
      <c r="M2816" s="2">
        <v>1</v>
      </c>
      <c r="N2816" s="2" t="s">
        <v>24</v>
      </c>
      <c r="O2816" s="2" t="s">
        <v>70</v>
      </c>
      <c r="P2816" s="2" t="s">
        <v>34</v>
      </c>
    </row>
    <row r="2817" spans="1:16" x14ac:dyDescent="0.25">
      <c r="A2817" s="2" t="s">
        <v>6257</v>
      </c>
      <c r="B2817" s="2" t="s">
        <v>1045</v>
      </c>
      <c r="C2817" s="2">
        <v>2729</v>
      </c>
      <c r="D2817" s="2" t="s">
        <v>9806</v>
      </c>
      <c r="E2817" s="2" t="s">
        <v>6748</v>
      </c>
      <c r="F2817" s="2" t="s">
        <v>30</v>
      </c>
      <c r="G2817" s="2">
        <v>97349.49</v>
      </c>
      <c r="H2817" s="2">
        <v>59279.11</v>
      </c>
      <c r="I2817" s="2" t="s">
        <v>6759</v>
      </c>
      <c r="J2817" s="2" t="s">
        <v>6753</v>
      </c>
      <c r="K2817" s="2" t="s">
        <v>80</v>
      </c>
      <c r="L2817" s="2" t="s">
        <v>88</v>
      </c>
      <c r="M2817" s="2">
        <v>5</v>
      </c>
      <c r="N2817" s="2" t="s">
        <v>33</v>
      </c>
      <c r="O2817" s="2" t="s">
        <v>25</v>
      </c>
      <c r="P2817" s="2" t="s">
        <v>26</v>
      </c>
    </row>
    <row r="2818" spans="1:16" x14ac:dyDescent="0.25">
      <c r="A2818" s="2" t="s">
        <v>6258</v>
      </c>
      <c r="B2818" s="2" t="s">
        <v>2634</v>
      </c>
      <c r="C2818" s="2">
        <v>4529</v>
      </c>
      <c r="D2818" s="2" t="s">
        <v>9807</v>
      </c>
      <c r="E2818" s="2" t="s">
        <v>18</v>
      </c>
      <c r="F2818" s="2" t="s">
        <v>30</v>
      </c>
      <c r="G2818" s="2">
        <v>53873.45</v>
      </c>
      <c r="H2818" s="2">
        <v>31522.27</v>
      </c>
      <c r="I2818" s="2" t="s">
        <v>63</v>
      </c>
      <c r="J2818" s="2" t="s">
        <v>54</v>
      </c>
      <c r="K2818" s="2" t="s">
        <v>80</v>
      </c>
      <c r="L2818" s="2" t="s">
        <v>64</v>
      </c>
      <c r="M2818" s="2">
        <v>1</v>
      </c>
      <c r="N2818" s="2" t="s">
        <v>24</v>
      </c>
      <c r="O2818" s="2" t="s">
        <v>25</v>
      </c>
      <c r="P2818" s="2" t="s">
        <v>26</v>
      </c>
    </row>
    <row r="2819" spans="1:16" x14ac:dyDescent="0.25">
      <c r="A2819" s="2" t="s">
        <v>6260</v>
      </c>
      <c r="B2819" s="2" t="s">
        <v>9360</v>
      </c>
      <c r="C2819" s="2">
        <v>1338</v>
      </c>
      <c r="D2819" s="2" t="s">
        <v>9808</v>
      </c>
      <c r="E2819" s="2" t="s">
        <v>18</v>
      </c>
      <c r="F2819" s="2" t="s">
        <v>47</v>
      </c>
      <c r="G2819" s="2">
        <v>2319.4299999999998</v>
      </c>
      <c r="H2819" s="2">
        <v>1113.17</v>
      </c>
      <c r="I2819" s="2" t="s">
        <v>63</v>
      </c>
      <c r="J2819" s="2" t="s">
        <v>54</v>
      </c>
      <c r="K2819" s="2" t="s">
        <v>32</v>
      </c>
      <c r="L2819" s="2" t="s">
        <v>23</v>
      </c>
      <c r="M2819" s="2">
        <v>1</v>
      </c>
      <c r="N2819" s="2" t="s">
        <v>33</v>
      </c>
      <c r="O2819" s="2" t="s">
        <v>25</v>
      </c>
      <c r="P2819" s="2" t="s">
        <v>26</v>
      </c>
    </row>
    <row r="2820" spans="1:16" x14ac:dyDescent="0.25">
      <c r="A2820" s="2" t="s">
        <v>6262</v>
      </c>
      <c r="B2820" s="2" t="s">
        <v>1945</v>
      </c>
      <c r="C2820" s="2">
        <v>2255</v>
      </c>
      <c r="D2820" s="2" t="s">
        <v>9809</v>
      </c>
      <c r="E2820" s="2" t="s">
        <v>6694</v>
      </c>
      <c r="F2820" s="2" t="s">
        <v>39</v>
      </c>
      <c r="G2820" s="2">
        <v>29268.720000000001</v>
      </c>
      <c r="H2820" s="2">
        <v>16485.849999999999</v>
      </c>
      <c r="I2820" s="2" t="s">
        <v>6749</v>
      </c>
      <c r="J2820" s="2" t="s">
        <v>41</v>
      </c>
      <c r="K2820" s="2" t="s">
        <v>42</v>
      </c>
      <c r="L2820" s="2" t="s">
        <v>48</v>
      </c>
      <c r="M2820" s="2">
        <v>5</v>
      </c>
      <c r="N2820" s="2" t="s">
        <v>33</v>
      </c>
      <c r="O2820" s="2" t="s">
        <v>70</v>
      </c>
      <c r="P2820" s="2" t="s">
        <v>34</v>
      </c>
    </row>
    <row r="2821" spans="1:16" x14ac:dyDescent="0.25">
      <c r="A2821" s="2" t="s">
        <v>6264</v>
      </c>
      <c r="B2821" s="2" t="s">
        <v>7824</v>
      </c>
      <c r="C2821" s="2">
        <v>4758</v>
      </c>
      <c r="D2821" s="2" t="s">
        <v>9810</v>
      </c>
      <c r="E2821" s="2" t="s">
        <v>18</v>
      </c>
      <c r="F2821" s="2" t="s">
        <v>39</v>
      </c>
      <c r="G2821" s="2">
        <v>30522.25</v>
      </c>
      <c r="H2821" s="2">
        <v>18274.8</v>
      </c>
      <c r="I2821" s="2" t="s">
        <v>63</v>
      </c>
      <c r="J2821" s="2" t="s">
        <v>54</v>
      </c>
      <c r="K2821" s="2" t="s">
        <v>42</v>
      </c>
      <c r="L2821" s="2" t="s">
        <v>55</v>
      </c>
      <c r="M2821" s="2">
        <v>5</v>
      </c>
      <c r="N2821" s="2" t="s">
        <v>33</v>
      </c>
      <c r="O2821" s="2" t="s">
        <v>70</v>
      </c>
      <c r="P2821" s="2" t="s">
        <v>49</v>
      </c>
    </row>
    <row r="2822" spans="1:16" x14ac:dyDescent="0.25">
      <c r="A2822" s="2" t="s">
        <v>6266</v>
      </c>
      <c r="B2822" s="2" t="s">
        <v>9811</v>
      </c>
      <c r="C2822" s="2">
        <v>8941</v>
      </c>
      <c r="D2822" s="2" t="s">
        <v>9812</v>
      </c>
      <c r="E2822" s="2" t="s">
        <v>6756</v>
      </c>
      <c r="F2822" s="2" t="s">
        <v>58</v>
      </c>
      <c r="G2822" s="2">
        <v>40102.339999999997</v>
      </c>
      <c r="H2822" s="2">
        <v>19296.71</v>
      </c>
      <c r="I2822" s="2" t="s">
        <v>6845</v>
      </c>
      <c r="J2822" s="2" t="s">
        <v>6795</v>
      </c>
      <c r="K2822" s="2" t="s">
        <v>42</v>
      </c>
      <c r="L2822" s="2" t="s">
        <v>88</v>
      </c>
      <c r="M2822" s="2">
        <v>3</v>
      </c>
      <c r="N2822" s="2" t="s">
        <v>24</v>
      </c>
      <c r="O2822" s="2" t="s">
        <v>25</v>
      </c>
      <c r="P2822" s="2" t="s">
        <v>34</v>
      </c>
    </row>
    <row r="2823" spans="1:16" x14ac:dyDescent="0.25">
      <c r="A2823" s="2" t="s">
        <v>6268</v>
      </c>
      <c r="B2823" s="2" t="s">
        <v>9813</v>
      </c>
      <c r="C2823" s="2">
        <v>5315</v>
      </c>
      <c r="D2823" s="2" t="s">
        <v>9814</v>
      </c>
      <c r="E2823" s="2" t="s">
        <v>6703</v>
      </c>
      <c r="F2823" s="2" t="s">
        <v>58</v>
      </c>
      <c r="G2823" s="2">
        <v>27957.95</v>
      </c>
      <c r="H2823" s="2">
        <v>15190.14</v>
      </c>
      <c r="I2823" s="2" t="s">
        <v>6752</v>
      </c>
      <c r="J2823" s="2" t="s">
        <v>6729</v>
      </c>
      <c r="K2823" s="2" t="s">
        <v>42</v>
      </c>
      <c r="L2823" s="2" t="s">
        <v>43</v>
      </c>
      <c r="M2823" s="2">
        <v>3</v>
      </c>
      <c r="N2823" s="2" t="s">
        <v>33</v>
      </c>
      <c r="O2823" s="2" t="s">
        <v>70</v>
      </c>
      <c r="P2823" s="2" t="s">
        <v>34</v>
      </c>
    </row>
    <row r="2824" spans="1:16" x14ac:dyDescent="0.25">
      <c r="A2824" s="2" t="s">
        <v>6270</v>
      </c>
      <c r="B2824" s="2" t="s">
        <v>9815</v>
      </c>
      <c r="C2824" s="2">
        <v>6248</v>
      </c>
      <c r="D2824" s="2" t="s">
        <v>9816</v>
      </c>
      <c r="E2824" s="2" t="s">
        <v>6748</v>
      </c>
      <c r="F2824" s="2" t="s">
        <v>58</v>
      </c>
      <c r="G2824" s="2">
        <v>27150.25</v>
      </c>
      <c r="H2824" s="2">
        <v>14920.35</v>
      </c>
      <c r="I2824" s="2" t="s">
        <v>6728</v>
      </c>
      <c r="J2824" s="2" t="s">
        <v>54</v>
      </c>
      <c r="K2824" s="2" t="s">
        <v>22</v>
      </c>
      <c r="L2824" s="2" t="s">
        <v>48</v>
      </c>
      <c r="M2824" s="2">
        <v>2</v>
      </c>
      <c r="N2824" s="2" t="s">
        <v>33</v>
      </c>
      <c r="O2824" s="2" t="s">
        <v>25</v>
      </c>
      <c r="P2824" s="2" t="s">
        <v>34</v>
      </c>
    </row>
    <row r="2825" spans="1:16" x14ac:dyDescent="0.25">
      <c r="A2825" s="2" t="s">
        <v>6272</v>
      </c>
      <c r="B2825" s="2" t="s">
        <v>5436</v>
      </c>
      <c r="C2825" s="2">
        <v>6033</v>
      </c>
      <c r="D2825" s="2" t="s">
        <v>9817</v>
      </c>
      <c r="E2825" s="2" t="s">
        <v>18</v>
      </c>
      <c r="F2825" s="2" t="s">
        <v>39</v>
      </c>
      <c r="G2825" s="2">
        <v>15444.31</v>
      </c>
      <c r="H2825" s="2">
        <v>9252.8700000000008</v>
      </c>
      <c r="I2825" s="2" t="s">
        <v>84</v>
      </c>
      <c r="J2825" s="2" t="s">
        <v>54</v>
      </c>
      <c r="K2825" s="2" t="s">
        <v>22</v>
      </c>
      <c r="L2825" s="2" t="s">
        <v>64</v>
      </c>
      <c r="M2825" s="2">
        <v>2</v>
      </c>
      <c r="N2825" s="2" t="s">
        <v>24</v>
      </c>
      <c r="O2825" s="2" t="s">
        <v>25</v>
      </c>
      <c r="P2825" s="2" t="s">
        <v>34</v>
      </c>
    </row>
    <row r="2826" spans="1:16" x14ac:dyDescent="0.25">
      <c r="A2826" s="2" t="s">
        <v>6274</v>
      </c>
      <c r="B2826" s="2" t="s">
        <v>1927</v>
      </c>
      <c r="C2826" s="2">
        <v>8159</v>
      </c>
      <c r="D2826" s="2" t="s">
        <v>8947</v>
      </c>
      <c r="E2826" s="2" t="s">
        <v>18</v>
      </c>
      <c r="F2826" s="2" t="s">
        <v>30</v>
      </c>
      <c r="G2826" s="2">
        <v>64126.9</v>
      </c>
      <c r="H2826" s="2">
        <v>29262.98</v>
      </c>
      <c r="I2826" s="2" t="s">
        <v>84</v>
      </c>
      <c r="J2826" s="2" t="s">
        <v>54</v>
      </c>
      <c r="K2826" s="2" t="s">
        <v>32</v>
      </c>
      <c r="L2826" s="2" t="s">
        <v>48</v>
      </c>
      <c r="M2826" s="2">
        <v>5</v>
      </c>
      <c r="N2826" s="2" t="s">
        <v>69</v>
      </c>
      <c r="O2826" s="2" t="s">
        <v>70</v>
      </c>
      <c r="P2826" s="2" t="s">
        <v>34</v>
      </c>
    </row>
    <row r="2827" spans="1:16" x14ac:dyDescent="0.25">
      <c r="A2827" s="2" t="s">
        <v>6276</v>
      </c>
      <c r="B2827" s="2" t="s">
        <v>9818</v>
      </c>
      <c r="C2827" s="2">
        <v>7799</v>
      </c>
      <c r="D2827" s="2" t="s">
        <v>5767</v>
      </c>
      <c r="E2827" s="2" t="s">
        <v>6748</v>
      </c>
      <c r="F2827" s="2" t="s">
        <v>58</v>
      </c>
      <c r="G2827" s="2">
        <v>48005.440000000002</v>
      </c>
      <c r="H2827" s="2">
        <v>27318.5</v>
      </c>
      <c r="I2827" s="2" t="s">
        <v>31</v>
      </c>
      <c r="J2827" s="2" t="s">
        <v>6802</v>
      </c>
      <c r="K2827" s="2" t="s">
        <v>42</v>
      </c>
      <c r="L2827" s="2" t="s">
        <v>88</v>
      </c>
      <c r="M2827" s="2">
        <v>5</v>
      </c>
      <c r="N2827" s="2" t="s">
        <v>69</v>
      </c>
      <c r="O2827" s="2" t="s">
        <v>70</v>
      </c>
      <c r="P2827" s="2" t="s">
        <v>34</v>
      </c>
    </row>
    <row r="2828" spans="1:16" x14ac:dyDescent="0.25">
      <c r="A2828" s="2" t="s">
        <v>6278</v>
      </c>
      <c r="B2828" s="2" t="s">
        <v>802</v>
      </c>
      <c r="C2828" s="2">
        <v>8628</v>
      </c>
      <c r="D2828" s="2" t="s">
        <v>5346</v>
      </c>
      <c r="E2828" s="2" t="s">
        <v>18</v>
      </c>
      <c r="F2828" s="2" t="s">
        <v>30</v>
      </c>
      <c r="G2828" s="2">
        <v>58399.69</v>
      </c>
      <c r="H2828" s="2">
        <v>28318.16</v>
      </c>
      <c r="I2828" s="2" t="s">
        <v>31</v>
      </c>
      <c r="J2828" s="2" t="s">
        <v>21</v>
      </c>
      <c r="K2828" s="2" t="s">
        <v>80</v>
      </c>
      <c r="L2828" s="2" t="s">
        <v>23</v>
      </c>
      <c r="M2828" s="2">
        <v>2</v>
      </c>
      <c r="N2828" s="2" t="s">
        <v>69</v>
      </c>
      <c r="O2828" s="2" t="s">
        <v>70</v>
      </c>
      <c r="P2828" s="2" t="s">
        <v>34</v>
      </c>
    </row>
    <row r="2829" spans="1:16" x14ac:dyDescent="0.25">
      <c r="A2829" s="2" t="s">
        <v>6280</v>
      </c>
      <c r="B2829" s="2" t="s">
        <v>9819</v>
      </c>
      <c r="C2829" s="2">
        <v>3098</v>
      </c>
      <c r="D2829" s="2" t="s">
        <v>9820</v>
      </c>
      <c r="E2829" s="2" t="s">
        <v>6748</v>
      </c>
      <c r="F2829" s="2" t="s">
        <v>39</v>
      </c>
      <c r="G2829" s="2">
        <v>53131.57</v>
      </c>
      <c r="H2829" s="2">
        <v>32075.31</v>
      </c>
      <c r="I2829" s="2" t="s">
        <v>53</v>
      </c>
      <c r="J2829" s="2" t="s">
        <v>6729</v>
      </c>
      <c r="K2829" s="2" t="s">
        <v>42</v>
      </c>
      <c r="L2829" s="2" t="s">
        <v>64</v>
      </c>
      <c r="M2829" s="2">
        <v>3</v>
      </c>
      <c r="N2829" s="2" t="s">
        <v>33</v>
      </c>
      <c r="O2829" s="2" t="s">
        <v>25</v>
      </c>
      <c r="P2829" s="2" t="s">
        <v>26</v>
      </c>
    </row>
    <row r="2830" spans="1:16" x14ac:dyDescent="0.25">
      <c r="A2830" s="2" t="s">
        <v>6281</v>
      </c>
      <c r="B2830" s="2" t="s">
        <v>7490</v>
      </c>
      <c r="C2830" s="2">
        <v>6883</v>
      </c>
      <c r="D2830" s="2" t="s">
        <v>9821</v>
      </c>
      <c r="E2830" s="2" t="s">
        <v>32</v>
      </c>
      <c r="F2830" s="2" t="s">
        <v>39</v>
      </c>
      <c r="G2830" s="2">
        <v>25286.23</v>
      </c>
      <c r="H2830" s="2">
        <v>14176.13</v>
      </c>
      <c r="I2830" s="2" t="s">
        <v>6726</v>
      </c>
      <c r="J2830" s="2" t="s">
        <v>6802</v>
      </c>
      <c r="K2830" s="2" t="s">
        <v>32</v>
      </c>
      <c r="L2830" s="2" t="s">
        <v>23</v>
      </c>
      <c r="M2830" s="2">
        <v>2</v>
      </c>
      <c r="N2830" s="2" t="s">
        <v>33</v>
      </c>
      <c r="O2830" s="2" t="s">
        <v>70</v>
      </c>
      <c r="P2830" s="2" t="s">
        <v>49</v>
      </c>
    </row>
    <row r="2831" spans="1:16" x14ac:dyDescent="0.25">
      <c r="A2831" s="2" t="s">
        <v>6284</v>
      </c>
      <c r="B2831" s="2" t="s">
        <v>3159</v>
      </c>
      <c r="C2831" s="2">
        <v>8934</v>
      </c>
      <c r="D2831" s="2" t="s">
        <v>9822</v>
      </c>
      <c r="E2831" s="2" t="s">
        <v>38</v>
      </c>
      <c r="F2831" s="2" t="s">
        <v>30</v>
      </c>
      <c r="G2831" s="2">
        <v>42673.03</v>
      </c>
      <c r="H2831" s="2">
        <v>26897.919999999998</v>
      </c>
      <c r="I2831" s="2" t="s">
        <v>31</v>
      </c>
      <c r="J2831" s="2" t="s">
        <v>21</v>
      </c>
      <c r="K2831" s="2" t="s">
        <v>32</v>
      </c>
      <c r="L2831" s="2" t="s">
        <v>48</v>
      </c>
      <c r="M2831" s="2">
        <v>1</v>
      </c>
      <c r="N2831" s="2" t="s">
        <v>69</v>
      </c>
      <c r="O2831" s="2" t="s">
        <v>70</v>
      </c>
      <c r="P2831" s="2" t="s">
        <v>49</v>
      </c>
    </row>
    <row r="2832" spans="1:16" x14ac:dyDescent="0.25">
      <c r="A2832" s="2" t="s">
        <v>6286</v>
      </c>
      <c r="B2832" s="2" t="s">
        <v>2781</v>
      </c>
      <c r="C2832" s="2">
        <v>2199</v>
      </c>
      <c r="D2832" s="2" t="s">
        <v>9823</v>
      </c>
      <c r="E2832" s="2" t="s">
        <v>18</v>
      </c>
      <c r="F2832" s="2" t="s">
        <v>39</v>
      </c>
      <c r="G2832" s="2">
        <v>50654.94</v>
      </c>
      <c r="H2832" s="2">
        <v>29602.65</v>
      </c>
      <c r="I2832" s="2" t="s">
        <v>63</v>
      </c>
      <c r="J2832" s="2" t="s">
        <v>54</v>
      </c>
      <c r="K2832" s="2" t="s">
        <v>80</v>
      </c>
      <c r="L2832" s="2" t="s">
        <v>55</v>
      </c>
      <c r="M2832" s="2">
        <v>1</v>
      </c>
      <c r="N2832" s="2" t="s">
        <v>69</v>
      </c>
      <c r="O2832" s="2" t="s">
        <v>70</v>
      </c>
      <c r="P2832" s="2" t="s">
        <v>26</v>
      </c>
    </row>
    <row r="2833" spans="1:16" x14ac:dyDescent="0.25">
      <c r="A2833" s="2" t="s">
        <v>6287</v>
      </c>
      <c r="B2833" s="2" t="s">
        <v>7933</v>
      </c>
      <c r="C2833" s="2">
        <v>2132</v>
      </c>
      <c r="D2833" s="2" t="s">
        <v>9824</v>
      </c>
      <c r="E2833" s="2" t="s">
        <v>38</v>
      </c>
      <c r="F2833" s="2" t="s">
        <v>58</v>
      </c>
      <c r="G2833" s="2">
        <v>20404.7</v>
      </c>
      <c r="H2833" s="2">
        <v>10297.540000000001</v>
      </c>
      <c r="I2833" s="2" t="s">
        <v>6752</v>
      </c>
      <c r="J2833" s="2" t="s">
        <v>6729</v>
      </c>
      <c r="K2833" s="2" t="s">
        <v>22</v>
      </c>
      <c r="L2833" s="2" t="s">
        <v>55</v>
      </c>
      <c r="M2833" s="2">
        <v>3</v>
      </c>
      <c r="N2833" s="2" t="s">
        <v>24</v>
      </c>
      <c r="O2833" s="2" t="s">
        <v>70</v>
      </c>
      <c r="P2833" s="2" t="s">
        <v>34</v>
      </c>
    </row>
    <row r="2834" spans="1:16" x14ac:dyDescent="0.25">
      <c r="A2834" s="2" t="s">
        <v>6289</v>
      </c>
      <c r="B2834" s="2" t="s">
        <v>9825</v>
      </c>
      <c r="C2834" s="2">
        <v>3246</v>
      </c>
      <c r="D2834" s="2" t="s">
        <v>9826</v>
      </c>
      <c r="E2834" s="2" t="s">
        <v>18</v>
      </c>
      <c r="F2834" s="2" t="s">
        <v>47</v>
      </c>
      <c r="G2834" s="2">
        <v>10047.69</v>
      </c>
      <c r="H2834" s="2">
        <v>5266.28</v>
      </c>
      <c r="I2834" s="2" t="s">
        <v>59</v>
      </c>
      <c r="J2834" s="2" t="s">
        <v>41</v>
      </c>
      <c r="K2834" s="2" t="s">
        <v>22</v>
      </c>
      <c r="L2834" s="2" t="s">
        <v>48</v>
      </c>
      <c r="M2834" s="2">
        <v>5</v>
      </c>
      <c r="N2834" s="2" t="s">
        <v>24</v>
      </c>
      <c r="O2834" s="2" t="s">
        <v>25</v>
      </c>
      <c r="P2834" s="2" t="s">
        <v>26</v>
      </c>
    </row>
    <row r="2835" spans="1:16" x14ac:dyDescent="0.25">
      <c r="A2835" s="2" t="s">
        <v>6291</v>
      </c>
      <c r="B2835" s="2" t="s">
        <v>36</v>
      </c>
      <c r="C2835" s="2">
        <v>4691</v>
      </c>
      <c r="D2835" s="2" t="s">
        <v>9827</v>
      </c>
      <c r="E2835" s="2" t="s">
        <v>18</v>
      </c>
      <c r="F2835" s="2" t="s">
        <v>39</v>
      </c>
      <c r="G2835" s="2">
        <v>17859.650000000001</v>
      </c>
      <c r="H2835" s="2">
        <v>10456.24</v>
      </c>
      <c r="I2835" s="2" t="s">
        <v>59</v>
      </c>
      <c r="J2835" s="2" t="s">
        <v>41</v>
      </c>
      <c r="K2835" s="2" t="s">
        <v>42</v>
      </c>
      <c r="L2835" s="2" t="s">
        <v>64</v>
      </c>
      <c r="M2835" s="2">
        <v>5</v>
      </c>
      <c r="N2835" s="2" t="s">
        <v>33</v>
      </c>
      <c r="O2835" s="2" t="s">
        <v>25</v>
      </c>
      <c r="P2835" s="2" t="s">
        <v>34</v>
      </c>
    </row>
    <row r="2836" spans="1:16" x14ac:dyDescent="0.25">
      <c r="A2836" s="2" t="s">
        <v>6293</v>
      </c>
      <c r="B2836" s="2" t="s">
        <v>9828</v>
      </c>
      <c r="C2836" s="2">
        <v>7448</v>
      </c>
      <c r="D2836" s="2" t="s">
        <v>8502</v>
      </c>
      <c r="E2836" s="2" t="s">
        <v>6680</v>
      </c>
      <c r="F2836" s="2" t="s">
        <v>30</v>
      </c>
      <c r="G2836" s="2">
        <v>42454.239999999998</v>
      </c>
      <c r="H2836" s="2">
        <v>21026.11</v>
      </c>
      <c r="I2836" s="2" t="s">
        <v>6771</v>
      </c>
      <c r="J2836" s="2" t="s">
        <v>21</v>
      </c>
      <c r="K2836" s="2" t="s">
        <v>22</v>
      </c>
      <c r="L2836" s="2" t="s">
        <v>55</v>
      </c>
      <c r="M2836" s="2">
        <v>3</v>
      </c>
      <c r="N2836" s="2" t="s">
        <v>33</v>
      </c>
      <c r="O2836" s="2" t="s">
        <v>70</v>
      </c>
      <c r="P2836" s="2" t="s">
        <v>34</v>
      </c>
    </row>
    <row r="2837" spans="1:16" x14ac:dyDescent="0.25">
      <c r="A2837" s="2" t="s">
        <v>6295</v>
      </c>
      <c r="B2837" s="2" t="s">
        <v>594</v>
      </c>
      <c r="C2837" s="2">
        <v>3195</v>
      </c>
      <c r="D2837" s="2" t="s">
        <v>9829</v>
      </c>
      <c r="E2837" s="2" t="s">
        <v>18</v>
      </c>
      <c r="F2837" s="2" t="s">
        <v>47</v>
      </c>
      <c r="G2837" s="2">
        <v>4326.33</v>
      </c>
      <c r="H2837" s="2">
        <v>2272.5300000000002</v>
      </c>
      <c r="I2837" s="2" t="s">
        <v>53</v>
      </c>
      <c r="J2837" s="2" t="s">
        <v>54</v>
      </c>
      <c r="K2837" s="2" t="s">
        <v>42</v>
      </c>
      <c r="L2837" s="2" t="s">
        <v>48</v>
      </c>
      <c r="M2837" s="2">
        <v>4</v>
      </c>
      <c r="N2837" s="2" t="s">
        <v>69</v>
      </c>
      <c r="O2837" s="2" t="s">
        <v>25</v>
      </c>
      <c r="P2837" s="2" t="s">
        <v>26</v>
      </c>
    </row>
    <row r="2838" spans="1:16" x14ac:dyDescent="0.25">
      <c r="A2838" s="2" t="s">
        <v>6296</v>
      </c>
      <c r="B2838" s="2" t="s">
        <v>9830</v>
      </c>
      <c r="C2838" s="2">
        <v>5922</v>
      </c>
      <c r="D2838" s="2" t="s">
        <v>9831</v>
      </c>
      <c r="E2838" s="2" t="s">
        <v>6743</v>
      </c>
      <c r="F2838" s="2" t="s">
        <v>30</v>
      </c>
      <c r="G2838" s="2">
        <v>93612.7</v>
      </c>
      <c r="H2838" s="2">
        <v>55723.14</v>
      </c>
      <c r="I2838" s="2" t="s">
        <v>6752</v>
      </c>
      <c r="J2838" s="2" t="s">
        <v>6700</v>
      </c>
      <c r="K2838" s="2" t="s">
        <v>42</v>
      </c>
      <c r="L2838" s="2" t="s">
        <v>88</v>
      </c>
      <c r="M2838" s="2">
        <v>1</v>
      </c>
      <c r="N2838" s="2" t="s">
        <v>33</v>
      </c>
      <c r="O2838" s="2" t="s">
        <v>25</v>
      </c>
      <c r="P2838" s="2" t="s">
        <v>34</v>
      </c>
    </row>
    <row r="2839" spans="1:16" x14ac:dyDescent="0.25">
      <c r="A2839" s="2" t="s">
        <v>6298</v>
      </c>
      <c r="B2839" s="2" t="s">
        <v>6745</v>
      </c>
      <c r="C2839" s="2">
        <v>6000</v>
      </c>
      <c r="D2839" s="2" t="s">
        <v>7994</v>
      </c>
      <c r="E2839" s="2" t="s">
        <v>38</v>
      </c>
      <c r="F2839" s="2" t="s">
        <v>47</v>
      </c>
      <c r="G2839" s="2">
        <v>17540.52</v>
      </c>
      <c r="H2839" s="2">
        <v>9500.82</v>
      </c>
      <c r="I2839" s="2" t="s">
        <v>84</v>
      </c>
      <c r="J2839" s="2" t="s">
        <v>54</v>
      </c>
      <c r="K2839" s="2" t="s">
        <v>32</v>
      </c>
      <c r="L2839" s="2" t="s">
        <v>23</v>
      </c>
      <c r="M2839" s="2">
        <v>3</v>
      </c>
      <c r="N2839" s="2" t="s">
        <v>33</v>
      </c>
      <c r="O2839" s="2" t="s">
        <v>70</v>
      </c>
      <c r="P2839" s="2" t="s">
        <v>26</v>
      </c>
    </row>
    <row r="2840" spans="1:16" x14ac:dyDescent="0.25">
      <c r="A2840" s="2" t="s">
        <v>6300</v>
      </c>
      <c r="B2840" s="2" t="s">
        <v>9832</v>
      </c>
      <c r="C2840" s="2">
        <v>7544</v>
      </c>
      <c r="D2840" s="2" t="s">
        <v>8480</v>
      </c>
      <c r="E2840" s="2" t="s">
        <v>18</v>
      </c>
      <c r="F2840" s="2" t="s">
        <v>58</v>
      </c>
      <c r="G2840" s="2">
        <v>6779.3</v>
      </c>
      <c r="H2840" s="2">
        <v>4175.58</v>
      </c>
      <c r="I2840" s="2" t="s">
        <v>68</v>
      </c>
      <c r="J2840" s="2" t="s">
        <v>41</v>
      </c>
      <c r="K2840" s="2" t="s">
        <v>80</v>
      </c>
      <c r="L2840" s="2" t="s">
        <v>64</v>
      </c>
      <c r="M2840" s="2">
        <v>5</v>
      </c>
      <c r="N2840" s="2" t="s">
        <v>33</v>
      </c>
      <c r="O2840" s="2" t="s">
        <v>25</v>
      </c>
      <c r="P2840" s="2" t="s">
        <v>26</v>
      </c>
    </row>
    <row r="2841" spans="1:16" x14ac:dyDescent="0.25">
      <c r="A2841" s="2" t="s">
        <v>6302</v>
      </c>
      <c r="B2841" s="2" t="s">
        <v>9833</v>
      </c>
      <c r="C2841" s="2">
        <v>7230</v>
      </c>
      <c r="D2841" s="2" t="s">
        <v>9834</v>
      </c>
      <c r="E2841" s="2" t="s">
        <v>6748</v>
      </c>
      <c r="F2841" s="2" t="s">
        <v>19</v>
      </c>
      <c r="G2841" s="2">
        <v>12776.95</v>
      </c>
      <c r="H2841" s="2">
        <v>8244.89</v>
      </c>
      <c r="I2841" s="2" t="s">
        <v>68</v>
      </c>
      <c r="J2841" s="2" t="s">
        <v>41</v>
      </c>
      <c r="K2841" s="2" t="s">
        <v>80</v>
      </c>
      <c r="L2841" s="2" t="s">
        <v>43</v>
      </c>
      <c r="M2841" s="2">
        <v>2</v>
      </c>
      <c r="N2841" s="2" t="s">
        <v>69</v>
      </c>
      <c r="O2841" s="2" t="s">
        <v>25</v>
      </c>
      <c r="P2841" s="2" t="s">
        <v>49</v>
      </c>
    </row>
    <row r="2842" spans="1:16" x14ac:dyDescent="0.25">
      <c r="A2842" s="2" t="s">
        <v>6304</v>
      </c>
      <c r="B2842" s="2" t="s">
        <v>1790</v>
      </c>
      <c r="C2842" s="2">
        <v>6483</v>
      </c>
      <c r="D2842" s="2" t="s">
        <v>9835</v>
      </c>
      <c r="E2842" s="2" t="s">
        <v>18</v>
      </c>
      <c r="F2842" s="2" t="s">
        <v>47</v>
      </c>
      <c r="G2842" s="2">
        <v>15328.86</v>
      </c>
      <c r="H2842" s="2">
        <v>8029.97</v>
      </c>
      <c r="I2842" s="2" t="s">
        <v>31</v>
      </c>
      <c r="J2842" s="2" t="s">
        <v>21</v>
      </c>
      <c r="K2842" s="2" t="s">
        <v>32</v>
      </c>
      <c r="L2842" s="2" t="s">
        <v>64</v>
      </c>
      <c r="M2842" s="2">
        <v>4</v>
      </c>
      <c r="N2842" s="2" t="s">
        <v>24</v>
      </c>
      <c r="O2842" s="2" t="s">
        <v>25</v>
      </c>
      <c r="P2842" s="2" t="s">
        <v>26</v>
      </c>
    </row>
    <row r="2843" spans="1:16" x14ac:dyDescent="0.25">
      <c r="A2843" s="2" t="s">
        <v>6306</v>
      </c>
      <c r="B2843" s="2" t="s">
        <v>5151</v>
      </c>
      <c r="C2843" s="2">
        <v>4618</v>
      </c>
      <c r="D2843" s="2" t="s">
        <v>5767</v>
      </c>
      <c r="E2843" s="2" t="s">
        <v>18</v>
      </c>
      <c r="F2843" s="2" t="s">
        <v>30</v>
      </c>
      <c r="G2843" s="2">
        <v>98820.82</v>
      </c>
      <c r="H2843" s="2">
        <v>46781.23</v>
      </c>
      <c r="I2843" s="2" t="s">
        <v>53</v>
      </c>
      <c r="J2843" s="2" t="s">
        <v>54</v>
      </c>
      <c r="K2843" s="2" t="s">
        <v>80</v>
      </c>
      <c r="L2843" s="2" t="s">
        <v>88</v>
      </c>
      <c r="M2843" s="2">
        <v>1</v>
      </c>
      <c r="N2843" s="2" t="s">
        <v>24</v>
      </c>
      <c r="O2843" s="2" t="s">
        <v>70</v>
      </c>
      <c r="P2843" s="2" t="s">
        <v>34</v>
      </c>
    </row>
    <row r="2844" spans="1:16" x14ac:dyDescent="0.25">
      <c r="A2844" s="2" t="s">
        <v>6308</v>
      </c>
      <c r="B2844" s="2" t="s">
        <v>536</v>
      </c>
      <c r="C2844" s="2">
        <v>2417</v>
      </c>
      <c r="D2844" s="2" t="s">
        <v>5877</v>
      </c>
      <c r="E2844" s="2" t="s">
        <v>38</v>
      </c>
      <c r="F2844" s="2" t="s">
        <v>47</v>
      </c>
      <c r="G2844" s="2">
        <v>10845.77</v>
      </c>
      <c r="H2844" s="2">
        <v>5550.92</v>
      </c>
      <c r="I2844" s="2" t="s">
        <v>53</v>
      </c>
      <c r="J2844" s="2" t="s">
        <v>54</v>
      </c>
      <c r="K2844" s="2" t="s">
        <v>32</v>
      </c>
      <c r="L2844" s="2" t="s">
        <v>43</v>
      </c>
      <c r="M2844" s="2">
        <v>4</v>
      </c>
      <c r="N2844" s="2" t="s">
        <v>69</v>
      </c>
      <c r="O2844" s="2" t="s">
        <v>25</v>
      </c>
      <c r="P2844" s="2" t="s">
        <v>34</v>
      </c>
    </row>
    <row r="2845" spans="1:16" x14ac:dyDescent="0.25">
      <c r="A2845" s="2" t="s">
        <v>6310</v>
      </c>
      <c r="B2845" s="2" t="s">
        <v>9836</v>
      </c>
      <c r="C2845" s="2">
        <v>9413</v>
      </c>
      <c r="D2845" s="2" t="s">
        <v>9837</v>
      </c>
      <c r="E2845" s="2" t="s">
        <v>6703</v>
      </c>
      <c r="F2845" s="2" t="s">
        <v>47</v>
      </c>
      <c r="G2845" s="2">
        <v>14190.61</v>
      </c>
      <c r="H2845" s="2">
        <v>8979.77</v>
      </c>
      <c r="I2845" s="2" t="s">
        <v>6699</v>
      </c>
      <c r="J2845" s="2" t="s">
        <v>54</v>
      </c>
      <c r="K2845" s="2" t="s">
        <v>42</v>
      </c>
      <c r="L2845" s="2" t="s">
        <v>43</v>
      </c>
      <c r="M2845" s="2">
        <v>2</v>
      </c>
      <c r="N2845" s="2" t="s">
        <v>33</v>
      </c>
      <c r="O2845" s="2" t="s">
        <v>25</v>
      </c>
      <c r="P2845" s="2" t="s">
        <v>34</v>
      </c>
    </row>
    <row r="2846" spans="1:16" x14ac:dyDescent="0.25">
      <c r="A2846" s="2" t="s">
        <v>6313</v>
      </c>
      <c r="B2846" s="2" t="s">
        <v>1906</v>
      </c>
      <c r="C2846" s="2">
        <v>7892</v>
      </c>
      <c r="D2846" s="2" t="s">
        <v>9838</v>
      </c>
      <c r="E2846" s="2" t="s">
        <v>6719</v>
      </c>
      <c r="F2846" s="2" t="s">
        <v>58</v>
      </c>
      <c r="G2846" s="2">
        <v>39549.620000000003</v>
      </c>
      <c r="H2846" s="2">
        <v>19008.89</v>
      </c>
      <c r="I2846" s="2" t="s">
        <v>63</v>
      </c>
      <c r="J2846" s="2" t="s">
        <v>6686</v>
      </c>
      <c r="K2846" s="2" t="s">
        <v>80</v>
      </c>
      <c r="L2846" s="2" t="s">
        <v>64</v>
      </c>
      <c r="M2846" s="2">
        <v>3</v>
      </c>
      <c r="N2846" s="2" t="s">
        <v>33</v>
      </c>
      <c r="O2846" s="2" t="s">
        <v>25</v>
      </c>
      <c r="P2846" s="2" t="s">
        <v>49</v>
      </c>
    </row>
    <row r="2847" spans="1:16" x14ac:dyDescent="0.25">
      <c r="A2847" s="2" t="s">
        <v>6315</v>
      </c>
      <c r="B2847" s="2" t="s">
        <v>3433</v>
      </c>
      <c r="C2847" s="2">
        <v>2701</v>
      </c>
      <c r="D2847" s="2" t="s">
        <v>9839</v>
      </c>
      <c r="E2847" s="2" t="s">
        <v>6694</v>
      </c>
      <c r="F2847" s="2" t="s">
        <v>47</v>
      </c>
      <c r="G2847" s="2">
        <v>11220.15</v>
      </c>
      <c r="H2847" s="2">
        <v>6275.48</v>
      </c>
      <c r="I2847" s="2" t="s">
        <v>6867</v>
      </c>
      <c r="J2847" s="2" t="s">
        <v>6802</v>
      </c>
      <c r="K2847" s="2" t="s">
        <v>80</v>
      </c>
      <c r="L2847" s="2" t="s">
        <v>43</v>
      </c>
      <c r="M2847" s="2">
        <v>3</v>
      </c>
      <c r="N2847" s="2" t="s">
        <v>24</v>
      </c>
      <c r="O2847" s="2" t="s">
        <v>25</v>
      </c>
      <c r="P2847" s="2" t="s">
        <v>26</v>
      </c>
    </row>
    <row r="2848" spans="1:16" x14ac:dyDescent="0.25">
      <c r="A2848" s="2" t="s">
        <v>6317</v>
      </c>
      <c r="B2848" s="2" t="s">
        <v>3981</v>
      </c>
      <c r="C2848" s="2">
        <v>6205</v>
      </c>
      <c r="D2848" s="2" t="s">
        <v>9840</v>
      </c>
      <c r="E2848" s="2" t="s">
        <v>38</v>
      </c>
      <c r="F2848" s="2" t="s">
        <v>58</v>
      </c>
      <c r="G2848" s="2">
        <v>52415.45</v>
      </c>
      <c r="H2848" s="2">
        <v>25370.63</v>
      </c>
      <c r="I2848" s="2" t="s">
        <v>63</v>
      </c>
      <c r="J2848" s="2" t="s">
        <v>54</v>
      </c>
      <c r="K2848" s="2" t="s">
        <v>32</v>
      </c>
      <c r="L2848" s="2" t="s">
        <v>55</v>
      </c>
      <c r="M2848" s="2">
        <v>5</v>
      </c>
      <c r="N2848" s="2" t="s">
        <v>33</v>
      </c>
      <c r="O2848" s="2" t="s">
        <v>70</v>
      </c>
      <c r="P2848" s="2" t="s">
        <v>49</v>
      </c>
    </row>
    <row r="2849" spans="1:16" x14ac:dyDescent="0.25">
      <c r="A2849" s="2" t="s">
        <v>6319</v>
      </c>
      <c r="B2849" s="2" t="s">
        <v>9412</v>
      </c>
      <c r="C2849" s="2">
        <v>6330</v>
      </c>
      <c r="D2849" s="2" t="s">
        <v>9841</v>
      </c>
      <c r="E2849" s="2" t="s">
        <v>18</v>
      </c>
      <c r="F2849" s="2" t="s">
        <v>39</v>
      </c>
      <c r="G2849" s="2">
        <v>10006.42</v>
      </c>
      <c r="H2849" s="2">
        <v>5822.09</v>
      </c>
      <c r="I2849" s="2" t="s">
        <v>120</v>
      </c>
      <c r="J2849" s="2" t="s">
        <v>21</v>
      </c>
      <c r="K2849" s="2" t="s">
        <v>80</v>
      </c>
      <c r="L2849" s="2" t="s">
        <v>88</v>
      </c>
      <c r="M2849" s="2">
        <v>4</v>
      </c>
      <c r="N2849" s="2" t="s">
        <v>33</v>
      </c>
      <c r="O2849" s="2" t="s">
        <v>70</v>
      </c>
      <c r="P2849" s="2" t="s">
        <v>26</v>
      </c>
    </row>
    <row r="2850" spans="1:16" x14ac:dyDescent="0.25">
      <c r="A2850" s="2" t="s">
        <v>6321</v>
      </c>
      <c r="B2850" s="2" t="s">
        <v>704</v>
      </c>
      <c r="C2850" s="2">
        <v>5767</v>
      </c>
      <c r="D2850" s="2" t="s">
        <v>9842</v>
      </c>
      <c r="E2850" s="2" t="s">
        <v>38</v>
      </c>
      <c r="F2850" s="2" t="s">
        <v>19</v>
      </c>
      <c r="G2850" s="2">
        <v>15390.93</v>
      </c>
      <c r="H2850" s="2">
        <v>9860.15</v>
      </c>
      <c r="I2850" s="2" t="s">
        <v>20</v>
      </c>
      <c r="J2850" s="2" t="s">
        <v>21</v>
      </c>
      <c r="K2850" s="2" t="s">
        <v>42</v>
      </c>
      <c r="L2850" s="2" t="s">
        <v>23</v>
      </c>
      <c r="M2850" s="2">
        <v>1</v>
      </c>
      <c r="N2850" s="2" t="s">
        <v>33</v>
      </c>
      <c r="O2850" s="2" t="s">
        <v>70</v>
      </c>
      <c r="P2850" s="2" t="s">
        <v>34</v>
      </c>
    </row>
    <row r="2851" spans="1:16" x14ac:dyDescent="0.25">
      <c r="A2851" s="2" t="s">
        <v>6322</v>
      </c>
      <c r="B2851" s="2" t="s">
        <v>2857</v>
      </c>
      <c r="C2851" s="2">
        <v>5808</v>
      </c>
      <c r="D2851" s="2" t="s">
        <v>3932</v>
      </c>
      <c r="E2851" s="2" t="s">
        <v>38</v>
      </c>
      <c r="F2851" s="2" t="s">
        <v>19</v>
      </c>
      <c r="G2851" s="2">
        <v>17729</v>
      </c>
      <c r="H2851" s="2">
        <v>10631.28</v>
      </c>
      <c r="I2851" s="2" t="s">
        <v>120</v>
      </c>
      <c r="J2851" s="2" t="s">
        <v>21</v>
      </c>
      <c r="K2851" s="2" t="s">
        <v>42</v>
      </c>
      <c r="L2851" s="2" t="s">
        <v>55</v>
      </c>
      <c r="M2851" s="2">
        <v>5</v>
      </c>
      <c r="N2851" s="2" t="s">
        <v>33</v>
      </c>
      <c r="O2851" s="2" t="s">
        <v>25</v>
      </c>
      <c r="P2851" s="2" t="s">
        <v>26</v>
      </c>
    </row>
    <row r="2852" spans="1:16" x14ac:dyDescent="0.25">
      <c r="A2852" s="2" t="s">
        <v>6324</v>
      </c>
      <c r="B2852" s="2" t="s">
        <v>3772</v>
      </c>
      <c r="C2852" s="2">
        <v>4225</v>
      </c>
      <c r="D2852" s="2" t="s">
        <v>6602</v>
      </c>
      <c r="E2852" s="2" t="s">
        <v>18</v>
      </c>
      <c r="F2852" s="2" t="s">
        <v>47</v>
      </c>
      <c r="G2852" s="2">
        <v>6240.45</v>
      </c>
      <c r="H2852" s="2">
        <v>3725.05</v>
      </c>
      <c r="I2852" s="2" t="s">
        <v>6822</v>
      </c>
      <c r="J2852" s="2" t="s">
        <v>6682</v>
      </c>
      <c r="K2852" s="2" t="s">
        <v>80</v>
      </c>
      <c r="L2852" s="2" t="s">
        <v>48</v>
      </c>
      <c r="M2852" s="2">
        <v>5</v>
      </c>
      <c r="N2852" s="2" t="s">
        <v>69</v>
      </c>
      <c r="O2852" s="2" t="s">
        <v>25</v>
      </c>
      <c r="P2852" s="2" t="s">
        <v>26</v>
      </c>
    </row>
    <row r="2853" spans="1:16" x14ac:dyDescent="0.25">
      <c r="A2853" s="2" t="s">
        <v>6325</v>
      </c>
      <c r="B2853" s="2" t="s">
        <v>4960</v>
      </c>
      <c r="C2853" s="2">
        <v>6851</v>
      </c>
      <c r="D2853" s="2" t="s">
        <v>9843</v>
      </c>
      <c r="E2853" s="2" t="s">
        <v>6743</v>
      </c>
      <c r="F2853" s="2" t="s">
        <v>47</v>
      </c>
      <c r="G2853" s="2">
        <v>10734.09</v>
      </c>
      <c r="H2853" s="2">
        <v>5605.4</v>
      </c>
      <c r="I2853" s="2" t="s">
        <v>6699</v>
      </c>
      <c r="J2853" s="2" t="s">
        <v>6729</v>
      </c>
      <c r="K2853" s="2" t="s">
        <v>32</v>
      </c>
      <c r="L2853" s="2" t="s">
        <v>64</v>
      </c>
      <c r="M2853" s="2">
        <v>1</v>
      </c>
      <c r="N2853" s="2" t="s">
        <v>69</v>
      </c>
      <c r="O2853" s="2" t="s">
        <v>25</v>
      </c>
      <c r="P2853" s="2" t="s">
        <v>49</v>
      </c>
    </row>
    <row r="2854" spans="1:16" x14ac:dyDescent="0.25">
      <c r="A2854" s="2" t="s">
        <v>6327</v>
      </c>
      <c r="B2854" s="2" t="s">
        <v>9844</v>
      </c>
      <c r="C2854" s="2">
        <v>2050</v>
      </c>
      <c r="D2854" s="2" t="s">
        <v>2613</v>
      </c>
      <c r="E2854" s="2" t="s">
        <v>18</v>
      </c>
      <c r="F2854" s="2" t="s">
        <v>30</v>
      </c>
      <c r="G2854" s="2">
        <v>91637.440000000002</v>
      </c>
      <c r="H2854" s="2">
        <v>41493.440000000002</v>
      </c>
      <c r="I2854" s="2" t="s">
        <v>53</v>
      </c>
      <c r="J2854" s="2" t="s">
        <v>54</v>
      </c>
      <c r="K2854" s="2" t="s">
        <v>42</v>
      </c>
      <c r="L2854" s="2" t="s">
        <v>23</v>
      </c>
      <c r="M2854" s="2">
        <v>5</v>
      </c>
      <c r="N2854" s="2" t="s">
        <v>33</v>
      </c>
      <c r="O2854" s="2" t="s">
        <v>25</v>
      </c>
      <c r="P2854" s="2" t="s">
        <v>26</v>
      </c>
    </row>
    <row r="2855" spans="1:16" x14ac:dyDescent="0.25">
      <c r="A2855" s="2" t="s">
        <v>6329</v>
      </c>
      <c r="B2855" s="2" t="s">
        <v>9845</v>
      </c>
      <c r="C2855" s="2">
        <v>2731</v>
      </c>
      <c r="D2855" s="2" t="s">
        <v>9846</v>
      </c>
      <c r="E2855" s="2" t="s">
        <v>38</v>
      </c>
      <c r="F2855" s="2" t="s">
        <v>19</v>
      </c>
      <c r="G2855" s="2">
        <v>8074.96</v>
      </c>
      <c r="H2855" s="2">
        <v>4491.5600000000004</v>
      </c>
      <c r="I2855" s="2" t="s">
        <v>6761</v>
      </c>
      <c r="J2855" s="2" t="s">
        <v>6793</v>
      </c>
      <c r="K2855" s="2" t="s">
        <v>22</v>
      </c>
      <c r="L2855" s="2" t="s">
        <v>43</v>
      </c>
      <c r="M2855" s="2">
        <v>2</v>
      </c>
      <c r="N2855" s="2" t="s">
        <v>24</v>
      </c>
      <c r="O2855" s="2" t="s">
        <v>25</v>
      </c>
      <c r="P2855" s="2" t="s">
        <v>49</v>
      </c>
    </row>
    <row r="2856" spans="1:16" x14ac:dyDescent="0.25">
      <c r="A2856" s="2" t="s">
        <v>6331</v>
      </c>
      <c r="B2856" s="2" t="s">
        <v>367</v>
      </c>
      <c r="C2856" s="2">
        <v>2578</v>
      </c>
      <c r="D2856" s="2" t="s">
        <v>9847</v>
      </c>
      <c r="E2856" s="2" t="s">
        <v>38</v>
      </c>
      <c r="F2856" s="2" t="s">
        <v>47</v>
      </c>
      <c r="G2856" s="2">
        <v>5740.71</v>
      </c>
      <c r="H2856" s="2">
        <v>2695.06</v>
      </c>
      <c r="I2856" s="2" t="s">
        <v>68</v>
      </c>
      <c r="J2856" s="2" t="s">
        <v>41</v>
      </c>
      <c r="K2856" s="2" t="s">
        <v>22</v>
      </c>
      <c r="L2856" s="2" t="s">
        <v>64</v>
      </c>
      <c r="M2856" s="2">
        <v>3</v>
      </c>
      <c r="N2856" s="2" t="s">
        <v>24</v>
      </c>
      <c r="O2856" s="2" t="s">
        <v>70</v>
      </c>
      <c r="P2856" s="2" t="s">
        <v>26</v>
      </c>
    </row>
    <row r="2857" spans="1:16" x14ac:dyDescent="0.25">
      <c r="A2857" s="2" t="s">
        <v>6333</v>
      </c>
      <c r="B2857" s="2" t="s">
        <v>5651</v>
      </c>
      <c r="C2857" s="2">
        <v>3066</v>
      </c>
      <c r="D2857" s="2" t="s">
        <v>1667</v>
      </c>
      <c r="E2857" s="2" t="s">
        <v>38</v>
      </c>
      <c r="F2857" s="2" t="s">
        <v>19</v>
      </c>
      <c r="G2857" s="2">
        <v>4659.16</v>
      </c>
      <c r="H2857" s="2">
        <v>2653.02</v>
      </c>
      <c r="I2857" s="2" t="s">
        <v>59</v>
      </c>
      <c r="J2857" s="2" t="s">
        <v>41</v>
      </c>
      <c r="K2857" s="2" t="s">
        <v>22</v>
      </c>
      <c r="L2857" s="2" t="s">
        <v>88</v>
      </c>
      <c r="M2857" s="2">
        <v>2</v>
      </c>
      <c r="N2857" s="2" t="s">
        <v>24</v>
      </c>
      <c r="O2857" s="2" t="s">
        <v>70</v>
      </c>
      <c r="P2857" s="2" t="s">
        <v>26</v>
      </c>
    </row>
    <row r="2858" spans="1:16" x14ac:dyDescent="0.25">
      <c r="A2858" s="2" t="s">
        <v>6335</v>
      </c>
      <c r="B2858" s="2" t="s">
        <v>7824</v>
      </c>
      <c r="C2858" s="2">
        <v>9015</v>
      </c>
      <c r="D2858" s="2" t="s">
        <v>9848</v>
      </c>
      <c r="E2858" s="2" t="s">
        <v>18</v>
      </c>
      <c r="F2858" s="2" t="s">
        <v>47</v>
      </c>
      <c r="G2858" s="2">
        <v>2603.4</v>
      </c>
      <c r="H2858" s="2">
        <v>1214.98</v>
      </c>
      <c r="I2858" s="2" t="s">
        <v>59</v>
      </c>
      <c r="J2858" s="2" t="s">
        <v>41</v>
      </c>
      <c r="K2858" s="2" t="s">
        <v>80</v>
      </c>
      <c r="L2858" s="2" t="s">
        <v>88</v>
      </c>
      <c r="M2858" s="2">
        <v>5</v>
      </c>
      <c r="N2858" s="2" t="s">
        <v>33</v>
      </c>
      <c r="O2858" s="2" t="s">
        <v>25</v>
      </c>
      <c r="P2858" s="2" t="s">
        <v>26</v>
      </c>
    </row>
    <row r="2860" spans="1:16" x14ac:dyDescent="0.25">
      <c r="A2860" s="2" t="s">
        <v>6338</v>
      </c>
      <c r="B2860" s="2" t="s">
        <v>2998</v>
      </c>
      <c r="C2860" s="2">
        <v>6614</v>
      </c>
      <c r="D2860" s="2" t="s">
        <v>9849</v>
      </c>
      <c r="E2860" s="2" t="s">
        <v>32</v>
      </c>
      <c r="F2860" s="2" t="s">
        <v>19</v>
      </c>
      <c r="G2860" s="2">
        <v>17310.55</v>
      </c>
      <c r="H2860" s="2">
        <v>9254.4699999999993</v>
      </c>
      <c r="I2860" s="2" t="s">
        <v>6845</v>
      </c>
      <c r="J2860" s="2" t="s">
        <v>21</v>
      </c>
      <c r="K2860" s="2" t="s">
        <v>42</v>
      </c>
      <c r="L2860" s="2" t="s">
        <v>55</v>
      </c>
      <c r="M2860" s="2">
        <v>1</v>
      </c>
      <c r="N2860" s="2" t="s">
        <v>69</v>
      </c>
      <c r="O2860" s="2" t="s">
        <v>70</v>
      </c>
      <c r="P2860" s="2" t="s">
        <v>34</v>
      </c>
    </row>
    <row r="2861" spans="1:16" x14ac:dyDescent="0.25">
      <c r="A2861" s="2" t="s">
        <v>6341</v>
      </c>
      <c r="B2861" s="2" t="s">
        <v>9850</v>
      </c>
      <c r="C2861" s="2">
        <v>5126</v>
      </c>
      <c r="D2861" s="2" t="s">
        <v>5069</v>
      </c>
      <c r="E2861" s="2" t="s">
        <v>6756</v>
      </c>
      <c r="F2861" s="2" t="s">
        <v>58</v>
      </c>
      <c r="G2861" s="2">
        <v>23762.02</v>
      </c>
      <c r="H2861" s="2">
        <v>13235.47</v>
      </c>
      <c r="I2861" s="2" t="s">
        <v>6752</v>
      </c>
      <c r="J2861" s="2" t="s">
        <v>6700</v>
      </c>
      <c r="K2861" s="2" t="s">
        <v>32</v>
      </c>
      <c r="L2861" s="2" t="s">
        <v>88</v>
      </c>
      <c r="M2861" s="2">
        <v>1</v>
      </c>
      <c r="N2861" s="2" t="s">
        <v>33</v>
      </c>
      <c r="O2861" s="2" t="s">
        <v>25</v>
      </c>
      <c r="P2861" s="2" t="s">
        <v>26</v>
      </c>
    </row>
    <row r="2862" spans="1:16" x14ac:dyDescent="0.25">
      <c r="A2862" s="2" t="s">
        <v>6342</v>
      </c>
      <c r="B2862" s="2" t="s">
        <v>9851</v>
      </c>
      <c r="C2862" s="2">
        <v>8304</v>
      </c>
      <c r="D2862" s="2" t="s">
        <v>9852</v>
      </c>
      <c r="E2862" s="2" t="s">
        <v>6719</v>
      </c>
      <c r="F2862" s="2" t="s">
        <v>47</v>
      </c>
      <c r="G2862" s="2">
        <v>9910.7999999999993</v>
      </c>
      <c r="H2862" s="2">
        <v>5046.13</v>
      </c>
      <c r="I2862" s="2" t="s">
        <v>59</v>
      </c>
      <c r="J2862" s="2" t="s">
        <v>6705</v>
      </c>
      <c r="K2862" s="2" t="s">
        <v>42</v>
      </c>
      <c r="L2862" s="2" t="s">
        <v>88</v>
      </c>
      <c r="M2862" s="2">
        <v>3</v>
      </c>
      <c r="N2862" s="2" t="s">
        <v>24</v>
      </c>
      <c r="O2862" s="2" t="s">
        <v>25</v>
      </c>
      <c r="P2862" s="2" t="s">
        <v>34</v>
      </c>
    </row>
    <row r="2863" spans="1:16" x14ac:dyDescent="0.25">
      <c r="A2863" s="2" t="s">
        <v>6344</v>
      </c>
      <c r="B2863" s="2" t="s">
        <v>9853</v>
      </c>
      <c r="C2863" s="2">
        <v>1655</v>
      </c>
      <c r="D2863" s="2" t="s">
        <v>9854</v>
      </c>
      <c r="E2863" s="2" t="s">
        <v>6708</v>
      </c>
      <c r="F2863" s="2" t="s">
        <v>30</v>
      </c>
      <c r="G2863" s="2">
        <v>15225.13</v>
      </c>
      <c r="H2863" s="2">
        <v>9194.5400000000009</v>
      </c>
      <c r="I2863" s="2" t="s">
        <v>6681</v>
      </c>
      <c r="J2863" s="2" t="s">
        <v>6793</v>
      </c>
      <c r="K2863" s="2" t="s">
        <v>42</v>
      </c>
      <c r="L2863" s="2" t="s">
        <v>55</v>
      </c>
      <c r="M2863" s="2">
        <v>2</v>
      </c>
      <c r="N2863" s="2" t="s">
        <v>33</v>
      </c>
      <c r="O2863" s="2" t="s">
        <v>70</v>
      </c>
      <c r="P2863" s="2" t="s">
        <v>34</v>
      </c>
    </row>
    <row r="2864" spans="1:16" x14ac:dyDescent="0.25">
      <c r="A2864" s="2" t="s">
        <v>6345</v>
      </c>
      <c r="B2864" s="2" t="s">
        <v>5034</v>
      </c>
      <c r="C2864" s="2">
        <v>5803</v>
      </c>
      <c r="D2864" s="2" t="s">
        <v>9855</v>
      </c>
      <c r="E2864" s="2" t="s">
        <v>38</v>
      </c>
      <c r="F2864" s="2" t="s">
        <v>19</v>
      </c>
      <c r="G2864" s="2">
        <v>13877.52</v>
      </c>
      <c r="H2864" s="2">
        <v>6461.96</v>
      </c>
      <c r="I2864" s="2" t="s">
        <v>120</v>
      </c>
      <c r="J2864" s="2" t="s">
        <v>21</v>
      </c>
      <c r="K2864" s="2" t="s">
        <v>42</v>
      </c>
      <c r="L2864" s="2" t="s">
        <v>55</v>
      </c>
      <c r="M2864" s="2">
        <v>2</v>
      </c>
      <c r="N2864" s="2" t="s">
        <v>33</v>
      </c>
      <c r="O2864" s="2" t="s">
        <v>25</v>
      </c>
      <c r="P2864" s="2" t="s">
        <v>49</v>
      </c>
    </row>
    <row r="2865" spans="1:16" x14ac:dyDescent="0.25">
      <c r="A2865" s="2" t="s">
        <v>6347</v>
      </c>
      <c r="B2865" s="2" t="s">
        <v>9856</v>
      </c>
      <c r="C2865" s="2">
        <v>7945</v>
      </c>
      <c r="D2865" s="2" t="s">
        <v>6954</v>
      </c>
      <c r="E2865" s="2" t="s">
        <v>6748</v>
      </c>
      <c r="F2865" s="2" t="s">
        <v>39</v>
      </c>
      <c r="G2865" s="2">
        <v>30586.57</v>
      </c>
      <c r="H2865" s="2">
        <v>18823.03</v>
      </c>
      <c r="I2865" s="2" t="s">
        <v>40</v>
      </c>
      <c r="J2865" s="2" t="s">
        <v>6732</v>
      </c>
      <c r="K2865" s="2" t="s">
        <v>32</v>
      </c>
      <c r="L2865" s="2" t="s">
        <v>43</v>
      </c>
      <c r="M2865" s="2">
        <v>5</v>
      </c>
      <c r="N2865" s="2" t="s">
        <v>69</v>
      </c>
      <c r="O2865" s="2" t="s">
        <v>25</v>
      </c>
      <c r="P2865" s="2" t="s">
        <v>34</v>
      </c>
    </row>
    <row r="2866" spans="1:16" x14ac:dyDescent="0.25">
      <c r="A2866" s="2" t="s">
        <v>6350</v>
      </c>
      <c r="B2866" s="2" t="s">
        <v>2335</v>
      </c>
      <c r="C2866" s="2">
        <v>4506</v>
      </c>
      <c r="D2866" s="2" t="s">
        <v>9857</v>
      </c>
      <c r="E2866" s="2" t="s">
        <v>38</v>
      </c>
      <c r="F2866" s="2" t="s">
        <v>58</v>
      </c>
      <c r="G2866" s="2">
        <v>15492.65</v>
      </c>
      <c r="H2866" s="2">
        <v>9079</v>
      </c>
      <c r="I2866" s="2" t="s">
        <v>40</v>
      </c>
      <c r="J2866" s="2" t="s">
        <v>41</v>
      </c>
      <c r="K2866" s="2" t="s">
        <v>80</v>
      </c>
      <c r="L2866" s="2" t="s">
        <v>88</v>
      </c>
      <c r="M2866" s="2">
        <v>3</v>
      </c>
      <c r="N2866" s="2" t="s">
        <v>69</v>
      </c>
      <c r="O2866" s="2" t="s">
        <v>25</v>
      </c>
      <c r="P2866" s="2" t="s">
        <v>49</v>
      </c>
    </row>
    <row r="2867" spans="1:16" x14ac:dyDescent="0.25">
      <c r="A2867" s="2" t="s">
        <v>6351</v>
      </c>
      <c r="B2867" s="2" t="s">
        <v>974</v>
      </c>
      <c r="C2867" s="2">
        <v>9515</v>
      </c>
      <c r="D2867" s="2" t="s">
        <v>9858</v>
      </c>
      <c r="E2867" s="2" t="s">
        <v>18</v>
      </c>
      <c r="F2867" s="2" t="s">
        <v>58</v>
      </c>
      <c r="G2867" s="2">
        <v>51164.98</v>
      </c>
      <c r="H2867" s="2">
        <v>23586.74</v>
      </c>
      <c r="I2867" s="2" t="s">
        <v>120</v>
      </c>
      <c r="J2867" s="2" t="s">
        <v>21</v>
      </c>
      <c r="K2867" s="2" t="s">
        <v>22</v>
      </c>
      <c r="L2867" s="2" t="s">
        <v>23</v>
      </c>
      <c r="M2867" s="2">
        <v>3</v>
      </c>
      <c r="N2867" s="2" t="s">
        <v>33</v>
      </c>
      <c r="O2867" s="2" t="s">
        <v>70</v>
      </c>
      <c r="P2867" s="2" t="s">
        <v>34</v>
      </c>
    </row>
    <row r="2868" spans="1:16" x14ac:dyDescent="0.25">
      <c r="A2868" s="2" t="s">
        <v>6353</v>
      </c>
      <c r="B2868" s="2" t="s">
        <v>9859</v>
      </c>
      <c r="C2868" s="2">
        <v>3215</v>
      </c>
      <c r="D2868" s="2" t="s">
        <v>9860</v>
      </c>
      <c r="E2868" s="2" t="s">
        <v>32</v>
      </c>
      <c r="F2868" s="2" t="s">
        <v>19</v>
      </c>
      <c r="G2868" s="2">
        <v>5577.61</v>
      </c>
      <c r="H2868" s="2">
        <v>3250.98</v>
      </c>
      <c r="I2868" s="2" t="s">
        <v>6794</v>
      </c>
      <c r="J2868" s="2" t="s">
        <v>6795</v>
      </c>
      <c r="K2868" s="2" t="s">
        <v>80</v>
      </c>
      <c r="L2868" s="2" t="s">
        <v>64</v>
      </c>
      <c r="M2868" s="2">
        <v>4</v>
      </c>
      <c r="N2868" s="2" t="s">
        <v>33</v>
      </c>
      <c r="O2868" s="2" t="s">
        <v>25</v>
      </c>
      <c r="P2868" s="2" t="s">
        <v>34</v>
      </c>
    </row>
    <row r="2869" spans="1:16" x14ac:dyDescent="0.25">
      <c r="A2869" s="2" t="s">
        <v>6355</v>
      </c>
      <c r="B2869" s="2" t="s">
        <v>9861</v>
      </c>
      <c r="C2869" s="2">
        <v>9201</v>
      </c>
      <c r="D2869" s="2" t="s">
        <v>9862</v>
      </c>
      <c r="E2869" s="2" t="s">
        <v>6708</v>
      </c>
      <c r="F2869" s="2" t="s">
        <v>30</v>
      </c>
      <c r="G2869" s="2">
        <v>49337.54</v>
      </c>
      <c r="H2869" s="2">
        <v>30879.19</v>
      </c>
      <c r="I2869" s="2" t="s">
        <v>40</v>
      </c>
      <c r="J2869" s="2" t="s">
        <v>6713</v>
      </c>
      <c r="K2869" s="2" t="s">
        <v>80</v>
      </c>
      <c r="L2869" s="2" t="s">
        <v>48</v>
      </c>
      <c r="M2869" s="2">
        <v>5</v>
      </c>
      <c r="N2869" s="2" t="s">
        <v>24</v>
      </c>
      <c r="O2869" s="2" t="s">
        <v>25</v>
      </c>
      <c r="P2869" s="2" t="s">
        <v>49</v>
      </c>
    </row>
    <row r="2870" spans="1:16" x14ac:dyDescent="0.25">
      <c r="A2870" s="2" t="s">
        <v>6356</v>
      </c>
      <c r="B2870" s="2" t="s">
        <v>2459</v>
      </c>
      <c r="C2870" s="2">
        <v>6805</v>
      </c>
      <c r="D2870" s="2" t="s">
        <v>9863</v>
      </c>
      <c r="E2870" s="2" t="s">
        <v>18</v>
      </c>
      <c r="F2870" s="2" t="s">
        <v>47</v>
      </c>
      <c r="G2870" s="2">
        <v>2379.9699999999998</v>
      </c>
      <c r="H2870" s="2">
        <v>1480.49</v>
      </c>
      <c r="I2870" s="2" t="s">
        <v>68</v>
      </c>
      <c r="J2870" s="2" t="s">
        <v>41</v>
      </c>
      <c r="K2870" s="2" t="s">
        <v>32</v>
      </c>
      <c r="L2870" s="2" t="s">
        <v>23</v>
      </c>
      <c r="M2870" s="2">
        <v>4</v>
      </c>
      <c r="N2870" s="2" t="s">
        <v>24</v>
      </c>
      <c r="O2870" s="2" t="s">
        <v>70</v>
      </c>
      <c r="P2870" s="2" t="s">
        <v>34</v>
      </c>
    </row>
    <row r="2871" spans="1:16" x14ac:dyDescent="0.25">
      <c r="A2871" s="2" t="s">
        <v>6357</v>
      </c>
      <c r="B2871" s="2" t="s">
        <v>370</v>
      </c>
      <c r="C2871" s="2">
        <v>1290</v>
      </c>
      <c r="D2871" s="2" t="s">
        <v>9864</v>
      </c>
      <c r="E2871" s="2" t="s">
        <v>6703</v>
      </c>
      <c r="F2871" s="2" t="s">
        <v>47</v>
      </c>
      <c r="G2871" s="2">
        <v>7399.85</v>
      </c>
      <c r="H2871" s="2">
        <v>4724.16</v>
      </c>
      <c r="I2871" s="2" t="s">
        <v>84</v>
      </c>
      <c r="J2871" s="2" t="s">
        <v>6686</v>
      </c>
      <c r="K2871" s="2" t="s">
        <v>42</v>
      </c>
      <c r="L2871" s="2" t="s">
        <v>55</v>
      </c>
      <c r="M2871" s="2">
        <v>2</v>
      </c>
      <c r="N2871" s="2" t="s">
        <v>69</v>
      </c>
      <c r="O2871" s="2" t="s">
        <v>70</v>
      </c>
      <c r="P2871" s="2" t="s">
        <v>26</v>
      </c>
    </row>
    <row r="2872" spans="1:16" x14ac:dyDescent="0.25">
      <c r="A2872" s="2" t="s">
        <v>6360</v>
      </c>
      <c r="B2872" s="2" t="s">
        <v>1883</v>
      </c>
      <c r="C2872" s="2">
        <v>6526</v>
      </c>
      <c r="D2872" s="2" t="s">
        <v>3031</v>
      </c>
      <c r="E2872" s="2" t="s">
        <v>18</v>
      </c>
      <c r="F2872" s="2" t="s">
        <v>39</v>
      </c>
      <c r="G2872" s="2">
        <v>31222.91</v>
      </c>
      <c r="H2872" s="2">
        <v>15812.73</v>
      </c>
      <c r="I2872" s="2" t="s">
        <v>53</v>
      </c>
      <c r="J2872" s="2" t="s">
        <v>54</v>
      </c>
      <c r="K2872" s="2" t="s">
        <v>42</v>
      </c>
      <c r="L2872" s="2" t="s">
        <v>64</v>
      </c>
      <c r="M2872" s="2">
        <v>4</v>
      </c>
      <c r="N2872" s="2" t="s">
        <v>33</v>
      </c>
      <c r="O2872" s="2" t="s">
        <v>70</v>
      </c>
      <c r="P2872" s="2" t="s">
        <v>49</v>
      </c>
    </row>
    <row r="2873" spans="1:16" x14ac:dyDescent="0.25">
      <c r="A2873" s="2" t="s">
        <v>6362</v>
      </c>
      <c r="B2873" s="2" t="s">
        <v>7405</v>
      </c>
      <c r="C2873" s="2">
        <v>3696</v>
      </c>
      <c r="D2873" s="2" t="s">
        <v>9090</v>
      </c>
      <c r="E2873" s="2" t="s">
        <v>38</v>
      </c>
      <c r="F2873" s="2" t="s">
        <v>58</v>
      </c>
      <c r="G2873" s="2">
        <v>8989.4500000000007</v>
      </c>
      <c r="H2873" s="2">
        <v>5434.61</v>
      </c>
      <c r="I2873" s="2" t="s">
        <v>84</v>
      </c>
      <c r="J2873" s="2" t="s">
        <v>54</v>
      </c>
      <c r="K2873" s="2" t="s">
        <v>32</v>
      </c>
      <c r="L2873" s="2" t="s">
        <v>43</v>
      </c>
      <c r="M2873" s="2">
        <v>4</v>
      </c>
      <c r="N2873" s="2" t="s">
        <v>24</v>
      </c>
      <c r="O2873" s="2" t="s">
        <v>25</v>
      </c>
      <c r="P2873" s="2" t="s">
        <v>26</v>
      </c>
    </row>
    <row r="2874" spans="1:16" x14ac:dyDescent="0.25">
      <c r="A2874" s="2" t="s">
        <v>6364</v>
      </c>
      <c r="B2874" s="2" t="s">
        <v>9865</v>
      </c>
      <c r="C2874" s="2">
        <v>6493</v>
      </c>
      <c r="D2874" s="2" t="s">
        <v>9866</v>
      </c>
      <c r="E2874" s="2" t="s">
        <v>6748</v>
      </c>
      <c r="F2874" s="2" t="s">
        <v>30</v>
      </c>
      <c r="G2874" s="2">
        <v>49354.89</v>
      </c>
      <c r="H2874" s="2">
        <v>26197.84</v>
      </c>
      <c r="I2874" s="2" t="s">
        <v>6726</v>
      </c>
      <c r="J2874" s="2" t="s">
        <v>6795</v>
      </c>
      <c r="K2874" s="2" t="s">
        <v>22</v>
      </c>
      <c r="L2874" s="2" t="s">
        <v>88</v>
      </c>
      <c r="M2874" s="2">
        <v>2</v>
      </c>
      <c r="N2874" s="2" t="s">
        <v>69</v>
      </c>
      <c r="O2874" s="2" t="s">
        <v>25</v>
      </c>
      <c r="P2874" s="2" t="s">
        <v>49</v>
      </c>
    </row>
    <row r="2875" spans="1:16" x14ac:dyDescent="0.25">
      <c r="A2875" s="2" t="s">
        <v>6366</v>
      </c>
      <c r="B2875" s="2" t="s">
        <v>2074</v>
      </c>
      <c r="C2875" s="2">
        <v>5014</v>
      </c>
      <c r="D2875" s="2" t="s">
        <v>9867</v>
      </c>
      <c r="E2875" s="2" t="s">
        <v>6703</v>
      </c>
      <c r="F2875" s="2" t="s">
        <v>47</v>
      </c>
      <c r="G2875" s="2">
        <v>4078.03</v>
      </c>
      <c r="H2875" s="2">
        <v>2638.31</v>
      </c>
      <c r="I2875" s="2" t="s">
        <v>6777</v>
      </c>
      <c r="J2875" s="2" t="s">
        <v>41</v>
      </c>
      <c r="K2875" s="2" t="s">
        <v>22</v>
      </c>
      <c r="L2875" s="2" t="s">
        <v>55</v>
      </c>
      <c r="M2875" s="2">
        <v>5</v>
      </c>
      <c r="N2875" s="2" t="s">
        <v>24</v>
      </c>
      <c r="O2875" s="2" t="s">
        <v>25</v>
      </c>
      <c r="P2875" s="2" t="s">
        <v>26</v>
      </c>
    </row>
    <row r="2876" spans="1:16" x14ac:dyDescent="0.25">
      <c r="A2876" s="2" t="s">
        <v>6368</v>
      </c>
      <c r="B2876" s="2" t="s">
        <v>175</v>
      </c>
      <c r="C2876" s="2">
        <v>4991</v>
      </c>
      <c r="D2876" s="2" t="s">
        <v>9868</v>
      </c>
      <c r="E2876" s="2" t="s">
        <v>6680</v>
      </c>
      <c r="F2876" s="2" t="s">
        <v>58</v>
      </c>
      <c r="G2876" s="2">
        <v>26058.68</v>
      </c>
      <c r="H2876" s="2">
        <v>12861.15</v>
      </c>
      <c r="I2876" s="2" t="s">
        <v>6799</v>
      </c>
      <c r="J2876" s="2" t="s">
        <v>6732</v>
      </c>
      <c r="K2876" s="2" t="s">
        <v>32</v>
      </c>
      <c r="L2876" s="2" t="s">
        <v>88</v>
      </c>
      <c r="M2876" s="2">
        <v>2</v>
      </c>
      <c r="N2876" s="2" t="s">
        <v>33</v>
      </c>
      <c r="O2876" s="2" t="s">
        <v>25</v>
      </c>
      <c r="P2876" s="2" t="s">
        <v>49</v>
      </c>
    </row>
    <row r="2877" spans="1:16" x14ac:dyDescent="0.25">
      <c r="A2877" s="2" t="s">
        <v>6370</v>
      </c>
      <c r="B2877" s="2" t="s">
        <v>4579</v>
      </c>
      <c r="C2877" s="2">
        <v>5822</v>
      </c>
      <c r="D2877" s="2" t="s">
        <v>9869</v>
      </c>
      <c r="E2877" s="2" t="s">
        <v>18</v>
      </c>
      <c r="F2877" s="2" t="s">
        <v>58</v>
      </c>
      <c r="G2877" s="2">
        <v>24517.88</v>
      </c>
      <c r="H2877" s="2">
        <v>14180.12</v>
      </c>
      <c r="I2877" s="2" t="s">
        <v>59</v>
      </c>
      <c r="J2877" s="2" t="s">
        <v>41</v>
      </c>
      <c r="K2877" s="2" t="s">
        <v>32</v>
      </c>
      <c r="L2877" s="2" t="s">
        <v>55</v>
      </c>
      <c r="M2877" s="2">
        <v>1</v>
      </c>
      <c r="N2877" s="2" t="s">
        <v>69</v>
      </c>
      <c r="O2877" s="2" t="s">
        <v>25</v>
      </c>
      <c r="P2877" s="2" t="s">
        <v>34</v>
      </c>
    </row>
    <row r="2878" spans="1:16" x14ac:dyDescent="0.25">
      <c r="A2878" s="2" t="s">
        <v>6371</v>
      </c>
      <c r="B2878" s="2" t="s">
        <v>3069</v>
      </c>
      <c r="C2878" s="2">
        <v>6522</v>
      </c>
      <c r="D2878" s="2" t="s">
        <v>9870</v>
      </c>
      <c r="E2878" s="2" t="s">
        <v>18</v>
      </c>
      <c r="F2878" s="2" t="s">
        <v>58</v>
      </c>
      <c r="G2878" s="2">
        <v>35085.49</v>
      </c>
      <c r="H2878" s="2">
        <v>19229.21</v>
      </c>
      <c r="I2878" s="2" t="s">
        <v>20</v>
      </c>
      <c r="J2878" s="2" t="s">
        <v>21</v>
      </c>
      <c r="K2878" s="2" t="s">
        <v>80</v>
      </c>
      <c r="L2878" s="2" t="s">
        <v>23</v>
      </c>
      <c r="M2878" s="2">
        <v>1</v>
      </c>
      <c r="N2878" s="2" t="s">
        <v>33</v>
      </c>
      <c r="O2878" s="2" t="s">
        <v>25</v>
      </c>
      <c r="P2878" s="2" t="s">
        <v>26</v>
      </c>
    </row>
    <row r="2879" spans="1:16" x14ac:dyDescent="0.25">
      <c r="A2879" s="2" t="s">
        <v>6373</v>
      </c>
      <c r="B2879" s="2" t="s">
        <v>9871</v>
      </c>
      <c r="C2879" s="2">
        <v>6226</v>
      </c>
      <c r="D2879" s="2" t="s">
        <v>798</v>
      </c>
      <c r="E2879" s="2" t="s">
        <v>6694</v>
      </c>
      <c r="F2879" s="2" t="s">
        <v>30</v>
      </c>
      <c r="G2879" s="2">
        <v>70692.56</v>
      </c>
      <c r="H2879" s="2">
        <v>37356.339999999997</v>
      </c>
      <c r="I2879" s="2" t="s">
        <v>6794</v>
      </c>
      <c r="J2879" s="2" t="s">
        <v>6789</v>
      </c>
      <c r="K2879" s="2" t="s">
        <v>80</v>
      </c>
      <c r="L2879" s="2" t="s">
        <v>55</v>
      </c>
      <c r="M2879" s="2">
        <v>3</v>
      </c>
      <c r="N2879" s="2" t="s">
        <v>33</v>
      </c>
      <c r="O2879" s="2" t="s">
        <v>25</v>
      </c>
      <c r="P2879" s="2" t="s">
        <v>34</v>
      </c>
    </row>
    <row r="2880" spans="1:16" x14ac:dyDescent="0.25">
      <c r="A2880" s="2" t="s">
        <v>6374</v>
      </c>
      <c r="B2880" s="2" t="s">
        <v>5055</v>
      </c>
      <c r="C2880" s="2">
        <v>2581</v>
      </c>
      <c r="D2880" s="2" t="s">
        <v>1220</v>
      </c>
      <c r="E2880" s="2" t="s">
        <v>38</v>
      </c>
      <c r="F2880" s="2" t="s">
        <v>30</v>
      </c>
      <c r="G2880" s="2">
        <v>25172.89</v>
      </c>
      <c r="H2880" s="2">
        <v>11659.25</v>
      </c>
      <c r="I2880" s="2" t="s">
        <v>63</v>
      </c>
      <c r="J2880" s="2" t="s">
        <v>54</v>
      </c>
      <c r="K2880" s="2" t="s">
        <v>32</v>
      </c>
      <c r="L2880" s="2" t="s">
        <v>48</v>
      </c>
      <c r="M2880" s="2">
        <v>5</v>
      </c>
      <c r="N2880" s="2" t="s">
        <v>24</v>
      </c>
      <c r="O2880" s="2" t="s">
        <v>25</v>
      </c>
      <c r="P2880" s="2" t="s">
        <v>49</v>
      </c>
    </row>
    <row r="2881" spans="1:16" x14ac:dyDescent="0.25">
      <c r="A2881" s="2" t="s">
        <v>6376</v>
      </c>
      <c r="B2881" s="2" t="s">
        <v>625</v>
      </c>
      <c r="C2881" s="2">
        <v>8185</v>
      </c>
      <c r="D2881" s="2" t="s">
        <v>6283</v>
      </c>
      <c r="E2881" s="2" t="s">
        <v>38</v>
      </c>
      <c r="F2881" s="2" t="s">
        <v>19</v>
      </c>
      <c r="G2881" s="2">
        <v>13262.04</v>
      </c>
      <c r="H2881" s="2">
        <v>7921.57</v>
      </c>
      <c r="I2881" s="2" t="s">
        <v>53</v>
      </c>
      <c r="J2881" s="2" t="s">
        <v>54</v>
      </c>
      <c r="K2881" s="2" t="s">
        <v>42</v>
      </c>
      <c r="L2881" s="2" t="s">
        <v>88</v>
      </c>
      <c r="M2881" s="2">
        <v>2</v>
      </c>
      <c r="N2881" s="2" t="s">
        <v>33</v>
      </c>
      <c r="O2881" s="2" t="s">
        <v>70</v>
      </c>
      <c r="P2881" s="2" t="s">
        <v>34</v>
      </c>
    </row>
    <row r="2882" spans="1:16" x14ac:dyDescent="0.25">
      <c r="A2882" s="2" t="s">
        <v>6378</v>
      </c>
      <c r="B2882" s="2" t="s">
        <v>2843</v>
      </c>
      <c r="C2882" s="2">
        <v>1655</v>
      </c>
      <c r="D2882" s="2" t="s">
        <v>9872</v>
      </c>
      <c r="E2882" s="2" t="s">
        <v>38</v>
      </c>
      <c r="F2882" s="2" t="s">
        <v>58</v>
      </c>
      <c r="G2882" s="2">
        <v>61467.19</v>
      </c>
      <c r="H2882" s="2">
        <v>39548.61</v>
      </c>
      <c r="I2882" s="2" t="s">
        <v>63</v>
      </c>
      <c r="J2882" s="2" t="s">
        <v>54</v>
      </c>
      <c r="K2882" s="2" t="s">
        <v>80</v>
      </c>
      <c r="L2882" s="2" t="s">
        <v>88</v>
      </c>
      <c r="M2882" s="2">
        <v>5</v>
      </c>
      <c r="N2882" s="2" t="s">
        <v>33</v>
      </c>
      <c r="O2882" s="2" t="s">
        <v>25</v>
      </c>
      <c r="P2882" s="2" t="s">
        <v>49</v>
      </c>
    </row>
    <row r="2883" spans="1:16" x14ac:dyDescent="0.25">
      <c r="A2883" s="2" t="s">
        <v>6379</v>
      </c>
      <c r="B2883" s="2" t="s">
        <v>9873</v>
      </c>
      <c r="C2883" s="2">
        <v>9375</v>
      </c>
      <c r="D2883" s="2" t="s">
        <v>9874</v>
      </c>
      <c r="E2883" s="2" t="s">
        <v>6680</v>
      </c>
      <c r="F2883" s="2" t="s">
        <v>19</v>
      </c>
      <c r="G2883" s="2">
        <v>17007.3</v>
      </c>
      <c r="H2883" s="2">
        <v>9701.7099999999991</v>
      </c>
      <c r="I2883" s="2" t="s">
        <v>6771</v>
      </c>
      <c r="J2883" s="2" t="s">
        <v>21</v>
      </c>
      <c r="K2883" s="2" t="s">
        <v>32</v>
      </c>
      <c r="L2883" s="2" t="s">
        <v>48</v>
      </c>
      <c r="M2883" s="2">
        <v>2</v>
      </c>
      <c r="N2883" s="2" t="s">
        <v>33</v>
      </c>
      <c r="O2883" s="2" t="s">
        <v>70</v>
      </c>
      <c r="P2883" s="2" t="s">
        <v>26</v>
      </c>
    </row>
    <row r="2884" spans="1:16" x14ac:dyDescent="0.25">
      <c r="A2884" s="2" t="s">
        <v>6381</v>
      </c>
      <c r="B2884" s="2" t="s">
        <v>5820</v>
      </c>
      <c r="C2884" s="2">
        <v>7029</v>
      </c>
      <c r="D2884" s="2" t="s">
        <v>2022</v>
      </c>
      <c r="E2884" s="2" t="s">
        <v>38</v>
      </c>
      <c r="F2884" s="2" t="s">
        <v>30</v>
      </c>
      <c r="G2884" s="2">
        <v>35920.589999999997</v>
      </c>
      <c r="H2884" s="2">
        <v>21230.32</v>
      </c>
      <c r="I2884" s="2" t="s">
        <v>20</v>
      </c>
      <c r="J2884" s="2" t="s">
        <v>21</v>
      </c>
      <c r="K2884" s="2" t="s">
        <v>80</v>
      </c>
      <c r="L2884" s="2" t="s">
        <v>88</v>
      </c>
      <c r="M2884" s="2">
        <v>2</v>
      </c>
      <c r="N2884" s="2" t="s">
        <v>33</v>
      </c>
      <c r="O2884" s="2" t="s">
        <v>25</v>
      </c>
      <c r="P2884" s="2" t="s">
        <v>49</v>
      </c>
    </row>
    <row r="2885" spans="1:16" x14ac:dyDescent="0.25">
      <c r="A2885" s="2" t="s">
        <v>6383</v>
      </c>
      <c r="B2885" s="2" t="s">
        <v>8869</v>
      </c>
      <c r="C2885" s="2">
        <v>3839</v>
      </c>
      <c r="D2885" s="2" t="s">
        <v>2078</v>
      </c>
      <c r="E2885" s="2" t="s">
        <v>38</v>
      </c>
      <c r="F2885" s="2" t="s">
        <v>47</v>
      </c>
      <c r="G2885" s="2">
        <v>15025.42</v>
      </c>
      <c r="H2885" s="2">
        <v>7875.25</v>
      </c>
      <c r="I2885" s="2" t="s">
        <v>63</v>
      </c>
      <c r="J2885" s="2" t="s">
        <v>54</v>
      </c>
      <c r="K2885" s="2" t="s">
        <v>42</v>
      </c>
      <c r="L2885" s="2" t="s">
        <v>55</v>
      </c>
      <c r="M2885" s="2">
        <v>2</v>
      </c>
      <c r="N2885" s="2" t="s">
        <v>33</v>
      </c>
      <c r="O2885" s="2" t="s">
        <v>25</v>
      </c>
      <c r="P2885" s="2" t="s">
        <v>26</v>
      </c>
    </row>
    <row r="2886" spans="1:16" x14ac:dyDescent="0.25">
      <c r="A2886" s="2" t="s">
        <v>6385</v>
      </c>
      <c r="B2886" s="2" t="s">
        <v>9875</v>
      </c>
      <c r="C2886" s="2">
        <v>8266</v>
      </c>
      <c r="D2886" s="2" t="s">
        <v>9876</v>
      </c>
      <c r="E2886" s="2" t="s">
        <v>18</v>
      </c>
      <c r="F2886" s="2" t="s">
        <v>30</v>
      </c>
      <c r="G2886" s="2">
        <v>28735.9</v>
      </c>
      <c r="H2886" s="2">
        <v>17357.03</v>
      </c>
      <c r="I2886" s="2" t="s">
        <v>6808</v>
      </c>
      <c r="J2886" s="2" t="s">
        <v>6691</v>
      </c>
      <c r="K2886" s="2" t="s">
        <v>32</v>
      </c>
      <c r="L2886" s="2" t="s">
        <v>48</v>
      </c>
      <c r="M2886" s="2">
        <v>4</v>
      </c>
      <c r="N2886" s="2" t="s">
        <v>33</v>
      </c>
      <c r="O2886" s="2" t="s">
        <v>25</v>
      </c>
      <c r="P2886" s="2" t="s">
        <v>49</v>
      </c>
    </row>
    <row r="2887" spans="1:16" x14ac:dyDescent="0.25">
      <c r="A2887" s="2" t="s">
        <v>6388</v>
      </c>
      <c r="B2887" s="2" t="s">
        <v>4507</v>
      </c>
      <c r="C2887" s="2">
        <v>1802</v>
      </c>
      <c r="D2887" s="2" t="s">
        <v>9877</v>
      </c>
      <c r="E2887" s="2" t="s">
        <v>18</v>
      </c>
      <c r="F2887" s="2" t="s">
        <v>47</v>
      </c>
      <c r="G2887" s="2">
        <v>5119.51</v>
      </c>
      <c r="H2887" s="2">
        <v>2841.96</v>
      </c>
      <c r="I2887" s="2" t="s">
        <v>84</v>
      </c>
      <c r="J2887" s="2" t="s">
        <v>54</v>
      </c>
      <c r="K2887" s="2" t="s">
        <v>80</v>
      </c>
      <c r="L2887" s="2" t="s">
        <v>88</v>
      </c>
      <c r="M2887" s="2">
        <v>1</v>
      </c>
      <c r="N2887" s="2" t="s">
        <v>24</v>
      </c>
      <c r="O2887" s="2" t="s">
        <v>70</v>
      </c>
      <c r="P2887" s="2" t="s">
        <v>26</v>
      </c>
    </row>
    <row r="2888" spans="1:16" x14ac:dyDescent="0.25">
      <c r="A2888" s="2" t="s">
        <v>6390</v>
      </c>
      <c r="B2888" s="2" t="s">
        <v>4630</v>
      </c>
      <c r="C2888" s="2">
        <v>4327</v>
      </c>
      <c r="D2888" s="2" t="s">
        <v>9878</v>
      </c>
      <c r="E2888" s="2" t="s">
        <v>18</v>
      </c>
      <c r="F2888" s="2" t="s">
        <v>30</v>
      </c>
      <c r="G2888" s="2">
        <v>31173.439999999999</v>
      </c>
      <c r="H2888" s="2">
        <v>18544.75</v>
      </c>
      <c r="I2888" s="2" t="s">
        <v>40</v>
      </c>
      <c r="J2888" s="2" t="s">
        <v>41</v>
      </c>
      <c r="K2888" s="2" t="s">
        <v>80</v>
      </c>
      <c r="L2888" s="2" t="s">
        <v>64</v>
      </c>
      <c r="M2888" s="2">
        <v>5</v>
      </c>
      <c r="N2888" s="2" t="s">
        <v>24</v>
      </c>
      <c r="O2888" s="2" t="s">
        <v>25</v>
      </c>
      <c r="P2888" s="2" t="s">
        <v>34</v>
      </c>
    </row>
    <row r="2889" spans="1:16" x14ac:dyDescent="0.25">
      <c r="A2889" s="2" t="s">
        <v>6392</v>
      </c>
      <c r="B2889" s="2" t="s">
        <v>5071</v>
      </c>
      <c r="C2889" s="2">
        <v>8105</v>
      </c>
      <c r="D2889" s="2" t="s">
        <v>9879</v>
      </c>
      <c r="E2889" s="2" t="s">
        <v>18</v>
      </c>
      <c r="F2889" s="2" t="s">
        <v>39</v>
      </c>
      <c r="G2889" s="2">
        <v>31504.97</v>
      </c>
      <c r="H2889" s="2">
        <v>16564.64</v>
      </c>
      <c r="I2889" s="2" t="s">
        <v>20</v>
      </c>
      <c r="J2889" s="2" t="s">
        <v>21</v>
      </c>
      <c r="K2889" s="2" t="s">
        <v>32</v>
      </c>
      <c r="L2889" s="2" t="s">
        <v>48</v>
      </c>
      <c r="M2889" s="2">
        <v>2</v>
      </c>
      <c r="N2889" s="2" t="s">
        <v>33</v>
      </c>
      <c r="O2889" s="2" t="s">
        <v>25</v>
      </c>
      <c r="P2889" s="2" t="s">
        <v>49</v>
      </c>
    </row>
    <row r="2890" spans="1:16" x14ac:dyDescent="0.25">
      <c r="A2890" s="2" t="s">
        <v>6394</v>
      </c>
      <c r="B2890" s="2" t="s">
        <v>4051</v>
      </c>
      <c r="C2890" s="2">
        <v>6896</v>
      </c>
      <c r="D2890" s="2" t="s">
        <v>7150</v>
      </c>
      <c r="E2890" s="2" t="s">
        <v>6743</v>
      </c>
      <c r="F2890" s="2" t="s">
        <v>39</v>
      </c>
      <c r="G2890" s="2">
        <v>12376.54</v>
      </c>
      <c r="H2890" s="2">
        <v>7063.62</v>
      </c>
      <c r="I2890" s="2" t="s">
        <v>6695</v>
      </c>
      <c r="J2890" s="2" t="s">
        <v>21</v>
      </c>
      <c r="K2890" s="2" t="s">
        <v>22</v>
      </c>
      <c r="L2890" s="2" t="s">
        <v>64</v>
      </c>
      <c r="M2890" s="2">
        <v>5</v>
      </c>
      <c r="N2890" s="2" t="s">
        <v>33</v>
      </c>
      <c r="O2890" s="2" t="s">
        <v>70</v>
      </c>
      <c r="P2890" s="2" t="s">
        <v>34</v>
      </c>
    </row>
    <row r="2891" spans="1:16" x14ac:dyDescent="0.25">
      <c r="A2891" s="2" t="s">
        <v>6396</v>
      </c>
      <c r="B2891" s="2" t="s">
        <v>721</v>
      </c>
      <c r="C2891" s="2">
        <v>8109</v>
      </c>
      <c r="D2891" s="2" t="s">
        <v>3162</v>
      </c>
      <c r="E2891" s="2" t="s">
        <v>18</v>
      </c>
      <c r="F2891" s="2" t="s">
        <v>58</v>
      </c>
      <c r="G2891" s="2">
        <v>34725.53</v>
      </c>
      <c r="H2891" s="2">
        <v>21865.01</v>
      </c>
      <c r="I2891" s="2" t="s">
        <v>120</v>
      </c>
      <c r="J2891" s="2" t="s">
        <v>21</v>
      </c>
      <c r="K2891" s="2" t="s">
        <v>80</v>
      </c>
      <c r="L2891" s="2" t="s">
        <v>64</v>
      </c>
      <c r="M2891" s="2">
        <v>4</v>
      </c>
      <c r="N2891" s="2" t="s">
        <v>24</v>
      </c>
      <c r="O2891" s="2" t="s">
        <v>70</v>
      </c>
      <c r="P2891" s="2" t="s">
        <v>49</v>
      </c>
    </row>
    <row r="2892" spans="1:16" x14ac:dyDescent="0.25">
      <c r="A2892" s="2" t="s">
        <v>6397</v>
      </c>
      <c r="B2892" s="2" t="s">
        <v>8605</v>
      </c>
      <c r="C2892" s="2">
        <v>9728</v>
      </c>
      <c r="D2892" s="2" t="s">
        <v>9880</v>
      </c>
      <c r="E2892" s="2" t="s">
        <v>6703</v>
      </c>
      <c r="F2892" s="2" t="s">
        <v>19</v>
      </c>
      <c r="G2892" s="2">
        <v>16647.93</v>
      </c>
      <c r="H2892" s="2">
        <v>7642.75</v>
      </c>
      <c r="I2892" s="2" t="s">
        <v>6712</v>
      </c>
      <c r="J2892" s="2" t="s">
        <v>6682</v>
      </c>
      <c r="K2892" s="2" t="s">
        <v>80</v>
      </c>
      <c r="L2892" s="2" t="s">
        <v>88</v>
      </c>
      <c r="M2892" s="2">
        <v>4</v>
      </c>
      <c r="N2892" s="2" t="s">
        <v>24</v>
      </c>
      <c r="O2892" s="2" t="s">
        <v>70</v>
      </c>
      <c r="P2892" s="2" t="s">
        <v>49</v>
      </c>
    </row>
    <row r="2893" spans="1:16" x14ac:dyDescent="0.25">
      <c r="A2893" s="2" t="s">
        <v>6399</v>
      </c>
      <c r="B2893" s="2" t="s">
        <v>9881</v>
      </c>
      <c r="C2893" s="2">
        <v>1906</v>
      </c>
      <c r="D2893" s="2" t="s">
        <v>4382</v>
      </c>
      <c r="E2893" s="2" t="s">
        <v>6694</v>
      </c>
      <c r="F2893" s="2" t="s">
        <v>58</v>
      </c>
      <c r="G2893" s="2">
        <v>20327.599999999999</v>
      </c>
      <c r="H2893" s="2">
        <v>10284.36</v>
      </c>
      <c r="I2893" s="2" t="s">
        <v>6759</v>
      </c>
      <c r="J2893" s="2" t="s">
        <v>6753</v>
      </c>
      <c r="K2893" s="2" t="s">
        <v>80</v>
      </c>
      <c r="L2893" s="2" t="s">
        <v>64</v>
      </c>
      <c r="M2893" s="2">
        <v>2</v>
      </c>
      <c r="N2893" s="2" t="s">
        <v>33</v>
      </c>
      <c r="O2893" s="2" t="s">
        <v>25</v>
      </c>
      <c r="P2893" s="2" t="s">
        <v>49</v>
      </c>
    </row>
    <row r="2894" spans="1:16" x14ac:dyDescent="0.25">
      <c r="A2894" s="2" t="s">
        <v>6401</v>
      </c>
      <c r="B2894" s="2" t="s">
        <v>9882</v>
      </c>
      <c r="C2894" s="2">
        <v>8742</v>
      </c>
      <c r="D2894" s="2" t="s">
        <v>9883</v>
      </c>
      <c r="E2894" s="2" t="s">
        <v>18</v>
      </c>
      <c r="F2894" s="2" t="s">
        <v>30</v>
      </c>
      <c r="G2894" s="2">
        <v>28171.65</v>
      </c>
      <c r="H2894" s="2">
        <v>14947.63</v>
      </c>
      <c r="I2894" s="2" t="s">
        <v>63</v>
      </c>
      <c r="J2894" s="2" t="s">
        <v>54</v>
      </c>
      <c r="K2894" s="2" t="s">
        <v>32</v>
      </c>
      <c r="L2894" s="2" t="s">
        <v>43</v>
      </c>
      <c r="M2894" s="2">
        <v>5</v>
      </c>
      <c r="N2894" s="2" t="s">
        <v>33</v>
      </c>
      <c r="O2894" s="2" t="s">
        <v>70</v>
      </c>
      <c r="P2894" s="2" t="s">
        <v>34</v>
      </c>
    </row>
    <row r="2895" spans="1:16" x14ac:dyDescent="0.25">
      <c r="A2895" s="2" t="s">
        <v>6402</v>
      </c>
      <c r="B2895" s="2" t="s">
        <v>399</v>
      </c>
      <c r="C2895" s="2">
        <v>4712</v>
      </c>
      <c r="D2895" s="2" t="s">
        <v>9884</v>
      </c>
      <c r="E2895" s="2" t="s">
        <v>6748</v>
      </c>
      <c r="F2895" s="2" t="s">
        <v>58</v>
      </c>
      <c r="G2895" s="2">
        <v>23300.89</v>
      </c>
      <c r="H2895" s="2">
        <v>14554.09</v>
      </c>
      <c r="I2895" s="2" t="s">
        <v>6910</v>
      </c>
      <c r="J2895" s="2" t="s">
        <v>6802</v>
      </c>
      <c r="K2895" s="2" t="s">
        <v>22</v>
      </c>
      <c r="L2895" s="2" t="s">
        <v>55</v>
      </c>
      <c r="M2895" s="2">
        <v>5</v>
      </c>
      <c r="N2895" s="2" t="s">
        <v>24</v>
      </c>
      <c r="O2895" s="2" t="s">
        <v>25</v>
      </c>
      <c r="P2895" s="2" t="s">
        <v>49</v>
      </c>
    </row>
    <row r="2896" spans="1:16" x14ac:dyDescent="0.25">
      <c r="A2896" s="2" t="s">
        <v>6405</v>
      </c>
      <c r="B2896" s="2" t="s">
        <v>1903</v>
      </c>
      <c r="C2896" s="2">
        <v>1268</v>
      </c>
      <c r="D2896" s="2" t="s">
        <v>5041</v>
      </c>
      <c r="E2896" s="2" t="s">
        <v>38</v>
      </c>
      <c r="F2896" s="2" t="s">
        <v>19</v>
      </c>
      <c r="G2896" s="2">
        <v>5549.43</v>
      </c>
      <c r="H2896" s="2">
        <v>2793.9</v>
      </c>
      <c r="I2896" s="2" t="s">
        <v>120</v>
      </c>
      <c r="J2896" s="2" t="s">
        <v>21</v>
      </c>
      <c r="K2896" s="2" t="s">
        <v>22</v>
      </c>
      <c r="L2896" s="2" t="s">
        <v>88</v>
      </c>
      <c r="M2896" s="2">
        <v>5</v>
      </c>
      <c r="N2896" s="2" t="s">
        <v>24</v>
      </c>
      <c r="O2896" s="2" t="s">
        <v>70</v>
      </c>
      <c r="P2896" s="2" t="s">
        <v>34</v>
      </c>
    </row>
    <row r="2897" spans="1:16" x14ac:dyDescent="0.25">
      <c r="A2897" s="2" t="s">
        <v>6407</v>
      </c>
      <c r="B2897" s="2" t="s">
        <v>5389</v>
      </c>
      <c r="C2897" s="2">
        <v>7253</v>
      </c>
      <c r="D2897" s="2" t="s">
        <v>8637</v>
      </c>
      <c r="E2897" s="2" t="s">
        <v>6719</v>
      </c>
      <c r="F2897" s="2" t="s">
        <v>39</v>
      </c>
      <c r="G2897" s="2">
        <v>27414.53</v>
      </c>
      <c r="H2897" s="2">
        <v>14484.47</v>
      </c>
      <c r="I2897" s="2" t="s">
        <v>6726</v>
      </c>
      <c r="J2897" s="2" t="s">
        <v>6802</v>
      </c>
      <c r="K2897" s="2" t="s">
        <v>22</v>
      </c>
      <c r="L2897" s="2" t="s">
        <v>64</v>
      </c>
      <c r="M2897" s="2">
        <v>4</v>
      </c>
      <c r="N2897" s="2" t="s">
        <v>24</v>
      </c>
      <c r="O2897" s="2" t="s">
        <v>25</v>
      </c>
      <c r="P2897" s="2" t="s">
        <v>49</v>
      </c>
    </row>
    <row r="2898" spans="1:16" x14ac:dyDescent="0.25">
      <c r="A2898" s="2" t="s">
        <v>6410</v>
      </c>
      <c r="B2898" s="2" t="s">
        <v>9885</v>
      </c>
      <c r="C2898" s="2">
        <v>6304</v>
      </c>
      <c r="D2898" s="2" t="s">
        <v>9886</v>
      </c>
      <c r="E2898" s="2" t="s">
        <v>6694</v>
      </c>
      <c r="F2898" s="2" t="s">
        <v>39</v>
      </c>
      <c r="G2898" s="2">
        <v>22228.66</v>
      </c>
      <c r="H2898" s="2">
        <v>10154.68</v>
      </c>
      <c r="I2898" s="2" t="s">
        <v>6759</v>
      </c>
      <c r="J2898" s="2" t="s">
        <v>6686</v>
      </c>
      <c r="K2898" s="2" t="s">
        <v>32</v>
      </c>
      <c r="L2898" s="2" t="s">
        <v>64</v>
      </c>
      <c r="M2898" s="2">
        <v>1</v>
      </c>
      <c r="N2898" s="2" t="s">
        <v>33</v>
      </c>
      <c r="O2898" s="2" t="s">
        <v>70</v>
      </c>
      <c r="P2898" s="2" t="s">
        <v>49</v>
      </c>
    </row>
    <row r="2899" spans="1:16" x14ac:dyDescent="0.25">
      <c r="A2899" s="2" t="s">
        <v>6412</v>
      </c>
      <c r="B2899" s="2" t="s">
        <v>5130</v>
      </c>
      <c r="C2899" s="2">
        <v>6871</v>
      </c>
      <c r="D2899" s="2" t="s">
        <v>9887</v>
      </c>
      <c r="E2899" s="2" t="s">
        <v>18</v>
      </c>
      <c r="F2899" s="2" t="s">
        <v>19</v>
      </c>
      <c r="G2899" s="2">
        <v>20158.96</v>
      </c>
      <c r="H2899" s="2">
        <v>10592.89</v>
      </c>
      <c r="I2899" s="2" t="s">
        <v>31</v>
      </c>
      <c r="J2899" s="2" t="s">
        <v>21</v>
      </c>
      <c r="K2899" s="2" t="s">
        <v>22</v>
      </c>
      <c r="L2899" s="2" t="s">
        <v>55</v>
      </c>
      <c r="M2899" s="2">
        <v>4</v>
      </c>
      <c r="N2899" s="2" t="s">
        <v>24</v>
      </c>
      <c r="O2899" s="2" t="s">
        <v>70</v>
      </c>
      <c r="P2899" s="2" t="s">
        <v>26</v>
      </c>
    </row>
    <row r="2900" spans="1:16" x14ac:dyDescent="0.25">
      <c r="A2900" s="2" t="s">
        <v>6413</v>
      </c>
      <c r="B2900" s="2" t="s">
        <v>9888</v>
      </c>
      <c r="C2900" s="2">
        <v>2325</v>
      </c>
      <c r="D2900" s="2" t="s">
        <v>3103</v>
      </c>
      <c r="E2900" s="2" t="s">
        <v>38</v>
      </c>
      <c r="F2900" s="2" t="s">
        <v>39</v>
      </c>
      <c r="G2900" s="2">
        <v>10730.41</v>
      </c>
      <c r="H2900" s="2">
        <v>6727.15</v>
      </c>
      <c r="I2900" s="2" t="s">
        <v>59</v>
      </c>
      <c r="J2900" s="2" t="s">
        <v>41</v>
      </c>
      <c r="K2900" s="2" t="s">
        <v>42</v>
      </c>
      <c r="L2900" s="2" t="s">
        <v>43</v>
      </c>
      <c r="M2900" s="2">
        <v>2</v>
      </c>
      <c r="N2900" s="2" t="s">
        <v>69</v>
      </c>
      <c r="O2900" s="2" t="s">
        <v>70</v>
      </c>
      <c r="P2900" s="2" t="s">
        <v>26</v>
      </c>
    </row>
    <row r="2901" spans="1:16" x14ac:dyDescent="0.25">
      <c r="A2901" s="2" t="s">
        <v>6415</v>
      </c>
      <c r="B2901" s="2" t="s">
        <v>4101</v>
      </c>
      <c r="C2901" s="2">
        <v>4475</v>
      </c>
      <c r="D2901" s="2" t="s">
        <v>9889</v>
      </c>
      <c r="E2901" s="2" t="s">
        <v>18</v>
      </c>
      <c r="F2901" s="2" t="s">
        <v>39</v>
      </c>
      <c r="G2901" s="2">
        <v>10496.79</v>
      </c>
      <c r="H2901" s="2">
        <v>5361.15</v>
      </c>
      <c r="I2901" s="2" t="s">
        <v>59</v>
      </c>
      <c r="J2901" s="2" t="s">
        <v>41</v>
      </c>
      <c r="K2901" s="2" t="s">
        <v>42</v>
      </c>
      <c r="L2901" s="2" t="s">
        <v>88</v>
      </c>
      <c r="M2901" s="2">
        <v>1</v>
      </c>
      <c r="N2901" s="2" t="s">
        <v>33</v>
      </c>
      <c r="O2901" s="2" t="s">
        <v>70</v>
      </c>
      <c r="P2901" s="2" t="s">
        <v>49</v>
      </c>
    </row>
    <row r="2902" spans="1:16" x14ac:dyDescent="0.25">
      <c r="A2902" s="2" t="s">
        <v>6417</v>
      </c>
      <c r="B2902" s="2" t="s">
        <v>968</v>
      </c>
      <c r="C2902" s="2">
        <v>4907</v>
      </c>
      <c r="D2902" s="2" t="s">
        <v>8157</v>
      </c>
      <c r="E2902" s="2" t="s">
        <v>18</v>
      </c>
      <c r="F2902" s="2" t="s">
        <v>39</v>
      </c>
      <c r="G2902" s="2">
        <v>20073.75</v>
      </c>
      <c r="H2902" s="2">
        <v>11376.99</v>
      </c>
      <c r="I2902" s="2" t="s">
        <v>120</v>
      </c>
      <c r="J2902" s="2" t="s">
        <v>21</v>
      </c>
      <c r="K2902" s="2" t="s">
        <v>22</v>
      </c>
      <c r="L2902" s="2" t="s">
        <v>64</v>
      </c>
      <c r="M2902" s="2">
        <v>1</v>
      </c>
      <c r="N2902" s="2" t="s">
        <v>33</v>
      </c>
      <c r="O2902" s="2" t="s">
        <v>70</v>
      </c>
      <c r="P2902" s="2" t="s">
        <v>34</v>
      </c>
    </row>
    <row r="2903" spans="1:16" x14ac:dyDescent="0.25">
      <c r="A2903" s="2" t="s">
        <v>6420</v>
      </c>
      <c r="B2903" s="2" t="s">
        <v>9890</v>
      </c>
      <c r="C2903" s="2">
        <v>2834</v>
      </c>
      <c r="D2903" s="2" t="s">
        <v>7067</v>
      </c>
      <c r="E2903" s="2" t="s">
        <v>6756</v>
      </c>
      <c r="F2903" s="2" t="s">
        <v>47</v>
      </c>
      <c r="G2903" s="2">
        <v>15747.33</v>
      </c>
      <c r="H2903" s="2">
        <v>8720.5400000000009</v>
      </c>
      <c r="I2903" s="2" t="s">
        <v>6723</v>
      </c>
      <c r="J2903" s="2" t="s">
        <v>6789</v>
      </c>
      <c r="K2903" s="2" t="s">
        <v>80</v>
      </c>
      <c r="L2903" s="2" t="s">
        <v>88</v>
      </c>
      <c r="M2903" s="2">
        <v>1</v>
      </c>
      <c r="N2903" s="2" t="s">
        <v>24</v>
      </c>
      <c r="O2903" s="2" t="s">
        <v>25</v>
      </c>
      <c r="P2903" s="2" t="s">
        <v>26</v>
      </c>
    </row>
    <row r="2904" spans="1:16" x14ac:dyDescent="0.25">
      <c r="A2904" s="2" t="s">
        <v>6421</v>
      </c>
      <c r="B2904" s="2" t="s">
        <v>3638</v>
      </c>
      <c r="C2904" s="2">
        <v>3168</v>
      </c>
      <c r="D2904" s="2" t="s">
        <v>9891</v>
      </c>
      <c r="E2904" s="2" t="s">
        <v>38</v>
      </c>
      <c r="F2904" s="2" t="s">
        <v>47</v>
      </c>
      <c r="G2904" s="2">
        <v>11572.38</v>
      </c>
      <c r="H2904" s="2">
        <v>7071.54</v>
      </c>
      <c r="I2904" s="2" t="s">
        <v>20</v>
      </c>
      <c r="J2904" s="2" t="s">
        <v>21</v>
      </c>
      <c r="K2904" s="2" t="s">
        <v>80</v>
      </c>
      <c r="L2904" s="2" t="s">
        <v>23</v>
      </c>
      <c r="M2904" s="2">
        <v>5</v>
      </c>
      <c r="N2904" s="2" t="s">
        <v>24</v>
      </c>
      <c r="O2904" s="2" t="s">
        <v>70</v>
      </c>
      <c r="P2904" s="2" t="s">
        <v>26</v>
      </c>
    </row>
    <row r="2905" spans="1:16" x14ac:dyDescent="0.25">
      <c r="A2905" s="2" t="s">
        <v>6423</v>
      </c>
      <c r="B2905" s="2" t="s">
        <v>9892</v>
      </c>
      <c r="C2905" s="2">
        <v>1775</v>
      </c>
      <c r="D2905" s="2" t="s">
        <v>9893</v>
      </c>
      <c r="E2905" s="2" t="s">
        <v>6680</v>
      </c>
      <c r="F2905" s="2" t="s">
        <v>58</v>
      </c>
      <c r="G2905" s="2">
        <v>22626.68</v>
      </c>
      <c r="H2905" s="2">
        <v>10418.17</v>
      </c>
      <c r="I2905" s="2" t="s">
        <v>6759</v>
      </c>
      <c r="J2905" s="2" t="s">
        <v>6700</v>
      </c>
      <c r="K2905" s="2" t="s">
        <v>32</v>
      </c>
      <c r="L2905" s="2" t="s">
        <v>48</v>
      </c>
      <c r="M2905" s="2">
        <v>1</v>
      </c>
      <c r="N2905" s="2" t="s">
        <v>24</v>
      </c>
      <c r="O2905" s="2" t="s">
        <v>25</v>
      </c>
      <c r="P2905" s="2" t="s">
        <v>34</v>
      </c>
    </row>
    <row r="2906" spans="1:16" x14ac:dyDescent="0.25">
      <c r="A2906" s="2" t="s">
        <v>6425</v>
      </c>
      <c r="B2906" s="2" t="s">
        <v>5524</v>
      </c>
      <c r="C2906" s="2">
        <v>4961</v>
      </c>
      <c r="D2906" s="2" t="s">
        <v>2718</v>
      </c>
      <c r="E2906" s="2" t="s">
        <v>38</v>
      </c>
      <c r="F2906" s="2" t="s">
        <v>58</v>
      </c>
      <c r="G2906" s="2">
        <v>31603.09</v>
      </c>
      <c r="H2906" s="2">
        <v>16167.2</v>
      </c>
      <c r="I2906" s="2" t="s">
        <v>84</v>
      </c>
      <c r="J2906" s="2" t="s">
        <v>54</v>
      </c>
      <c r="K2906" s="2" t="s">
        <v>22</v>
      </c>
      <c r="L2906" s="2" t="s">
        <v>43</v>
      </c>
      <c r="M2906" s="2">
        <v>2</v>
      </c>
      <c r="N2906" s="2" t="s">
        <v>69</v>
      </c>
      <c r="O2906" s="2" t="s">
        <v>70</v>
      </c>
      <c r="P2906" s="2" t="s">
        <v>26</v>
      </c>
    </row>
    <row r="2907" spans="1:16" x14ac:dyDescent="0.25">
      <c r="A2907" s="2" t="s">
        <v>6426</v>
      </c>
      <c r="B2907" s="2" t="s">
        <v>9286</v>
      </c>
      <c r="C2907" s="2">
        <v>7539</v>
      </c>
      <c r="D2907" s="2" t="s">
        <v>9894</v>
      </c>
      <c r="E2907" s="2" t="s">
        <v>6698</v>
      </c>
      <c r="F2907" s="2" t="s">
        <v>30</v>
      </c>
      <c r="G2907" s="2">
        <v>31990.9</v>
      </c>
      <c r="H2907" s="2">
        <v>14571.53</v>
      </c>
      <c r="I2907" s="2" t="s">
        <v>84</v>
      </c>
      <c r="J2907" s="2" t="s">
        <v>54</v>
      </c>
      <c r="K2907" s="2" t="s">
        <v>22</v>
      </c>
      <c r="L2907" s="2" t="s">
        <v>88</v>
      </c>
      <c r="M2907" s="2">
        <v>4</v>
      </c>
      <c r="N2907" s="2" t="s">
        <v>69</v>
      </c>
      <c r="O2907" s="2" t="s">
        <v>25</v>
      </c>
      <c r="P2907" s="2" t="s">
        <v>34</v>
      </c>
    </row>
    <row r="2908" spans="1:16" x14ac:dyDescent="0.25">
      <c r="A2908" s="2" t="s">
        <v>6428</v>
      </c>
      <c r="B2908" s="2" t="s">
        <v>5201</v>
      </c>
      <c r="C2908" s="2">
        <v>7832</v>
      </c>
      <c r="D2908" s="2" t="s">
        <v>7926</v>
      </c>
      <c r="E2908" s="2" t="s">
        <v>38</v>
      </c>
      <c r="F2908" s="2" t="s">
        <v>19</v>
      </c>
      <c r="G2908" s="2">
        <v>12863.67</v>
      </c>
      <c r="H2908" s="2">
        <v>8000.57</v>
      </c>
      <c r="I2908" s="2" t="s">
        <v>84</v>
      </c>
      <c r="J2908" s="2" t="s">
        <v>54</v>
      </c>
      <c r="K2908" s="2" t="s">
        <v>80</v>
      </c>
      <c r="L2908" s="2" t="s">
        <v>55</v>
      </c>
      <c r="M2908" s="2">
        <v>3</v>
      </c>
      <c r="N2908" s="2" t="s">
        <v>33</v>
      </c>
      <c r="O2908" s="2" t="s">
        <v>25</v>
      </c>
      <c r="P2908" s="2" t="s">
        <v>26</v>
      </c>
    </row>
    <row r="2909" spans="1:16" x14ac:dyDescent="0.25">
      <c r="A2909" s="2" t="s">
        <v>6430</v>
      </c>
      <c r="B2909" s="2" t="s">
        <v>9895</v>
      </c>
      <c r="C2909" s="2">
        <v>9811</v>
      </c>
      <c r="D2909" s="2" t="s">
        <v>9896</v>
      </c>
      <c r="E2909" s="2" t="s">
        <v>6694</v>
      </c>
      <c r="F2909" s="2" t="s">
        <v>39</v>
      </c>
      <c r="G2909" s="2">
        <v>29549.8</v>
      </c>
      <c r="H2909" s="2">
        <v>16112.31</v>
      </c>
      <c r="I2909" s="2" t="s">
        <v>40</v>
      </c>
      <c r="J2909" s="2" t="s">
        <v>6713</v>
      </c>
      <c r="K2909" s="2" t="s">
        <v>32</v>
      </c>
      <c r="L2909" s="2" t="s">
        <v>43</v>
      </c>
      <c r="M2909" s="2">
        <v>1</v>
      </c>
      <c r="N2909" s="2" t="s">
        <v>69</v>
      </c>
      <c r="O2909" s="2" t="s">
        <v>25</v>
      </c>
      <c r="P2909" s="2" t="s">
        <v>34</v>
      </c>
    </row>
    <row r="2910" spans="1:16" x14ac:dyDescent="0.25">
      <c r="A2910" s="2" t="s">
        <v>6431</v>
      </c>
      <c r="B2910" s="2" t="s">
        <v>9897</v>
      </c>
      <c r="C2910" s="2">
        <v>1299</v>
      </c>
      <c r="D2910" s="2" t="s">
        <v>9898</v>
      </c>
      <c r="E2910" s="2" t="s">
        <v>6703</v>
      </c>
      <c r="F2910" s="2" t="s">
        <v>58</v>
      </c>
      <c r="G2910" s="2">
        <v>13493.31</v>
      </c>
      <c r="H2910" s="2">
        <v>7301.42</v>
      </c>
      <c r="I2910" s="2" t="s">
        <v>6808</v>
      </c>
      <c r="J2910" s="2" t="s">
        <v>54</v>
      </c>
      <c r="K2910" s="2" t="s">
        <v>42</v>
      </c>
      <c r="L2910" s="2" t="s">
        <v>64</v>
      </c>
      <c r="M2910" s="2">
        <v>1</v>
      </c>
      <c r="N2910" s="2" t="s">
        <v>69</v>
      </c>
      <c r="O2910" s="2" t="s">
        <v>70</v>
      </c>
      <c r="P2910" s="2" t="s">
        <v>34</v>
      </c>
    </row>
    <row r="2911" spans="1:16" x14ac:dyDescent="0.25">
      <c r="A2911" s="2" t="s">
        <v>6433</v>
      </c>
      <c r="B2911" s="2" t="s">
        <v>9899</v>
      </c>
      <c r="C2911" s="2">
        <v>3189</v>
      </c>
      <c r="D2911" s="2" t="s">
        <v>8266</v>
      </c>
      <c r="E2911" s="2" t="s">
        <v>6703</v>
      </c>
      <c r="F2911" s="2" t="s">
        <v>30</v>
      </c>
      <c r="G2911" s="2">
        <v>48350.23</v>
      </c>
      <c r="H2911" s="2">
        <v>23615.67</v>
      </c>
      <c r="I2911" s="2" t="s">
        <v>6699</v>
      </c>
      <c r="J2911" s="2" t="s">
        <v>6753</v>
      </c>
      <c r="K2911" s="2" t="s">
        <v>22</v>
      </c>
      <c r="L2911" s="2" t="s">
        <v>23</v>
      </c>
      <c r="M2911" s="2">
        <v>2</v>
      </c>
      <c r="N2911" s="2" t="s">
        <v>33</v>
      </c>
      <c r="O2911" s="2" t="s">
        <v>70</v>
      </c>
      <c r="P2911" s="2" t="s">
        <v>49</v>
      </c>
    </row>
    <row r="2912" spans="1:16" x14ac:dyDescent="0.25">
      <c r="A2912" s="2" t="s">
        <v>6434</v>
      </c>
      <c r="B2912" s="2" t="s">
        <v>9900</v>
      </c>
      <c r="C2912" s="2">
        <v>9437</v>
      </c>
      <c r="D2912" s="2" t="s">
        <v>9752</v>
      </c>
      <c r="E2912" s="2" t="s">
        <v>38</v>
      </c>
      <c r="F2912" s="2" t="s">
        <v>58</v>
      </c>
      <c r="G2912" s="2">
        <v>17777.96</v>
      </c>
      <c r="H2912" s="2">
        <v>8545.5400000000009</v>
      </c>
      <c r="I2912" s="2" t="s">
        <v>6915</v>
      </c>
      <c r="J2912" s="2" t="s">
        <v>6789</v>
      </c>
      <c r="K2912" s="2" t="s">
        <v>42</v>
      </c>
      <c r="L2912" s="2" t="s">
        <v>64</v>
      </c>
      <c r="M2912" s="2">
        <v>3</v>
      </c>
      <c r="N2912" s="2" t="s">
        <v>33</v>
      </c>
      <c r="O2912" s="2" t="s">
        <v>70</v>
      </c>
      <c r="P2912" s="2" t="s">
        <v>49</v>
      </c>
    </row>
    <row r="2913" spans="1:16" x14ac:dyDescent="0.25">
      <c r="A2913" s="2" t="s">
        <v>6436</v>
      </c>
      <c r="B2913" s="2" t="s">
        <v>1781</v>
      </c>
      <c r="C2913" s="2">
        <v>6729</v>
      </c>
      <c r="D2913" s="2" t="s">
        <v>670</v>
      </c>
      <c r="E2913" s="2" t="s">
        <v>18</v>
      </c>
      <c r="F2913" s="2" t="s">
        <v>19</v>
      </c>
      <c r="G2913" s="2">
        <v>17092.349999999999</v>
      </c>
      <c r="H2913" s="2">
        <v>8811.5400000000009</v>
      </c>
      <c r="I2913" s="2" t="s">
        <v>63</v>
      </c>
      <c r="J2913" s="2" t="s">
        <v>54</v>
      </c>
      <c r="K2913" s="2" t="s">
        <v>42</v>
      </c>
      <c r="L2913" s="2" t="s">
        <v>55</v>
      </c>
      <c r="M2913" s="2">
        <v>1</v>
      </c>
      <c r="N2913" s="2" t="s">
        <v>69</v>
      </c>
      <c r="O2913" s="2" t="s">
        <v>25</v>
      </c>
      <c r="P2913" s="2" t="s">
        <v>49</v>
      </c>
    </row>
    <row r="2914" spans="1:16" x14ac:dyDescent="0.25">
      <c r="A2914" s="2" t="s">
        <v>6438</v>
      </c>
      <c r="B2914" s="2" t="s">
        <v>7009</v>
      </c>
      <c r="C2914" s="2">
        <v>8878</v>
      </c>
      <c r="D2914" s="2" t="s">
        <v>9901</v>
      </c>
      <c r="E2914" s="2" t="s">
        <v>38</v>
      </c>
      <c r="F2914" s="2" t="s">
        <v>30</v>
      </c>
      <c r="G2914" s="2">
        <v>48732.73</v>
      </c>
      <c r="H2914" s="2">
        <v>30807.13</v>
      </c>
      <c r="I2914" s="2" t="s">
        <v>120</v>
      </c>
      <c r="J2914" s="2" t="s">
        <v>21</v>
      </c>
      <c r="K2914" s="2" t="s">
        <v>42</v>
      </c>
      <c r="L2914" s="2" t="s">
        <v>43</v>
      </c>
      <c r="M2914" s="2">
        <v>1</v>
      </c>
      <c r="N2914" s="2" t="s">
        <v>24</v>
      </c>
      <c r="O2914" s="2" t="s">
        <v>70</v>
      </c>
      <c r="P2914" s="2" t="s">
        <v>49</v>
      </c>
    </row>
    <row r="2915" spans="1:16" x14ac:dyDescent="0.25">
      <c r="A2915" s="2" t="s">
        <v>6439</v>
      </c>
      <c r="B2915" s="2" t="s">
        <v>9902</v>
      </c>
      <c r="C2915" s="2">
        <v>5441</v>
      </c>
      <c r="D2915" s="2" t="s">
        <v>9729</v>
      </c>
      <c r="E2915" s="2" t="s">
        <v>38</v>
      </c>
      <c r="F2915" s="2" t="s">
        <v>19</v>
      </c>
      <c r="G2915" s="2">
        <v>12960.92</v>
      </c>
      <c r="H2915" s="2">
        <v>8135.84</v>
      </c>
      <c r="I2915" s="2" t="s">
        <v>84</v>
      </c>
      <c r="J2915" s="2" t="s">
        <v>54</v>
      </c>
      <c r="K2915" s="2" t="s">
        <v>42</v>
      </c>
      <c r="L2915" s="2" t="s">
        <v>88</v>
      </c>
      <c r="M2915" s="2">
        <v>1</v>
      </c>
      <c r="N2915" s="2" t="s">
        <v>24</v>
      </c>
      <c r="O2915" s="2" t="s">
        <v>25</v>
      </c>
      <c r="P2915" s="2" t="s">
        <v>34</v>
      </c>
    </row>
    <row r="2916" spans="1:16" x14ac:dyDescent="0.25">
      <c r="A2916" s="2" t="s">
        <v>6440</v>
      </c>
      <c r="B2916" s="2" t="s">
        <v>2607</v>
      </c>
      <c r="C2916" s="2">
        <v>6931</v>
      </c>
      <c r="D2916" s="2" t="s">
        <v>2961</v>
      </c>
      <c r="E2916" s="2" t="s">
        <v>6698</v>
      </c>
      <c r="F2916" s="2" t="s">
        <v>47</v>
      </c>
      <c r="G2916" s="2">
        <v>15850.08</v>
      </c>
      <c r="H2916" s="2">
        <v>8126.98</v>
      </c>
      <c r="I2916" s="2" t="s">
        <v>6736</v>
      </c>
      <c r="J2916" s="2" t="s">
        <v>6691</v>
      </c>
      <c r="K2916" s="2" t="s">
        <v>42</v>
      </c>
      <c r="L2916" s="2" t="s">
        <v>23</v>
      </c>
      <c r="M2916" s="2">
        <v>4</v>
      </c>
      <c r="N2916" s="2" t="s">
        <v>33</v>
      </c>
      <c r="O2916" s="2" t="s">
        <v>70</v>
      </c>
      <c r="P2916" s="2" t="s">
        <v>34</v>
      </c>
    </row>
    <row r="2917" spans="1:16" x14ac:dyDescent="0.25">
      <c r="A2917" s="2" t="s">
        <v>6442</v>
      </c>
      <c r="B2917" s="2" t="s">
        <v>454</v>
      </c>
      <c r="C2917" s="2">
        <v>5613</v>
      </c>
      <c r="D2917" s="2" t="s">
        <v>9903</v>
      </c>
      <c r="E2917" s="2" t="s">
        <v>18</v>
      </c>
      <c r="F2917" s="2" t="s">
        <v>30</v>
      </c>
      <c r="G2917" s="2">
        <v>18492.86</v>
      </c>
      <c r="H2917" s="2">
        <v>11288.44</v>
      </c>
      <c r="I2917" s="2" t="s">
        <v>40</v>
      </c>
      <c r="J2917" s="2" t="s">
        <v>41</v>
      </c>
      <c r="K2917" s="2" t="s">
        <v>22</v>
      </c>
      <c r="L2917" s="2" t="s">
        <v>64</v>
      </c>
      <c r="M2917" s="2">
        <v>2</v>
      </c>
      <c r="N2917" s="2" t="s">
        <v>33</v>
      </c>
      <c r="O2917" s="2" t="s">
        <v>25</v>
      </c>
      <c r="P2917" s="2" t="s">
        <v>34</v>
      </c>
    </row>
    <row r="2918" spans="1:16" x14ac:dyDescent="0.25">
      <c r="A2918" s="2" t="s">
        <v>6444</v>
      </c>
      <c r="B2918" s="2" t="s">
        <v>7658</v>
      </c>
      <c r="C2918" s="2">
        <v>7306</v>
      </c>
      <c r="D2918" s="2" t="s">
        <v>9904</v>
      </c>
      <c r="E2918" s="2" t="s">
        <v>18</v>
      </c>
      <c r="F2918" s="2" t="s">
        <v>58</v>
      </c>
      <c r="G2918" s="2">
        <v>39054.94</v>
      </c>
      <c r="H2918" s="2">
        <v>19400.13</v>
      </c>
      <c r="I2918" s="2" t="s">
        <v>84</v>
      </c>
      <c r="J2918" s="2" t="s">
        <v>54</v>
      </c>
      <c r="K2918" s="2" t="s">
        <v>32</v>
      </c>
      <c r="L2918" s="2" t="s">
        <v>48</v>
      </c>
      <c r="M2918" s="2">
        <v>3</v>
      </c>
      <c r="N2918" s="2" t="s">
        <v>24</v>
      </c>
      <c r="O2918" s="2" t="s">
        <v>25</v>
      </c>
      <c r="P2918" s="2" t="s">
        <v>34</v>
      </c>
    </row>
    <row r="2919" spans="1:16" x14ac:dyDescent="0.25">
      <c r="A2919" s="2" t="s">
        <v>6446</v>
      </c>
      <c r="B2919" s="2" t="s">
        <v>9905</v>
      </c>
      <c r="C2919" s="2">
        <v>4227</v>
      </c>
      <c r="D2919" s="2" t="s">
        <v>9906</v>
      </c>
      <c r="E2919" s="2" t="s">
        <v>6719</v>
      </c>
      <c r="F2919" s="2" t="s">
        <v>39</v>
      </c>
      <c r="G2919" s="2">
        <v>29286.53</v>
      </c>
      <c r="H2919" s="2">
        <v>17953.990000000002</v>
      </c>
      <c r="I2919" s="2" t="s">
        <v>6752</v>
      </c>
      <c r="J2919" s="2" t="s">
        <v>6729</v>
      </c>
      <c r="K2919" s="2" t="s">
        <v>80</v>
      </c>
      <c r="L2919" s="2" t="s">
        <v>55</v>
      </c>
      <c r="M2919" s="2">
        <v>2</v>
      </c>
      <c r="N2919" s="2" t="s">
        <v>24</v>
      </c>
      <c r="O2919" s="2" t="s">
        <v>25</v>
      </c>
      <c r="P2919" s="2" t="s">
        <v>26</v>
      </c>
    </row>
    <row r="2920" spans="1:16" x14ac:dyDescent="0.25">
      <c r="A2920" s="2" t="s">
        <v>6448</v>
      </c>
      <c r="B2920" s="2" t="s">
        <v>8508</v>
      </c>
      <c r="C2920" s="2">
        <v>7230</v>
      </c>
      <c r="D2920" s="2" t="s">
        <v>9409</v>
      </c>
      <c r="E2920" s="2" t="s">
        <v>6743</v>
      </c>
      <c r="F2920" s="2" t="s">
        <v>19</v>
      </c>
      <c r="G2920" s="2">
        <v>15433.97</v>
      </c>
      <c r="H2920" s="2">
        <v>9945.7800000000007</v>
      </c>
      <c r="I2920" s="2" t="s">
        <v>6918</v>
      </c>
      <c r="J2920" s="2" t="s">
        <v>21</v>
      </c>
      <c r="K2920" s="2" t="s">
        <v>80</v>
      </c>
      <c r="L2920" s="2" t="s">
        <v>43</v>
      </c>
      <c r="M2920" s="2">
        <v>2</v>
      </c>
      <c r="N2920" s="2" t="s">
        <v>69</v>
      </c>
      <c r="O2920" s="2" t="s">
        <v>25</v>
      </c>
      <c r="P2920" s="2" t="s">
        <v>49</v>
      </c>
    </row>
    <row r="2921" spans="1:16" x14ac:dyDescent="0.25">
      <c r="A2921" s="2" t="s">
        <v>6450</v>
      </c>
      <c r="B2921" s="2" t="s">
        <v>6145</v>
      </c>
      <c r="C2921" s="2">
        <v>5987</v>
      </c>
      <c r="D2921" s="2" t="s">
        <v>9907</v>
      </c>
      <c r="E2921" s="2" t="s">
        <v>18</v>
      </c>
      <c r="F2921" s="2" t="s">
        <v>19</v>
      </c>
      <c r="G2921" s="2">
        <v>15389.75</v>
      </c>
      <c r="H2921" s="2">
        <v>7871.69</v>
      </c>
      <c r="I2921" s="2" t="s">
        <v>84</v>
      </c>
      <c r="J2921" s="2" t="s">
        <v>54</v>
      </c>
      <c r="K2921" s="2" t="s">
        <v>42</v>
      </c>
      <c r="L2921" s="2" t="s">
        <v>55</v>
      </c>
      <c r="M2921" s="2">
        <v>4</v>
      </c>
      <c r="N2921" s="2" t="s">
        <v>33</v>
      </c>
      <c r="O2921" s="2" t="s">
        <v>25</v>
      </c>
      <c r="P2921" s="2" t="s">
        <v>49</v>
      </c>
    </row>
    <row r="2922" spans="1:16" x14ac:dyDescent="0.25">
      <c r="A2922" s="2" t="s">
        <v>6451</v>
      </c>
      <c r="B2922" s="2" t="s">
        <v>2967</v>
      </c>
      <c r="C2922" s="2">
        <v>1910</v>
      </c>
      <c r="D2922" s="2" t="s">
        <v>9908</v>
      </c>
      <c r="E2922" s="2" t="s">
        <v>38</v>
      </c>
      <c r="F2922" s="2" t="s">
        <v>39</v>
      </c>
      <c r="G2922" s="2">
        <v>13338.33</v>
      </c>
      <c r="H2922" s="2">
        <v>8398.3799999999992</v>
      </c>
      <c r="I2922" s="2" t="s">
        <v>53</v>
      </c>
      <c r="J2922" s="2" t="s">
        <v>54</v>
      </c>
      <c r="K2922" s="2" t="s">
        <v>42</v>
      </c>
      <c r="L2922" s="2" t="s">
        <v>88</v>
      </c>
      <c r="M2922" s="2">
        <v>2</v>
      </c>
      <c r="N2922" s="2" t="s">
        <v>33</v>
      </c>
      <c r="O2922" s="2" t="s">
        <v>25</v>
      </c>
      <c r="P2922" s="2" t="s">
        <v>26</v>
      </c>
    </row>
    <row r="2923" spans="1:16" x14ac:dyDescent="0.25">
      <c r="A2923" s="2" t="s">
        <v>6453</v>
      </c>
      <c r="B2923" s="2" t="s">
        <v>1425</v>
      </c>
      <c r="C2923" s="2">
        <v>5741</v>
      </c>
      <c r="D2923" s="2" t="s">
        <v>7504</v>
      </c>
      <c r="E2923" s="2" t="s">
        <v>18</v>
      </c>
      <c r="F2923" s="2" t="s">
        <v>58</v>
      </c>
      <c r="G2923" s="2">
        <v>32486.7</v>
      </c>
      <c r="H2923" s="2">
        <v>15459.54</v>
      </c>
      <c r="I2923" s="2" t="s">
        <v>53</v>
      </c>
      <c r="J2923" s="2" t="s">
        <v>54</v>
      </c>
      <c r="K2923" s="2" t="s">
        <v>80</v>
      </c>
      <c r="L2923" s="2" t="s">
        <v>23</v>
      </c>
      <c r="M2923" s="2">
        <v>3</v>
      </c>
      <c r="N2923" s="2" t="s">
        <v>24</v>
      </c>
      <c r="O2923" s="2" t="s">
        <v>25</v>
      </c>
      <c r="P2923" s="2" t="s">
        <v>34</v>
      </c>
    </row>
    <row r="2924" spans="1:16" x14ac:dyDescent="0.25">
      <c r="A2924" s="2" t="s">
        <v>6455</v>
      </c>
      <c r="B2924" s="2" t="s">
        <v>8960</v>
      </c>
      <c r="C2924" s="2">
        <v>5127</v>
      </c>
      <c r="D2924" s="2" t="s">
        <v>6861</v>
      </c>
      <c r="E2924" s="2" t="s">
        <v>6743</v>
      </c>
      <c r="F2924" s="2" t="s">
        <v>58</v>
      </c>
      <c r="G2924" s="2">
        <v>28887.89</v>
      </c>
      <c r="H2924" s="2">
        <v>14879.72</v>
      </c>
      <c r="I2924" s="2" t="s">
        <v>6759</v>
      </c>
      <c r="J2924" s="2" t="s">
        <v>6686</v>
      </c>
      <c r="K2924" s="2" t="s">
        <v>32</v>
      </c>
      <c r="L2924" s="2" t="s">
        <v>64</v>
      </c>
      <c r="M2924" s="2">
        <v>3</v>
      </c>
      <c r="N2924" s="2" t="s">
        <v>69</v>
      </c>
      <c r="O2924" s="2" t="s">
        <v>25</v>
      </c>
      <c r="P2924" s="2" t="s">
        <v>34</v>
      </c>
    </row>
    <row r="2925" spans="1:16" x14ac:dyDescent="0.25">
      <c r="A2925" s="2" t="s">
        <v>6456</v>
      </c>
      <c r="B2925" s="2" t="s">
        <v>2540</v>
      </c>
      <c r="C2925" s="2">
        <v>4733</v>
      </c>
      <c r="D2925" s="2" t="s">
        <v>9909</v>
      </c>
      <c r="E2925" s="2" t="s">
        <v>18</v>
      </c>
      <c r="F2925" s="2" t="s">
        <v>47</v>
      </c>
      <c r="G2925" s="2">
        <v>12659.44</v>
      </c>
      <c r="H2925" s="2">
        <v>7964.23</v>
      </c>
      <c r="I2925" s="2" t="s">
        <v>84</v>
      </c>
      <c r="J2925" s="2" t="s">
        <v>6691</v>
      </c>
      <c r="K2925" s="2" t="s">
        <v>42</v>
      </c>
      <c r="L2925" s="2" t="s">
        <v>55</v>
      </c>
      <c r="M2925" s="2">
        <v>5</v>
      </c>
      <c r="N2925" s="2" t="s">
        <v>33</v>
      </c>
      <c r="O2925" s="2" t="s">
        <v>25</v>
      </c>
      <c r="P2925" s="2" t="s">
        <v>49</v>
      </c>
    </row>
    <row r="2926" spans="1:16" x14ac:dyDescent="0.25">
      <c r="A2926" s="2" t="s">
        <v>6458</v>
      </c>
      <c r="B2926" s="2" t="s">
        <v>1185</v>
      </c>
      <c r="C2926" s="2">
        <v>5900</v>
      </c>
      <c r="D2926" s="2" t="s">
        <v>3299</v>
      </c>
      <c r="E2926" s="2" t="s">
        <v>38</v>
      </c>
      <c r="F2926" s="2" t="s">
        <v>30</v>
      </c>
      <c r="G2926" s="2">
        <v>26801.51</v>
      </c>
      <c r="H2926" s="2">
        <v>15185.06</v>
      </c>
      <c r="I2926" s="2" t="s">
        <v>63</v>
      </c>
      <c r="J2926" s="2" t="s">
        <v>54</v>
      </c>
      <c r="K2926" s="2" t="s">
        <v>22</v>
      </c>
      <c r="L2926" s="2" t="s">
        <v>88</v>
      </c>
      <c r="M2926" s="2">
        <v>5</v>
      </c>
      <c r="N2926" s="2" t="s">
        <v>69</v>
      </c>
      <c r="O2926" s="2" t="s">
        <v>70</v>
      </c>
      <c r="P2926" s="2" t="s">
        <v>34</v>
      </c>
    </row>
    <row r="2927" spans="1:16" x14ac:dyDescent="0.25">
      <c r="A2927" s="2" t="s">
        <v>6460</v>
      </c>
      <c r="B2927" s="2" t="s">
        <v>9910</v>
      </c>
      <c r="C2927" s="2">
        <v>3864</v>
      </c>
      <c r="D2927" s="2" t="s">
        <v>6148</v>
      </c>
      <c r="E2927" s="2" t="s">
        <v>6698</v>
      </c>
      <c r="F2927" s="2" t="s">
        <v>47</v>
      </c>
      <c r="G2927" s="2">
        <v>9395.1</v>
      </c>
      <c r="H2927" s="2">
        <v>4374.1400000000003</v>
      </c>
      <c r="I2927" s="2" t="s">
        <v>6728</v>
      </c>
      <c r="J2927" s="2" t="s">
        <v>6753</v>
      </c>
      <c r="K2927" s="2" t="s">
        <v>22</v>
      </c>
      <c r="L2927" s="2" t="s">
        <v>43</v>
      </c>
      <c r="M2927" s="2">
        <v>3</v>
      </c>
      <c r="N2927" s="2" t="s">
        <v>33</v>
      </c>
      <c r="O2927" s="2" t="s">
        <v>25</v>
      </c>
      <c r="P2927" s="2" t="s">
        <v>26</v>
      </c>
    </row>
    <row r="2928" spans="1:16" x14ac:dyDescent="0.25">
      <c r="A2928" s="2" t="s">
        <v>6462</v>
      </c>
      <c r="B2928" s="2" t="s">
        <v>9911</v>
      </c>
      <c r="C2928" s="2">
        <v>1515</v>
      </c>
      <c r="D2928" s="2" t="s">
        <v>4963</v>
      </c>
      <c r="E2928" s="2" t="s">
        <v>6698</v>
      </c>
      <c r="F2928" s="2" t="s">
        <v>19</v>
      </c>
      <c r="G2928" s="2">
        <v>12717.56</v>
      </c>
      <c r="H2928" s="2">
        <v>7726.28</v>
      </c>
      <c r="I2928" s="2" t="s">
        <v>20</v>
      </c>
      <c r="J2928" s="2" t="s">
        <v>6795</v>
      </c>
      <c r="K2928" s="2" t="s">
        <v>80</v>
      </c>
      <c r="L2928" s="2" t="s">
        <v>88</v>
      </c>
      <c r="M2928" s="2">
        <v>3</v>
      </c>
      <c r="N2928" s="2" t="s">
        <v>33</v>
      </c>
      <c r="O2928" s="2" t="s">
        <v>25</v>
      </c>
      <c r="P2928" s="2" t="s">
        <v>49</v>
      </c>
    </row>
    <row r="2929" spans="1:16" x14ac:dyDescent="0.25">
      <c r="A2929" s="2" t="s">
        <v>6464</v>
      </c>
      <c r="B2929" s="2" t="s">
        <v>8797</v>
      </c>
      <c r="C2929" s="2">
        <v>4457</v>
      </c>
      <c r="D2929" s="2" t="s">
        <v>7095</v>
      </c>
      <c r="E2929" s="2" t="s">
        <v>32</v>
      </c>
      <c r="F2929" s="2" t="s">
        <v>30</v>
      </c>
      <c r="G2929" s="2">
        <v>17603.02</v>
      </c>
      <c r="H2929" s="2">
        <v>9656.9500000000007</v>
      </c>
      <c r="I2929" s="2" t="s">
        <v>6910</v>
      </c>
      <c r="J2929" s="2" t="s">
        <v>6696</v>
      </c>
      <c r="K2929" s="2" t="s">
        <v>80</v>
      </c>
      <c r="L2929" s="2" t="s">
        <v>23</v>
      </c>
      <c r="M2929" s="2">
        <v>2</v>
      </c>
      <c r="N2929" s="2" t="s">
        <v>69</v>
      </c>
      <c r="O2929" s="2" t="s">
        <v>25</v>
      </c>
      <c r="P2929" s="2" t="s">
        <v>26</v>
      </c>
    </row>
    <row r="2930" spans="1:16" x14ac:dyDescent="0.25">
      <c r="A2930" s="2" t="s">
        <v>6466</v>
      </c>
      <c r="B2930" s="2" t="s">
        <v>9912</v>
      </c>
      <c r="C2930" s="2">
        <v>1787</v>
      </c>
      <c r="D2930" s="2" t="s">
        <v>9913</v>
      </c>
      <c r="E2930" s="2" t="s">
        <v>6698</v>
      </c>
      <c r="F2930" s="2" t="s">
        <v>58</v>
      </c>
      <c r="G2930" s="2">
        <v>34748.53</v>
      </c>
      <c r="H2930" s="2">
        <v>18115.37</v>
      </c>
      <c r="I2930" s="2" t="s">
        <v>6808</v>
      </c>
      <c r="J2930" s="2" t="s">
        <v>6691</v>
      </c>
      <c r="K2930" s="2" t="s">
        <v>42</v>
      </c>
      <c r="L2930" s="2" t="s">
        <v>23</v>
      </c>
      <c r="M2930" s="2">
        <v>2</v>
      </c>
      <c r="N2930" s="2" t="s">
        <v>33</v>
      </c>
      <c r="O2930" s="2" t="s">
        <v>70</v>
      </c>
      <c r="P2930" s="2" t="s">
        <v>34</v>
      </c>
    </row>
    <row r="2931" spans="1:16" x14ac:dyDescent="0.25">
      <c r="A2931" s="2" t="s">
        <v>6468</v>
      </c>
      <c r="B2931" s="2" t="s">
        <v>9914</v>
      </c>
      <c r="C2931" s="2">
        <v>6680</v>
      </c>
      <c r="D2931" s="2" t="s">
        <v>6457</v>
      </c>
      <c r="E2931" s="2" t="s">
        <v>6748</v>
      </c>
      <c r="F2931" s="2" t="s">
        <v>19</v>
      </c>
      <c r="G2931" s="2">
        <v>9739.6</v>
      </c>
      <c r="H2931" s="2">
        <v>5202.5200000000004</v>
      </c>
      <c r="I2931" s="2" t="s">
        <v>6915</v>
      </c>
      <c r="J2931" s="2" t="s">
        <v>21</v>
      </c>
      <c r="K2931" s="2" t="s">
        <v>80</v>
      </c>
      <c r="L2931" s="2" t="s">
        <v>55</v>
      </c>
      <c r="M2931" s="2">
        <v>1</v>
      </c>
      <c r="N2931" s="2" t="s">
        <v>24</v>
      </c>
      <c r="O2931" s="2" t="s">
        <v>70</v>
      </c>
      <c r="P2931" s="2" t="s">
        <v>34</v>
      </c>
    </row>
    <row r="2932" spans="1:16" x14ac:dyDescent="0.25">
      <c r="A2932" s="2" t="s">
        <v>6470</v>
      </c>
      <c r="B2932" s="2" t="s">
        <v>4046</v>
      </c>
      <c r="C2932" s="2">
        <v>2493</v>
      </c>
      <c r="D2932" s="2" t="s">
        <v>9915</v>
      </c>
      <c r="E2932" s="2" t="s">
        <v>18</v>
      </c>
      <c r="F2932" s="2" t="s">
        <v>39</v>
      </c>
      <c r="G2932" s="2">
        <v>40596.53</v>
      </c>
      <c r="H2932" s="2">
        <v>25207.37</v>
      </c>
      <c r="I2932" s="2" t="s">
        <v>84</v>
      </c>
      <c r="J2932" s="2" t="s">
        <v>54</v>
      </c>
      <c r="K2932" s="2" t="s">
        <v>32</v>
      </c>
      <c r="L2932" s="2" t="s">
        <v>64</v>
      </c>
      <c r="M2932" s="2">
        <v>3</v>
      </c>
      <c r="N2932" s="2" t="s">
        <v>33</v>
      </c>
      <c r="O2932" s="2" t="s">
        <v>70</v>
      </c>
      <c r="P2932" s="2" t="s">
        <v>49</v>
      </c>
    </row>
    <row r="2933" spans="1:16" x14ac:dyDescent="0.25">
      <c r="A2933" s="2" t="s">
        <v>6471</v>
      </c>
      <c r="B2933" s="2" t="s">
        <v>641</v>
      </c>
      <c r="C2933" s="2">
        <v>1667</v>
      </c>
      <c r="D2933" s="2" t="s">
        <v>9916</v>
      </c>
      <c r="E2933" s="2" t="s">
        <v>18</v>
      </c>
      <c r="F2933" s="2" t="s">
        <v>47</v>
      </c>
      <c r="G2933" s="2">
        <v>11488.86</v>
      </c>
      <c r="H2933" s="2">
        <v>6410.83</v>
      </c>
      <c r="I2933" s="2" t="s">
        <v>53</v>
      </c>
      <c r="J2933" s="2" t="s">
        <v>54</v>
      </c>
      <c r="K2933" s="2" t="s">
        <v>32</v>
      </c>
      <c r="L2933" s="2" t="s">
        <v>23</v>
      </c>
      <c r="M2933" s="2">
        <v>2</v>
      </c>
      <c r="N2933" s="2" t="s">
        <v>24</v>
      </c>
      <c r="O2933" s="2" t="s">
        <v>25</v>
      </c>
      <c r="P2933" s="2" t="s">
        <v>34</v>
      </c>
    </row>
    <row r="2934" spans="1:16" x14ac:dyDescent="0.25">
      <c r="A2934" s="2" t="s">
        <v>6472</v>
      </c>
      <c r="B2934" s="2" t="s">
        <v>525</v>
      </c>
      <c r="C2934" s="2">
        <v>7017</v>
      </c>
      <c r="D2934" s="2" t="s">
        <v>9917</v>
      </c>
      <c r="E2934" s="2" t="s">
        <v>6743</v>
      </c>
      <c r="F2934" s="2" t="s">
        <v>19</v>
      </c>
      <c r="G2934" s="2">
        <v>5756.34</v>
      </c>
      <c r="H2934" s="2">
        <v>2663.8</v>
      </c>
      <c r="I2934" s="2" t="s">
        <v>6771</v>
      </c>
      <c r="J2934" s="2" t="s">
        <v>6696</v>
      </c>
      <c r="K2934" s="2" t="s">
        <v>80</v>
      </c>
      <c r="L2934" s="2" t="s">
        <v>88</v>
      </c>
      <c r="M2934" s="2">
        <v>4</v>
      </c>
      <c r="N2934" s="2" t="s">
        <v>33</v>
      </c>
      <c r="O2934" s="2" t="s">
        <v>25</v>
      </c>
      <c r="P2934" s="2" t="s">
        <v>49</v>
      </c>
    </row>
    <row r="2935" spans="1:16" x14ac:dyDescent="0.25">
      <c r="A2935" s="2" t="s">
        <v>6473</v>
      </c>
      <c r="B2935" s="2" t="s">
        <v>7014</v>
      </c>
      <c r="C2935" s="2">
        <v>6457</v>
      </c>
      <c r="D2935" s="2" t="s">
        <v>9918</v>
      </c>
      <c r="E2935" s="2" t="s">
        <v>6719</v>
      </c>
      <c r="F2935" s="2" t="s">
        <v>30</v>
      </c>
      <c r="G2935" s="2">
        <v>40102.35</v>
      </c>
      <c r="H2935" s="2">
        <v>19555.009999999998</v>
      </c>
      <c r="I2935" s="2" t="s">
        <v>6808</v>
      </c>
      <c r="J2935" s="2" t="s">
        <v>6686</v>
      </c>
      <c r="K2935" s="2" t="s">
        <v>80</v>
      </c>
      <c r="L2935" s="2" t="s">
        <v>64</v>
      </c>
      <c r="M2935" s="2">
        <v>4</v>
      </c>
      <c r="N2935" s="2" t="s">
        <v>33</v>
      </c>
      <c r="O2935" s="2" t="s">
        <v>25</v>
      </c>
      <c r="P2935" s="2" t="s">
        <v>26</v>
      </c>
    </row>
    <row r="2936" spans="1:16" x14ac:dyDescent="0.25">
      <c r="A2936" s="2" t="s">
        <v>6475</v>
      </c>
      <c r="B2936" s="2" t="s">
        <v>1816</v>
      </c>
      <c r="C2936" s="2">
        <v>6839</v>
      </c>
      <c r="D2936" s="2" t="s">
        <v>7999</v>
      </c>
      <c r="E2936" s="2" t="s">
        <v>18</v>
      </c>
      <c r="F2936" s="2" t="s">
        <v>19</v>
      </c>
      <c r="G2936" s="2">
        <v>19191.87</v>
      </c>
      <c r="H2936" s="2">
        <v>11247.52</v>
      </c>
      <c r="I2936" s="2" t="s">
        <v>63</v>
      </c>
      <c r="J2936" s="2" t="s">
        <v>54</v>
      </c>
      <c r="K2936" s="2" t="s">
        <v>42</v>
      </c>
      <c r="L2936" s="2" t="s">
        <v>23</v>
      </c>
      <c r="M2936" s="2">
        <v>1</v>
      </c>
      <c r="N2936" s="2" t="s">
        <v>33</v>
      </c>
      <c r="O2936" s="2" t="s">
        <v>70</v>
      </c>
      <c r="P2936" s="2" t="s">
        <v>26</v>
      </c>
    </row>
    <row r="2937" spans="1:16" x14ac:dyDescent="0.25">
      <c r="A2937" s="2" t="s">
        <v>6477</v>
      </c>
      <c r="B2937" s="2" t="s">
        <v>9919</v>
      </c>
      <c r="C2937" s="2">
        <v>9298</v>
      </c>
      <c r="D2937" s="2" t="s">
        <v>7204</v>
      </c>
      <c r="E2937" s="2" t="s">
        <v>6743</v>
      </c>
      <c r="F2937" s="2" t="s">
        <v>19</v>
      </c>
      <c r="G2937" s="2">
        <v>14960.71</v>
      </c>
      <c r="H2937" s="2">
        <v>9382.07</v>
      </c>
      <c r="I2937" s="2" t="s">
        <v>6699</v>
      </c>
      <c r="J2937" s="2" t="s">
        <v>6700</v>
      </c>
      <c r="K2937" s="2" t="s">
        <v>32</v>
      </c>
      <c r="L2937" s="2" t="s">
        <v>43</v>
      </c>
      <c r="M2937" s="2">
        <v>2</v>
      </c>
      <c r="N2937" s="2" t="s">
        <v>33</v>
      </c>
      <c r="O2937" s="2" t="s">
        <v>25</v>
      </c>
      <c r="P2937" s="2" t="s">
        <v>34</v>
      </c>
    </row>
    <row r="2938" spans="1:16" x14ac:dyDescent="0.25">
      <c r="A2938" s="2" t="s">
        <v>6479</v>
      </c>
      <c r="B2938" s="2" t="s">
        <v>6145</v>
      </c>
      <c r="C2938" s="2">
        <v>7222</v>
      </c>
      <c r="D2938" s="2" t="s">
        <v>2371</v>
      </c>
      <c r="E2938" s="2" t="s">
        <v>38</v>
      </c>
      <c r="F2938" s="2" t="s">
        <v>39</v>
      </c>
      <c r="G2938" s="2">
        <v>52720.75</v>
      </c>
      <c r="H2938" s="2">
        <v>23948.42</v>
      </c>
      <c r="I2938" s="2" t="s">
        <v>63</v>
      </c>
      <c r="J2938" s="2" t="s">
        <v>54</v>
      </c>
      <c r="K2938" s="2" t="s">
        <v>80</v>
      </c>
      <c r="L2938" s="2" t="s">
        <v>43</v>
      </c>
      <c r="M2938" s="2">
        <v>5</v>
      </c>
      <c r="N2938" s="2" t="s">
        <v>24</v>
      </c>
      <c r="O2938" s="2" t="s">
        <v>70</v>
      </c>
      <c r="P2938" s="2" t="s">
        <v>49</v>
      </c>
    </row>
    <row r="2939" spans="1:16" x14ac:dyDescent="0.25">
      <c r="A2939" s="2" t="s">
        <v>6481</v>
      </c>
      <c r="B2939" s="2" t="s">
        <v>829</v>
      </c>
      <c r="C2939" s="2">
        <v>7802</v>
      </c>
      <c r="D2939" s="2" t="s">
        <v>9920</v>
      </c>
      <c r="E2939" s="2" t="s">
        <v>18</v>
      </c>
      <c r="F2939" s="2" t="s">
        <v>30</v>
      </c>
      <c r="G2939" s="2">
        <v>12426.11</v>
      </c>
      <c r="H2939" s="2">
        <v>5707.12</v>
      </c>
      <c r="I2939" s="2" t="s">
        <v>59</v>
      </c>
      <c r="J2939" s="2" t="s">
        <v>41</v>
      </c>
      <c r="K2939" s="2" t="s">
        <v>22</v>
      </c>
      <c r="L2939" s="2" t="s">
        <v>55</v>
      </c>
      <c r="M2939" s="2">
        <v>2</v>
      </c>
      <c r="N2939" s="2" t="s">
        <v>69</v>
      </c>
      <c r="O2939" s="2" t="s">
        <v>25</v>
      </c>
      <c r="P2939" s="2" t="s">
        <v>26</v>
      </c>
    </row>
    <row r="2940" spans="1:16" x14ac:dyDescent="0.25">
      <c r="A2940" s="2" t="s">
        <v>6484</v>
      </c>
      <c r="B2940" s="2" t="s">
        <v>9921</v>
      </c>
      <c r="C2940" s="2">
        <v>9389</v>
      </c>
      <c r="D2940" s="2" t="s">
        <v>4031</v>
      </c>
      <c r="E2940" s="2" t="s">
        <v>6703</v>
      </c>
      <c r="F2940" s="2" t="s">
        <v>47</v>
      </c>
      <c r="G2940" s="2">
        <v>4289.08</v>
      </c>
      <c r="H2940" s="2">
        <v>2061.58</v>
      </c>
      <c r="I2940" s="2" t="s">
        <v>6728</v>
      </c>
      <c r="J2940" s="2" t="s">
        <v>6753</v>
      </c>
      <c r="K2940" s="2" t="s">
        <v>42</v>
      </c>
      <c r="L2940" s="2" t="s">
        <v>88</v>
      </c>
      <c r="M2940" s="2">
        <v>1</v>
      </c>
      <c r="N2940" s="2" t="s">
        <v>33</v>
      </c>
      <c r="O2940" s="2" t="s">
        <v>25</v>
      </c>
      <c r="P2940" s="2" t="s">
        <v>26</v>
      </c>
    </row>
    <row r="2941" spans="1:16" x14ac:dyDescent="0.25">
      <c r="A2941" s="2" t="s">
        <v>6486</v>
      </c>
      <c r="B2941" s="2" t="s">
        <v>2942</v>
      </c>
      <c r="C2941" s="2">
        <v>8779</v>
      </c>
      <c r="D2941" s="2" t="s">
        <v>4026</v>
      </c>
      <c r="E2941" s="2" t="s">
        <v>6694</v>
      </c>
      <c r="F2941" s="2" t="s">
        <v>58</v>
      </c>
      <c r="G2941" s="2">
        <v>20434.8</v>
      </c>
      <c r="H2941" s="2">
        <v>9344.2199999999993</v>
      </c>
      <c r="I2941" s="2" t="s">
        <v>31</v>
      </c>
      <c r="J2941" s="2" t="s">
        <v>21</v>
      </c>
      <c r="K2941" s="2" t="s">
        <v>42</v>
      </c>
      <c r="L2941" s="2" t="s">
        <v>55</v>
      </c>
      <c r="M2941" s="2">
        <v>5</v>
      </c>
      <c r="N2941" s="2" t="s">
        <v>33</v>
      </c>
      <c r="O2941" s="2" t="s">
        <v>25</v>
      </c>
      <c r="P2941" s="2" t="s">
        <v>34</v>
      </c>
    </row>
    <row r="2942" spans="1:16" x14ac:dyDescent="0.25">
      <c r="A2942" s="2" t="s">
        <v>6488</v>
      </c>
      <c r="B2942" s="2" t="s">
        <v>968</v>
      </c>
      <c r="C2942" s="2">
        <v>7925</v>
      </c>
      <c r="D2942" s="2" t="s">
        <v>9922</v>
      </c>
      <c r="E2942" s="2" t="s">
        <v>38</v>
      </c>
      <c r="F2942" s="2" t="s">
        <v>39</v>
      </c>
      <c r="G2942" s="2">
        <v>15116.4</v>
      </c>
      <c r="H2942" s="2">
        <v>9542.59</v>
      </c>
      <c r="I2942" s="2" t="s">
        <v>31</v>
      </c>
      <c r="J2942" s="2" t="s">
        <v>21</v>
      </c>
      <c r="K2942" s="2" t="s">
        <v>80</v>
      </c>
      <c r="L2942" s="2" t="s">
        <v>23</v>
      </c>
      <c r="M2942" s="2">
        <v>3</v>
      </c>
      <c r="N2942" s="2" t="s">
        <v>33</v>
      </c>
      <c r="O2942" s="2" t="s">
        <v>25</v>
      </c>
      <c r="P2942" s="2" t="s">
        <v>49</v>
      </c>
    </row>
    <row r="2943" spans="1:16" x14ac:dyDescent="0.25">
      <c r="A2943" s="2" t="s">
        <v>6490</v>
      </c>
      <c r="B2943" s="2" t="s">
        <v>977</v>
      </c>
      <c r="C2943" s="2">
        <v>2418</v>
      </c>
      <c r="D2943" s="2" t="s">
        <v>6014</v>
      </c>
      <c r="E2943" s="2" t="s">
        <v>18</v>
      </c>
      <c r="F2943" s="2" t="s">
        <v>39</v>
      </c>
      <c r="G2943" s="2">
        <v>53881.15</v>
      </c>
      <c r="H2943" s="2">
        <v>33436</v>
      </c>
      <c r="I2943" s="2" t="s">
        <v>84</v>
      </c>
      <c r="J2943" s="2" t="s">
        <v>54</v>
      </c>
      <c r="K2943" s="2" t="s">
        <v>80</v>
      </c>
      <c r="L2943" s="2" t="s">
        <v>55</v>
      </c>
      <c r="M2943" s="2">
        <v>5</v>
      </c>
      <c r="N2943" s="2" t="s">
        <v>24</v>
      </c>
      <c r="O2943" s="2" t="s">
        <v>25</v>
      </c>
      <c r="P2943" s="2" t="s">
        <v>49</v>
      </c>
    </row>
    <row r="2944" spans="1:16" x14ac:dyDescent="0.25">
      <c r="A2944" s="2" t="s">
        <v>6493</v>
      </c>
      <c r="B2944" s="2" t="s">
        <v>6546</v>
      </c>
      <c r="C2944" s="2">
        <v>8160</v>
      </c>
      <c r="D2944" s="2" t="s">
        <v>9923</v>
      </c>
      <c r="E2944" s="2" t="s">
        <v>18</v>
      </c>
      <c r="F2944" s="2" t="s">
        <v>39</v>
      </c>
      <c r="G2944" s="2">
        <v>38350.32</v>
      </c>
      <c r="H2944" s="2">
        <v>17308.240000000002</v>
      </c>
      <c r="I2944" s="2" t="s">
        <v>53</v>
      </c>
      <c r="J2944" s="2" t="s">
        <v>54</v>
      </c>
      <c r="K2944" s="2" t="s">
        <v>32</v>
      </c>
      <c r="L2944" s="2" t="s">
        <v>23</v>
      </c>
      <c r="M2944" s="2">
        <v>3</v>
      </c>
      <c r="N2944" s="2" t="s">
        <v>33</v>
      </c>
      <c r="O2944" s="2" t="s">
        <v>25</v>
      </c>
      <c r="P2944" s="2" t="s">
        <v>49</v>
      </c>
    </row>
    <row r="2945" spans="1:16" x14ac:dyDescent="0.25">
      <c r="A2945" s="2" t="s">
        <v>6495</v>
      </c>
      <c r="B2945" s="2" t="s">
        <v>3112</v>
      </c>
      <c r="C2945" s="2">
        <v>2282</v>
      </c>
      <c r="D2945" s="2" t="s">
        <v>9924</v>
      </c>
      <c r="E2945" s="2" t="s">
        <v>38</v>
      </c>
      <c r="F2945" s="2" t="s">
        <v>19</v>
      </c>
      <c r="G2945" s="2">
        <v>5079.1400000000003</v>
      </c>
      <c r="H2945" s="2">
        <v>2992.49</v>
      </c>
      <c r="I2945" s="2" t="s">
        <v>84</v>
      </c>
      <c r="J2945" s="2" t="s">
        <v>54</v>
      </c>
      <c r="K2945" s="2" t="s">
        <v>80</v>
      </c>
      <c r="L2945" s="2" t="s">
        <v>64</v>
      </c>
      <c r="M2945" s="2">
        <v>5</v>
      </c>
      <c r="N2945" s="2" t="s">
        <v>69</v>
      </c>
      <c r="O2945" s="2" t="s">
        <v>25</v>
      </c>
      <c r="P2945" s="2" t="s">
        <v>49</v>
      </c>
    </row>
    <row r="2946" spans="1:16" x14ac:dyDescent="0.25">
      <c r="A2946" s="2" t="s">
        <v>6497</v>
      </c>
      <c r="B2946" s="2" t="s">
        <v>1268</v>
      </c>
      <c r="C2946" s="2">
        <v>5757</v>
      </c>
      <c r="D2946" s="2" t="s">
        <v>9925</v>
      </c>
      <c r="E2946" s="2" t="s">
        <v>6698</v>
      </c>
      <c r="F2946" s="2" t="s">
        <v>47</v>
      </c>
      <c r="G2946" s="2">
        <v>7388.64</v>
      </c>
      <c r="H2946" s="2">
        <v>3498.83</v>
      </c>
      <c r="I2946" s="2" t="s">
        <v>20</v>
      </c>
      <c r="J2946" s="2" t="s">
        <v>6724</v>
      </c>
      <c r="K2946" s="2" t="s">
        <v>32</v>
      </c>
      <c r="L2946" s="2" t="s">
        <v>48</v>
      </c>
      <c r="M2946" s="2">
        <v>1</v>
      </c>
      <c r="N2946" s="2" t="s">
        <v>24</v>
      </c>
      <c r="O2946" s="2" t="s">
        <v>70</v>
      </c>
      <c r="P2946" s="2" t="s">
        <v>26</v>
      </c>
    </row>
    <row r="2947" spans="1:16" x14ac:dyDescent="0.25">
      <c r="A2947" s="2" t="s">
        <v>6499</v>
      </c>
      <c r="B2947" s="2" t="s">
        <v>7992</v>
      </c>
      <c r="C2947" s="2">
        <v>4452</v>
      </c>
      <c r="D2947" s="2" t="s">
        <v>5399</v>
      </c>
      <c r="E2947" s="2" t="s">
        <v>6708</v>
      </c>
      <c r="F2947" s="2" t="s">
        <v>30</v>
      </c>
      <c r="G2947" s="2">
        <v>20189.060000000001</v>
      </c>
      <c r="H2947" s="2">
        <v>9754.6299999999992</v>
      </c>
      <c r="I2947" s="2" t="s">
        <v>6799</v>
      </c>
      <c r="J2947" s="2" t="s">
        <v>6732</v>
      </c>
      <c r="K2947" s="2" t="s">
        <v>80</v>
      </c>
      <c r="L2947" s="2" t="s">
        <v>55</v>
      </c>
      <c r="M2947" s="2">
        <v>2</v>
      </c>
      <c r="N2947" s="2" t="s">
        <v>24</v>
      </c>
      <c r="O2947" s="2" t="s">
        <v>70</v>
      </c>
      <c r="P2947" s="2" t="s">
        <v>49</v>
      </c>
    </row>
    <row r="2949" spans="1:16" x14ac:dyDescent="0.25">
      <c r="A2949" s="2" t="s">
        <v>6501</v>
      </c>
      <c r="B2949" s="2" t="s">
        <v>9926</v>
      </c>
      <c r="C2949" s="2">
        <v>2140</v>
      </c>
      <c r="D2949" s="2" t="s">
        <v>9927</v>
      </c>
      <c r="E2949" s="2" t="s">
        <v>6743</v>
      </c>
      <c r="F2949" s="2" t="s">
        <v>39</v>
      </c>
      <c r="G2949" s="2">
        <v>17001.509999999998</v>
      </c>
      <c r="H2949" s="2">
        <v>10757.81</v>
      </c>
      <c r="I2949" s="2" t="s">
        <v>6712</v>
      </c>
      <c r="J2949" s="2" t="s">
        <v>6705</v>
      </c>
      <c r="K2949" s="2" t="s">
        <v>22</v>
      </c>
      <c r="L2949" s="2" t="s">
        <v>48</v>
      </c>
      <c r="M2949" s="2">
        <v>4</v>
      </c>
      <c r="N2949" s="2" t="s">
        <v>33</v>
      </c>
      <c r="O2949" s="2" t="s">
        <v>70</v>
      </c>
      <c r="P2949" s="2" t="s">
        <v>26</v>
      </c>
    </row>
    <row r="2950" spans="1:16" x14ac:dyDescent="0.25">
      <c r="A2950" s="2" t="s">
        <v>6503</v>
      </c>
      <c r="B2950" s="2" t="s">
        <v>2857</v>
      </c>
      <c r="C2950" s="2">
        <v>2280</v>
      </c>
      <c r="D2950" s="2" t="s">
        <v>9928</v>
      </c>
      <c r="E2950" s="2" t="s">
        <v>18</v>
      </c>
      <c r="F2950" s="2" t="s">
        <v>19</v>
      </c>
      <c r="G2950" s="2">
        <v>9693.0499999999993</v>
      </c>
      <c r="H2950" s="2">
        <v>5212.82</v>
      </c>
      <c r="I2950" s="2" t="s">
        <v>120</v>
      </c>
      <c r="J2950" s="2" t="s">
        <v>21</v>
      </c>
      <c r="K2950" s="2" t="s">
        <v>22</v>
      </c>
      <c r="L2950" s="2" t="s">
        <v>48</v>
      </c>
      <c r="M2950" s="2">
        <v>1</v>
      </c>
      <c r="N2950" s="2" t="s">
        <v>69</v>
      </c>
      <c r="O2950" s="2" t="s">
        <v>70</v>
      </c>
      <c r="P2950" s="2" t="s">
        <v>49</v>
      </c>
    </row>
    <row r="2951" spans="1:16" x14ac:dyDescent="0.25">
      <c r="A2951" s="2" t="s">
        <v>6504</v>
      </c>
      <c r="B2951" s="2" t="s">
        <v>9929</v>
      </c>
      <c r="C2951" s="2">
        <v>6417</v>
      </c>
      <c r="D2951" s="2" t="s">
        <v>9930</v>
      </c>
      <c r="E2951" s="2" t="s">
        <v>6698</v>
      </c>
      <c r="F2951" s="2" t="s">
        <v>39</v>
      </c>
      <c r="G2951" s="2">
        <v>31192.85</v>
      </c>
      <c r="H2951" s="2">
        <v>17829.23</v>
      </c>
      <c r="I2951" s="2" t="s">
        <v>6867</v>
      </c>
      <c r="J2951" s="2" t="s">
        <v>6795</v>
      </c>
      <c r="K2951" s="2" t="s">
        <v>42</v>
      </c>
      <c r="L2951" s="2" t="s">
        <v>43</v>
      </c>
      <c r="M2951" s="2">
        <v>3</v>
      </c>
      <c r="N2951" s="2" t="s">
        <v>33</v>
      </c>
      <c r="O2951" s="2" t="s">
        <v>70</v>
      </c>
      <c r="P2951" s="2" t="s">
        <v>26</v>
      </c>
    </row>
    <row r="2952" spans="1:16" x14ac:dyDescent="0.25">
      <c r="A2952" s="2" t="s">
        <v>6505</v>
      </c>
      <c r="B2952" s="2" t="s">
        <v>9931</v>
      </c>
      <c r="C2952" s="2">
        <v>1743</v>
      </c>
      <c r="D2952" s="2" t="s">
        <v>9932</v>
      </c>
      <c r="E2952" s="2" t="s">
        <v>6748</v>
      </c>
      <c r="F2952" s="2" t="s">
        <v>19</v>
      </c>
      <c r="G2952" s="2">
        <v>8272.1</v>
      </c>
      <c r="H2952" s="2">
        <v>5325.47</v>
      </c>
      <c r="I2952" s="2" t="s">
        <v>53</v>
      </c>
      <c r="J2952" s="2" t="s">
        <v>6700</v>
      </c>
      <c r="K2952" s="2" t="s">
        <v>22</v>
      </c>
      <c r="L2952" s="2" t="s">
        <v>43</v>
      </c>
      <c r="M2952" s="2">
        <v>5</v>
      </c>
      <c r="N2952" s="2" t="s">
        <v>33</v>
      </c>
      <c r="O2952" s="2" t="s">
        <v>25</v>
      </c>
      <c r="P2952" s="2" t="s">
        <v>34</v>
      </c>
    </row>
    <row r="2953" spans="1:16" x14ac:dyDescent="0.25">
      <c r="A2953" s="2" t="s">
        <v>6507</v>
      </c>
      <c r="B2953" s="2" t="s">
        <v>2375</v>
      </c>
      <c r="C2953" s="2">
        <v>6712</v>
      </c>
      <c r="D2953" s="2" t="s">
        <v>9933</v>
      </c>
      <c r="E2953" s="2" t="s">
        <v>6703</v>
      </c>
      <c r="F2953" s="2" t="s">
        <v>19</v>
      </c>
      <c r="G2953" s="2">
        <v>15775.06</v>
      </c>
      <c r="H2953" s="2">
        <v>9320.02</v>
      </c>
      <c r="I2953" s="2" t="s">
        <v>6759</v>
      </c>
      <c r="J2953" s="2" t="s">
        <v>6700</v>
      </c>
      <c r="K2953" s="2" t="s">
        <v>42</v>
      </c>
      <c r="L2953" s="2" t="s">
        <v>64</v>
      </c>
      <c r="M2953" s="2">
        <v>3</v>
      </c>
      <c r="N2953" s="2" t="s">
        <v>24</v>
      </c>
      <c r="O2953" s="2" t="s">
        <v>70</v>
      </c>
      <c r="P2953" s="2" t="s">
        <v>49</v>
      </c>
    </row>
    <row r="2954" spans="1:16" x14ac:dyDescent="0.25">
      <c r="A2954" s="2" t="s">
        <v>6509</v>
      </c>
      <c r="B2954" s="2" t="s">
        <v>8836</v>
      </c>
      <c r="C2954" s="2">
        <v>6247</v>
      </c>
      <c r="D2954" s="2" t="s">
        <v>9934</v>
      </c>
      <c r="E2954" s="2" t="s">
        <v>6698</v>
      </c>
      <c r="F2954" s="2" t="s">
        <v>58</v>
      </c>
      <c r="G2954" s="2" t="s">
        <v>9935</v>
      </c>
      <c r="H2954" s="2">
        <v>23716.2</v>
      </c>
      <c r="I2954" s="2" t="s">
        <v>63</v>
      </c>
      <c r="J2954" s="2" t="s">
        <v>6753</v>
      </c>
      <c r="K2954" s="2" t="s">
        <v>32</v>
      </c>
      <c r="L2954" s="2" t="s">
        <v>88</v>
      </c>
      <c r="M2954" s="2">
        <v>3</v>
      </c>
      <c r="N2954" s="2" t="s">
        <v>33</v>
      </c>
      <c r="O2954" s="2" t="s">
        <v>70</v>
      </c>
      <c r="P2954" s="2" t="s">
        <v>34</v>
      </c>
    </row>
    <row r="2955" spans="1:16" x14ac:dyDescent="0.25">
      <c r="A2955" s="2" t="s">
        <v>6511</v>
      </c>
      <c r="B2955" s="2" t="s">
        <v>6710</v>
      </c>
      <c r="C2955" s="2">
        <v>7556</v>
      </c>
      <c r="D2955" s="2" t="s">
        <v>9936</v>
      </c>
      <c r="E2955" s="2" t="s">
        <v>38</v>
      </c>
      <c r="F2955" s="2" t="s">
        <v>39</v>
      </c>
      <c r="G2955" s="2">
        <v>38158.160000000003</v>
      </c>
      <c r="H2955" s="2">
        <v>18588.7</v>
      </c>
      <c r="I2955" s="2" t="s">
        <v>84</v>
      </c>
      <c r="J2955" s="2" t="s">
        <v>54</v>
      </c>
      <c r="K2955" s="2" t="s">
        <v>80</v>
      </c>
      <c r="L2955" s="2" t="s">
        <v>43</v>
      </c>
      <c r="M2955" s="2">
        <v>2</v>
      </c>
      <c r="N2955" s="2" t="s">
        <v>33</v>
      </c>
      <c r="O2955" s="2" t="s">
        <v>25</v>
      </c>
      <c r="P2955" s="2" t="s">
        <v>49</v>
      </c>
    </row>
    <row r="2956" spans="1:16" x14ac:dyDescent="0.25">
      <c r="A2956" s="2" t="s">
        <v>6512</v>
      </c>
      <c r="B2956" s="2" t="s">
        <v>5660</v>
      </c>
      <c r="C2956" s="2">
        <v>5254</v>
      </c>
      <c r="D2956" s="2" t="s">
        <v>9937</v>
      </c>
      <c r="E2956" s="2" t="s">
        <v>18</v>
      </c>
      <c r="F2956" s="2" t="s">
        <v>19</v>
      </c>
      <c r="G2956" s="2">
        <v>22200.73</v>
      </c>
      <c r="H2956" s="2">
        <v>12374.23</v>
      </c>
      <c r="I2956" s="2" t="s">
        <v>53</v>
      </c>
      <c r="J2956" s="2" t="s">
        <v>54</v>
      </c>
      <c r="K2956" s="2" t="s">
        <v>80</v>
      </c>
      <c r="L2956" s="2" t="s">
        <v>55</v>
      </c>
      <c r="M2956" s="2">
        <v>2</v>
      </c>
      <c r="N2956" s="2" t="s">
        <v>33</v>
      </c>
      <c r="O2956" s="2" t="s">
        <v>70</v>
      </c>
      <c r="P2956" s="2" t="s">
        <v>34</v>
      </c>
    </row>
    <row r="2957" spans="1:16" x14ac:dyDescent="0.25">
      <c r="A2957" s="2" t="s">
        <v>6514</v>
      </c>
      <c r="B2957" s="2" t="s">
        <v>2012</v>
      </c>
      <c r="C2957" s="2">
        <v>6212</v>
      </c>
      <c r="D2957" s="2" t="s">
        <v>6928</v>
      </c>
      <c r="E2957" s="2" t="s">
        <v>18</v>
      </c>
      <c r="F2957" s="2" t="s">
        <v>19</v>
      </c>
      <c r="G2957" s="2">
        <v>5501.54</v>
      </c>
      <c r="H2957" s="2">
        <v>2851.53</v>
      </c>
      <c r="I2957" s="2" t="s">
        <v>53</v>
      </c>
      <c r="J2957" s="2" t="s">
        <v>54</v>
      </c>
      <c r="K2957" s="2" t="s">
        <v>32</v>
      </c>
      <c r="L2957" s="2" t="s">
        <v>23</v>
      </c>
      <c r="M2957" s="2">
        <v>1</v>
      </c>
      <c r="N2957" s="2" t="s">
        <v>33</v>
      </c>
      <c r="O2957" s="2" t="s">
        <v>25</v>
      </c>
      <c r="P2957" s="2" t="s">
        <v>34</v>
      </c>
    </row>
    <row r="2958" spans="1:16" x14ac:dyDescent="0.25">
      <c r="A2958" s="2" t="s">
        <v>6516</v>
      </c>
      <c r="B2958" s="2" t="s">
        <v>1722</v>
      </c>
      <c r="C2958" s="2">
        <v>4861</v>
      </c>
      <c r="D2958" s="2" t="s">
        <v>9938</v>
      </c>
      <c r="E2958" s="2" t="s">
        <v>6719</v>
      </c>
      <c r="F2958" s="2" t="s">
        <v>30</v>
      </c>
      <c r="G2958" s="2">
        <v>93459.19</v>
      </c>
      <c r="H2958" s="2">
        <v>59272.38</v>
      </c>
      <c r="I2958" s="2" t="s">
        <v>84</v>
      </c>
      <c r="J2958" s="2" t="s">
        <v>54</v>
      </c>
      <c r="K2958" s="2" t="s">
        <v>80</v>
      </c>
      <c r="L2958" s="2" t="s">
        <v>23</v>
      </c>
      <c r="M2958" s="2">
        <v>3</v>
      </c>
      <c r="N2958" s="2" t="s">
        <v>33</v>
      </c>
      <c r="O2958" s="2" t="s">
        <v>25</v>
      </c>
      <c r="P2958" s="2" t="s">
        <v>26</v>
      </c>
    </row>
    <row r="2959" spans="1:16" x14ac:dyDescent="0.25">
      <c r="A2959" s="2" t="s">
        <v>6517</v>
      </c>
      <c r="B2959" s="2" t="s">
        <v>9939</v>
      </c>
      <c r="C2959" s="2">
        <v>8291</v>
      </c>
      <c r="D2959" s="2" t="s">
        <v>9940</v>
      </c>
      <c r="E2959" s="2" t="s">
        <v>6748</v>
      </c>
      <c r="F2959" s="2" t="s">
        <v>39</v>
      </c>
      <c r="G2959" s="2">
        <v>44681.57</v>
      </c>
      <c r="H2959" s="2">
        <v>20706.78</v>
      </c>
      <c r="I2959" s="2" t="s">
        <v>6720</v>
      </c>
      <c r="J2959" s="2" t="s">
        <v>6729</v>
      </c>
      <c r="K2959" s="2" t="s">
        <v>32</v>
      </c>
      <c r="L2959" s="2" t="s">
        <v>55</v>
      </c>
      <c r="M2959" s="2">
        <v>1</v>
      </c>
      <c r="N2959" s="2" t="s">
        <v>33</v>
      </c>
      <c r="O2959" s="2" t="s">
        <v>25</v>
      </c>
      <c r="P2959" s="2" t="s">
        <v>49</v>
      </c>
    </row>
    <row r="2960" spans="1:16" x14ac:dyDescent="0.25">
      <c r="A2960" s="2" t="s">
        <v>6519</v>
      </c>
      <c r="B2960" s="2" t="s">
        <v>1011</v>
      </c>
      <c r="C2960" s="2">
        <v>1288</v>
      </c>
      <c r="D2960" s="2" t="s">
        <v>9941</v>
      </c>
      <c r="E2960" s="2" t="s">
        <v>18</v>
      </c>
      <c r="F2960" s="2" t="s">
        <v>30</v>
      </c>
      <c r="G2960" s="2">
        <v>76290.320000000007</v>
      </c>
      <c r="H2960" s="2">
        <v>44126.79</v>
      </c>
      <c r="I2960" s="2" t="s">
        <v>84</v>
      </c>
      <c r="J2960" s="2" t="s">
        <v>54</v>
      </c>
      <c r="K2960" s="2" t="s">
        <v>42</v>
      </c>
      <c r="L2960" s="2" t="s">
        <v>48</v>
      </c>
      <c r="M2960" s="2">
        <v>5</v>
      </c>
      <c r="N2960" s="2" t="s">
        <v>33</v>
      </c>
      <c r="O2960" s="2" t="s">
        <v>25</v>
      </c>
      <c r="P2960" s="2" t="s">
        <v>34</v>
      </c>
    </row>
    <row r="2961" spans="1:16" x14ac:dyDescent="0.25">
      <c r="A2961" s="2" t="s">
        <v>6521</v>
      </c>
      <c r="B2961" s="2" t="s">
        <v>9942</v>
      </c>
      <c r="C2961" s="2">
        <v>6015</v>
      </c>
      <c r="D2961" s="2" t="s">
        <v>9943</v>
      </c>
      <c r="E2961" s="2" t="s">
        <v>6748</v>
      </c>
      <c r="F2961" s="2" t="s">
        <v>39</v>
      </c>
      <c r="G2961" s="2">
        <v>49811.15</v>
      </c>
      <c r="H2961" s="2">
        <v>29446.82</v>
      </c>
      <c r="I2961" s="2" t="s">
        <v>6699</v>
      </c>
      <c r="J2961" s="2" t="s">
        <v>6700</v>
      </c>
      <c r="K2961" s="2" t="s">
        <v>42</v>
      </c>
      <c r="L2961" s="2" t="s">
        <v>55</v>
      </c>
      <c r="M2961" s="2">
        <v>3</v>
      </c>
      <c r="N2961" s="2" t="s">
        <v>33</v>
      </c>
      <c r="O2961" s="2" t="s">
        <v>25</v>
      </c>
      <c r="P2961" s="2" t="s">
        <v>49</v>
      </c>
    </row>
    <row r="2963" spans="1:16" x14ac:dyDescent="0.25">
      <c r="A2963" s="2" t="s">
        <v>6523</v>
      </c>
      <c r="B2963" s="2" t="s">
        <v>192</v>
      </c>
      <c r="C2963" s="2">
        <v>4468</v>
      </c>
      <c r="D2963" s="2" t="s">
        <v>6537</v>
      </c>
      <c r="E2963" s="2" t="s">
        <v>6748</v>
      </c>
      <c r="F2963" s="2" t="s">
        <v>19</v>
      </c>
      <c r="G2963" s="2">
        <v>15179.11</v>
      </c>
      <c r="H2963" s="2">
        <v>8064.14</v>
      </c>
      <c r="I2963" s="2" t="s">
        <v>6794</v>
      </c>
      <c r="J2963" s="2" t="s">
        <v>21</v>
      </c>
      <c r="K2963" s="2" t="s">
        <v>80</v>
      </c>
      <c r="L2963" s="2" t="s">
        <v>64</v>
      </c>
      <c r="M2963" s="2">
        <v>3</v>
      </c>
      <c r="N2963" s="2" t="s">
        <v>24</v>
      </c>
      <c r="O2963" s="2" t="s">
        <v>70</v>
      </c>
      <c r="P2963" s="2" t="s">
        <v>26</v>
      </c>
    </row>
    <row r="2964" spans="1:16" x14ac:dyDescent="0.25">
      <c r="A2964" s="2" t="s">
        <v>6526</v>
      </c>
      <c r="B2964" s="2" t="s">
        <v>4561</v>
      </c>
      <c r="C2964" s="2">
        <v>3353</v>
      </c>
      <c r="D2964" s="2" t="s">
        <v>4989</v>
      </c>
      <c r="E2964" s="2" t="s">
        <v>18</v>
      </c>
      <c r="F2964" s="2" t="s">
        <v>39</v>
      </c>
      <c r="G2964" s="2">
        <v>35322.980000000003</v>
      </c>
      <c r="H2964" s="2">
        <v>22573.200000000001</v>
      </c>
      <c r="I2964" s="2" t="s">
        <v>59</v>
      </c>
      <c r="J2964" s="2" t="s">
        <v>41</v>
      </c>
      <c r="K2964" s="2" t="s">
        <v>22</v>
      </c>
      <c r="L2964" s="2" t="s">
        <v>88</v>
      </c>
      <c r="M2964" s="2">
        <v>3</v>
      </c>
      <c r="N2964" s="2" t="s">
        <v>33</v>
      </c>
      <c r="O2964" s="2" t="s">
        <v>25</v>
      </c>
      <c r="P2964" s="2" t="s">
        <v>34</v>
      </c>
    </row>
    <row r="2965" spans="1:16" x14ac:dyDescent="0.25">
      <c r="A2965" s="2" t="s">
        <v>6528</v>
      </c>
      <c r="B2965" s="2" t="s">
        <v>9944</v>
      </c>
      <c r="C2965" s="2">
        <v>3322</v>
      </c>
      <c r="D2965" s="2" t="s">
        <v>9945</v>
      </c>
      <c r="E2965" s="2" t="s">
        <v>6680</v>
      </c>
      <c r="F2965" s="2" t="s">
        <v>47</v>
      </c>
      <c r="G2965" s="2">
        <v>9386.94</v>
      </c>
      <c r="H2965" s="2">
        <v>6023.85</v>
      </c>
      <c r="I2965" s="2" t="s">
        <v>6759</v>
      </c>
      <c r="J2965" s="2" t="s">
        <v>6729</v>
      </c>
      <c r="K2965" s="2" t="s">
        <v>42</v>
      </c>
      <c r="L2965" s="2" t="s">
        <v>43</v>
      </c>
      <c r="M2965" s="2">
        <v>1</v>
      </c>
      <c r="N2965" s="2" t="s">
        <v>33</v>
      </c>
      <c r="O2965" s="2" t="s">
        <v>70</v>
      </c>
      <c r="P2965" s="2" t="s">
        <v>49</v>
      </c>
    </row>
    <row r="2966" spans="1:16" x14ac:dyDescent="0.25">
      <c r="A2966" s="2" t="s">
        <v>6529</v>
      </c>
      <c r="B2966" s="2" t="s">
        <v>9946</v>
      </c>
      <c r="C2966" s="2">
        <v>4071</v>
      </c>
      <c r="D2966" s="2" t="s">
        <v>9947</v>
      </c>
      <c r="E2966" s="2" t="s">
        <v>38</v>
      </c>
      <c r="F2966" s="2" t="s">
        <v>47</v>
      </c>
      <c r="G2966" s="2">
        <v>9141.7999999999993</v>
      </c>
      <c r="H2966" s="2">
        <v>4591.93</v>
      </c>
      <c r="I2966" s="2" t="s">
        <v>59</v>
      </c>
      <c r="J2966" s="2" t="s">
        <v>41</v>
      </c>
      <c r="K2966" s="2" t="s">
        <v>42</v>
      </c>
      <c r="L2966" s="2" t="s">
        <v>88</v>
      </c>
      <c r="M2966" s="2">
        <v>2</v>
      </c>
      <c r="N2966" s="2" t="s">
        <v>33</v>
      </c>
      <c r="O2966" s="2" t="s">
        <v>25</v>
      </c>
      <c r="P2966" s="2" t="s">
        <v>49</v>
      </c>
    </row>
    <row r="2967" spans="1:16" x14ac:dyDescent="0.25">
      <c r="A2967" s="2" t="s">
        <v>6531</v>
      </c>
      <c r="B2967" s="2" t="s">
        <v>2874</v>
      </c>
      <c r="C2967" s="2">
        <v>4046</v>
      </c>
      <c r="D2967" s="2" t="s">
        <v>1615</v>
      </c>
      <c r="E2967" s="2" t="s">
        <v>6680</v>
      </c>
      <c r="F2967" s="2" t="s">
        <v>30</v>
      </c>
      <c r="G2967" s="2">
        <v>55497.66</v>
      </c>
      <c r="H2967" s="2">
        <v>29506.31</v>
      </c>
      <c r="I2967" s="2" t="s">
        <v>6726</v>
      </c>
      <c r="J2967" s="2" t="s">
        <v>21</v>
      </c>
      <c r="K2967" s="2" t="s">
        <v>32</v>
      </c>
      <c r="L2967" s="2" t="s">
        <v>55</v>
      </c>
      <c r="M2967" s="2">
        <v>1</v>
      </c>
      <c r="N2967" s="2" t="s">
        <v>24</v>
      </c>
      <c r="O2967" s="2" t="s">
        <v>25</v>
      </c>
      <c r="P2967" s="2" t="s">
        <v>26</v>
      </c>
    </row>
    <row r="2968" spans="1:16" x14ac:dyDescent="0.25">
      <c r="A2968" s="2" t="s">
        <v>6532</v>
      </c>
      <c r="B2968" s="2" t="s">
        <v>8960</v>
      </c>
      <c r="C2968" s="2">
        <v>2976</v>
      </c>
      <c r="D2968" s="2" t="s">
        <v>9948</v>
      </c>
      <c r="E2968" s="2" t="s">
        <v>38</v>
      </c>
      <c r="F2968" s="2" t="s">
        <v>58</v>
      </c>
      <c r="G2968" s="2">
        <v>9945.85</v>
      </c>
      <c r="H2968" s="2">
        <v>6179.81</v>
      </c>
      <c r="I2968" s="2" t="s">
        <v>68</v>
      </c>
      <c r="J2968" s="2" t="s">
        <v>41</v>
      </c>
      <c r="K2968" s="2" t="s">
        <v>42</v>
      </c>
      <c r="L2968" s="2" t="s">
        <v>43</v>
      </c>
      <c r="M2968" s="2">
        <v>1</v>
      </c>
      <c r="N2968" s="2" t="s">
        <v>69</v>
      </c>
      <c r="O2968" s="2" t="s">
        <v>25</v>
      </c>
      <c r="P2968" s="2" t="s">
        <v>34</v>
      </c>
    </row>
    <row r="2969" spans="1:16" x14ac:dyDescent="0.25">
      <c r="A2969" s="2" t="s">
        <v>6534</v>
      </c>
      <c r="B2969" s="2" t="s">
        <v>7489</v>
      </c>
      <c r="C2969" s="2">
        <v>5639</v>
      </c>
      <c r="D2969" s="2" t="s">
        <v>9949</v>
      </c>
      <c r="E2969" s="2" t="s">
        <v>6698</v>
      </c>
      <c r="F2969" s="2" t="s">
        <v>47</v>
      </c>
      <c r="G2969" s="2">
        <v>22025.32</v>
      </c>
      <c r="H2969" s="2">
        <v>10573.18</v>
      </c>
      <c r="I2969" s="2" t="s">
        <v>6690</v>
      </c>
      <c r="J2969" s="2" t="s">
        <v>54</v>
      </c>
      <c r="K2969" s="2" t="s">
        <v>22</v>
      </c>
      <c r="L2969" s="2" t="s">
        <v>64</v>
      </c>
      <c r="M2969" s="2">
        <v>5</v>
      </c>
      <c r="N2969" s="2" t="s">
        <v>69</v>
      </c>
      <c r="O2969" s="2" t="s">
        <v>70</v>
      </c>
      <c r="P2969" s="2" t="s">
        <v>49</v>
      </c>
    </row>
    <row r="2970" spans="1:16" x14ac:dyDescent="0.25">
      <c r="A2970" s="2" t="s">
        <v>6536</v>
      </c>
      <c r="B2970" s="2" t="s">
        <v>9950</v>
      </c>
      <c r="C2970" s="2">
        <v>2145</v>
      </c>
      <c r="D2970" s="2" t="s">
        <v>9951</v>
      </c>
      <c r="E2970" s="2" t="s">
        <v>6698</v>
      </c>
      <c r="F2970" s="2" t="s">
        <v>19</v>
      </c>
      <c r="G2970" s="2">
        <v>17136.41</v>
      </c>
      <c r="H2970" s="2">
        <v>9838.52</v>
      </c>
      <c r="I2970" s="2" t="s">
        <v>63</v>
      </c>
      <c r="J2970" s="2" t="s">
        <v>6753</v>
      </c>
      <c r="K2970" s="2" t="s">
        <v>32</v>
      </c>
      <c r="L2970" s="2" t="s">
        <v>23</v>
      </c>
      <c r="M2970" s="2">
        <v>3</v>
      </c>
      <c r="N2970" s="2" t="s">
        <v>69</v>
      </c>
      <c r="O2970" s="2" t="s">
        <v>25</v>
      </c>
      <c r="P2970" s="2" t="s">
        <v>49</v>
      </c>
    </row>
    <row r="2971" spans="1:16" x14ac:dyDescent="0.25">
      <c r="A2971" s="2" t="s">
        <v>6538</v>
      </c>
      <c r="B2971" s="2" t="s">
        <v>8550</v>
      </c>
      <c r="C2971" s="2">
        <v>8907</v>
      </c>
      <c r="D2971" s="2" t="s">
        <v>9952</v>
      </c>
      <c r="E2971" s="2" t="s">
        <v>18</v>
      </c>
      <c r="F2971" s="2" t="s">
        <v>58</v>
      </c>
      <c r="G2971" s="2">
        <v>13623.76</v>
      </c>
      <c r="H2971" s="2">
        <v>6264.93</v>
      </c>
      <c r="I2971" s="2" t="s">
        <v>20</v>
      </c>
      <c r="J2971" s="2" t="s">
        <v>21</v>
      </c>
      <c r="K2971" s="2" t="s">
        <v>80</v>
      </c>
      <c r="L2971" s="2" t="s">
        <v>23</v>
      </c>
      <c r="M2971" s="2">
        <v>1</v>
      </c>
      <c r="N2971" s="2" t="s">
        <v>69</v>
      </c>
      <c r="O2971" s="2" t="s">
        <v>70</v>
      </c>
      <c r="P2971" s="2" t="s">
        <v>26</v>
      </c>
    </row>
    <row r="2972" spans="1:16" x14ac:dyDescent="0.25">
      <c r="A2972" s="2" t="s">
        <v>6540</v>
      </c>
      <c r="B2972" s="2" t="s">
        <v>3359</v>
      </c>
      <c r="C2972" s="2">
        <v>3282</v>
      </c>
      <c r="D2972" s="2" t="s">
        <v>9953</v>
      </c>
      <c r="E2972" s="2" t="s">
        <v>18</v>
      </c>
      <c r="F2972" s="2" t="s">
        <v>19</v>
      </c>
      <c r="G2972" s="2">
        <v>22165.62</v>
      </c>
      <c r="H2972" s="2">
        <v>10130.540000000001</v>
      </c>
      <c r="I2972" s="2" t="s">
        <v>120</v>
      </c>
      <c r="J2972" s="2" t="s">
        <v>21</v>
      </c>
      <c r="K2972" s="2" t="s">
        <v>32</v>
      </c>
      <c r="L2972" s="2" t="s">
        <v>23</v>
      </c>
      <c r="M2972" s="2">
        <v>2</v>
      </c>
      <c r="N2972" s="2" t="s">
        <v>33</v>
      </c>
      <c r="O2972" s="2" t="s">
        <v>25</v>
      </c>
      <c r="P2972" s="2" t="s">
        <v>34</v>
      </c>
    </row>
    <row r="2973" spans="1:16" x14ac:dyDescent="0.25">
      <c r="A2973" s="2" t="s">
        <v>6543</v>
      </c>
      <c r="B2973" s="2" t="s">
        <v>1282</v>
      </c>
      <c r="C2973" s="2">
        <v>2729</v>
      </c>
      <c r="D2973" s="2" t="s">
        <v>6083</v>
      </c>
      <c r="E2973" s="2" t="s">
        <v>6703</v>
      </c>
      <c r="F2973" s="2" t="s">
        <v>30</v>
      </c>
      <c r="G2973" s="2">
        <v>112999.11</v>
      </c>
      <c r="H2973" s="2">
        <v>65007.82</v>
      </c>
      <c r="I2973" s="2" t="s">
        <v>6690</v>
      </c>
      <c r="J2973" s="2" t="s">
        <v>6691</v>
      </c>
      <c r="K2973" s="2" t="s">
        <v>80</v>
      </c>
      <c r="L2973" s="2" t="s">
        <v>48</v>
      </c>
      <c r="M2973" s="2">
        <v>4</v>
      </c>
      <c r="N2973" s="2" t="s">
        <v>69</v>
      </c>
      <c r="O2973" s="2" t="s">
        <v>25</v>
      </c>
      <c r="P2973" s="2" t="s">
        <v>49</v>
      </c>
    </row>
    <row r="2974" spans="1:16" x14ac:dyDescent="0.25">
      <c r="A2974" s="2" t="s">
        <v>6545</v>
      </c>
      <c r="B2974" s="2" t="s">
        <v>9954</v>
      </c>
      <c r="C2974" s="2">
        <v>7414</v>
      </c>
      <c r="D2974" s="2" t="s">
        <v>2198</v>
      </c>
      <c r="E2974" s="2" t="s">
        <v>6743</v>
      </c>
      <c r="F2974" s="2" t="s">
        <v>47</v>
      </c>
      <c r="G2974" s="2">
        <v>9783</v>
      </c>
      <c r="H2974" s="2">
        <v>5799.9</v>
      </c>
      <c r="I2974" s="2" t="s">
        <v>6799</v>
      </c>
      <c r="J2974" s="2" t="s">
        <v>6682</v>
      </c>
      <c r="K2974" s="2" t="s">
        <v>32</v>
      </c>
      <c r="L2974" s="2" t="s">
        <v>23</v>
      </c>
      <c r="M2974" s="2">
        <v>5</v>
      </c>
      <c r="N2974" s="2" t="s">
        <v>24</v>
      </c>
      <c r="O2974" s="2" t="s">
        <v>70</v>
      </c>
      <c r="P2974" s="2" t="s">
        <v>34</v>
      </c>
    </row>
    <row r="2975" spans="1:16" x14ac:dyDescent="0.25">
      <c r="A2975" s="2" t="s">
        <v>6548</v>
      </c>
      <c r="B2975" s="2" t="s">
        <v>1484</v>
      </c>
      <c r="C2975" s="2">
        <v>3543</v>
      </c>
      <c r="D2975" s="2" t="s">
        <v>8485</v>
      </c>
      <c r="E2975" s="2" t="s">
        <v>18</v>
      </c>
      <c r="F2975" s="2" t="s">
        <v>39</v>
      </c>
      <c r="G2975" s="2">
        <v>19610.099999999999</v>
      </c>
      <c r="H2975" s="2">
        <v>9077.85</v>
      </c>
      <c r="I2975" s="2" t="s">
        <v>6726</v>
      </c>
      <c r="J2975" s="2" t="s">
        <v>6789</v>
      </c>
      <c r="K2975" s="2" t="s">
        <v>42</v>
      </c>
      <c r="L2975" s="2" t="s">
        <v>43</v>
      </c>
      <c r="M2975" s="2">
        <v>5</v>
      </c>
      <c r="N2975" s="2" t="s">
        <v>24</v>
      </c>
      <c r="O2975" s="2" t="s">
        <v>25</v>
      </c>
      <c r="P2975" s="2" t="s">
        <v>49</v>
      </c>
    </row>
    <row r="2976" spans="1:16" x14ac:dyDescent="0.25">
      <c r="A2976" s="2" t="s">
        <v>6550</v>
      </c>
      <c r="B2976" s="2" t="s">
        <v>140</v>
      </c>
      <c r="C2976" s="2">
        <v>4893</v>
      </c>
      <c r="D2976" s="2" t="s">
        <v>9955</v>
      </c>
      <c r="E2976" s="2" t="s">
        <v>18</v>
      </c>
      <c r="F2976" s="2" t="s">
        <v>58</v>
      </c>
      <c r="G2976" s="2">
        <v>37056.800000000003</v>
      </c>
      <c r="H2976" s="2">
        <v>24084.53</v>
      </c>
      <c r="I2976" s="2" t="s">
        <v>20</v>
      </c>
      <c r="J2976" s="2" t="s">
        <v>21</v>
      </c>
      <c r="K2976" s="2" t="s">
        <v>22</v>
      </c>
      <c r="L2976" s="2" t="s">
        <v>43</v>
      </c>
      <c r="M2976" s="2">
        <v>5</v>
      </c>
      <c r="N2976" s="2" t="s">
        <v>33</v>
      </c>
      <c r="O2976" s="2" t="s">
        <v>70</v>
      </c>
      <c r="P2976" s="2" t="s">
        <v>49</v>
      </c>
    </row>
    <row r="2977" spans="1:16" x14ac:dyDescent="0.25">
      <c r="A2977" s="2" t="s">
        <v>6552</v>
      </c>
      <c r="B2977" s="2" t="s">
        <v>5480</v>
      </c>
      <c r="C2977" s="2">
        <v>1021</v>
      </c>
      <c r="D2977" s="2" t="s">
        <v>368</v>
      </c>
      <c r="E2977" s="2" t="s">
        <v>6680</v>
      </c>
      <c r="F2977" s="2" t="s">
        <v>39</v>
      </c>
      <c r="G2977" s="2">
        <v>32487.39</v>
      </c>
      <c r="H2977" s="2">
        <v>16435.79</v>
      </c>
      <c r="I2977" s="2" t="s">
        <v>6728</v>
      </c>
      <c r="J2977" s="2" t="s">
        <v>6691</v>
      </c>
      <c r="K2977" s="2" t="s">
        <v>42</v>
      </c>
      <c r="L2977" s="2" t="s">
        <v>55</v>
      </c>
      <c r="M2977" s="2">
        <v>3</v>
      </c>
      <c r="N2977" s="2" t="s">
        <v>33</v>
      </c>
      <c r="O2977" s="2" t="s">
        <v>70</v>
      </c>
      <c r="P2977" s="2" t="s">
        <v>26</v>
      </c>
    </row>
    <row r="2978" spans="1:16" x14ac:dyDescent="0.25">
      <c r="A2978" s="2" t="s">
        <v>6554</v>
      </c>
      <c r="B2978" s="2" t="s">
        <v>578</v>
      </c>
      <c r="C2978" s="2">
        <v>5320</v>
      </c>
      <c r="D2978" s="2" t="s">
        <v>9956</v>
      </c>
      <c r="E2978" s="2" t="s">
        <v>6756</v>
      </c>
      <c r="F2978" s="2" t="s">
        <v>47</v>
      </c>
      <c r="G2978" s="2">
        <v>10584.48</v>
      </c>
      <c r="H2978" s="2">
        <v>5629.59</v>
      </c>
      <c r="I2978" s="2" t="s">
        <v>6695</v>
      </c>
      <c r="J2978" s="2" t="s">
        <v>21</v>
      </c>
      <c r="K2978" s="2" t="s">
        <v>80</v>
      </c>
      <c r="L2978" s="2" t="s">
        <v>43</v>
      </c>
      <c r="M2978" s="2">
        <v>2</v>
      </c>
      <c r="N2978" s="2" t="s">
        <v>69</v>
      </c>
      <c r="O2978" s="2" t="s">
        <v>70</v>
      </c>
      <c r="P2978" s="2" t="s">
        <v>26</v>
      </c>
    </row>
    <row r="2979" spans="1:16" x14ac:dyDescent="0.25">
      <c r="A2979" s="2" t="s">
        <v>6556</v>
      </c>
      <c r="B2979" s="2" t="s">
        <v>5254</v>
      </c>
      <c r="C2979" s="2">
        <v>2700</v>
      </c>
      <c r="D2979" s="2" t="s">
        <v>9957</v>
      </c>
      <c r="E2979" s="2" t="s">
        <v>18</v>
      </c>
      <c r="F2979" s="2" t="s">
        <v>19</v>
      </c>
      <c r="G2979" s="2">
        <v>6760.82</v>
      </c>
      <c r="H2979" s="2">
        <v>4366.04</v>
      </c>
      <c r="I2979" s="2" t="s">
        <v>40</v>
      </c>
      <c r="J2979" s="2" t="s">
        <v>41</v>
      </c>
      <c r="K2979" s="2" t="s">
        <v>42</v>
      </c>
      <c r="L2979" s="2" t="s">
        <v>64</v>
      </c>
      <c r="M2979" s="2">
        <v>3</v>
      </c>
      <c r="N2979" s="2" t="s">
        <v>33</v>
      </c>
      <c r="O2979" s="2" t="s">
        <v>25</v>
      </c>
      <c r="P2979" s="2" t="s">
        <v>34</v>
      </c>
    </row>
    <row r="2980" spans="1:16" x14ac:dyDescent="0.25">
      <c r="A2980" s="2" t="s">
        <v>6558</v>
      </c>
      <c r="B2980" s="2" t="s">
        <v>6103</v>
      </c>
      <c r="C2980" s="2">
        <v>6900</v>
      </c>
      <c r="D2980" s="2" t="s">
        <v>9958</v>
      </c>
      <c r="E2980" s="2" t="s">
        <v>6743</v>
      </c>
      <c r="F2980" s="2" t="s">
        <v>39</v>
      </c>
      <c r="G2980" s="2">
        <v>29244.91</v>
      </c>
      <c r="H2980" s="2">
        <v>13649.59</v>
      </c>
      <c r="I2980" s="2" t="s">
        <v>6752</v>
      </c>
      <c r="J2980" s="2" t="s">
        <v>6753</v>
      </c>
      <c r="K2980" s="2" t="s">
        <v>80</v>
      </c>
      <c r="L2980" s="2" t="s">
        <v>23</v>
      </c>
      <c r="M2980" s="2">
        <v>3</v>
      </c>
      <c r="N2980" s="2" t="s">
        <v>24</v>
      </c>
      <c r="O2980" s="2" t="s">
        <v>25</v>
      </c>
      <c r="P2980" s="2" t="s">
        <v>26</v>
      </c>
    </row>
    <row r="2981" spans="1:16" x14ac:dyDescent="0.25">
      <c r="A2981" s="2" t="s">
        <v>6560</v>
      </c>
      <c r="B2981" s="2" t="s">
        <v>209</v>
      </c>
      <c r="C2981" s="2">
        <v>1961</v>
      </c>
      <c r="D2981" s="2" t="s">
        <v>9959</v>
      </c>
      <c r="E2981" s="2" t="s">
        <v>18</v>
      </c>
      <c r="F2981" s="2" t="s">
        <v>47</v>
      </c>
      <c r="G2981" s="2">
        <v>7777.9</v>
      </c>
      <c r="H2981" s="2">
        <v>4880.42</v>
      </c>
      <c r="I2981" s="2" t="s">
        <v>59</v>
      </c>
      <c r="J2981" s="2" t="s">
        <v>41</v>
      </c>
      <c r="K2981" s="2" t="s">
        <v>22</v>
      </c>
      <c r="L2981" s="2" t="s">
        <v>88</v>
      </c>
      <c r="M2981" s="2">
        <v>5</v>
      </c>
      <c r="N2981" s="2" t="s">
        <v>24</v>
      </c>
      <c r="O2981" s="2" t="s">
        <v>70</v>
      </c>
      <c r="P2981" s="2" t="s">
        <v>49</v>
      </c>
    </row>
    <row r="2982" spans="1:16" x14ac:dyDescent="0.25">
      <c r="A2982" s="2" t="s">
        <v>6562</v>
      </c>
      <c r="B2982" s="2" t="s">
        <v>1763</v>
      </c>
      <c r="C2982" s="2">
        <v>2536</v>
      </c>
      <c r="D2982" s="2" t="s">
        <v>4858</v>
      </c>
      <c r="E2982" s="2" t="s">
        <v>38</v>
      </c>
      <c r="F2982" s="2" t="s">
        <v>30</v>
      </c>
      <c r="G2982" s="2">
        <v>46035.26</v>
      </c>
      <c r="H2982" s="2">
        <v>21927.919999999998</v>
      </c>
      <c r="I2982" s="2" t="s">
        <v>20</v>
      </c>
      <c r="J2982" s="2" t="s">
        <v>21</v>
      </c>
      <c r="K2982" s="2" t="s">
        <v>42</v>
      </c>
      <c r="L2982" s="2" t="s">
        <v>23</v>
      </c>
      <c r="M2982" s="2">
        <v>3</v>
      </c>
      <c r="N2982" s="2" t="s">
        <v>24</v>
      </c>
      <c r="O2982" s="2" t="s">
        <v>25</v>
      </c>
      <c r="P2982" s="2" t="s">
        <v>34</v>
      </c>
    </row>
    <row r="2983" spans="1:16" x14ac:dyDescent="0.25">
      <c r="A2983" s="2" t="s">
        <v>6565</v>
      </c>
      <c r="B2983" s="2" t="s">
        <v>1610</v>
      </c>
      <c r="C2983" s="2">
        <v>2862</v>
      </c>
      <c r="D2983" s="2" t="s">
        <v>9960</v>
      </c>
      <c r="E2983" s="2" t="s">
        <v>6694</v>
      </c>
      <c r="F2983" s="2" t="s">
        <v>58</v>
      </c>
      <c r="G2983" s="2">
        <v>33650.239999999998</v>
      </c>
      <c r="H2983" s="2">
        <v>17407.919999999998</v>
      </c>
      <c r="I2983" s="2" t="s">
        <v>6910</v>
      </c>
      <c r="J2983" s="2" t="s">
        <v>6802</v>
      </c>
      <c r="K2983" s="2" t="s">
        <v>32</v>
      </c>
      <c r="L2983" s="2" t="s">
        <v>55</v>
      </c>
      <c r="M2983" s="2">
        <v>4</v>
      </c>
      <c r="N2983" s="2" t="s">
        <v>24</v>
      </c>
      <c r="O2983" s="2" t="s">
        <v>25</v>
      </c>
      <c r="P2983" s="2" t="s">
        <v>26</v>
      </c>
    </row>
    <row r="2984" spans="1:16" x14ac:dyDescent="0.25">
      <c r="A2984" s="2" t="s">
        <v>6567</v>
      </c>
      <c r="B2984" s="2" t="s">
        <v>1694</v>
      </c>
      <c r="C2984" s="2">
        <v>8534</v>
      </c>
      <c r="D2984" s="2" t="s">
        <v>6411</v>
      </c>
      <c r="E2984" s="2" t="s">
        <v>18</v>
      </c>
      <c r="F2984" s="2" t="s">
        <v>30</v>
      </c>
      <c r="G2984" s="2">
        <v>51805.58</v>
      </c>
      <c r="H2984" s="2">
        <v>32158.47</v>
      </c>
      <c r="I2984" s="2" t="s">
        <v>31</v>
      </c>
      <c r="J2984" s="2" t="s">
        <v>21</v>
      </c>
      <c r="K2984" s="2" t="s">
        <v>32</v>
      </c>
      <c r="L2984" s="2" t="s">
        <v>43</v>
      </c>
      <c r="M2984" s="2">
        <v>2</v>
      </c>
      <c r="N2984" s="2" t="s">
        <v>33</v>
      </c>
      <c r="O2984" s="2" t="s">
        <v>70</v>
      </c>
      <c r="P2984" s="2" t="s">
        <v>34</v>
      </c>
    </row>
    <row r="2985" spans="1:16" x14ac:dyDescent="0.25">
      <c r="A2985" s="2" t="s">
        <v>6569</v>
      </c>
      <c r="B2985" s="2" t="s">
        <v>9961</v>
      </c>
      <c r="C2985" s="2">
        <v>4810</v>
      </c>
      <c r="D2985" s="2" t="s">
        <v>9962</v>
      </c>
      <c r="E2985" s="2" t="s">
        <v>6703</v>
      </c>
      <c r="F2985" s="2" t="s">
        <v>58</v>
      </c>
      <c r="G2985" s="2">
        <v>66937.14</v>
      </c>
      <c r="H2985" s="2">
        <v>37548.400000000001</v>
      </c>
      <c r="I2985" s="2" t="s">
        <v>6720</v>
      </c>
      <c r="J2985" s="2" t="s">
        <v>6686</v>
      </c>
      <c r="K2985" s="2" t="s">
        <v>32</v>
      </c>
      <c r="L2985" s="2" t="s">
        <v>43</v>
      </c>
      <c r="M2985" s="2">
        <v>2</v>
      </c>
      <c r="N2985" s="2" t="s">
        <v>69</v>
      </c>
      <c r="O2985" s="2" t="s">
        <v>25</v>
      </c>
      <c r="P2985" s="2" t="s">
        <v>49</v>
      </c>
    </row>
    <row r="2986" spans="1:16" x14ac:dyDescent="0.25">
      <c r="A2986" s="2" t="s">
        <v>6571</v>
      </c>
      <c r="B2986" s="2" t="s">
        <v>2932</v>
      </c>
      <c r="C2986" s="2">
        <v>5489</v>
      </c>
      <c r="D2986" s="2" t="s">
        <v>9963</v>
      </c>
      <c r="E2986" s="2" t="s">
        <v>38</v>
      </c>
      <c r="F2986" s="2" t="s">
        <v>47</v>
      </c>
      <c r="G2986" s="2">
        <v>4773.13</v>
      </c>
      <c r="H2986" s="2">
        <v>2689.26</v>
      </c>
      <c r="I2986" s="2" t="s">
        <v>68</v>
      </c>
      <c r="J2986" s="2" t="s">
        <v>41</v>
      </c>
      <c r="K2986" s="2" t="s">
        <v>42</v>
      </c>
      <c r="L2986" s="2" t="s">
        <v>23</v>
      </c>
      <c r="M2986" s="2">
        <v>3</v>
      </c>
      <c r="N2986" s="2" t="s">
        <v>24</v>
      </c>
      <c r="O2986" s="2" t="s">
        <v>25</v>
      </c>
      <c r="P2986" s="2" t="s">
        <v>49</v>
      </c>
    </row>
    <row r="2987" spans="1:16" x14ac:dyDescent="0.25">
      <c r="A2987" s="2" t="s">
        <v>6573</v>
      </c>
      <c r="B2987" s="2" t="s">
        <v>3534</v>
      </c>
      <c r="C2987" s="2">
        <v>4704</v>
      </c>
      <c r="D2987" s="2" t="s">
        <v>9964</v>
      </c>
      <c r="E2987" s="2" t="s">
        <v>18</v>
      </c>
      <c r="F2987" s="2" t="s">
        <v>47</v>
      </c>
      <c r="G2987" s="2">
        <v>6853.4</v>
      </c>
      <c r="H2987" s="2">
        <v>3093.94</v>
      </c>
      <c r="I2987" s="2" t="s">
        <v>20</v>
      </c>
      <c r="J2987" s="2" t="s">
        <v>21</v>
      </c>
      <c r="K2987" s="2" t="s">
        <v>42</v>
      </c>
      <c r="L2987" s="2" t="s">
        <v>55</v>
      </c>
      <c r="M2987" s="2">
        <v>5</v>
      </c>
      <c r="N2987" s="2" t="s">
        <v>33</v>
      </c>
      <c r="O2987" s="2" t="s">
        <v>70</v>
      </c>
      <c r="P2987" s="2" t="s">
        <v>26</v>
      </c>
    </row>
    <row r="2988" spans="1:16" x14ac:dyDescent="0.25">
      <c r="A2988" s="2" t="s">
        <v>6575</v>
      </c>
      <c r="B2988" s="2" t="s">
        <v>6119</v>
      </c>
      <c r="C2988" s="2">
        <v>1068</v>
      </c>
      <c r="D2988" s="2" t="s">
        <v>9965</v>
      </c>
      <c r="E2988" s="2" t="s">
        <v>38</v>
      </c>
      <c r="F2988" s="2" t="s">
        <v>19</v>
      </c>
      <c r="G2988" s="2">
        <v>20536.8</v>
      </c>
      <c r="H2988" s="2">
        <v>9678.0400000000009</v>
      </c>
      <c r="I2988" s="2" t="s">
        <v>53</v>
      </c>
      <c r="J2988" s="2" t="s">
        <v>54</v>
      </c>
      <c r="K2988" s="2" t="s">
        <v>80</v>
      </c>
      <c r="L2988" s="2" t="s">
        <v>43</v>
      </c>
      <c r="M2988" s="2">
        <v>3</v>
      </c>
      <c r="N2988" s="2" t="s">
        <v>69</v>
      </c>
      <c r="O2988" s="2" t="s">
        <v>25</v>
      </c>
      <c r="P2988" s="2" t="s">
        <v>49</v>
      </c>
    </row>
    <row r="2989" spans="1:16" x14ac:dyDescent="0.25">
      <c r="A2989" s="2" t="s">
        <v>6577</v>
      </c>
      <c r="B2989" s="2" t="s">
        <v>9966</v>
      </c>
      <c r="C2989" s="2">
        <v>3072</v>
      </c>
      <c r="D2989" s="2" t="s">
        <v>9967</v>
      </c>
      <c r="E2989" s="2" t="s">
        <v>6698</v>
      </c>
      <c r="F2989" s="2" t="s">
        <v>47</v>
      </c>
      <c r="G2989" s="2">
        <v>11348.12</v>
      </c>
      <c r="H2989" s="2">
        <v>7191.6</v>
      </c>
      <c r="I2989" s="2" t="s">
        <v>40</v>
      </c>
      <c r="J2989" s="2" t="s">
        <v>6682</v>
      </c>
      <c r="K2989" s="2" t="s">
        <v>22</v>
      </c>
      <c r="L2989" s="2" t="s">
        <v>43</v>
      </c>
      <c r="M2989" s="2">
        <v>1</v>
      </c>
      <c r="N2989" s="2" t="s">
        <v>24</v>
      </c>
      <c r="O2989" s="2" t="s">
        <v>25</v>
      </c>
      <c r="P2989" s="2" t="s">
        <v>49</v>
      </c>
    </row>
    <row r="2990" spans="1:16" x14ac:dyDescent="0.25">
      <c r="A2990" s="2" t="s">
        <v>6579</v>
      </c>
      <c r="B2990" s="2" t="s">
        <v>5436</v>
      </c>
      <c r="C2990" s="2">
        <v>2358</v>
      </c>
      <c r="D2990" s="2" t="s">
        <v>9968</v>
      </c>
      <c r="E2990" s="2" t="s">
        <v>6743</v>
      </c>
      <c r="F2990" s="2" t="s">
        <v>47</v>
      </c>
      <c r="G2990" s="2">
        <v>14707.84</v>
      </c>
      <c r="H2990" s="2">
        <v>7824.35</v>
      </c>
      <c r="I2990" s="2" t="s">
        <v>6736</v>
      </c>
      <c r="J2990" s="2" t="s">
        <v>6686</v>
      </c>
      <c r="K2990" s="2" t="s">
        <v>32</v>
      </c>
      <c r="L2990" s="2" t="s">
        <v>48</v>
      </c>
      <c r="M2990" s="2">
        <v>4</v>
      </c>
      <c r="N2990" s="2" t="s">
        <v>33</v>
      </c>
      <c r="O2990" s="2" t="s">
        <v>70</v>
      </c>
      <c r="P2990" s="2" t="s">
        <v>49</v>
      </c>
    </row>
    <row r="2991" spans="1:16" x14ac:dyDescent="0.25">
      <c r="A2991" s="2" t="s">
        <v>6581</v>
      </c>
      <c r="B2991" s="2" t="s">
        <v>9969</v>
      </c>
      <c r="C2991" s="2">
        <v>1468</v>
      </c>
      <c r="D2991" s="2" t="s">
        <v>9970</v>
      </c>
      <c r="E2991" s="2" t="s">
        <v>6743</v>
      </c>
      <c r="F2991" s="2" t="s">
        <v>30</v>
      </c>
      <c r="G2991" s="2">
        <v>41285.910000000003</v>
      </c>
      <c r="H2991" s="2">
        <v>24348.41</v>
      </c>
      <c r="I2991" s="2" t="s">
        <v>6822</v>
      </c>
      <c r="J2991" s="2" t="s">
        <v>6682</v>
      </c>
      <c r="K2991" s="2" t="s">
        <v>80</v>
      </c>
      <c r="L2991" s="2" t="s">
        <v>64</v>
      </c>
      <c r="M2991" s="2">
        <v>5</v>
      </c>
      <c r="N2991" s="2" t="s">
        <v>69</v>
      </c>
      <c r="O2991" s="2" t="s">
        <v>25</v>
      </c>
      <c r="P2991" s="2" t="s">
        <v>34</v>
      </c>
    </row>
    <row r="2992" spans="1:16" x14ac:dyDescent="0.25">
      <c r="A2992" s="2" t="s">
        <v>6583</v>
      </c>
      <c r="B2992" s="2" t="s">
        <v>566</v>
      </c>
      <c r="C2992" s="2">
        <v>5992</v>
      </c>
      <c r="D2992" s="2" t="s">
        <v>9971</v>
      </c>
      <c r="E2992" s="2" t="s">
        <v>38</v>
      </c>
      <c r="F2992" s="2" t="s">
        <v>19</v>
      </c>
      <c r="G2992" s="2">
        <v>5089.03</v>
      </c>
      <c r="H2992" s="2">
        <v>3169.89</v>
      </c>
      <c r="I2992" s="2" t="s">
        <v>120</v>
      </c>
      <c r="J2992" s="2" t="s">
        <v>21</v>
      </c>
      <c r="K2992" s="2" t="s">
        <v>42</v>
      </c>
      <c r="L2992" s="2" t="s">
        <v>48</v>
      </c>
      <c r="M2992" s="2">
        <v>4</v>
      </c>
      <c r="N2992" s="2" t="s">
        <v>33</v>
      </c>
      <c r="O2992" s="2" t="s">
        <v>70</v>
      </c>
      <c r="P2992" s="2" t="s">
        <v>26</v>
      </c>
    </row>
    <row r="2993" spans="1:16" x14ac:dyDescent="0.25">
      <c r="A2993" s="2" t="s">
        <v>6585</v>
      </c>
      <c r="B2993" s="2" t="s">
        <v>3577</v>
      </c>
      <c r="C2993" s="2">
        <v>8018</v>
      </c>
      <c r="D2993" s="2" t="s">
        <v>9972</v>
      </c>
      <c r="E2993" s="2" t="s">
        <v>38</v>
      </c>
      <c r="F2993" s="2" t="s">
        <v>39</v>
      </c>
      <c r="G2993" s="2">
        <v>30054.55</v>
      </c>
      <c r="H2993" s="2">
        <v>16046.68</v>
      </c>
      <c r="I2993" s="2" t="s">
        <v>53</v>
      </c>
      <c r="J2993" s="2" t="s">
        <v>54</v>
      </c>
      <c r="K2993" s="2" t="s">
        <v>22</v>
      </c>
      <c r="L2993" s="2" t="s">
        <v>88</v>
      </c>
      <c r="M2993" s="2">
        <v>4</v>
      </c>
      <c r="N2993" s="2" t="s">
        <v>24</v>
      </c>
      <c r="O2993" s="2" t="s">
        <v>70</v>
      </c>
      <c r="P2993" s="2" t="s">
        <v>26</v>
      </c>
    </row>
    <row r="2994" spans="1:16" x14ac:dyDescent="0.25">
      <c r="A2994" s="2" t="s">
        <v>6587</v>
      </c>
      <c r="B2994" s="2" t="s">
        <v>9973</v>
      </c>
      <c r="C2994" s="2">
        <v>6531</v>
      </c>
      <c r="D2994" s="2" t="s">
        <v>9974</v>
      </c>
      <c r="E2994" s="2" t="s">
        <v>6703</v>
      </c>
      <c r="F2994" s="2" t="s">
        <v>58</v>
      </c>
      <c r="G2994" s="2">
        <v>50111.29</v>
      </c>
      <c r="H2994" s="2">
        <v>28259.54</v>
      </c>
      <c r="I2994" s="2" t="s">
        <v>6812</v>
      </c>
      <c r="J2994" s="2" t="s">
        <v>6753</v>
      </c>
      <c r="K2994" s="2" t="s">
        <v>80</v>
      </c>
      <c r="L2994" s="2" t="s">
        <v>48</v>
      </c>
      <c r="M2994" s="2">
        <v>5</v>
      </c>
      <c r="N2994" s="2" t="s">
        <v>69</v>
      </c>
      <c r="O2994" s="2" t="s">
        <v>70</v>
      </c>
      <c r="P2994" s="2" t="s">
        <v>34</v>
      </c>
    </row>
    <row r="2995" spans="1:16" x14ac:dyDescent="0.25">
      <c r="A2995" s="2" t="s">
        <v>6590</v>
      </c>
      <c r="B2995" s="2" t="s">
        <v>1866</v>
      </c>
      <c r="C2995" s="2">
        <v>6688</v>
      </c>
      <c r="D2995" s="2" t="s">
        <v>9975</v>
      </c>
      <c r="E2995" s="2" t="s">
        <v>38</v>
      </c>
      <c r="F2995" s="2" t="s">
        <v>58</v>
      </c>
      <c r="G2995" s="2">
        <v>41720.949999999997</v>
      </c>
      <c r="H2995" s="2">
        <v>25787.53</v>
      </c>
      <c r="I2995" s="2" t="s">
        <v>53</v>
      </c>
      <c r="J2995" s="2" t="s">
        <v>54</v>
      </c>
      <c r="K2995" s="2" t="s">
        <v>80</v>
      </c>
      <c r="L2995" s="2" t="s">
        <v>55</v>
      </c>
      <c r="M2995" s="2">
        <v>5</v>
      </c>
      <c r="N2995" s="2" t="s">
        <v>33</v>
      </c>
      <c r="O2995" s="2" t="s">
        <v>70</v>
      </c>
      <c r="P2995" s="2" t="s">
        <v>49</v>
      </c>
    </row>
    <row r="2996" spans="1:16" x14ac:dyDescent="0.25">
      <c r="A2996" s="2" t="s">
        <v>6592</v>
      </c>
      <c r="B2996" s="2" t="s">
        <v>203</v>
      </c>
      <c r="C2996" s="2">
        <v>3376</v>
      </c>
      <c r="D2996" s="2" t="s">
        <v>9976</v>
      </c>
      <c r="E2996" s="2" t="s">
        <v>18</v>
      </c>
      <c r="F2996" s="2" t="s">
        <v>19</v>
      </c>
      <c r="G2996" s="2">
        <v>15117.1</v>
      </c>
      <c r="H2996" s="2">
        <v>9445.83</v>
      </c>
      <c r="I2996" s="2" t="s">
        <v>20</v>
      </c>
      <c r="J2996" s="2" t="s">
        <v>21</v>
      </c>
      <c r="K2996" s="2" t="s">
        <v>80</v>
      </c>
      <c r="L2996" s="2" t="s">
        <v>43</v>
      </c>
      <c r="M2996" s="2">
        <v>3</v>
      </c>
      <c r="N2996" s="2" t="s">
        <v>33</v>
      </c>
      <c r="O2996" s="2" t="s">
        <v>70</v>
      </c>
      <c r="P2996" s="2" t="s">
        <v>26</v>
      </c>
    </row>
    <row r="2997" spans="1:16" x14ac:dyDescent="0.25">
      <c r="A2997" s="2" t="s">
        <v>6594</v>
      </c>
      <c r="B2997" s="2" t="s">
        <v>3760</v>
      </c>
      <c r="C2997" s="2">
        <v>4558</v>
      </c>
      <c r="D2997" s="2" t="s">
        <v>6224</v>
      </c>
      <c r="E2997" s="2" t="s">
        <v>18</v>
      </c>
      <c r="F2997" s="2" t="s">
        <v>39</v>
      </c>
      <c r="G2997" s="2">
        <v>38472.47</v>
      </c>
      <c r="H2997" s="2">
        <v>19471.439999999999</v>
      </c>
      <c r="I2997" s="2" t="s">
        <v>84</v>
      </c>
      <c r="J2997" s="2" t="s">
        <v>54</v>
      </c>
      <c r="K2997" s="2" t="s">
        <v>22</v>
      </c>
      <c r="L2997" s="2" t="s">
        <v>23</v>
      </c>
      <c r="M2997" s="2">
        <v>4</v>
      </c>
      <c r="N2997" s="2" t="s">
        <v>69</v>
      </c>
      <c r="O2997" s="2" t="s">
        <v>70</v>
      </c>
      <c r="P2997" s="2" t="s">
        <v>34</v>
      </c>
    </row>
    <row r="2998" spans="1:16" x14ac:dyDescent="0.25">
      <c r="A2998" s="2" t="s">
        <v>6596</v>
      </c>
      <c r="B2998" s="2" t="s">
        <v>2383</v>
      </c>
      <c r="C2998" s="2">
        <v>1694</v>
      </c>
      <c r="D2998" s="2" t="s">
        <v>1544</v>
      </c>
      <c r="E2998" s="2" t="s">
        <v>38</v>
      </c>
      <c r="F2998" s="2" t="s">
        <v>30</v>
      </c>
      <c r="G2998" s="2">
        <v>40859.589999999997</v>
      </c>
      <c r="H2998" s="2">
        <v>24399.57</v>
      </c>
      <c r="I2998" s="2" t="s">
        <v>40</v>
      </c>
      <c r="J2998" s="2" t="s">
        <v>41</v>
      </c>
      <c r="K2998" s="2" t="s">
        <v>32</v>
      </c>
      <c r="L2998" s="2" t="s">
        <v>88</v>
      </c>
      <c r="M2998" s="2">
        <v>4</v>
      </c>
      <c r="N2998" s="2" t="s">
        <v>24</v>
      </c>
      <c r="O2998" s="2" t="s">
        <v>25</v>
      </c>
      <c r="P2998" s="2" t="s">
        <v>49</v>
      </c>
    </row>
    <row r="2999" spans="1:16" x14ac:dyDescent="0.25">
      <c r="A2999" s="2" t="s">
        <v>6598</v>
      </c>
      <c r="B2999" s="2" t="s">
        <v>3044</v>
      </c>
      <c r="C2999" s="2">
        <v>1113</v>
      </c>
      <c r="D2999" s="2" t="s">
        <v>3513</v>
      </c>
      <c r="E2999" s="2" t="s">
        <v>38</v>
      </c>
      <c r="F2999" s="2" t="s">
        <v>39</v>
      </c>
      <c r="G2999" s="2">
        <v>14925.03</v>
      </c>
      <c r="H2999" s="2">
        <v>7895.13</v>
      </c>
      <c r="I2999" s="2" t="s">
        <v>31</v>
      </c>
      <c r="J2999" s="2" t="s">
        <v>21</v>
      </c>
      <c r="K2999" s="2" t="s">
        <v>22</v>
      </c>
      <c r="L2999" s="2" t="s">
        <v>43</v>
      </c>
      <c r="M2999" s="2">
        <v>5</v>
      </c>
      <c r="N2999" s="2" t="s">
        <v>69</v>
      </c>
      <c r="O2999" s="2" t="s">
        <v>25</v>
      </c>
      <c r="P2999" s="2" t="s">
        <v>26</v>
      </c>
    </row>
    <row r="3000" spans="1:16" x14ac:dyDescent="0.25">
      <c r="A3000" s="2" t="s">
        <v>6599</v>
      </c>
      <c r="B3000" s="2" t="s">
        <v>131</v>
      </c>
      <c r="C3000" s="2">
        <v>7693</v>
      </c>
      <c r="D3000" s="2" t="s">
        <v>9977</v>
      </c>
      <c r="E3000" s="2" t="s">
        <v>6719</v>
      </c>
      <c r="F3000" s="2" t="s">
        <v>30</v>
      </c>
      <c r="G3000" s="2">
        <v>24571.3</v>
      </c>
      <c r="H3000" s="2">
        <v>14499.39</v>
      </c>
      <c r="I3000" s="2" t="s">
        <v>6759</v>
      </c>
      <c r="J3000" s="2" t="s">
        <v>6686</v>
      </c>
      <c r="K3000" s="2" t="s">
        <v>80</v>
      </c>
      <c r="L3000" s="2" t="s">
        <v>64</v>
      </c>
      <c r="M3000" s="2">
        <v>4</v>
      </c>
      <c r="N3000" s="2" t="s">
        <v>69</v>
      </c>
      <c r="O3000" s="2" t="s">
        <v>25</v>
      </c>
      <c r="P3000" s="2" t="s">
        <v>49</v>
      </c>
    </row>
    <row r="3001" spans="1:16" x14ac:dyDescent="0.25">
      <c r="A3001" s="2" t="s">
        <v>6601</v>
      </c>
      <c r="B3001" s="2" t="s">
        <v>931</v>
      </c>
      <c r="C3001" s="2">
        <v>7303</v>
      </c>
      <c r="D3001" s="2" t="s">
        <v>9978</v>
      </c>
      <c r="E3001" s="2" t="s">
        <v>6743</v>
      </c>
      <c r="F3001" s="2" t="s">
        <v>19</v>
      </c>
      <c r="G3001" s="2">
        <v>8141.23</v>
      </c>
      <c r="H3001" s="2">
        <v>4106.54</v>
      </c>
      <c r="I3001" s="2" t="s">
        <v>6761</v>
      </c>
      <c r="J3001" s="2" t="s">
        <v>6732</v>
      </c>
      <c r="K3001" s="2" t="s">
        <v>80</v>
      </c>
      <c r="L3001" s="2" t="s">
        <v>43</v>
      </c>
      <c r="M3001" s="2">
        <v>5</v>
      </c>
      <c r="N3001" s="2" t="s">
        <v>24</v>
      </c>
      <c r="O3001" s="2" t="s">
        <v>70</v>
      </c>
      <c r="P3001" s="2" t="s">
        <v>34</v>
      </c>
    </row>
    <row r="3002" spans="1:16" x14ac:dyDescent="0.25">
      <c r="A3002" s="2" t="s">
        <v>6603</v>
      </c>
      <c r="B3002" s="2" t="s">
        <v>3338</v>
      </c>
      <c r="C3002" s="2">
        <v>6535</v>
      </c>
      <c r="D3002" s="2" t="s">
        <v>9979</v>
      </c>
      <c r="E3002" s="2" t="s">
        <v>38</v>
      </c>
      <c r="F3002" s="2" t="s">
        <v>58</v>
      </c>
      <c r="G3002" s="2">
        <v>7136.11</v>
      </c>
      <c r="H3002" s="2">
        <v>3824.89</v>
      </c>
      <c r="I3002" s="2" t="s">
        <v>120</v>
      </c>
      <c r="J3002" s="2" t="s">
        <v>21</v>
      </c>
      <c r="K3002" s="2" t="s">
        <v>42</v>
      </c>
      <c r="L3002" s="2" t="s">
        <v>88</v>
      </c>
      <c r="M3002" s="2">
        <v>5</v>
      </c>
      <c r="N3002" s="2" t="s">
        <v>33</v>
      </c>
      <c r="O3002" s="2" t="s">
        <v>70</v>
      </c>
      <c r="P3002" s="2" t="s">
        <v>49</v>
      </c>
    </row>
    <row r="3003" spans="1:16" x14ac:dyDescent="0.25">
      <c r="A3003" s="2" t="s">
        <v>6605</v>
      </c>
      <c r="B3003" s="2" t="s">
        <v>5494</v>
      </c>
      <c r="C3003" s="2">
        <v>7029</v>
      </c>
      <c r="D3003" s="2" t="s">
        <v>9980</v>
      </c>
      <c r="E3003" s="2" t="s">
        <v>18</v>
      </c>
      <c r="F3003" s="2" t="s">
        <v>19</v>
      </c>
      <c r="G3003" s="2">
        <v>4659.96</v>
      </c>
      <c r="H3003" s="2">
        <v>2923.8</v>
      </c>
      <c r="I3003" s="2" t="s">
        <v>40</v>
      </c>
      <c r="J3003" s="2" t="s">
        <v>41</v>
      </c>
      <c r="K3003" s="2" t="s">
        <v>22</v>
      </c>
      <c r="L3003" s="2" t="s">
        <v>43</v>
      </c>
      <c r="M3003" s="2">
        <v>2</v>
      </c>
      <c r="N3003" s="2" t="s">
        <v>24</v>
      </c>
      <c r="O3003" s="2" t="s">
        <v>25</v>
      </c>
      <c r="P3003" s="2" t="s">
        <v>34</v>
      </c>
    </row>
    <row r="3004" spans="1:16" x14ac:dyDescent="0.25">
      <c r="A3004" s="2" t="s">
        <v>6606</v>
      </c>
      <c r="B3004" s="2" t="s">
        <v>9981</v>
      </c>
      <c r="C3004" s="2">
        <v>9813</v>
      </c>
      <c r="D3004" s="2" t="s">
        <v>1595</v>
      </c>
      <c r="E3004" s="2" t="s">
        <v>6708</v>
      </c>
      <c r="F3004" s="2" t="s">
        <v>58</v>
      </c>
      <c r="G3004" s="2">
        <v>16153.12</v>
      </c>
      <c r="H3004" s="2">
        <v>10450.709999999999</v>
      </c>
      <c r="I3004" s="2" t="s">
        <v>6736</v>
      </c>
      <c r="J3004" s="2" t="s">
        <v>6753</v>
      </c>
      <c r="K3004" s="2" t="s">
        <v>32</v>
      </c>
      <c r="L3004" s="2" t="s">
        <v>43</v>
      </c>
      <c r="M3004" s="2">
        <v>1</v>
      </c>
      <c r="N3004" s="2" t="s">
        <v>69</v>
      </c>
      <c r="O3004" s="2" t="s">
        <v>25</v>
      </c>
      <c r="P3004" s="2" t="s">
        <v>34</v>
      </c>
    </row>
    <row r="3005" spans="1:16" x14ac:dyDescent="0.25">
      <c r="A3005" s="2" t="s">
        <v>6608</v>
      </c>
      <c r="B3005" s="2" t="s">
        <v>9982</v>
      </c>
      <c r="C3005" s="2">
        <v>7726</v>
      </c>
      <c r="D3005" s="2" t="s">
        <v>9983</v>
      </c>
      <c r="E3005" s="2" t="s">
        <v>6694</v>
      </c>
      <c r="F3005" s="2" t="s">
        <v>19</v>
      </c>
      <c r="G3005" s="2">
        <v>13102.58</v>
      </c>
      <c r="H3005" s="2">
        <v>6491.63</v>
      </c>
      <c r="I3005" s="2" t="s">
        <v>6915</v>
      </c>
      <c r="J3005" s="2" t="s">
        <v>6802</v>
      </c>
      <c r="K3005" s="2" t="s">
        <v>22</v>
      </c>
      <c r="L3005" s="2" t="s">
        <v>43</v>
      </c>
      <c r="M3005" s="2">
        <v>5</v>
      </c>
      <c r="N3005" s="2" t="s">
        <v>33</v>
      </c>
      <c r="O3005" s="2" t="s">
        <v>25</v>
      </c>
      <c r="P3005" s="2" t="s">
        <v>34</v>
      </c>
    </row>
    <row r="3006" spans="1:16" x14ac:dyDescent="0.25">
      <c r="A3006" s="2" t="s">
        <v>6610</v>
      </c>
      <c r="B3006" s="2" t="s">
        <v>9984</v>
      </c>
      <c r="C3006" s="2">
        <v>6273</v>
      </c>
      <c r="D3006" s="2" t="s">
        <v>9985</v>
      </c>
      <c r="E3006" s="2" t="s">
        <v>38</v>
      </c>
      <c r="F3006" s="2" t="s">
        <v>47</v>
      </c>
      <c r="G3006" s="2">
        <v>13573.99</v>
      </c>
      <c r="H3006" s="2">
        <v>7159.01</v>
      </c>
      <c r="I3006" s="2" t="s">
        <v>68</v>
      </c>
      <c r="J3006" s="2" t="s">
        <v>6713</v>
      </c>
      <c r="K3006" s="2" t="s">
        <v>80</v>
      </c>
      <c r="L3006" s="2" t="s">
        <v>55</v>
      </c>
      <c r="M3006" s="2">
        <v>4</v>
      </c>
      <c r="N3006" s="2" t="s">
        <v>24</v>
      </c>
      <c r="O3006" s="2" t="s">
        <v>70</v>
      </c>
      <c r="P3006" s="2" t="s">
        <v>26</v>
      </c>
    </row>
    <row r="3007" spans="1:16" x14ac:dyDescent="0.25">
      <c r="A3007" s="2" t="s">
        <v>6612</v>
      </c>
      <c r="B3007" s="2" t="s">
        <v>9986</v>
      </c>
      <c r="C3007" s="2">
        <v>9207</v>
      </c>
      <c r="D3007" s="2" t="s">
        <v>9987</v>
      </c>
      <c r="E3007" s="2" t="s">
        <v>6748</v>
      </c>
      <c r="F3007" s="2" t="s">
        <v>30</v>
      </c>
      <c r="G3007" s="2">
        <v>38405.67</v>
      </c>
      <c r="H3007" s="2">
        <v>20503.8</v>
      </c>
      <c r="I3007" s="2" t="s">
        <v>6761</v>
      </c>
      <c r="J3007" s="2" t="s">
        <v>6682</v>
      </c>
      <c r="K3007" s="2" t="s">
        <v>80</v>
      </c>
      <c r="L3007" s="2" t="s">
        <v>55</v>
      </c>
      <c r="M3007" s="2">
        <v>5</v>
      </c>
      <c r="N3007" s="2" t="s">
        <v>24</v>
      </c>
      <c r="O3007" s="2" t="s">
        <v>25</v>
      </c>
      <c r="P3007" s="2" t="s">
        <v>26</v>
      </c>
    </row>
    <row r="3008" spans="1:16" x14ac:dyDescent="0.25">
      <c r="A3008" s="2" t="s">
        <v>6615</v>
      </c>
      <c r="B3008" s="2" t="s">
        <v>9988</v>
      </c>
      <c r="C3008" s="2">
        <v>1551</v>
      </c>
      <c r="D3008" s="2" t="s">
        <v>9989</v>
      </c>
      <c r="E3008" s="2" t="s">
        <v>32</v>
      </c>
      <c r="F3008" s="2" t="s">
        <v>58</v>
      </c>
      <c r="G3008" s="2">
        <v>20615.18</v>
      </c>
      <c r="H3008" s="2">
        <v>10705.25</v>
      </c>
      <c r="I3008" s="2" t="s">
        <v>6794</v>
      </c>
      <c r="J3008" s="2" t="s">
        <v>6795</v>
      </c>
      <c r="K3008" s="2" t="s">
        <v>42</v>
      </c>
      <c r="L3008" s="2" t="s">
        <v>88</v>
      </c>
      <c r="M3008" s="2">
        <v>1</v>
      </c>
      <c r="N3008" s="2" t="s">
        <v>33</v>
      </c>
      <c r="O3008" s="2" t="s">
        <v>25</v>
      </c>
      <c r="P3008" s="2" t="s">
        <v>34</v>
      </c>
    </row>
    <row r="3009" spans="1:16" x14ac:dyDescent="0.25">
      <c r="A3009" s="2" t="s">
        <v>6617</v>
      </c>
      <c r="B3009" s="2" t="s">
        <v>9990</v>
      </c>
      <c r="C3009" s="2">
        <v>8107</v>
      </c>
      <c r="D3009" s="2" t="s">
        <v>9991</v>
      </c>
      <c r="E3009" s="2" t="s">
        <v>6694</v>
      </c>
      <c r="F3009" s="2" t="s">
        <v>19</v>
      </c>
      <c r="G3009" s="2">
        <v>22692.31</v>
      </c>
      <c r="H3009" s="2">
        <v>14319.41</v>
      </c>
      <c r="I3009" s="2" t="s">
        <v>53</v>
      </c>
      <c r="J3009" s="2" t="s">
        <v>6700</v>
      </c>
      <c r="K3009" s="2" t="s">
        <v>32</v>
      </c>
      <c r="L3009" s="2" t="s">
        <v>55</v>
      </c>
      <c r="M3009" s="2">
        <v>2</v>
      </c>
      <c r="N3009" s="2" t="s">
        <v>33</v>
      </c>
      <c r="O3009" s="2" t="s">
        <v>25</v>
      </c>
      <c r="P3009" s="2" t="s">
        <v>49</v>
      </c>
    </row>
    <row r="3010" spans="1:16" x14ac:dyDescent="0.25">
      <c r="A3010" s="2" t="s">
        <v>6619</v>
      </c>
      <c r="B3010" s="2" t="s">
        <v>9992</v>
      </c>
      <c r="C3010" s="2">
        <v>1473</v>
      </c>
      <c r="D3010" s="2" t="s">
        <v>9993</v>
      </c>
      <c r="E3010" s="2" t="s">
        <v>6698</v>
      </c>
      <c r="F3010" s="2" t="s">
        <v>58</v>
      </c>
      <c r="G3010" s="2">
        <v>15131.97</v>
      </c>
      <c r="H3010" s="2">
        <v>8842.43</v>
      </c>
      <c r="I3010" s="2" t="s">
        <v>6690</v>
      </c>
      <c r="J3010" s="2" t="s">
        <v>6753</v>
      </c>
      <c r="K3010" s="2" t="s">
        <v>32</v>
      </c>
      <c r="L3010" s="2" t="s">
        <v>23</v>
      </c>
      <c r="M3010" s="2">
        <v>3</v>
      </c>
      <c r="N3010" s="2" t="s">
        <v>24</v>
      </c>
      <c r="O3010" s="2" t="s">
        <v>70</v>
      </c>
      <c r="P3010" s="2" t="s">
        <v>26</v>
      </c>
    </row>
    <row r="3011" spans="1:16" x14ac:dyDescent="0.25">
      <c r="A3011" s="2" t="s">
        <v>6621</v>
      </c>
      <c r="B3011" s="2" t="s">
        <v>622</v>
      </c>
      <c r="C3011" s="2">
        <v>4350</v>
      </c>
      <c r="D3011" s="2" t="s">
        <v>6952</v>
      </c>
      <c r="E3011" s="2" t="s">
        <v>18</v>
      </c>
      <c r="F3011" s="2" t="s">
        <v>47</v>
      </c>
      <c r="G3011" s="2">
        <v>5966.08</v>
      </c>
      <c r="H3011" s="2">
        <v>3839.3</v>
      </c>
      <c r="I3011" s="2" t="s">
        <v>120</v>
      </c>
      <c r="J3011" s="2" t="s">
        <v>21</v>
      </c>
      <c r="K3011" s="2" t="s">
        <v>42</v>
      </c>
      <c r="L3011" s="2" t="s">
        <v>43</v>
      </c>
      <c r="M3011" s="2">
        <v>3</v>
      </c>
      <c r="N3011" s="2" t="s">
        <v>33</v>
      </c>
      <c r="O3011" s="2" t="s">
        <v>70</v>
      </c>
      <c r="P3011" s="2" t="s">
        <v>49</v>
      </c>
    </row>
    <row r="3012" spans="1:16" x14ac:dyDescent="0.25">
      <c r="A3012" s="2" t="s">
        <v>6622</v>
      </c>
      <c r="B3012" s="2" t="s">
        <v>1282</v>
      </c>
      <c r="C3012" s="2">
        <v>5682</v>
      </c>
      <c r="D3012" s="2" t="s">
        <v>9994</v>
      </c>
      <c r="E3012" s="2" t="s">
        <v>38</v>
      </c>
      <c r="F3012" s="2" t="s">
        <v>58</v>
      </c>
      <c r="G3012" s="2">
        <v>32212.04</v>
      </c>
      <c r="H3012" s="2">
        <v>17907.669999999998</v>
      </c>
      <c r="I3012" s="2" t="s">
        <v>40</v>
      </c>
      <c r="J3012" s="2" t="s">
        <v>41</v>
      </c>
      <c r="K3012" s="2" t="s">
        <v>80</v>
      </c>
      <c r="L3012" s="2" t="s">
        <v>43</v>
      </c>
      <c r="M3012" s="2">
        <v>3</v>
      </c>
      <c r="N3012" s="2" t="s">
        <v>33</v>
      </c>
      <c r="O3012" s="2" t="s">
        <v>25</v>
      </c>
      <c r="P3012" s="2" t="s">
        <v>26</v>
      </c>
    </row>
    <row r="3013" spans="1:16" x14ac:dyDescent="0.25">
      <c r="A3013" s="2" t="s">
        <v>6624</v>
      </c>
      <c r="B3013" s="2" t="s">
        <v>2139</v>
      </c>
      <c r="C3013" s="2">
        <v>9817</v>
      </c>
      <c r="D3013" s="2" t="s">
        <v>6988</v>
      </c>
      <c r="E3013" s="2" t="s">
        <v>6703</v>
      </c>
      <c r="F3013" s="2" t="s">
        <v>58</v>
      </c>
      <c r="G3013" s="2">
        <v>45259.46</v>
      </c>
      <c r="H3013" s="2">
        <v>25951.07</v>
      </c>
      <c r="I3013" s="2" t="s">
        <v>6845</v>
      </c>
      <c r="J3013" s="2" t="s">
        <v>21</v>
      </c>
      <c r="K3013" s="2" t="s">
        <v>42</v>
      </c>
      <c r="L3013" s="2" t="s">
        <v>55</v>
      </c>
      <c r="M3013" s="2">
        <v>4</v>
      </c>
      <c r="N3013" s="2" t="s">
        <v>33</v>
      </c>
      <c r="O3013" s="2" t="s">
        <v>25</v>
      </c>
      <c r="P3013" s="2" t="s">
        <v>49</v>
      </c>
    </row>
    <row r="3014" spans="1:16" x14ac:dyDescent="0.25">
      <c r="A3014" s="2" t="s">
        <v>6626</v>
      </c>
      <c r="B3014" s="2" t="s">
        <v>4055</v>
      </c>
      <c r="C3014" s="2">
        <v>2113</v>
      </c>
      <c r="D3014" s="2" t="s">
        <v>9995</v>
      </c>
      <c r="E3014" s="2" t="s">
        <v>38</v>
      </c>
      <c r="F3014" s="2" t="s">
        <v>30</v>
      </c>
      <c r="G3014" s="2">
        <v>39335.21</v>
      </c>
      <c r="H3014" s="2">
        <v>24799.13</v>
      </c>
      <c r="I3014" s="2" t="s">
        <v>53</v>
      </c>
      <c r="J3014" s="2" t="s">
        <v>54</v>
      </c>
      <c r="K3014" s="2" t="s">
        <v>80</v>
      </c>
      <c r="L3014" s="2" t="s">
        <v>64</v>
      </c>
      <c r="M3014" s="2">
        <v>3</v>
      </c>
      <c r="N3014" s="2" t="s">
        <v>33</v>
      </c>
      <c r="O3014" s="2" t="s">
        <v>25</v>
      </c>
      <c r="P3014" s="2" t="s">
        <v>26</v>
      </c>
    </row>
    <row r="3015" spans="1:16" x14ac:dyDescent="0.25">
      <c r="A3015" s="2" t="s">
        <v>6628</v>
      </c>
      <c r="B3015" s="2" t="s">
        <v>4179</v>
      </c>
      <c r="C3015" s="2">
        <v>9583</v>
      </c>
      <c r="D3015" s="2" t="s">
        <v>5243</v>
      </c>
      <c r="E3015" s="2" t="s">
        <v>38</v>
      </c>
      <c r="F3015" s="2" t="s">
        <v>47</v>
      </c>
      <c r="G3015" s="2">
        <v>16446.32</v>
      </c>
      <c r="H3015" s="2">
        <v>10683.16</v>
      </c>
      <c r="I3015" s="2" t="s">
        <v>20</v>
      </c>
      <c r="J3015" s="2" t="s">
        <v>21</v>
      </c>
      <c r="K3015" s="2" t="s">
        <v>32</v>
      </c>
      <c r="L3015" s="2" t="s">
        <v>64</v>
      </c>
      <c r="M3015" s="2">
        <v>4</v>
      </c>
      <c r="N3015" s="2" t="s">
        <v>69</v>
      </c>
      <c r="O3015" s="2" t="s">
        <v>70</v>
      </c>
      <c r="P3015" s="2" t="s">
        <v>26</v>
      </c>
    </row>
    <row r="3016" spans="1:16" x14ac:dyDescent="0.25">
      <c r="A3016" s="2" t="s">
        <v>6630</v>
      </c>
      <c r="B3016" s="2" t="s">
        <v>704</v>
      </c>
      <c r="C3016" s="2">
        <v>5632</v>
      </c>
      <c r="D3016" s="2" t="s">
        <v>9996</v>
      </c>
      <c r="E3016" s="2" t="s">
        <v>6703</v>
      </c>
      <c r="F3016" s="2" t="s">
        <v>19</v>
      </c>
      <c r="G3016" s="2">
        <v>19893.55</v>
      </c>
      <c r="H3016" s="2">
        <v>10267.11</v>
      </c>
      <c r="I3016" s="2" t="s">
        <v>6695</v>
      </c>
      <c r="J3016" s="2" t="s">
        <v>6724</v>
      </c>
      <c r="K3016" s="2" t="s">
        <v>22</v>
      </c>
      <c r="L3016" s="2" t="s">
        <v>48</v>
      </c>
      <c r="M3016" s="2">
        <v>3</v>
      </c>
      <c r="N3016" s="2" t="s">
        <v>24</v>
      </c>
      <c r="O3016" s="2" t="s">
        <v>70</v>
      </c>
      <c r="P3016" s="2" t="s">
        <v>34</v>
      </c>
    </row>
    <row r="3017" spans="1:16" x14ac:dyDescent="0.25">
      <c r="A3017" s="2" t="s">
        <v>6632</v>
      </c>
      <c r="B3017" s="2" t="s">
        <v>789</v>
      </c>
      <c r="C3017" s="2">
        <v>4812</v>
      </c>
      <c r="D3017" s="2" t="s">
        <v>9997</v>
      </c>
      <c r="E3017" s="2" t="s">
        <v>18</v>
      </c>
      <c r="F3017" s="2" t="s">
        <v>19</v>
      </c>
      <c r="G3017" s="2">
        <v>8134.9</v>
      </c>
      <c r="H3017" s="2">
        <v>4137.53</v>
      </c>
      <c r="I3017" s="2" t="s">
        <v>84</v>
      </c>
      <c r="J3017" s="2" t="s">
        <v>54</v>
      </c>
      <c r="K3017" s="2" t="s">
        <v>22</v>
      </c>
      <c r="L3017" s="2" t="s">
        <v>48</v>
      </c>
      <c r="M3017" s="2">
        <v>2</v>
      </c>
      <c r="N3017" s="2" t="s">
        <v>24</v>
      </c>
      <c r="O3017" s="2" t="s">
        <v>25</v>
      </c>
      <c r="P3017" s="2" t="s">
        <v>49</v>
      </c>
    </row>
    <row r="3018" spans="1:16" x14ac:dyDescent="0.25">
      <c r="A3018" s="2" t="s">
        <v>6633</v>
      </c>
      <c r="B3018" s="2" t="s">
        <v>1892</v>
      </c>
      <c r="C3018" s="2">
        <v>9339</v>
      </c>
      <c r="D3018" s="2" t="s">
        <v>7246</v>
      </c>
      <c r="E3018" s="2" t="s">
        <v>6748</v>
      </c>
      <c r="F3018" s="2" t="s">
        <v>58</v>
      </c>
      <c r="G3018" s="2">
        <v>18424</v>
      </c>
      <c r="H3018" s="2">
        <v>8688.92</v>
      </c>
      <c r="I3018" s="2" t="s">
        <v>6777</v>
      </c>
      <c r="J3018" s="2" t="s">
        <v>6793</v>
      </c>
      <c r="K3018" s="2" t="s">
        <v>42</v>
      </c>
      <c r="L3018" s="2" t="s">
        <v>64</v>
      </c>
      <c r="M3018" s="2">
        <v>4</v>
      </c>
      <c r="N3018" s="2" t="s">
        <v>69</v>
      </c>
      <c r="O3018" s="2" t="s">
        <v>70</v>
      </c>
      <c r="P3018" s="2" t="s">
        <v>26</v>
      </c>
    </row>
    <row r="3019" spans="1:16" x14ac:dyDescent="0.25">
      <c r="A3019" s="2" t="s">
        <v>6636</v>
      </c>
      <c r="B3019" s="2" t="s">
        <v>1446</v>
      </c>
      <c r="C3019" s="2">
        <v>7055</v>
      </c>
      <c r="D3019" s="2" t="s">
        <v>9998</v>
      </c>
      <c r="E3019" s="2" t="s">
        <v>18</v>
      </c>
      <c r="F3019" s="2" t="s">
        <v>30</v>
      </c>
      <c r="G3019" s="2">
        <v>25938.92</v>
      </c>
      <c r="H3019" s="2">
        <v>13271.61</v>
      </c>
      <c r="I3019" s="2" t="s">
        <v>53</v>
      </c>
      <c r="J3019" s="2" t="s">
        <v>54</v>
      </c>
      <c r="K3019" s="2" t="s">
        <v>32</v>
      </c>
      <c r="L3019" s="2" t="s">
        <v>88</v>
      </c>
      <c r="M3019" s="2">
        <v>4</v>
      </c>
      <c r="N3019" s="2" t="s">
        <v>69</v>
      </c>
      <c r="O3019" s="2" t="s">
        <v>25</v>
      </c>
      <c r="P3019" s="2" t="s">
        <v>26</v>
      </c>
    </row>
    <row r="3020" spans="1:16" x14ac:dyDescent="0.25">
      <c r="A3020" s="2" t="s">
        <v>6638</v>
      </c>
      <c r="B3020" s="2" t="s">
        <v>9999</v>
      </c>
      <c r="C3020" s="2">
        <v>6196</v>
      </c>
      <c r="D3020" s="2" t="s">
        <v>10000</v>
      </c>
      <c r="E3020" s="2" t="s">
        <v>6694</v>
      </c>
      <c r="F3020" s="2" t="s">
        <v>39</v>
      </c>
      <c r="G3020" s="2">
        <v>16835.87</v>
      </c>
      <c r="H3020" s="2">
        <v>8379.16</v>
      </c>
      <c r="I3020" s="2" t="s">
        <v>40</v>
      </c>
      <c r="J3020" s="2" t="s">
        <v>41</v>
      </c>
      <c r="K3020" s="2" t="s">
        <v>22</v>
      </c>
      <c r="L3020" s="2" t="s">
        <v>23</v>
      </c>
      <c r="M3020" s="2">
        <v>2</v>
      </c>
      <c r="N3020" s="2" t="s">
        <v>24</v>
      </c>
      <c r="O3020" s="2" t="s">
        <v>25</v>
      </c>
      <c r="P3020" s="2" t="s">
        <v>26</v>
      </c>
    </row>
    <row r="3021" spans="1:16" x14ac:dyDescent="0.25">
      <c r="A3021" s="2" t="s">
        <v>6640</v>
      </c>
      <c r="B3021" s="2" t="s">
        <v>391</v>
      </c>
      <c r="C3021" s="2">
        <v>5161</v>
      </c>
      <c r="D3021" s="2" t="s">
        <v>10001</v>
      </c>
      <c r="E3021" s="2" t="s">
        <v>38</v>
      </c>
      <c r="F3021" s="2" t="s">
        <v>39</v>
      </c>
      <c r="G3021" s="2">
        <v>54005</v>
      </c>
      <c r="H3021" s="2">
        <v>27705.05</v>
      </c>
      <c r="I3021" s="2" t="s">
        <v>84</v>
      </c>
      <c r="J3021" s="2" t="s">
        <v>54</v>
      </c>
      <c r="K3021" s="2" t="s">
        <v>42</v>
      </c>
      <c r="L3021" s="2" t="s">
        <v>88</v>
      </c>
      <c r="M3021" s="2">
        <v>4</v>
      </c>
      <c r="N3021" s="2" t="s">
        <v>24</v>
      </c>
      <c r="O3021" s="2" t="s">
        <v>25</v>
      </c>
      <c r="P3021" s="2" t="s">
        <v>49</v>
      </c>
    </row>
    <row r="3022" spans="1:16" x14ac:dyDescent="0.25">
      <c r="A3022" s="2" t="s">
        <v>6642</v>
      </c>
      <c r="B3022" s="2" t="s">
        <v>10002</v>
      </c>
      <c r="C3022" s="2">
        <v>2086</v>
      </c>
      <c r="D3022" s="2" t="s">
        <v>10003</v>
      </c>
      <c r="E3022" s="2" t="s">
        <v>6694</v>
      </c>
      <c r="F3022" s="2" t="s">
        <v>39</v>
      </c>
      <c r="G3022" s="2">
        <v>28599.759999999998</v>
      </c>
      <c r="H3022" s="2">
        <v>16188.31</v>
      </c>
      <c r="I3022" s="2" t="s">
        <v>6690</v>
      </c>
      <c r="J3022" s="2" t="s">
        <v>6729</v>
      </c>
      <c r="K3022" s="2" t="s">
        <v>42</v>
      </c>
      <c r="L3022" s="2" t="s">
        <v>43</v>
      </c>
      <c r="M3022" s="2">
        <v>5</v>
      </c>
      <c r="N3022" s="2" t="s">
        <v>33</v>
      </c>
      <c r="O3022" s="2" t="s">
        <v>25</v>
      </c>
      <c r="P3022" s="2" t="s">
        <v>49</v>
      </c>
    </row>
    <row r="3023" spans="1:16" x14ac:dyDescent="0.25">
      <c r="A3023" s="2" t="s">
        <v>6644</v>
      </c>
      <c r="B3023" s="2" t="s">
        <v>5762</v>
      </c>
      <c r="C3023" s="2">
        <v>3321</v>
      </c>
      <c r="D3023" s="2" t="s">
        <v>10004</v>
      </c>
      <c r="E3023" s="2" t="s">
        <v>38</v>
      </c>
      <c r="F3023" s="2" t="s">
        <v>47</v>
      </c>
      <c r="G3023" s="2">
        <v>5296.25</v>
      </c>
      <c r="H3023" s="2">
        <v>3069.51</v>
      </c>
      <c r="I3023" s="2" t="s">
        <v>53</v>
      </c>
      <c r="J3023" s="2" t="s">
        <v>54</v>
      </c>
      <c r="K3023" s="2" t="s">
        <v>80</v>
      </c>
      <c r="L3023" s="2" t="s">
        <v>55</v>
      </c>
      <c r="M3023" s="2">
        <v>2</v>
      </c>
      <c r="N3023" s="2" t="s">
        <v>33</v>
      </c>
      <c r="O3023" s="2" t="s">
        <v>25</v>
      </c>
      <c r="P3023" s="2" t="s">
        <v>49</v>
      </c>
    </row>
    <row r="3024" spans="1:16" x14ac:dyDescent="0.25">
      <c r="A3024" s="2" t="s">
        <v>6646</v>
      </c>
      <c r="B3024" s="2" t="s">
        <v>10005</v>
      </c>
      <c r="C3024" s="2">
        <v>7219</v>
      </c>
      <c r="D3024" s="2" t="s">
        <v>10006</v>
      </c>
      <c r="E3024" s="2" t="s">
        <v>6708</v>
      </c>
      <c r="F3024" s="2" t="s">
        <v>47</v>
      </c>
      <c r="G3024" s="2">
        <v>21187.38</v>
      </c>
      <c r="H3024" s="2">
        <v>9653.3799999999992</v>
      </c>
      <c r="I3024" s="2" t="s">
        <v>6739</v>
      </c>
      <c r="J3024" s="2" t="s">
        <v>6691</v>
      </c>
      <c r="K3024" s="2" t="s">
        <v>42</v>
      </c>
      <c r="L3024" s="2" t="s">
        <v>64</v>
      </c>
      <c r="M3024" s="2">
        <v>5</v>
      </c>
      <c r="N3024" s="2" t="s">
        <v>33</v>
      </c>
      <c r="O3024" s="2" t="s">
        <v>25</v>
      </c>
      <c r="P3024" s="2" t="s">
        <v>34</v>
      </c>
    </row>
    <row r="3025" spans="1:16" x14ac:dyDescent="0.25">
      <c r="A3025" s="2" t="s">
        <v>6647</v>
      </c>
      <c r="B3025" s="2" t="s">
        <v>1428</v>
      </c>
      <c r="C3025" s="2">
        <v>5923</v>
      </c>
      <c r="D3025" s="2" t="s">
        <v>10007</v>
      </c>
      <c r="E3025" s="2" t="s">
        <v>38</v>
      </c>
      <c r="F3025" s="2" t="s">
        <v>30</v>
      </c>
      <c r="G3025" s="2">
        <v>67515</v>
      </c>
      <c r="H3025" s="2">
        <v>43477.86</v>
      </c>
      <c r="I3025" s="2" t="s">
        <v>40</v>
      </c>
      <c r="J3025" s="2" t="s">
        <v>41</v>
      </c>
      <c r="K3025" s="2" t="s">
        <v>22</v>
      </c>
      <c r="L3025" s="2" t="s">
        <v>23</v>
      </c>
      <c r="M3025" s="2">
        <v>5</v>
      </c>
      <c r="N3025" s="2" t="s">
        <v>24</v>
      </c>
      <c r="O3025" s="2" t="s">
        <v>70</v>
      </c>
      <c r="P3025" s="2" t="s">
        <v>49</v>
      </c>
    </row>
    <row r="3026" spans="1:16" x14ac:dyDescent="0.25">
      <c r="A3026" s="2" t="s">
        <v>6649</v>
      </c>
      <c r="B3026" s="2" t="s">
        <v>4386</v>
      </c>
      <c r="C3026" s="2">
        <v>1725</v>
      </c>
      <c r="D3026" s="2" t="s">
        <v>10008</v>
      </c>
      <c r="E3026" s="2" t="s">
        <v>18</v>
      </c>
      <c r="F3026" s="2" t="s">
        <v>30</v>
      </c>
      <c r="G3026" s="2">
        <v>71342.19</v>
      </c>
      <c r="H3026" s="2">
        <v>34147.78</v>
      </c>
      <c r="I3026" s="2" t="s">
        <v>20</v>
      </c>
      <c r="J3026" s="2" t="s">
        <v>21</v>
      </c>
      <c r="K3026" s="2" t="s">
        <v>22</v>
      </c>
      <c r="L3026" s="2" t="s">
        <v>23</v>
      </c>
      <c r="M3026" s="2">
        <v>1</v>
      </c>
      <c r="N3026" s="2" t="s">
        <v>33</v>
      </c>
      <c r="O3026" s="2" t="s">
        <v>25</v>
      </c>
      <c r="P3026" s="2" t="s">
        <v>26</v>
      </c>
    </row>
    <row r="3027" spans="1:16" x14ac:dyDescent="0.25">
      <c r="A3027" s="2" t="s">
        <v>6651</v>
      </c>
      <c r="B3027" s="2" t="s">
        <v>391</v>
      </c>
      <c r="C3027" s="2">
        <v>5762</v>
      </c>
      <c r="D3027" s="2" t="s">
        <v>10009</v>
      </c>
      <c r="E3027" s="2" t="s">
        <v>6743</v>
      </c>
      <c r="F3027" s="2" t="s">
        <v>58</v>
      </c>
      <c r="G3027" s="2">
        <v>39626.660000000003</v>
      </c>
      <c r="H3027" s="2">
        <v>23135.75</v>
      </c>
      <c r="I3027" s="2" t="s">
        <v>20</v>
      </c>
      <c r="J3027" s="2" t="s">
        <v>6789</v>
      </c>
      <c r="K3027" s="2" t="s">
        <v>32</v>
      </c>
      <c r="L3027" s="2" t="s">
        <v>23</v>
      </c>
      <c r="M3027" s="2">
        <v>4</v>
      </c>
      <c r="N3027" s="2" t="s">
        <v>33</v>
      </c>
      <c r="O3027" s="2" t="s">
        <v>70</v>
      </c>
      <c r="P3027" s="2" t="s">
        <v>34</v>
      </c>
    </row>
    <row r="3028" spans="1:16" x14ac:dyDescent="0.25">
      <c r="A3028" s="2" t="s">
        <v>6652</v>
      </c>
      <c r="B3028" s="2" t="s">
        <v>10010</v>
      </c>
      <c r="C3028" s="2">
        <v>8795</v>
      </c>
      <c r="D3028" s="2" t="s">
        <v>10011</v>
      </c>
      <c r="E3028" s="2" t="s">
        <v>6756</v>
      </c>
      <c r="F3028" s="2" t="s">
        <v>58</v>
      </c>
      <c r="G3028" s="2">
        <v>18989.080000000002</v>
      </c>
      <c r="H3028" s="2">
        <v>11858.18</v>
      </c>
      <c r="I3028" s="2" t="s">
        <v>6808</v>
      </c>
      <c r="J3028" s="2" t="s">
        <v>54</v>
      </c>
      <c r="K3028" s="2" t="s">
        <v>42</v>
      </c>
      <c r="L3028" s="2" t="s">
        <v>23</v>
      </c>
      <c r="M3028" s="2">
        <v>2</v>
      </c>
      <c r="N3028" s="2" t="s">
        <v>33</v>
      </c>
      <c r="O3028" s="2" t="s">
        <v>70</v>
      </c>
      <c r="P3028" s="2" t="s">
        <v>49</v>
      </c>
    </row>
    <row r="3029" spans="1:16" x14ac:dyDescent="0.25">
      <c r="A3029" s="2" t="s">
        <v>6654</v>
      </c>
      <c r="B3029" s="2" t="s">
        <v>8184</v>
      </c>
      <c r="C3029" s="2">
        <v>6799</v>
      </c>
      <c r="D3029" s="2" t="s">
        <v>10012</v>
      </c>
      <c r="E3029" s="2" t="s">
        <v>6748</v>
      </c>
      <c r="F3029" s="2" t="s">
        <v>58</v>
      </c>
      <c r="G3029" s="2">
        <v>21225.16</v>
      </c>
      <c r="H3029" s="2">
        <v>12587.58</v>
      </c>
      <c r="I3029" s="2" t="s">
        <v>6915</v>
      </c>
      <c r="J3029" s="2" t="s">
        <v>6696</v>
      </c>
      <c r="K3029" s="2" t="s">
        <v>80</v>
      </c>
      <c r="L3029" s="2" t="s">
        <v>23</v>
      </c>
      <c r="M3029" s="2">
        <v>1</v>
      </c>
      <c r="N3029" s="2" t="s">
        <v>24</v>
      </c>
      <c r="O3029" s="2" t="s">
        <v>25</v>
      </c>
      <c r="P3029" s="2" t="s">
        <v>49</v>
      </c>
    </row>
    <row r="3030" spans="1:16" x14ac:dyDescent="0.25">
      <c r="A3030" s="2" t="s">
        <v>6655</v>
      </c>
      <c r="B3030" s="2" t="s">
        <v>10013</v>
      </c>
      <c r="C3030" s="2">
        <v>2526</v>
      </c>
      <c r="D3030" s="2" t="s">
        <v>10014</v>
      </c>
      <c r="E3030" s="2" t="s">
        <v>6756</v>
      </c>
      <c r="F3030" s="2" t="s">
        <v>39</v>
      </c>
      <c r="G3030" s="2">
        <v>25033.82</v>
      </c>
      <c r="H3030" s="2">
        <v>15667.48</v>
      </c>
      <c r="I3030" s="2" t="s">
        <v>6867</v>
      </c>
      <c r="J3030" s="2" t="s">
        <v>21</v>
      </c>
      <c r="K3030" s="2" t="s">
        <v>32</v>
      </c>
      <c r="L3030" s="2" t="s">
        <v>88</v>
      </c>
      <c r="M3030" s="2">
        <v>3</v>
      </c>
      <c r="N3030" s="2" t="s">
        <v>69</v>
      </c>
      <c r="O3030" s="2" t="s">
        <v>25</v>
      </c>
      <c r="P3030" s="2" t="s">
        <v>49</v>
      </c>
    </row>
    <row r="3031" spans="1:16" x14ac:dyDescent="0.25">
      <c r="A3031" s="2" t="s">
        <v>6657</v>
      </c>
      <c r="B3031" s="2" t="s">
        <v>5075</v>
      </c>
      <c r="C3031" s="2">
        <v>1339</v>
      </c>
      <c r="D3031" s="2" t="s">
        <v>3552</v>
      </c>
      <c r="E3031" s="2" t="s">
        <v>38</v>
      </c>
      <c r="F3031" s="2" t="s">
        <v>39</v>
      </c>
      <c r="G3031" s="2">
        <v>18587.43</v>
      </c>
      <c r="H3031" s="2">
        <v>8581.7900000000009</v>
      </c>
      <c r="I3031" s="2" t="s">
        <v>20</v>
      </c>
      <c r="J3031" s="2" t="s">
        <v>21</v>
      </c>
      <c r="K3031" s="2" t="s">
        <v>80</v>
      </c>
      <c r="L3031" s="2" t="s">
        <v>43</v>
      </c>
      <c r="M3031" s="2">
        <v>2</v>
      </c>
      <c r="N3031" s="2" t="s">
        <v>69</v>
      </c>
      <c r="O3031" s="2" t="s">
        <v>25</v>
      </c>
      <c r="P3031" s="2" t="s">
        <v>49</v>
      </c>
    </row>
    <row r="3032" spans="1:16" x14ac:dyDescent="0.25">
      <c r="A3032" s="2" t="s">
        <v>6659</v>
      </c>
      <c r="B3032" s="2" t="s">
        <v>7408</v>
      </c>
      <c r="C3032" s="2">
        <v>2689</v>
      </c>
      <c r="D3032" s="2" t="s">
        <v>10015</v>
      </c>
      <c r="E3032" s="2" t="s">
        <v>6743</v>
      </c>
      <c r="F3032" s="2" t="s">
        <v>39</v>
      </c>
      <c r="G3032" s="2">
        <v>47897.61</v>
      </c>
      <c r="H3032" s="2">
        <v>25135.360000000001</v>
      </c>
      <c r="I3032" s="2" t="s">
        <v>6759</v>
      </c>
      <c r="J3032" s="2" t="s">
        <v>6729</v>
      </c>
      <c r="K3032" s="2" t="s">
        <v>80</v>
      </c>
      <c r="L3032" s="2" t="s">
        <v>43</v>
      </c>
      <c r="M3032" s="2">
        <v>4</v>
      </c>
      <c r="N3032" s="2" t="s">
        <v>33</v>
      </c>
      <c r="O3032" s="2" t="s">
        <v>70</v>
      </c>
      <c r="P3032" s="2" t="s">
        <v>26</v>
      </c>
    </row>
    <row r="3033" spans="1:16" x14ac:dyDescent="0.25">
      <c r="A3033" s="2" t="s">
        <v>6661</v>
      </c>
      <c r="B3033" s="2" t="s">
        <v>2136</v>
      </c>
      <c r="C3033" s="2">
        <v>4501</v>
      </c>
      <c r="D3033" s="2" t="s">
        <v>10016</v>
      </c>
      <c r="E3033" s="2" t="s">
        <v>32</v>
      </c>
      <c r="F3033" s="2" t="s">
        <v>47</v>
      </c>
      <c r="G3033" s="2">
        <v>14482.17</v>
      </c>
      <c r="H3033" s="2">
        <v>8835.0400000000009</v>
      </c>
      <c r="I3033" s="2" t="s">
        <v>6726</v>
      </c>
      <c r="J3033" s="2" t="s">
        <v>6795</v>
      </c>
      <c r="K3033" s="2" t="s">
        <v>22</v>
      </c>
      <c r="L3033" s="2" t="s">
        <v>23</v>
      </c>
      <c r="M3033" s="2">
        <v>3</v>
      </c>
      <c r="N3033" s="2" t="s">
        <v>24</v>
      </c>
      <c r="O3033" s="2" t="s">
        <v>25</v>
      </c>
      <c r="P3033" s="2" t="s">
        <v>49</v>
      </c>
    </row>
    <row r="3034" spans="1:16" x14ac:dyDescent="0.25">
      <c r="A3034" s="2" t="s">
        <v>6662</v>
      </c>
      <c r="B3034" s="2" t="s">
        <v>2507</v>
      </c>
      <c r="C3034" s="2">
        <v>2162</v>
      </c>
      <c r="D3034" s="2" t="s">
        <v>8809</v>
      </c>
      <c r="E3034" s="2" t="s">
        <v>18</v>
      </c>
      <c r="F3034" s="2" t="s">
        <v>39</v>
      </c>
      <c r="G3034" s="2">
        <v>29749.02</v>
      </c>
      <c r="H3034" s="2">
        <v>14483.36</v>
      </c>
      <c r="I3034" s="2" t="s">
        <v>53</v>
      </c>
      <c r="J3034" s="2" t="s">
        <v>54</v>
      </c>
      <c r="K3034" s="2" t="s">
        <v>22</v>
      </c>
      <c r="L3034" s="2" t="s">
        <v>23</v>
      </c>
      <c r="M3034" s="2">
        <v>2</v>
      </c>
      <c r="N3034" s="2" t="s">
        <v>24</v>
      </c>
      <c r="O3034" s="2" t="s">
        <v>25</v>
      </c>
      <c r="P3034" s="2" t="s">
        <v>26</v>
      </c>
    </row>
    <row r="3035" spans="1:16" x14ac:dyDescent="0.25">
      <c r="A3035" s="2" t="s">
        <v>6663</v>
      </c>
      <c r="B3035" s="2" t="s">
        <v>10017</v>
      </c>
      <c r="C3035" s="2">
        <v>6039</v>
      </c>
      <c r="D3035" s="2" t="s">
        <v>10018</v>
      </c>
      <c r="E3035" s="2" t="s">
        <v>6748</v>
      </c>
      <c r="F3035" s="2" t="s">
        <v>58</v>
      </c>
      <c r="G3035" s="2">
        <v>8116.38</v>
      </c>
      <c r="H3035" s="2">
        <v>4705.32</v>
      </c>
      <c r="I3035" s="2" t="s">
        <v>6695</v>
      </c>
      <c r="J3035" s="2" t="s">
        <v>6802</v>
      </c>
      <c r="K3035" s="2" t="s">
        <v>42</v>
      </c>
      <c r="L3035" s="2" t="s">
        <v>43</v>
      </c>
      <c r="M3035" s="2">
        <v>5</v>
      </c>
      <c r="N3035" s="2" t="s">
        <v>33</v>
      </c>
      <c r="O3035" s="2" t="s">
        <v>70</v>
      </c>
      <c r="P3035" s="2" t="s">
        <v>49</v>
      </c>
    </row>
    <row r="3036" spans="1:16" x14ac:dyDescent="0.25">
      <c r="A3036" s="2" t="s">
        <v>6665</v>
      </c>
      <c r="B3036" s="2" t="s">
        <v>4650</v>
      </c>
      <c r="C3036" s="2">
        <v>6460</v>
      </c>
      <c r="D3036" s="2" t="s">
        <v>10019</v>
      </c>
      <c r="E3036" s="2" t="s">
        <v>6703</v>
      </c>
      <c r="F3036" s="2" t="s">
        <v>39</v>
      </c>
      <c r="G3036" s="2">
        <v>12681.36</v>
      </c>
      <c r="H3036" s="2">
        <v>7963.15</v>
      </c>
      <c r="I3036" s="2" t="s">
        <v>6695</v>
      </c>
      <c r="J3036" s="2" t="s">
        <v>6802</v>
      </c>
      <c r="K3036" s="2" t="s">
        <v>22</v>
      </c>
      <c r="L3036" s="2" t="s">
        <v>43</v>
      </c>
      <c r="M3036" s="2">
        <v>4</v>
      </c>
      <c r="N3036" s="2" t="s">
        <v>33</v>
      </c>
      <c r="O3036" s="2" t="s">
        <v>25</v>
      </c>
      <c r="P3036" s="2" t="s">
        <v>26</v>
      </c>
    </row>
    <row r="3037" spans="1:16" x14ac:dyDescent="0.25">
      <c r="A3037" s="2" t="s">
        <v>6667</v>
      </c>
      <c r="B3037" s="2" t="s">
        <v>513</v>
      </c>
      <c r="C3037" s="2">
        <v>7282</v>
      </c>
      <c r="D3037" s="2" t="s">
        <v>10020</v>
      </c>
      <c r="E3037" s="2" t="s">
        <v>18</v>
      </c>
      <c r="F3037" s="2" t="s">
        <v>58</v>
      </c>
      <c r="G3037" s="2">
        <v>38057.74</v>
      </c>
      <c r="H3037" s="2">
        <v>21147.46</v>
      </c>
      <c r="I3037" s="2" t="s">
        <v>63</v>
      </c>
      <c r="J3037" s="2" t="s">
        <v>54</v>
      </c>
      <c r="K3037" s="2" t="s">
        <v>42</v>
      </c>
      <c r="L3037" s="2" t="s">
        <v>64</v>
      </c>
      <c r="M3037" s="2">
        <v>4</v>
      </c>
      <c r="N3037" s="2" t="s">
        <v>33</v>
      </c>
      <c r="O3037" s="2" t="s">
        <v>25</v>
      </c>
      <c r="P3037" s="2" t="s">
        <v>26</v>
      </c>
    </row>
    <row r="3038" spans="1:16" x14ac:dyDescent="0.25">
      <c r="A3038" s="2" t="s">
        <v>6669</v>
      </c>
      <c r="B3038" s="2" t="s">
        <v>9683</v>
      </c>
      <c r="C3038" s="2">
        <v>2632</v>
      </c>
      <c r="D3038" s="2" t="s">
        <v>10021</v>
      </c>
      <c r="E3038" s="2" t="s">
        <v>18</v>
      </c>
      <c r="F3038" s="2" t="s">
        <v>58</v>
      </c>
      <c r="G3038" s="2">
        <v>62203.15</v>
      </c>
      <c r="H3038" s="2">
        <v>30373.22</v>
      </c>
      <c r="I3038" s="2" t="s">
        <v>84</v>
      </c>
      <c r="J3038" s="2" t="s">
        <v>54</v>
      </c>
      <c r="K3038" s="2" t="s">
        <v>22</v>
      </c>
      <c r="L3038" s="2" t="s">
        <v>64</v>
      </c>
      <c r="M3038" s="2">
        <v>4</v>
      </c>
      <c r="N3038" s="2" t="s">
        <v>33</v>
      </c>
      <c r="O3038" s="2" t="s">
        <v>70</v>
      </c>
      <c r="P3038" s="2" t="s">
        <v>49</v>
      </c>
    </row>
    <row r="3039" spans="1:16" x14ac:dyDescent="0.25">
      <c r="A3039" s="2" t="s">
        <v>6670</v>
      </c>
      <c r="B3039" s="2" t="s">
        <v>10022</v>
      </c>
      <c r="C3039" s="2">
        <v>8616</v>
      </c>
      <c r="D3039" s="2" t="s">
        <v>10023</v>
      </c>
      <c r="E3039" s="2" t="s">
        <v>6756</v>
      </c>
      <c r="F3039" s="2" t="s">
        <v>30</v>
      </c>
      <c r="G3039" s="2">
        <v>20841.7</v>
      </c>
      <c r="H3039" s="2">
        <v>9461.7000000000007</v>
      </c>
      <c r="I3039" s="2" t="s">
        <v>120</v>
      </c>
      <c r="J3039" s="2" t="s">
        <v>6795</v>
      </c>
      <c r="K3039" s="2" t="s">
        <v>42</v>
      </c>
      <c r="L3039" s="2" t="s">
        <v>55</v>
      </c>
      <c r="M3039" s="2">
        <v>2</v>
      </c>
      <c r="N3039" s="2" t="s">
        <v>24</v>
      </c>
      <c r="O3039" s="2" t="s">
        <v>70</v>
      </c>
      <c r="P3039" s="2" t="s">
        <v>34</v>
      </c>
    </row>
    <row r="3040" spans="1:16" x14ac:dyDescent="0.25">
      <c r="A3040" s="2" t="s">
        <v>6672</v>
      </c>
      <c r="B3040" s="2" t="s">
        <v>6936</v>
      </c>
      <c r="C3040" s="2">
        <v>8003</v>
      </c>
      <c r="D3040" s="2" t="s">
        <v>5679</v>
      </c>
      <c r="E3040" s="2" t="s">
        <v>6748</v>
      </c>
      <c r="F3040" s="2" t="s">
        <v>58</v>
      </c>
      <c r="G3040" s="2">
        <v>45979.09</v>
      </c>
      <c r="H3040" s="2">
        <v>26536.46</v>
      </c>
      <c r="I3040" s="2" t="s">
        <v>6845</v>
      </c>
      <c r="J3040" s="2" t="s">
        <v>6724</v>
      </c>
      <c r="K3040" s="2" t="s">
        <v>42</v>
      </c>
      <c r="L3040" s="2" t="s">
        <v>64</v>
      </c>
      <c r="M3040" s="2">
        <v>3</v>
      </c>
      <c r="N3040" s="2" t="s">
        <v>33</v>
      </c>
      <c r="O3040" s="2" t="s">
        <v>25</v>
      </c>
      <c r="P3040" s="2" t="s">
        <v>34</v>
      </c>
    </row>
    <row r="3041" spans="1:16" x14ac:dyDescent="0.25">
      <c r="A3041" s="2" t="s">
        <v>6674</v>
      </c>
      <c r="B3041" s="2" t="s">
        <v>3141</v>
      </c>
      <c r="C3041" s="2">
        <v>1284</v>
      </c>
      <c r="D3041" s="2" t="s">
        <v>10024</v>
      </c>
      <c r="E3041" s="2" t="s">
        <v>18</v>
      </c>
      <c r="F3041" s="2" t="s">
        <v>39</v>
      </c>
      <c r="G3041" s="2">
        <v>47300.14</v>
      </c>
      <c r="H3041" s="2">
        <v>29187.97</v>
      </c>
      <c r="I3041" s="2" t="s">
        <v>20</v>
      </c>
      <c r="J3041" s="2" t="s">
        <v>6724</v>
      </c>
      <c r="K3041" s="2" t="s">
        <v>22</v>
      </c>
      <c r="L3041" s="2" t="s">
        <v>23</v>
      </c>
      <c r="M3041" s="2">
        <v>4</v>
      </c>
      <c r="N3041" s="2" t="s">
        <v>33</v>
      </c>
      <c r="O3041" s="2" t="s">
        <v>25</v>
      </c>
      <c r="P3041" s="2" t="s">
        <v>34</v>
      </c>
    </row>
  </sheetData>
  <sheetProtection algorithmName="SHA-512" hashValue="c9UFJ41NUluS9fjGjFOZIGXTMIsS8IUWiPD3TIYJZAVsfOsYJvS1oQ2bbdaiO1JPIIpo/eh3AWApWY7Gaj3Wjg==" saltValue="Q7zn3UiC5XKlOXJ1OzA0v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3001"/>
  <sheetViews>
    <sheetView workbookViewId="0">
      <selection activeCell="A2" sqref="A2"/>
    </sheetView>
  </sheetViews>
  <sheetFormatPr defaultRowHeight="15" x14ac:dyDescent="0.25"/>
  <cols>
    <col min="1" max="1" width="15" customWidth="1"/>
    <col min="2" max="2" width="14.85546875" style="6" bestFit="1" customWidth="1"/>
    <col min="3" max="3" width="13.5703125" customWidth="1"/>
    <col min="4" max="4" width="13.7109375" customWidth="1"/>
    <col min="5" max="5" width="9.85546875" customWidth="1"/>
    <col min="6" max="6" width="15.85546875" customWidth="1"/>
    <col min="7" max="7" width="14.85546875" customWidth="1"/>
    <col min="8" max="8" width="10" customWidth="1"/>
    <col min="9" max="9" width="15.28515625" customWidth="1"/>
    <col min="10" max="10" width="9.28515625" customWidth="1"/>
    <col min="11" max="11" width="6.7109375" customWidth="1"/>
    <col min="12" max="12" width="9" customWidth="1"/>
    <col min="13" max="13" width="10.5703125" customWidth="1"/>
    <col min="14" max="14" width="14.85546875" customWidth="1"/>
    <col min="15" max="15" width="15.7109375" customWidth="1"/>
    <col min="16" max="16" width="15.28515625" customWidth="1"/>
  </cols>
  <sheetData>
    <row r="1" spans="1:16" x14ac:dyDescent="0.25">
      <c r="A1" s="9" t="s">
        <v>0</v>
      </c>
      <c r="B1" s="7"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x14ac:dyDescent="0.25">
      <c r="A2" t="s">
        <v>16</v>
      </c>
      <c r="B2" s="6">
        <v>44268</v>
      </c>
      <c r="C2">
        <v>9935</v>
      </c>
      <c r="D2" t="s">
        <v>17</v>
      </c>
      <c r="E2" t="s">
        <v>18</v>
      </c>
      <c r="F2" t="s">
        <v>19</v>
      </c>
      <c r="G2">
        <v>10252.82</v>
      </c>
      <c r="H2">
        <v>4678.9399999999996</v>
      </c>
      <c r="I2" t="s">
        <v>20</v>
      </c>
      <c r="J2" t="s">
        <v>21</v>
      </c>
      <c r="K2" t="s">
        <v>22</v>
      </c>
      <c r="L2" t="s">
        <v>23</v>
      </c>
      <c r="M2">
        <v>2</v>
      </c>
      <c r="N2" t="s">
        <v>24</v>
      </c>
      <c r="O2" t="s">
        <v>25</v>
      </c>
      <c r="P2" t="s">
        <v>26</v>
      </c>
    </row>
    <row r="3" spans="1:16" x14ac:dyDescent="0.25">
      <c r="A3" t="s">
        <v>27</v>
      </c>
      <c r="B3" s="6">
        <v>44498</v>
      </c>
      <c r="C3">
        <v>1106</v>
      </c>
      <c r="D3" t="s">
        <v>29</v>
      </c>
      <c r="E3" t="s">
        <v>18</v>
      </c>
      <c r="F3" t="s">
        <v>30</v>
      </c>
      <c r="G3">
        <v>53519.55</v>
      </c>
      <c r="H3">
        <v>27725.81</v>
      </c>
      <c r="I3" t="s">
        <v>31</v>
      </c>
      <c r="J3" t="s">
        <v>21</v>
      </c>
      <c r="K3" t="s">
        <v>32</v>
      </c>
      <c r="L3" t="s">
        <v>23</v>
      </c>
      <c r="M3">
        <v>3</v>
      </c>
      <c r="N3" t="s">
        <v>33</v>
      </c>
      <c r="O3" t="s">
        <v>25</v>
      </c>
      <c r="P3" t="s">
        <v>34</v>
      </c>
    </row>
    <row r="4" spans="1:16" x14ac:dyDescent="0.25">
      <c r="A4" t="s">
        <v>35</v>
      </c>
      <c r="B4" s="6">
        <v>44066</v>
      </c>
      <c r="C4">
        <v>3045</v>
      </c>
      <c r="D4" t="s">
        <v>37</v>
      </c>
      <c r="E4" t="s">
        <v>38</v>
      </c>
      <c r="F4" t="s">
        <v>39</v>
      </c>
      <c r="G4">
        <v>5400.23</v>
      </c>
      <c r="H4">
        <v>2746.75</v>
      </c>
      <c r="I4" t="s">
        <v>40</v>
      </c>
      <c r="J4" t="s">
        <v>41</v>
      </c>
      <c r="K4" t="s">
        <v>42</v>
      </c>
      <c r="L4" t="s">
        <v>43</v>
      </c>
      <c r="M4">
        <v>2</v>
      </c>
      <c r="N4" t="s">
        <v>24</v>
      </c>
      <c r="O4" t="s">
        <v>25</v>
      </c>
      <c r="P4" t="s">
        <v>26</v>
      </c>
    </row>
    <row r="5" spans="1:16" x14ac:dyDescent="0.25">
      <c r="A5" t="s">
        <v>44</v>
      </c>
      <c r="B5" s="6">
        <v>45486</v>
      </c>
      <c r="C5">
        <v>8428</v>
      </c>
      <c r="D5" t="s">
        <v>46</v>
      </c>
      <c r="E5" t="s">
        <v>38</v>
      </c>
      <c r="F5" t="s">
        <v>47</v>
      </c>
      <c r="G5">
        <v>5666.47</v>
      </c>
      <c r="H5">
        <v>2952.54</v>
      </c>
      <c r="I5" t="s">
        <v>20</v>
      </c>
      <c r="J5" t="s">
        <v>21</v>
      </c>
      <c r="K5" t="s">
        <v>42</v>
      </c>
      <c r="L5" t="s">
        <v>48</v>
      </c>
      <c r="M5">
        <v>1</v>
      </c>
      <c r="N5" t="s">
        <v>24</v>
      </c>
      <c r="O5" t="s">
        <v>25</v>
      </c>
      <c r="P5" t="s">
        <v>49</v>
      </c>
    </row>
    <row r="6" spans="1:16" x14ac:dyDescent="0.25">
      <c r="A6" t="s">
        <v>50</v>
      </c>
      <c r="B6" s="6">
        <v>45619</v>
      </c>
      <c r="C6">
        <v>4598</v>
      </c>
      <c r="D6" t="s">
        <v>52</v>
      </c>
      <c r="E6" t="s">
        <v>38</v>
      </c>
      <c r="F6" t="s">
        <v>39</v>
      </c>
      <c r="G6">
        <v>52221.17</v>
      </c>
      <c r="H6">
        <v>31604.25</v>
      </c>
      <c r="I6" t="s">
        <v>53</v>
      </c>
      <c r="J6" t="s">
        <v>54</v>
      </c>
      <c r="K6" t="s">
        <v>32</v>
      </c>
      <c r="L6" t="s">
        <v>55</v>
      </c>
      <c r="M6">
        <v>3</v>
      </c>
      <c r="N6" t="s">
        <v>33</v>
      </c>
      <c r="O6" t="s">
        <v>25</v>
      </c>
      <c r="P6" t="s">
        <v>49</v>
      </c>
    </row>
    <row r="7" spans="1:16" x14ac:dyDescent="0.25">
      <c r="A7" t="s">
        <v>56</v>
      </c>
      <c r="B7" s="6">
        <v>45256</v>
      </c>
      <c r="C7">
        <v>3340</v>
      </c>
      <c r="D7" t="s">
        <v>57</v>
      </c>
      <c r="E7" t="s">
        <v>38</v>
      </c>
      <c r="F7" t="s">
        <v>58</v>
      </c>
      <c r="G7">
        <v>11355.95</v>
      </c>
      <c r="H7">
        <v>6802.19</v>
      </c>
      <c r="I7" t="s">
        <v>59</v>
      </c>
      <c r="J7" t="s">
        <v>41</v>
      </c>
      <c r="K7" t="s">
        <v>42</v>
      </c>
      <c r="L7" t="s">
        <v>48</v>
      </c>
      <c r="M7">
        <v>5</v>
      </c>
      <c r="N7" t="s">
        <v>33</v>
      </c>
      <c r="O7" t="s">
        <v>25</v>
      </c>
      <c r="P7" t="s">
        <v>34</v>
      </c>
    </row>
    <row r="8" spans="1:16" x14ac:dyDescent="0.25">
      <c r="A8" t="s">
        <v>60</v>
      </c>
      <c r="B8" s="6">
        <v>43855</v>
      </c>
      <c r="C8">
        <v>3504</v>
      </c>
      <c r="D8" t="s">
        <v>62</v>
      </c>
      <c r="E8" t="s">
        <v>18</v>
      </c>
      <c r="F8" t="s">
        <v>30</v>
      </c>
      <c r="G8">
        <v>62839.61</v>
      </c>
      <c r="H8">
        <v>33583.5</v>
      </c>
      <c r="I8" t="s">
        <v>63</v>
      </c>
      <c r="J8" t="s">
        <v>54</v>
      </c>
      <c r="K8" t="s">
        <v>22</v>
      </c>
      <c r="L8" t="s">
        <v>64</v>
      </c>
      <c r="M8">
        <v>4</v>
      </c>
      <c r="N8" t="s">
        <v>24</v>
      </c>
      <c r="O8" t="s">
        <v>25</v>
      </c>
      <c r="P8" t="s">
        <v>34</v>
      </c>
    </row>
    <row r="9" spans="1:16" x14ac:dyDescent="0.25">
      <c r="A9" t="s">
        <v>65</v>
      </c>
      <c r="B9" s="6">
        <v>44471</v>
      </c>
      <c r="C9">
        <v>6573</v>
      </c>
      <c r="D9" t="s">
        <v>67</v>
      </c>
      <c r="E9" t="s">
        <v>18</v>
      </c>
      <c r="F9" t="s">
        <v>19</v>
      </c>
      <c r="G9">
        <v>4944.29</v>
      </c>
      <c r="H9">
        <v>2381.33</v>
      </c>
      <c r="I9" t="s">
        <v>68</v>
      </c>
      <c r="J9" t="s">
        <v>41</v>
      </c>
      <c r="K9" t="s">
        <v>22</v>
      </c>
      <c r="L9" t="s">
        <v>48</v>
      </c>
      <c r="M9">
        <v>3</v>
      </c>
      <c r="N9" t="s">
        <v>69</v>
      </c>
      <c r="O9" t="s">
        <v>70</v>
      </c>
      <c r="P9" t="s">
        <v>49</v>
      </c>
    </row>
    <row r="10" spans="1:16" x14ac:dyDescent="0.25">
      <c r="A10" t="s">
        <v>71</v>
      </c>
      <c r="B10" s="6">
        <v>45238</v>
      </c>
      <c r="C10">
        <v>3504</v>
      </c>
      <c r="D10" t="s">
        <v>73</v>
      </c>
      <c r="E10" t="s">
        <v>38</v>
      </c>
      <c r="F10" t="s">
        <v>39</v>
      </c>
      <c r="G10">
        <v>27740.46</v>
      </c>
      <c r="H10">
        <v>15475.73</v>
      </c>
      <c r="I10" t="s">
        <v>40</v>
      </c>
      <c r="J10" t="s">
        <v>41</v>
      </c>
      <c r="K10" t="s">
        <v>22</v>
      </c>
      <c r="L10" t="s">
        <v>43</v>
      </c>
      <c r="M10">
        <v>3</v>
      </c>
      <c r="N10" t="s">
        <v>24</v>
      </c>
      <c r="O10" t="s">
        <v>25</v>
      </c>
      <c r="P10" t="s">
        <v>34</v>
      </c>
    </row>
    <row r="11" spans="1:16" x14ac:dyDescent="0.25">
      <c r="A11" t="s">
        <v>74</v>
      </c>
      <c r="B11" s="6">
        <v>44487</v>
      </c>
      <c r="C11">
        <v>2403</v>
      </c>
      <c r="D11" t="s">
        <v>76</v>
      </c>
      <c r="E11" t="s">
        <v>38</v>
      </c>
      <c r="F11" t="s">
        <v>39</v>
      </c>
      <c r="G11">
        <v>21629.59</v>
      </c>
      <c r="H11">
        <v>13964</v>
      </c>
      <c r="I11" t="s">
        <v>59</v>
      </c>
      <c r="J11" t="s">
        <v>41</v>
      </c>
      <c r="K11" t="s">
        <v>32</v>
      </c>
      <c r="L11" t="s">
        <v>23</v>
      </c>
      <c r="M11">
        <v>4</v>
      </c>
      <c r="N11" t="s">
        <v>69</v>
      </c>
      <c r="O11" t="s">
        <v>25</v>
      </c>
      <c r="P11" t="s">
        <v>49</v>
      </c>
    </row>
    <row r="12" spans="1:16" x14ac:dyDescent="0.25">
      <c r="A12" t="s">
        <v>77</v>
      </c>
      <c r="B12" s="6">
        <v>45645</v>
      </c>
      <c r="C12">
        <v>6107</v>
      </c>
      <c r="D12" t="s">
        <v>79</v>
      </c>
      <c r="E12" t="s">
        <v>38</v>
      </c>
      <c r="F12" t="s">
        <v>47</v>
      </c>
      <c r="G12">
        <v>14005.66</v>
      </c>
      <c r="H12">
        <v>8122.94</v>
      </c>
      <c r="I12" t="s">
        <v>59</v>
      </c>
      <c r="J12" t="s">
        <v>41</v>
      </c>
      <c r="K12" t="s">
        <v>80</v>
      </c>
      <c r="L12" t="s">
        <v>43</v>
      </c>
      <c r="M12">
        <v>4</v>
      </c>
      <c r="N12" t="s">
        <v>33</v>
      </c>
      <c r="O12" t="s">
        <v>25</v>
      </c>
      <c r="P12" t="s">
        <v>34</v>
      </c>
    </row>
    <row r="13" spans="1:16" x14ac:dyDescent="0.25">
      <c r="A13" t="s">
        <v>81</v>
      </c>
      <c r="B13" s="6">
        <v>44233</v>
      </c>
      <c r="C13">
        <v>1964</v>
      </c>
      <c r="D13" t="s">
        <v>83</v>
      </c>
      <c r="E13" t="s">
        <v>18</v>
      </c>
      <c r="F13" t="s">
        <v>39</v>
      </c>
      <c r="G13">
        <v>9408.7000000000007</v>
      </c>
      <c r="H13">
        <v>4293.03</v>
      </c>
      <c r="I13" t="s">
        <v>84</v>
      </c>
      <c r="J13" t="s">
        <v>54</v>
      </c>
      <c r="K13" t="s">
        <v>42</v>
      </c>
      <c r="L13" t="s">
        <v>55</v>
      </c>
      <c r="M13">
        <v>5</v>
      </c>
      <c r="N13" t="s">
        <v>33</v>
      </c>
      <c r="O13" t="s">
        <v>70</v>
      </c>
      <c r="P13" t="s">
        <v>26</v>
      </c>
    </row>
    <row r="14" spans="1:16" x14ac:dyDescent="0.25">
      <c r="A14" t="s">
        <v>85</v>
      </c>
      <c r="B14" s="6">
        <v>45169</v>
      </c>
      <c r="C14">
        <v>8749</v>
      </c>
      <c r="D14" t="s">
        <v>87</v>
      </c>
      <c r="E14" t="s">
        <v>38</v>
      </c>
      <c r="F14" t="s">
        <v>47</v>
      </c>
      <c r="G14">
        <v>5612.14</v>
      </c>
      <c r="H14">
        <v>2634.26</v>
      </c>
      <c r="I14" t="s">
        <v>31</v>
      </c>
      <c r="J14" t="s">
        <v>21</v>
      </c>
      <c r="K14" t="s">
        <v>80</v>
      </c>
      <c r="L14" t="s">
        <v>88</v>
      </c>
      <c r="M14">
        <v>4</v>
      </c>
      <c r="N14" t="s">
        <v>33</v>
      </c>
      <c r="O14" t="s">
        <v>70</v>
      </c>
      <c r="P14" t="s">
        <v>26</v>
      </c>
    </row>
    <row r="15" spans="1:16" x14ac:dyDescent="0.25">
      <c r="A15" t="s">
        <v>89</v>
      </c>
      <c r="B15" s="6">
        <v>44735</v>
      </c>
      <c r="C15">
        <v>5073</v>
      </c>
      <c r="D15" t="s">
        <v>90</v>
      </c>
      <c r="E15" t="s">
        <v>18</v>
      </c>
      <c r="F15" t="s">
        <v>58</v>
      </c>
      <c r="G15">
        <v>15037.73</v>
      </c>
      <c r="H15">
        <v>8116.2</v>
      </c>
      <c r="I15" t="s">
        <v>31</v>
      </c>
      <c r="J15" t="s">
        <v>21</v>
      </c>
      <c r="K15" t="s">
        <v>80</v>
      </c>
      <c r="L15" t="s">
        <v>23</v>
      </c>
      <c r="M15">
        <v>3</v>
      </c>
      <c r="N15" t="s">
        <v>24</v>
      </c>
      <c r="O15" t="s">
        <v>70</v>
      </c>
      <c r="P15" t="s">
        <v>26</v>
      </c>
    </row>
    <row r="16" spans="1:16" x14ac:dyDescent="0.25">
      <c r="A16" t="s">
        <v>91</v>
      </c>
      <c r="B16" s="6">
        <v>45203</v>
      </c>
      <c r="C16">
        <v>2528</v>
      </c>
      <c r="D16" t="s">
        <v>93</v>
      </c>
      <c r="E16" t="s">
        <v>18</v>
      </c>
      <c r="F16" t="s">
        <v>58</v>
      </c>
      <c r="G16">
        <v>19531.849999999999</v>
      </c>
      <c r="H16">
        <v>10686.43</v>
      </c>
      <c r="I16" t="s">
        <v>84</v>
      </c>
      <c r="J16" t="s">
        <v>54</v>
      </c>
      <c r="K16" t="s">
        <v>32</v>
      </c>
      <c r="L16" t="s">
        <v>64</v>
      </c>
      <c r="M16">
        <v>1</v>
      </c>
      <c r="N16" t="s">
        <v>33</v>
      </c>
      <c r="O16" t="s">
        <v>25</v>
      </c>
      <c r="P16" t="s">
        <v>34</v>
      </c>
    </row>
    <row r="17" spans="1:16" x14ac:dyDescent="0.25">
      <c r="A17" t="s">
        <v>94</v>
      </c>
      <c r="B17" s="6">
        <v>45211</v>
      </c>
      <c r="C17">
        <v>8973</v>
      </c>
      <c r="D17" t="s">
        <v>96</v>
      </c>
      <c r="E17" t="s">
        <v>18</v>
      </c>
      <c r="F17" t="s">
        <v>39</v>
      </c>
      <c r="G17">
        <v>18307.95</v>
      </c>
      <c r="H17">
        <v>9035.7099999999991</v>
      </c>
      <c r="I17" t="s">
        <v>53</v>
      </c>
      <c r="J17" t="s">
        <v>54</v>
      </c>
      <c r="K17" t="s">
        <v>22</v>
      </c>
      <c r="L17" t="s">
        <v>43</v>
      </c>
      <c r="M17">
        <v>5</v>
      </c>
      <c r="N17" t="s">
        <v>33</v>
      </c>
      <c r="O17" t="s">
        <v>25</v>
      </c>
      <c r="P17" t="s">
        <v>26</v>
      </c>
    </row>
    <row r="18" spans="1:16" x14ac:dyDescent="0.25">
      <c r="A18" t="s">
        <v>97</v>
      </c>
      <c r="B18" s="6">
        <v>44956</v>
      </c>
      <c r="C18">
        <v>2312</v>
      </c>
      <c r="D18" t="s">
        <v>99</v>
      </c>
      <c r="E18" t="s">
        <v>18</v>
      </c>
      <c r="F18" t="s">
        <v>47</v>
      </c>
      <c r="G18">
        <v>3859.99</v>
      </c>
      <c r="H18">
        <v>1789.46</v>
      </c>
      <c r="I18" t="s">
        <v>31</v>
      </c>
      <c r="J18" t="s">
        <v>21</v>
      </c>
      <c r="K18" t="s">
        <v>32</v>
      </c>
      <c r="L18" t="s">
        <v>64</v>
      </c>
      <c r="M18">
        <v>1</v>
      </c>
      <c r="N18" t="s">
        <v>69</v>
      </c>
      <c r="O18" t="s">
        <v>25</v>
      </c>
      <c r="P18" t="s">
        <v>49</v>
      </c>
    </row>
    <row r="19" spans="1:16" x14ac:dyDescent="0.25">
      <c r="A19" t="s">
        <v>100</v>
      </c>
      <c r="B19" s="6">
        <v>45216</v>
      </c>
      <c r="C19">
        <v>6183</v>
      </c>
      <c r="D19" t="s">
        <v>102</v>
      </c>
      <c r="E19" t="s">
        <v>38</v>
      </c>
      <c r="F19" t="s">
        <v>58</v>
      </c>
      <c r="G19">
        <v>17891.23</v>
      </c>
      <c r="H19">
        <v>10613.76</v>
      </c>
      <c r="I19" t="s">
        <v>31</v>
      </c>
      <c r="J19" t="s">
        <v>21</v>
      </c>
      <c r="K19" t="s">
        <v>32</v>
      </c>
      <c r="L19" t="s">
        <v>88</v>
      </c>
      <c r="M19">
        <v>4</v>
      </c>
      <c r="N19" t="s">
        <v>33</v>
      </c>
      <c r="O19" t="s">
        <v>70</v>
      </c>
      <c r="P19" t="s">
        <v>34</v>
      </c>
    </row>
    <row r="20" spans="1:16" x14ac:dyDescent="0.25">
      <c r="A20" t="s">
        <v>103</v>
      </c>
      <c r="B20" s="6">
        <v>45215</v>
      </c>
      <c r="C20">
        <v>2200</v>
      </c>
      <c r="D20" t="s">
        <v>105</v>
      </c>
      <c r="E20" t="s">
        <v>18</v>
      </c>
      <c r="F20" t="s">
        <v>58</v>
      </c>
      <c r="G20">
        <v>36870.47</v>
      </c>
      <c r="H20">
        <v>17568.46</v>
      </c>
      <c r="I20" t="s">
        <v>63</v>
      </c>
      <c r="J20" t="s">
        <v>54</v>
      </c>
      <c r="K20" t="s">
        <v>42</v>
      </c>
      <c r="L20" t="s">
        <v>55</v>
      </c>
      <c r="M20">
        <v>2</v>
      </c>
      <c r="N20" t="s">
        <v>33</v>
      </c>
      <c r="O20" t="s">
        <v>25</v>
      </c>
      <c r="P20" t="s">
        <v>49</v>
      </c>
    </row>
    <row r="21" spans="1:16" x14ac:dyDescent="0.25">
      <c r="A21" t="s">
        <v>106</v>
      </c>
      <c r="B21" s="6">
        <v>45562</v>
      </c>
      <c r="C21">
        <v>5905</v>
      </c>
      <c r="D21" t="s">
        <v>108</v>
      </c>
      <c r="E21" t="s">
        <v>18</v>
      </c>
      <c r="F21" t="s">
        <v>47</v>
      </c>
      <c r="G21">
        <v>17795.78</v>
      </c>
      <c r="H21">
        <v>8486.06</v>
      </c>
      <c r="I21" t="s">
        <v>31</v>
      </c>
      <c r="J21" t="s">
        <v>21</v>
      </c>
      <c r="K21" t="s">
        <v>22</v>
      </c>
      <c r="L21" t="s">
        <v>55</v>
      </c>
      <c r="M21">
        <v>5</v>
      </c>
      <c r="N21" t="s">
        <v>33</v>
      </c>
      <c r="O21" t="s">
        <v>25</v>
      </c>
      <c r="P21" t="s">
        <v>26</v>
      </c>
    </row>
    <row r="22" spans="1:16" x14ac:dyDescent="0.25">
      <c r="A22" t="s">
        <v>109</v>
      </c>
      <c r="B22" s="6">
        <v>45550</v>
      </c>
      <c r="C22">
        <v>5114</v>
      </c>
      <c r="D22" t="s">
        <v>111</v>
      </c>
      <c r="E22" t="s">
        <v>18</v>
      </c>
      <c r="F22" t="s">
        <v>19</v>
      </c>
      <c r="G22">
        <v>6047.91</v>
      </c>
      <c r="H22">
        <v>3233.91</v>
      </c>
      <c r="I22" t="s">
        <v>20</v>
      </c>
      <c r="J22" t="s">
        <v>21</v>
      </c>
      <c r="K22" t="s">
        <v>42</v>
      </c>
      <c r="L22" t="s">
        <v>55</v>
      </c>
      <c r="M22">
        <v>1</v>
      </c>
      <c r="N22" t="s">
        <v>33</v>
      </c>
      <c r="O22" t="s">
        <v>25</v>
      </c>
      <c r="P22" t="s">
        <v>34</v>
      </c>
    </row>
    <row r="23" spans="1:16" x14ac:dyDescent="0.25">
      <c r="A23" t="s">
        <v>112</v>
      </c>
      <c r="B23" s="6">
        <v>44566</v>
      </c>
      <c r="C23">
        <v>2232</v>
      </c>
      <c r="D23" t="s">
        <v>114</v>
      </c>
      <c r="E23" t="s">
        <v>18</v>
      </c>
      <c r="F23" t="s">
        <v>30</v>
      </c>
      <c r="G23">
        <v>62193.71</v>
      </c>
      <c r="H23">
        <v>38368.480000000003</v>
      </c>
      <c r="I23" t="s">
        <v>53</v>
      </c>
      <c r="J23" t="s">
        <v>54</v>
      </c>
      <c r="K23" t="s">
        <v>32</v>
      </c>
      <c r="L23" t="s">
        <v>64</v>
      </c>
      <c r="M23">
        <v>2</v>
      </c>
      <c r="N23" t="s">
        <v>33</v>
      </c>
      <c r="O23" t="s">
        <v>25</v>
      </c>
      <c r="P23" t="s">
        <v>26</v>
      </c>
    </row>
    <row r="24" spans="1:16" x14ac:dyDescent="0.25">
      <c r="A24" t="s">
        <v>115</v>
      </c>
      <c r="B24" s="6">
        <v>45108</v>
      </c>
      <c r="C24">
        <v>7658</v>
      </c>
      <c r="D24" t="s">
        <v>117</v>
      </c>
      <c r="E24" t="s">
        <v>18</v>
      </c>
      <c r="F24" t="s">
        <v>19</v>
      </c>
      <c r="G24">
        <v>14596.58</v>
      </c>
      <c r="H24">
        <v>7259.57</v>
      </c>
      <c r="I24" t="s">
        <v>68</v>
      </c>
      <c r="J24" t="s">
        <v>41</v>
      </c>
      <c r="K24" t="s">
        <v>32</v>
      </c>
      <c r="L24" t="s">
        <v>23</v>
      </c>
      <c r="M24">
        <v>4</v>
      </c>
      <c r="N24" t="s">
        <v>33</v>
      </c>
      <c r="O24" t="s">
        <v>70</v>
      </c>
      <c r="P24" t="s">
        <v>34</v>
      </c>
    </row>
    <row r="25" spans="1:16" x14ac:dyDescent="0.25">
      <c r="A25" t="s">
        <v>118</v>
      </c>
      <c r="B25" s="6">
        <v>45419</v>
      </c>
      <c r="C25">
        <v>3608</v>
      </c>
      <c r="D25" t="s">
        <v>67</v>
      </c>
      <c r="E25" t="s">
        <v>18</v>
      </c>
      <c r="F25" t="s">
        <v>47</v>
      </c>
      <c r="G25">
        <v>9102.2099999999991</v>
      </c>
      <c r="H25">
        <v>4166.49</v>
      </c>
      <c r="I25" t="s">
        <v>120</v>
      </c>
      <c r="J25" t="s">
        <v>21</v>
      </c>
      <c r="K25" t="s">
        <v>80</v>
      </c>
      <c r="L25" t="s">
        <v>23</v>
      </c>
      <c r="M25">
        <v>2</v>
      </c>
      <c r="N25" t="s">
        <v>69</v>
      </c>
      <c r="O25" t="s">
        <v>25</v>
      </c>
      <c r="P25" t="s">
        <v>34</v>
      </c>
    </row>
    <row r="26" spans="1:16" x14ac:dyDescent="0.25">
      <c r="A26" t="s">
        <v>121</v>
      </c>
      <c r="B26" s="6">
        <v>45131</v>
      </c>
      <c r="C26">
        <v>5564</v>
      </c>
      <c r="D26" t="s">
        <v>123</v>
      </c>
      <c r="E26" t="s">
        <v>18</v>
      </c>
      <c r="F26" t="s">
        <v>39</v>
      </c>
      <c r="G26">
        <v>33557.58</v>
      </c>
      <c r="H26">
        <v>16974.259999999998</v>
      </c>
      <c r="I26" t="s">
        <v>68</v>
      </c>
      <c r="J26" t="s">
        <v>41</v>
      </c>
      <c r="K26" t="s">
        <v>80</v>
      </c>
      <c r="L26" t="s">
        <v>48</v>
      </c>
      <c r="M26">
        <v>5</v>
      </c>
      <c r="N26" t="s">
        <v>33</v>
      </c>
      <c r="O26" t="s">
        <v>25</v>
      </c>
      <c r="P26" t="s">
        <v>34</v>
      </c>
    </row>
    <row r="27" spans="1:16" x14ac:dyDescent="0.25">
      <c r="A27" t="s">
        <v>124</v>
      </c>
      <c r="B27" s="6">
        <v>45103</v>
      </c>
      <c r="C27">
        <v>8149</v>
      </c>
      <c r="D27" t="s">
        <v>126</v>
      </c>
      <c r="E27" t="s">
        <v>18</v>
      </c>
      <c r="F27" t="s">
        <v>58</v>
      </c>
      <c r="G27">
        <v>30708.080000000002</v>
      </c>
      <c r="H27">
        <v>17359.82</v>
      </c>
      <c r="I27" t="s">
        <v>53</v>
      </c>
      <c r="J27" t="s">
        <v>54</v>
      </c>
      <c r="K27" t="s">
        <v>42</v>
      </c>
      <c r="L27" t="s">
        <v>55</v>
      </c>
      <c r="M27">
        <v>4</v>
      </c>
      <c r="N27" t="s">
        <v>33</v>
      </c>
      <c r="O27" t="s">
        <v>70</v>
      </c>
      <c r="P27" t="s">
        <v>49</v>
      </c>
    </row>
    <row r="28" spans="1:16" x14ac:dyDescent="0.25">
      <c r="A28" t="s">
        <v>127</v>
      </c>
      <c r="B28" s="6">
        <v>44417</v>
      </c>
      <c r="C28">
        <v>6409</v>
      </c>
      <c r="D28" t="s">
        <v>129</v>
      </c>
      <c r="E28" t="s">
        <v>38</v>
      </c>
      <c r="F28" t="s">
        <v>19</v>
      </c>
      <c r="G28">
        <v>11151.25</v>
      </c>
      <c r="H28">
        <v>5296.01</v>
      </c>
      <c r="I28" t="s">
        <v>31</v>
      </c>
      <c r="J28" t="s">
        <v>21</v>
      </c>
      <c r="K28" t="s">
        <v>42</v>
      </c>
      <c r="L28" t="s">
        <v>43</v>
      </c>
      <c r="M28">
        <v>3</v>
      </c>
      <c r="N28" t="s">
        <v>24</v>
      </c>
      <c r="O28" t="s">
        <v>25</v>
      </c>
      <c r="P28" t="s">
        <v>49</v>
      </c>
    </row>
    <row r="29" spans="1:16" x14ac:dyDescent="0.25">
      <c r="A29" t="s">
        <v>130</v>
      </c>
      <c r="B29" s="6">
        <v>45121</v>
      </c>
      <c r="C29">
        <v>3851</v>
      </c>
      <c r="D29" t="s">
        <v>132</v>
      </c>
      <c r="E29" t="s">
        <v>38</v>
      </c>
      <c r="F29" t="s">
        <v>58</v>
      </c>
      <c r="G29">
        <v>31774.2</v>
      </c>
      <c r="H29">
        <v>19596.580000000002</v>
      </c>
      <c r="I29" t="s">
        <v>63</v>
      </c>
      <c r="J29" t="s">
        <v>54</v>
      </c>
      <c r="K29" t="s">
        <v>42</v>
      </c>
      <c r="L29" t="s">
        <v>88</v>
      </c>
      <c r="M29">
        <v>2</v>
      </c>
      <c r="N29" t="s">
        <v>33</v>
      </c>
      <c r="O29" t="s">
        <v>25</v>
      </c>
      <c r="P29" t="s">
        <v>49</v>
      </c>
    </row>
    <row r="30" spans="1:16" x14ac:dyDescent="0.25">
      <c r="A30" t="s">
        <v>133</v>
      </c>
      <c r="B30" s="6">
        <v>44439</v>
      </c>
      <c r="C30">
        <v>2389</v>
      </c>
      <c r="D30" t="s">
        <v>135</v>
      </c>
      <c r="E30" t="s">
        <v>38</v>
      </c>
      <c r="F30" t="s">
        <v>30</v>
      </c>
      <c r="G30">
        <v>50620.56</v>
      </c>
      <c r="H30">
        <v>29187.22</v>
      </c>
      <c r="I30" t="s">
        <v>53</v>
      </c>
      <c r="J30" t="s">
        <v>54</v>
      </c>
      <c r="K30" t="s">
        <v>42</v>
      </c>
      <c r="L30" t="s">
        <v>55</v>
      </c>
      <c r="M30">
        <v>2</v>
      </c>
      <c r="N30" t="s">
        <v>24</v>
      </c>
      <c r="O30" t="s">
        <v>25</v>
      </c>
      <c r="P30" t="s">
        <v>26</v>
      </c>
    </row>
    <row r="31" spans="1:16" x14ac:dyDescent="0.25">
      <c r="A31" t="s">
        <v>136</v>
      </c>
      <c r="B31" s="6">
        <v>44964</v>
      </c>
      <c r="C31">
        <v>7790</v>
      </c>
      <c r="D31" t="s">
        <v>138</v>
      </c>
      <c r="E31" t="s">
        <v>18</v>
      </c>
      <c r="F31" t="s">
        <v>39</v>
      </c>
      <c r="G31">
        <v>42373.47</v>
      </c>
      <c r="H31">
        <v>22322.16</v>
      </c>
      <c r="I31" t="s">
        <v>63</v>
      </c>
      <c r="J31" t="s">
        <v>54</v>
      </c>
      <c r="K31" t="s">
        <v>80</v>
      </c>
      <c r="L31" t="s">
        <v>23</v>
      </c>
      <c r="M31">
        <v>2</v>
      </c>
      <c r="N31" t="s">
        <v>24</v>
      </c>
      <c r="O31" t="s">
        <v>25</v>
      </c>
      <c r="P31" t="s">
        <v>26</v>
      </c>
    </row>
    <row r="32" spans="1:16" x14ac:dyDescent="0.25">
      <c r="A32" t="s">
        <v>139</v>
      </c>
      <c r="B32" s="6">
        <v>45557</v>
      </c>
      <c r="C32">
        <v>1822</v>
      </c>
      <c r="D32" t="s">
        <v>141</v>
      </c>
      <c r="E32" t="s">
        <v>18</v>
      </c>
      <c r="F32" t="s">
        <v>58</v>
      </c>
      <c r="G32">
        <v>52432.99</v>
      </c>
      <c r="H32">
        <v>24867.48</v>
      </c>
      <c r="I32" t="s">
        <v>20</v>
      </c>
      <c r="J32" t="s">
        <v>21</v>
      </c>
      <c r="K32" t="s">
        <v>32</v>
      </c>
      <c r="L32" t="s">
        <v>64</v>
      </c>
      <c r="M32">
        <v>5</v>
      </c>
      <c r="N32" t="s">
        <v>69</v>
      </c>
      <c r="O32" t="s">
        <v>25</v>
      </c>
      <c r="P32" t="s">
        <v>34</v>
      </c>
    </row>
    <row r="33" spans="1:16" x14ac:dyDescent="0.25">
      <c r="A33" t="s">
        <v>142</v>
      </c>
      <c r="B33" s="6">
        <v>44842</v>
      </c>
      <c r="C33">
        <v>3607</v>
      </c>
      <c r="D33" t="s">
        <v>144</v>
      </c>
      <c r="E33" t="s">
        <v>38</v>
      </c>
      <c r="F33" t="s">
        <v>47</v>
      </c>
      <c r="G33">
        <v>8125.87</v>
      </c>
      <c r="H33">
        <v>4878.41</v>
      </c>
      <c r="I33" t="s">
        <v>31</v>
      </c>
      <c r="J33" t="s">
        <v>21</v>
      </c>
      <c r="K33" t="s">
        <v>42</v>
      </c>
      <c r="L33" t="s">
        <v>43</v>
      </c>
      <c r="M33">
        <v>4</v>
      </c>
      <c r="N33" t="s">
        <v>24</v>
      </c>
      <c r="O33" t="s">
        <v>25</v>
      </c>
      <c r="P33" t="s">
        <v>26</v>
      </c>
    </row>
    <row r="34" spans="1:16" x14ac:dyDescent="0.25">
      <c r="A34" t="s">
        <v>145</v>
      </c>
      <c r="B34" s="6">
        <v>44838</v>
      </c>
      <c r="C34">
        <v>3267</v>
      </c>
      <c r="D34" t="s">
        <v>147</v>
      </c>
      <c r="E34" t="s">
        <v>18</v>
      </c>
      <c r="F34" t="s">
        <v>39</v>
      </c>
      <c r="G34">
        <v>14631.63</v>
      </c>
      <c r="H34">
        <v>8614.9599999999991</v>
      </c>
      <c r="I34" t="s">
        <v>20</v>
      </c>
      <c r="J34" t="s">
        <v>21</v>
      </c>
      <c r="K34" t="s">
        <v>32</v>
      </c>
      <c r="L34" t="s">
        <v>55</v>
      </c>
      <c r="M34">
        <v>4</v>
      </c>
      <c r="N34" t="s">
        <v>33</v>
      </c>
      <c r="O34" t="s">
        <v>25</v>
      </c>
      <c r="P34" t="s">
        <v>34</v>
      </c>
    </row>
    <row r="35" spans="1:16" x14ac:dyDescent="0.25">
      <c r="A35" t="s">
        <v>148</v>
      </c>
      <c r="B35" s="6">
        <v>45648</v>
      </c>
      <c r="C35">
        <v>7232</v>
      </c>
      <c r="D35" t="s">
        <v>150</v>
      </c>
      <c r="E35" t="s">
        <v>38</v>
      </c>
      <c r="F35" t="s">
        <v>39</v>
      </c>
      <c r="G35">
        <v>10791.86</v>
      </c>
      <c r="H35">
        <v>5615.56</v>
      </c>
      <c r="I35" t="s">
        <v>53</v>
      </c>
      <c r="J35" t="s">
        <v>54</v>
      </c>
      <c r="K35" t="s">
        <v>80</v>
      </c>
      <c r="L35" t="s">
        <v>64</v>
      </c>
      <c r="M35">
        <v>5</v>
      </c>
      <c r="N35" t="s">
        <v>24</v>
      </c>
      <c r="O35" t="s">
        <v>25</v>
      </c>
      <c r="P35" t="s">
        <v>49</v>
      </c>
    </row>
    <row r="36" spans="1:16" x14ac:dyDescent="0.25">
      <c r="A36" t="s">
        <v>151</v>
      </c>
      <c r="B36" s="6">
        <v>44576</v>
      </c>
      <c r="C36">
        <v>6507</v>
      </c>
      <c r="D36" t="s">
        <v>152</v>
      </c>
      <c r="E36" t="s">
        <v>38</v>
      </c>
      <c r="F36" t="s">
        <v>58</v>
      </c>
      <c r="G36">
        <v>26096.03</v>
      </c>
      <c r="H36">
        <v>16129.99</v>
      </c>
      <c r="I36" t="s">
        <v>59</v>
      </c>
      <c r="J36" t="s">
        <v>41</v>
      </c>
      <c r="K36" t="s">
        <v>32</v>
      </c>
      <c r="L36" t="s">
        <v>43</v>
      </c>
      <c r="M36">
        <v>5</v>
      </c>
      <c r="N36" t="s">
        <v>33</v>
      </c>
      <c r="O36" t="s">
        <v>25</v>
      </c>
      <c r="P36" t="s">
        <v>49</v>
      </c>
    </row>
    <row r="37" spans="1:16" x14ac:dyDescent="0.25">
      <c r="A37" t="s">
        <v>153</v>
      </c>
      <c r="B37" s="6">
        <v>44433</v>
      </c>
      <c r="C37">
        <v>1823</v>
      </c>
      <c r="D37" t="s">
        <v>154</v>
      </c>
      <c r="E37" t="s">
        <v>38</v>
      </c>
      <c r="F37" t="s">
        <v>19</v>
      </c>
      <c r="G37">
        <v>7647.46</v>
      </c>
      <c r="H37">
        <v>3765.09</v>
      </c>
      <c r="I37" t="s">
        <v>20</v>
      </c>
      <c r="J37" t="s">
        <v>21</v>
      </c>
      <c r="K37" t="s">
        <v>42</v>
      </c>
      <c r="L37" t="s">
        <v>88</v>
      </c>
      <c r="M37">
        <v>4</v>
      </c>
      <c r="N37" t="s">
        <v>33</v>
      </c>
      <c r="O37" t="s">
        <v>70</v>
      </c>
      <c r="P37" t="s">
        <v>34</v>
      </c>
    </row>
    <row r="38" spans="1:16" x14ac:dyDescent="0.25">
      <c r="A38" t="s">
        <v>155</v>
      </c>
      <c r="B38" s="6">
        <v>45318</v>
      </c>
      <c r="C38">
        <v>4673</v>
      </c>
      <c r="D38" t="s">
        <v>156</v>
      </c>
      <c r="E38" t="s">
        <v>18</v>
      </c>
      <c r="F38" t="s">
        <v>30</v>
      </c>
      <c r="G38">
        <v>103545.02</v>
      </c>
      <c r="H38">
        <v>60092.45</v>
      </c>
      <c r="I38" t="s">
        <v>63</v>
      </c>
      <c r="J38" t="s">
        <v>54</v>
      </c>
      <c r="K38" t="s">
        <v>22</v>
      </c>
      <c r="L38" t="s">
        <v>23</v>
      </c>
      <c r="M38">
        <v>2</v>
      </c>
      <c r="N38" t="s">
        <v>69</v>
      </c>
      <c r="O38" t="s">
        <v>70</v>
      </c>
      <c r="P38" t="s">
        <v>26</v>
      </c>
    </row>
    <row r="39" spans="1:16" x14ac:dyDescent="0.25">
      <c r="A39" t="s">
        <v>157</v>
      </c>
      <c r="B39" s="6">
        <v>45530</v>
      </c>
      <c r="C39">
        <v>7043</v>
      </c>
      <c r="D39" t="s">
        <v>159</v>
      </c>
      <c r="E39" t="s">
        <v>18</v>
      </c>
      <c r="F39" t="s">
        <v>58</v>
      </c>
      <c r="G39">
        <v>45627.040000000001</v>
      </c>
      <c r="H39">
        <v>29326.639999999999</v>
      </c>
      <c r="I39" t="s">
        <v>84</v>
      </c>
      <c r="J39" t="s">
        <v>54</v>
      </c>
      <c r="K39" t="s">
        <v>22</v>
      </c>
      <c r="L39" t="s">
        <v>23</v>
      </c>
      <c r="M39">
        <v>3</v>
      </c>
      <c r="N39" t="s">
        <v>33</v>
      </c>
      <c r="O39" t="s">
        <v>25</v>
      </c>
      <c r="P39" t="s">
        <v>34</v>
      </c>
    </row>
    <row r="40" spans="1:16" x14ac:dyDescent="0.25">
      <c r="A40" t="s">
        <v>160</v>
      </c>
      <c r="B40" s="6">
        <v>45330</v>
      </c>
      <c r="C40">
        <v>4978</v>
      </c>
      <c r="D40" t="s">
        <v>162</v>
      </c>
      <c r="E40" t="s">
        <v>18</v>
      </c>
      <c r="F40" t="s">
        <v>39</v>
      </c>
      <c r="G40">
        <v>37509.21</v>
      </c>
      <c r="H40">
        <v>19141.57</v>
      </c>
      <c r="I40" t="s">
        <v>120</v>
      </c>
      <c r="J40" t="s">
        <v>21</v>
      </c>
      <c r="K40" t="s">
        <v>22</v>
      </c>
      <c r="L40" t="s">
        <v>43</v>
      </c>
      <c r="M40">
        <v>1</v>
      </c>
      <c r="N40" t="s">
        <v>33</v>
      </c>
      <c r="O40" t="s">
        <v>25</v>
      </c>
      <c r="P40" t="s">
        <v>34</v>
      </c>
    </row>
    <row r="41" spans="1:16" x14ac:dyDescent="0.25">
      <c r="A41" t="s">
        <v>163</v>
      </c>
      <c r="B41" s="6">
        <v>45542</v>
      </c>
      <c r="C41">
        <v>8102</v>
      </c>
      <c r="D41" t="s">
        <v>165</v>
      </c>
      <c r="E41" t="s">
        <v>38</v>
      </c>
      <c r="F41" t="s">
        <v>39</v>
      </c>
      <c r="G41">
        <v>41961.46</v>
      </c>
      <c r="H41">
        <v>25837.41</v>
      </c>
      <c r="I41" t="s">
        <v>84</v>
      </c>
      <c r="J41" t="s">
        <v>54</v>
      </c>
      <c r="K41" t="s">
        <v>32</v>
      </c>
      <c r="L41" t="s">
        <v>64</v>
      </c>
      <c r="M41">
        <v>2</v>
      </c>
      <c r="N41" t="s">
        <v>24</v>
      </c>
      <c r="O41" t="s">
        <v>70</v>
      </c>
      <c r="P41" t="s">
        <v>34</v>
      </c>
    </row>
    <row r="42" spans="1:16" x14ac:dyDescent="0.25">
      <c r="A42" t="s">
        <v>166</v>
      </c>
      <c r="B42" s="6">
        <v>45230</v>
      </c>
      <c r="C42">
        <v>6280</v>
      </c>
      <c r="D42" t="s">
        <v>168</v>
      </c>
      <c r="E42" t="s">
        <v>18</v>
      </c>
      <c r="F42" t="s">
        <v>19</v>
      </c>
      <c r="G42">
        <v>17877.439999999999</v>
      </c>
      <c r="H42">
        <v>8354.7099999999991</v>
      </c>
      <c r="I42" t="s">
        <v>31</v>
      </c>
      <c r="J42" t="s">
        <v>21</v>
      </c>
      <c r="K42" t="s">
        <v>80</v>
      </c>
      <c r="L42" t="s">
        <v>23</v>
      </c>
      <c r="M42">
        <v>4</v>
      </c>
      <c r="N42" t="s">
        <v>24</v>
      </c>
      <c r="O42" t="s">
        <v>70</v>
      </c>
      <c r="P42" t="s">
        <v>34</v>
      </c>
    </row>
    <row r="43" spans="1:16" x14ac:dyDescent="0.25">
      <c r="A43" t="s">
        <v>169</v>
      </c>
      <c r="B43" s="6">
        <v>44329</v>
      </c>
      <c r="C43">
        <v>5581</v>
      </c>
      <c r="D43" t="s">
        <v>170</v>
      </c>
      <c r="E43" t="s">
        <v>38</v>
      </c>
      <c r="F43" t="s">
        <v>58</v>
      </c>
      <c r="G43">
        <v>29135.55</v>
      </c>
      <c r="H43">
        <v>16121.44</v>
      </c>
      <c r="I43" t="s">
        <v>53</v>
      </c>
      <c r="J43" t="s">
        <v>54</v>
      </c>
      <c r="K43" t="s">
        <v>32</v>
      </c>
      <c r="L43" t="s">
        <v>55</v>
      </c>
      <c r="M43">
        <v>2</v>
      </c>
      <c r="N43" t="s">
        <v>24</v>
      </c>
      <c r="O43" t="s">
        <v>25</v>
      </c>
      <c r="P43" t="s">
        <v>26</v>
      </c>
    </row>
    <row r="44" spans="1:16" x14ac:dyDescent="0.25">
      <c r="A44" t="s">
        <v>171</v>
      </c>
      <c r="B44" s="6">
        <v>44570</v>
      </c>
      <c r="C44">
        <v>5820</v>
      </c>
      <c r="D44" t="s">
        <v>173</v>
      </c>
      <c r="E44" t="s">
        <v>18</v>
      </c>
      <c r="F44" t="s">
        <v>19</v>
      </c>
      <c r="G44">
        <v>9363.82</v>
      </c>
      <c r="H44">
        <v>4669.37</v>
      </c>
      <c r="I44" t="s">
        <v>31</v>
      </c>
      <c r="J44" t="s">
        <v>21</v>
      </c>
      <c r="K44" t="s">
        <v>42</v>
      </c>
      <c r="L44" t="s">
        <v>64</v>
      </c>
      <c r="M44">
        <v>5</v>
      </c>
      <c r="N44" t="s">
        <v>24</v>
      </c>
      <c r="O44" t="s">
        <v>25</v>
      </c>
      <c r="P44" t="s">
        <v>49</v>
      </c>
    </row>
    <row r="45" spans="1:16" x14ac:dyDescent="0.25">
      <c r="A45" t="s">
        <v>174</v>
      </c>
      <c r="B45" s="6">
        <v>44690</v>
      </c>
      <c r="C45">
        <v>2976</v>
      </c>
      <c r="D45" t="s">
        <v>176</v>
      </c>
      <c r="E45" t="s">
        <v>18</v>
      </c>
      <c r="F45" t="s">
        <v>19</v>
      </c>
      <c r="G45">
        <v>8075.45</v>
      </c>
      <c r="H45">
        <v>4833.7700000000004</v>
      </c>
      <c r="I45" t="s">
        <v>120</v>
      </c>
      <c r="J45" t="s">
        <v>21</v>
      </c>
      <c r="K45" t="s">
        <v>32</v>
      </c>
      <c r="L45" t="s">
        <v>23</v>
      </c>
      <c r="M45">
        <v>2</v>
      </c>
      <c r="N45" t="s">
        <v>24</v>
      </c>
      <c r="O45" t="s">
        <v>25</v>
      </c>
      <c r="P45" t="s">
        <v>49</v>
      </c>
    </row>
    <row r="46" spans="1:16" x14ac:dyDescent="0.25">
      <c r="A46" t="s">
        <v>177</v>
      </c>
      <c r="B46" s="6">
        <v>45391</v>
      </c>
      <c r="C46">
        <v>4727</v>
      </c>
      <c r="D46" t="s">
        <v>179</v>
      </c>
      <c r="E46" t="s">
        <v>38</v>
      </c>
      <c r="F46" t="s">
        <v>30</v>
      </c>
      <c r="G46">
        <v>23530.53</v>
      </c>
      <c r="H46">
        <v>10655.32</v>
      </c>
      <c r="I46" t="s">
        <v>40</v>
      </c>
      <c r="J46" t="s">
        <v>41</v>
      </c>
      <c r="K46" t="s">
        <v>32</v>
      </c>
      <c r="L46" t="s">
        <v>88</v>
      </c>
      <c r="M46">
        <v>1</v>
      </c>
      <c r="N46" t="s">
        <v>69</v>
      </c>
      <c r="O46" t="s">
        <v>25</v>
      </c>
      <c r="P46" t="s">
        <v>49</v>
      </c>
    </row>
    <row r="47" spans="1:16" x14ac:dyDescent="0.25">
      <c r="A47" t="s">
        <v>180</v>
      </c>
      <c r="B47" s="6">
        <v>44933</v>
      </c>
      <c r="C47">
        <v>5658</v>
      </c>
      <c r="D47" t="s">
        <v>182</v>
      </c>
      <c r="E47" t="s">
        <v>38</v>
      </c>
      <c r="F47" t="s">
        <v>47</v>
      </c>
      <c r="G47">
        <v>7317.39</v>
      </c>
      <c r="H47">
        <v>3791.44</v>
      </c>
      <c r="I47" t="s">
        <v>40</v>
      </c>
      <c r="J47" t="s">
        <v>41</v>
      </c>
      <c r="K47" t="s">
        <v>22</v>
      </c>
      <c r="L47" t="s">
        <v>88</v>
      </c>
      <c r="M47">
        <v>4</v>
      </c>
      <c r="N47" t="s">
        <v>33</v>
      </c>
      <c r="O47" t="s">
        <v>25</v>
      </c>
      <c r="P47" t="s">
        <v>34</v>
      </c>
    </row>
    <row r="48" spans="1:16" x14ac:dyDescent="0.25">
      <c r="A48" t="s">
        <v>183</v>
      </c>
      <c r="B48" s="6">
        <v>44485</v>
      </c>
      <c r="C48">
        <v>2395</v>
      </c>
      <c r="D48" t="s">
        <v>184</v>
      </c>
      <c r="E48" t="s">
        <v>18</v>
      </c>
      <c r="F48" t="s">
        <v>19</v>
      </c>
      <c r="G48">
        <v>5321.9</v>
      </c>
      <c r="H48">
        <v>3208.51</v>
      </c>
      <c r="I48" t="s">
        <v>84</v>
      </c>
      <c r="J48" t="s">
        <v>54</v>
      </c>
      <c r="K48" t="s">
        <v>32</v>
      </c>
      <c r="L48" t="s">
        <v>43</v>
      </c>
      <c r="M48">
        <v>4</v>
      </c>
      <c r="N48" t="s">
        <v>24</v>
      </c>
      <c r="O48" t="s">
        <v>25</v>
      </c>
      <c r="P48" t="s">
        <v>49</v>
      </c>
    </row>
    <row r="49" spans="1:16" x14ac:dyDescent="0.25">
      <c r="A49" t="s">
        <v>185</v>
      </c>
      <c r="B49" s="6">
        <v>43881</v>
      </c>
      <c r="C49">
        <v>4457</v>
      </c>
      <c r="D49" t="s">
        <v>187</v>
      </c>
      <c r="E49" t="s">
        <v>38</v>
      </c>
      <c r="F49" t="s">
        <v>30</v>
      </c>
      <c r="G49">
        <v>33868.83</v>
      </c>
      <c r="H49">
        <v>16304.84</v>
      </c>
      <c r="I49" t="s">
        <v>59</v>
      </c>
      <c r="J49" t="s">
        <v>41</v>
      </c>
      <c r="K49" t="s">
        <v>32</v>
      </c>
      <c r="L49" t="s">
        <v>43</v>
      </c>
      <c r="M49">
        <v>1</v>
      </c>
      <c r="N49" t="s">
        <v>33</v>
      </c>
      <c r="O49" t="s">
        <v>25</v>
      </c>
      <c r="P49" t="s">
        <v>49</v>
      </c>
    </row>
    <row r="50" spans="1:16" x14ac:dyDescent="0.25">
      <c r="A50" t="s">
        <v>188</v>
      </c>
      <c r="B50" s="6">
        <v>44706</v>
      </c>
      <c r="C50">
        <v>2166</v>
      </c>
      <c r="D50" t="s">
        <v>190</v>
      </c>
      <c r="E50" t="s">
        <v>18</v>
      </c>
      <c r="F50" t="s">
        <v>58</v>
      </c>
      <c r="G50">
        <v>42184.71</v>
      </c>
      <c r="H50">
        <v>25629.98</v>
      </c>
      <c r="I50" t="s">
        <v>120</v>
      </c>
      <c r="J50" t="s">
        <v>21</v>
      </c>
      <c r="K50" t="s">
        <v>32</v>
      </c>
      <c r="L50" t="s">
        <v>64</v>
      </c>
      <c r="M50">
        <v>1</v>
      </c>
      <c r="N50" t="s">
        <v>24</v>
      </c>
      <c r="O50" t="s">
        <v>70</v>
      </c>
      <c r="P50" t="s">
        <v>34</v>
      </c>
    </row>
    <row r="51" spans="1:16" x14ac:dyDescent="0.25">
      <c r="A51" t="s">
        <v>191</v>
      </c>
      <c r="B51" s="6">
        <v>45596</v>
      </c>
      <c r="C51">
        <v>5728</v>
      </c>
      <c r="D51" t="s">
        <v>193</v>
      </c>
      <c r="E51" t="s">
        <v>38</v>
      </c>
      <c r="F51" t="s">
        <v>58</v>
      </c>
      <c r="G51">
        <v>11813.52</v>
      </c>
      <c r="H51">
        <v>6943.23</v>
      </c>
      <c r="I51" t="s">
        <v>68</v>
      </c>
      <c r="J51" t="s">
        <v>41</v>
      </c>
      <c r="K51" t="s">
        <v>80</v>
      </c>
      <c r="L51" t="s">
        <v>88</v>
      </c>
      <c r="M51">
        <v>5</v>
      </c>
      <c r="N51" t="s">
        <v>24</v>
      </c>
      <c r="O51" t="s">
        <v>25</v>
      </c>
      <c r="P51" t="s">
        <v>49</v>
      </c>
    </row>
    <row r="52" spans="1:16" x14ac:dyDescent="0.25">
      <c r="A52" t="s">
        <v>194</v>
      </c>
      <c r="B52" s="6">
        <v>44940</v>
      </c>
      <c r="C52">
        <v>4750</v>
      </c>
      <c r="D52" t="s">
        <v>196</v>
      </c>
      <c r="E52" t="s">
        <v>18</v>
      </c>
      <c r="F52" t="s">
        <v>19</v>
      </c>
      <c r="G52">
        <v>24831.439999999999</v>
      </c>
      <c r="H52">
        <v>14512.89</v>
      </c>
      <c r="I52" t="s">
        <v>53</v>
      </c>
      <c r="J52" t="s">
        <v>54</v>
      </c>
      <c r="K52" t="s">
        <v>42</v>
      </c>
      <c r="L52" t="s">
        <v>43</v>
      </c>
      <c r="M52">
        <v>1</v>
      </c>
      <c r="N52" t="s">
        <v>24</v>
      </c>
      <c r="O52" t="s">
        <v>25</v>
      </c>
      <c r="P52" t="s">
        <v>49</v>
      </c>
    </row>
    <row r="53" spans="1:16" x14ac:dyDescent="0.25">
      <c r="A53" t="s">
        <v>197</v>
      </c>
      <c r="B53" s="6">
        <v>45252</v>
      </c>
      <c r="C53">
        <v>2494</v>
      </c>
      <c r="D53" t="s">
        <v>199</v>
      </c>
      <c r="E53" t="s">
        <v>38</v>
      </c>
      <c r="F53" t="s">
        <v>58</v>
      </c>
      <c r="G53">
        <v>24005.74</v>
      </c>
      <c r="H53">
        <v>12402.85</v>
      </c>
      <c r="I53" t="s">
        <v>120</v>
      </c>
      <c r="J53" t="s">
        <v>21</v>
      </c>
      <c r="K53" t="s">
        <v>22</v>
      </c>
      <c r="L53" t="s">
        <v>23</v>
      </c>
      <c r="M53">
        <v>3</v>
      </c>
      <c r="N53" t="s">
        <v>33</v>
      </c>
      <c r="O53" t="s">
        <v>25</v>
      </c>
      <c r="P53" t="s">
        <v>49</v>
      </c>
    </row>
    <row r="54" spans="1:16" x14ac:dyDescent="0.25">
      <c r="A54" t="s">
        <v>200</v>
      </c>
      <c r="B54" s="6">
        <v>43960</v>
      </c>
      <c r="C54">
        <v>2899</v>
      </c>
      <c r="D54" t="s">
        <v>201</v>
      </c>
      <c r="E54" t="s">
        <v>38</v>
      </c>
      <c r="F54" t="s">
        <v>58</v>
      </c>
      <c r="G54">
        <v>22500.95</v>
      </c>
      <c r="H54">
        <v>13837.76</v>
      </c>
      <c r="I54" t="s">
        <v>40</v>
      </c>
      <c r="J54" t="s">
        <v>41</v>
      </c>
      <c r="K54" t="s">
        <v>22</v>
      </c>
      <c r="L54" t="s">
        <v>48</v>
      </c>
      <c r="M54">
        <v>5</v>
      </c>
      <c r="N54" t="s">
        <v>24</v>
      </c>
      <c r="O54" t="s">
        <v>25</v>
      </c>
      <c r="P54" t="s">
        <v>49</v>
      </c>
    </row>
    <row r="55" spans="1:16" x14ac:dyDescent="0.25">
      <c r="A55" t="s">
        <v>202</v>
      </c>
      <c r="B55" s="6">
        <v>45396</v>
      </c>
      <c r="C55">
        <v>9998</v>
      </c>
      <c r="D55" t="s">
        <v>204</v>
      </c>
      <c r="E55" t="s">
        <v>18</v>
      </c>
      <c r="F55" t="s">
        <v>19</v>
      </c>
      <c r="G55">
        <v>25426.880000000001</v>
      </c>
      <c r="H55">
        <v>13670.08</v>
      </c>
      <c r="I55" t="s">
        <v>53</v>
      </c>
      <c r="J55" t="s">
        <v>54</v>
      </c>
      <c r="K55" t="s">
        <v>80</v>
      </c>
      <c r="L55" t="s">
        <v>55</v>
      </c>
      <c r="M55">
        <v>1</v>
      </c>
      <c r="N55" t="s">
        <v>69</v>
      </c>
      <c r="O55" t="s">
        <v>70</v>
      </c>
      <c r="P55" t="s">
        <v>26</v>
      </c>
    </row>
    <row r="56" spans="1:16" x14ac:dyDescent="0.25">
      <c r="A56" t="s">
        <v>205</v>
      </c>
      <c r="B56" s="6">
        <v>44974</v>
      </c>
      <c r="C56">
        <v>2858</v>
      </c>
      <c r="D56" t="s">
        <v>207</v>
      </c>
      <c r="E56" t="s">
        <v>38</v>
      </c>
      <c r="F56" t="s">
        <v>30</v>
      </c>
      <c r="G56">
        <v>93305.75</v>
      </c>
      <c r="H56">
        <v>54074.6</v>
      </c>
      <c r="I56" t="s">
        <v>120</v>
      </c>
      <c r="J56" t="s">
        <v>21</v>
      </c>
      <c r="K56" t="s">
        <v>32</v>
      </c>
      <c r="L56" t="s">
        <v>64</v>
      </c>
      <c r="M56">
        <v>3</v>
      </c>
      <c r="N56" t="s">
        <v>24</v>
      </c>
      <c r="O56" t="s">
        <v>25</v>
      </c>
      <c r="P56" t="s">
        <v>34</v>
      </c>
    </row>
    <row r="57" spans="1:16" x14ac:dyDescent="0.25">
      <c r="A57" t="s">
        <v>208</v>
      </c>
      <c r="B57" s="6">
        <v>44294</v>
      </c>
      <c r="C57">
        <v>9327</v>
      </c>
      <c r="D57" t="s">
        <v>210</v>
      </c>
      <c r="E57" t="s">
        <v>18</v>
      </c>
      <c r="F57" t="s">
        <v>30</v>
      </c>
      <c r="G57">
        <v>47859.65</v>
      </c>
      <c r="H57">
        <v>24181.06</v>
      </c>
      <c r="I57" t="s">
        <v>68</v>
      </c>
      <c r="J57" t="s">
        <v>41</v>
      </c>
      <c r="K57" t="s">
        <v>80</v>
      </c>
      <c r="L57" t="s">
        <v>88</v>
      </c>
      <c r="M57">
        <v>5</v>
      </c>
      <c r="N57" t="s">
        <v>33</v>
      </c>
      <c r="O57" t="s">
        <v>25</v>
      </c>
      <c r="P57" t="s">
        <v>49</v>
      </c>
    </row>
    <row r="58" spans="1:16" x14ac:dyDescent="0.25">
      <c r="A58" t="s">
        <v>211</v>
      </c>
      <c r="B58" s="6">
        <v>45003</v>
      </c>
      <c r="C58">
        <v>9824</v>
      </c>
      <c r="D58" t="s">
        <v>213</v>
      </c>
      <c r="E58" t="s">
        <v>38</v>
      </c>
      <c r="F58" t="s">
        <v>30</v>
      </c>
      <c r="G58">
        <v>51327.79</v>
      </c>
      <c r="H58">
        <v>28763.25</v>
      </c>
      <c r="I58" t="s">
        <v>84</v>
      </c>
      <c r="J58" t="s">
        <v>54</v>
      </c>
      <c r="K58" t="s">
        <v>80</v>
      </c>
      <c r="L58" t="s">
        <v>64</v>
      </c>
      <c r="M58">
        <v>3</v>
      </c>
      <c r="N58" t="s">
        <v>69</v>
      </c>
      <c r="O58" t="s">
        <v>70</v>
      </c>
      <c r="P58" t="s">
        <v>26</v>
      </c>
    </row>
    <row r="59" spans="1:16" x14ac:dyDescent="0.25">
      <c r="A59" t="s">
        <v>214</v>
      </c>
      <c r="B59" s="6">
        <v>44724</v>
      </c>
      <c r="C59">
        <v>7246</v>
      </c>
      <c r="D59" t="s">
        <v>215</v>
      </c>
      <c r="E59" t="s">
        <v>38</v>
      </c>
      <c r="F59" t="s">
        <v>47</v>
      </c>
      <c r="G59">
        <v>14855.18</v>
      </c>
      <c r="H59">
        <v>9039.06</v>
      </c>
      <c r="I59" t="s">
        <v>20</v>
      </c>
      <c r="J59" t="s">
        <v>21</v>
      </c>
      <c r="K59" t="s">
        <v>32</v>
      </c>
      <c r="L59" t="s">
        <v>64</v>
      </c>
      <c r="M59">
        <v>1</v>
      </c>
      <c r="N59" t="s">
        <v>33</v>
      </c>
      <c r="O59" t="s">
        <v>70</v>
      </c>
      <c r="P59" t="s">
        <v>34</v>
      </c>
    </row>
    <row r="60" spans="1:16" x14ac:dyDescent="0.25">
      <c r="A60" t="s">
        <v>216</v>
      </c>
      <c r="B60" s="6">
        <v>45299</v>
      </c>
      <c r="C60">
        <v>7717</v>
      </c>
      <c r="D60" t="s">
        <v>218</v>
      </c>
      <c r="E60" t="s">
        <v>18</v>
      </c>
      <c r="F60" t="s">
        <v>58</v>
      </c>
      <c r="G60">
        <v>10095.6</v>
      </c>
      <c r="H60">
        <v>6121.01</v>
      </c>
      <c r="I60" t="s">
        <v>59</v>
      </c>
      <c r="J60" t="s">
        <v>41</v>
      </c>
      <c r="K60" t="s">
        <v>42</v>
      </c>
      <c r="L60" t="s">
        <v>88</v>
      </c>
      <c r="M60">
        <v>5</v>
      </c>
      <c r="N60" t="s">
        <v>24</v>
      </c>
      <c r="O60" t="s">
        <v>70</v>
      </c>
      <c r="P60" t="s">
        <v>34</v>
      </c>
    </row>
    <row r="61" spans="1:16" x14ac:dyDescent="0.25">
      <c r="A61" t="s">
        <v>219</v>
      </c>
      <c r="B61" s="6">
        <v>44811</v>
      </c>
      <c r="C61">
        <v>1588</v>
      </c>
      <c r="D61" t="s">
        <v>221</v>
      </c>
      <c r="E61" t="s">
        <v>18</v>
      </c>
      <c r="F61" t="s">
        <v>39</v>
      </c>
      <c r="G61">
        <v>11060.56</v>
      </c>
      <c r="H61">
        <v>6491.22</v>
      </c>
      <c r="I61" t="s">
        <v>40</v>
      </c>
      <c r="J61" t="s">
        <v>41</v>
      </c>
      <c r="K61" t="s">
        <v>42</v>
      </c>
      <c r="L61" t="s">
        <v>23</v>
      </c>
      <c r="M61">
        <v>1</v>
      </c>
      <c r="N61" t="s">
        <v>33</v>
      </c>
      <c r="O61" t="s">
        <v>25</v>
      </c>
      <c r="P61" t="s">
        <v>49</v>
      </c>
    </row>
    <row r="62" spans="1:16" x14ac:dyDescent="0.25">
      <c r="A62" t="s">
        <v>222</v>
      </c>
      <c r="B62" s="6">
        <v>44941</v>
      </c>
      <c r="C62">
        <v>6314</v>
      </c>
      <c r="D62" t="s">
        <v>223</v>
      </c>
      <c r="E62" t="s">
        <v>18</v>
      </c>
      <c r="F62" t="s">
        <v>30</v>
      </c>
      <c r="G62">
        <v>38428.22</v>
      </c>
      <c r="H62">
        <v>20173.59</v>
      </c>
      <c r="I62" t="s">
        <v>20</v>
      </c>
      <c r="J62" t="s">
        <v>21</v>
      </c>
      <c r="K62" t="s">
        <v>32</v>
      </c>
      <c r="L62" t="s">
        <v>23</v>
      </c>
      <c r="M62">
        <v>5</v>
      </c>
      <c r="N62" t="s">
        <v>33</v>
      </c>
      <c r="O62" t="s">
        <v>70</v>
      </c>
      <c r="P62" t="s">
        <v>26</v>
      </c>
    </row>
    <row r="63" spans="1:16" x14ac:dyDescent="0.25">
      <c r="A63" t="s">
        <v>224</v>
      </c>
      <c r="B63" s="6">
        <v>44911</v>
      </c>
      <c r="C63">
        <v>9153</v>
      </c>
      <c r="D63" t="s">
        <v>226</v>
      </c>
      <c r="E63" t="s">
        <v>18</v>
      </c>
      <c r="F63" t="s">
        <v>30</v>
      </c>
      <c r="G63">
        <v>34739.71</v>
      </c>
      <c r="H63">
        <v>20064.990000000002</v>
      </c>
      <c r="I63" t="s">
        <v>63</v>
      </c>
      <c r="J63" t="s">
        <v>54</v>
      </c>
      <c r="K63" t="s">
        <v>80</v>
      </c>
      <c r="L63" t="s">
        <v>88</v>
      </c>
      <c r="M63">
        <v>1</v>
      </c>
      <c r="N63" t="s">
        <v>69</v>
      </c>
      <c r="O63" t="s">
        <v>25</v>
      </c>
      <c r="P63" t="s">
        <v>34</v>
      </c>
    </row>
    <row r="64" spans="1:16" x14ac:dyDescent="0.25">
      <c r="A64" t="s">
        <v>227</v>
      </c>
      <c r="B64" s="6">
        <v>45592</v>
      </c>
      <c r="C64">
        <v>7951</v>
      </c>
      <c r="D64" t="s">
        <v>229</v>
      </c>
      <c r="E64" t="s">
        <v>38</v>
      </c>
      <c r="F64" t="s">
        <v>58</v>
      </c>
      <c r="G64">
        <v>31128.66</v>
      </c>
      <c r="H64">
        <v>15888.83</v>
      </c>
      <c r="I64" t="s">
        <v>20</v>
      </c>
      <c r="J64" t="s">
        <v>21</v>
      </c>
      <c r="K64" t="s">
        <v>80</v>
      </c>
      <c r="L64" t="s">
        <v>64</v>
      </c>
      <c r="M64">
        <v>1</v>
      </c>
      <c r="N64" t="s">
        <v>33</v>
      </c>
      <c r="O64" t="s">
        <v>25</v>
      </c>
      <c r="P64" t="s">
        <v>49</v>
      </c>
    </row>
    <row r="65" spans="1:16" x14ac:dyDescent="0.25">
      <c r="A65" t="s">
        <v>230</v>
      </c>
      <c r="B65" s="6">
        <v>45629</v>
      </c>
      <c r="C65">
        <v>5497</v>
      </c>
      <c r="D65" t="s">
        <v>232</v>
      </c>
      <c r="E65" t="s">
        <v>18</v>
      </c>
      <c r="F65" t="s">
        <v>39</v>
      </c>
      <c r="G65">
        <v>38513.49</v>
      </c>
      <c r="H65">
        <v>22613.58</v>
      </c>
      <c r="I65" t="s">
        <v>84</v>
      </c>
      <c r="J65" t="s">
        <v>54</v>
      </c>
      <c r="K65" t="s">
        <v>22</v>
      </c>
      <c r="L65" t="s">
        <v>43</v>
      </c>
      <c r="M65">
        <v>4</v>
      </c>
      <c r="N65" t="s">
        <v>69</v>
      </c>
      <c r="O65" t="s">
        <v>70</v>
      </c>
      <c r="P65" t="s">
        <v>26</v>
      </c>
    </row>
    <row r="66" spans="1:16" x14ac:dyDescent="0.25">
      <c r="A66" t="s">
        <v>233</v>
      </c>
      <c r="B66" s="6">
        <v>44325</v>
      </c>
      <c r="C66">
        <v>3240</v>
      </c>
      <c r="D66" t="s">
        <v>234</v>
      </c>
      <c r="E66" t="s">
        <v>18</v>
      </c>
      <c r="F66" t="s">
        <v>58</v>
      </c>
      <c r="G66">
        <v>35212.050000000003</v>
      </c>
      <c r="H66">
        <v>20397.22</v>
      </c>
      <c r="I66" t="s">
        <v>120</v>
      </c>
      <c r="J66" t="s">
        <v>21</v>
      </c>
      <c r="K66" t="s">
        <v>42</v>
      </c>
      <c r="L66" t="s">
        <v>64</v>
      </c>
      <c r="M66">
        <v>1</v>
      </c>
      <c r="N66" t="s">
        <v>24</v>
      </c>
      <c r="O66" t="s">
        <v>70</v>
      </c>
      <c r="P66" t="s">
        <v>26</v>
      </c>
    </row>
    <row r="67" spans="1:16" x14ac:dyDescent="0.25">
      <c r="A67" t="s">
        <v>235</v>
      </c>
      <c r="B67" s="6">
        <v>44264</v>
      </c>
      <c r="C67">
        <v>6994</v>
      </c>
      <c r="D67" t="s">
        <v>237</v>
      </c>
      <c r="E67" t="s">
        <v>38</v>
      </c>
      <c r="F67" t="s">
        <v>19</v>
      </c>
      <c r="G67">
        <v>9907.93</v>
      </c>
      <c r="H67">
        <v>4967.78</v>
      </c>
      <c r="I67" t="s">
        <v>59</v>
      </c>
      <c r="J67" t="s">
        <v>41</v>
      </c>
      <c r="K67" t="s">
        <v>80</v>
      </c>
      <c r="L67" t="s">
        <v>88</v>
      </c>
      <c r="M67">
        <v>3</v>
      </c>
      <c r="N67" t="s">
        <v>69</v>
      </c>
      <c r="O67" t="s">
        <v>25</v>
      </c>
      <c r="P67" t="s">
        <v>26</v>
      </c>
    </row>
    <row r="68" spans="1:16" x14ac:dyDescent="0.25">
      <c r="A68" t="s">
        <v>238</v>
      </c>
      <c r="B68" s="6">
        <v>45495</v>
      </c>
      <c r="C68">
        <v>6992</v>
      </c>
      <c r="D68" t="s">
        <v>240</v>
      </c>
      <c r="E68" t="s">
        <v>18</v>
      </c>
      <c r="F68" t="s">
        <v>47</v>
      </c>
      <c r="G68">
        <v>18575.29</v>
      </c>
      <c r="H68">
        <v>8410.59</v>
      </c>
      <c r="I68" t="s">
        <v>63</v>
      </c>
      <c r="J68" t="s">
        <v>54</v>
      </c>
      <c r="K68" t="s">
        <v>22</v>
      </c>
      <c r="L68" t="s">
        <v>64</v>
      </c>
      <c r="M68">
        <v>3</v>
      </c>
      <c r="N68" t="s">
        <v>24</v>
      </c>
      <c r="O68" t="s">
        <v>70</v>
      </c>
      <c r="P68" t="s">
        <v>49</v>
      </c>
    </row>
    <row r="69" spans="1:16" x14ac:dyDescent="0.25">
      <c r="A69" t="s">
        <v>241</v>
      </c>
      <c r="B69" s="6">
        <v>44316</v>
      </c>
      <c r="C69">
        <v>1410</v>
      </c>
      <c r="D69" t="s">
        <v>242</v>
      </c>
      <c r="E69" t="s">
        <v>38</v>
      </c>
      <c r="F69" t="s">
        <v>47</v>
      </c>
      <c r="G69">
        <v>14219.51</v>
      </c>
      <c r="H69">
        <v>7028.33</v>
      </c>
      <c r="I69" t="s">
        <v>84</v>
      </c>
      <c r="J69" t="s">
        <v>54</v>
      </c>
      <c r="K69" t="s">
        <v>22</v>
      </c>
      <c r="L69" t="s">
        <v>48</v>
      </c>
      <c r="M69">
        <v>4</v>
      </c>
      <c r="N69" t="s">
        <v>69</v>
      </c>
      <c r="O69" t="s">
        <v>25</v>
      </c>
      <c r="P69" t="s">
        <v>34</v>
      </c>
    </row>
    <row r="70" spans="1:16" x14ac:dyDescent="0.25">
      <c r="A70" t="s">
        <v>243</v>
      </c>
      <c r="B70" s="6">
        <v>44814</v>
      </c>
      <c r="C70">
        <v>2592</v>
      </c>
      <c r="D70" t="s">
        <v>245</v>
      </c>
      <c r="E70" t="s">
        <v>18</v>
      </c>
      <c r="F70" t="s">
        <v>47</v>
      </c>
      <c r="G70">
        <v>16308.89</v>
      </c>
      <c r="H70">
        <v>7781.51</v>
      </c>
      <c r="I70" t="s">
        <v>63</v>
      </c>
      <c r="J70" t="s">
        <v>54</v>
      </c>
      <c r="K70" t="s">
        <v>80</v>
      </c>
      <c r="L70" t="s">
        <v>88</v>
      </c>
      <c r="M70">
        <v>5</v>
      </c>
      <c r="N70" t="s">
        <v>33</v>
      </c>
      <c r="O70" t="s">
        <v>70</v>
      </c>
      <c r="P70" t="s">
        <v>26</v>
      </c>
    </row>
    <row r="71" spans="1:16" x14ac:dyDescent="0.25">
      <c r="A71" t="s">
        <v>246</v>
      </c>
      <c r="B71" s="6">
        <v>45135</v>
      </c>
      <c r="C71">
        <v>1536</v>
      </c>
      <c r="D71" t="s">
        <v>247</v>
      </c>
      <c r="E71" t="s">
        <v>38</v>
      </c>
      <c r="F71" t="s">
        <v>58</v>
      </c>
      <c r="G71">
        <v>13833.62</v>
      </c>
      <c r="H71">
        <v>7455.48</v>
      </c>
      <c r="I71" t="s">
        <v>40</v>
      </c>
      <c r="J71" t="s">
        <v>41</v>
      </c>
      <c r="K71" t="s">
        <v>32</v>
      </c>
      <c r="L71" t="s">
        <v>88</v>
      </c>
      <c r="M71">
        <v>1</v>
      </c>
      <c r="N71" t="s">
        <v>69</v>
      </c>
      <c r="O71" t="s">
        <v>25</v>
      </c>
      <c r="P71" t="s">
        <v>49</v>
      </c>
    </row>
    <row r="72" spans="1:16" x14ac:dyDescent="0.25">
      <c r="A72" t="s">
        <v>248</v>
      </c>
      <c r="B72" s="6">
        <v>45524</v>
      </c>
      <c r="C72">
        <v>4475</v>
      </c>
      <c r="D72" t="s">
        <v>249</v>
      </c>
      <c r="E72" t="s">
        <v>18</v>
      </c>
      <c r="F72" t="s">
        <v>39</v>
      </c>
      <c r="G72">
        <v>13003.64</v>
      </c>
      <c r="H72">
        <v>6719</v>
      </c>
      <c r="I72" t="s">
        <v>53</v>
      </c>
      <c r="J72" t="s">
        <v>54</v>
      </c>
      <c r="K72" t="s">
        <v>32</v>
      </c>
      <c r="L72" t="s">
        <v>43</v>
      </c>
      <c r="M72">
        <v>2</v>
      </c>
      <c r="N72" t="s">
        <v>33</v>
      </c>
      <c r="O72" t="s">
        <v>70</v>
      </c>
      <c r="P72" t="s">
        <v>26</v>
      </c>
    </row>
    <row r="73" spans="1:16" x14ac:dyDescent="0.25">
      <c r="A73" t="s">
        <v>250</v>
      </c>
      <c r="B73" s="6">
        <v>44502</v>
      </c>
      <c r="C73">
        <v>5542</v>
      </c>
      <c r="D73" t="s">
        <v>252</v>
      </c>
      <c r="E73" t="s">
        <v>18</v>
      </c>
      <c r="F73" t="s">
        <v>39</v>
      </c>
      <c r="G73">
        <v>33650.14</v>
      </c>
      <c r="H73">
        <v>18778.23</v>
      </c>
      <c r="I73" t="s">
        <v>20</v>
      </c>
      <c r="J73" t="s">
        <v>21</v>
      </c>
      <c r="K73" t="s">
        <v>32</v>
      </c>
      <c r="L73" t="s">
        <v>55</v>
      </c>
      <c r="M73">
        <v>1</v>
      </c>
      <c r="N73" t="s">
        <v>33</v>
      </c>
      <c r="O73" t="s">
        <v>25</v>
      </c>
      <c r="P73" t="s">
        <v>26</v>
      </c>
    </row>
    <row r="74" spans="1:16" x14ac:dyDescent="0.25">
      <c r="A74" t="s">
        <v>253</v>
      </c>
      <c r="B74" s="6">
        <v>44046</v>
      </c>
      <c r="C74">
        <v>2862</v>
      </c>
      <c r="D74" t="s">
        <v>254</v>
      </c>
      <c r="E74" t="s">
        <v>18</v>
      </c>
      <c r="F74" t="s">
        <v>58</v>
      </c>
      <c r="G74">
        <v>19215.830000000002</v>
      </c>
      <c r="H74">
        <v>11637.17</v>
      </c>
      <c r="I74" t="s">
        <v>20</v>
      </c>
      <c r="J74" t="s">
        <v>21</v>
      </c>
      <c r="K74" t="s">
        <v>22</v>
      </c>
      <c r="L74" t="s">
        <v>64</v>
      </c>
      <c r="M74">
        <v>5</v>
      </c>
      <c r="N74" t="s">
        <v>33</v>
      </c>
      <c r="O74" t="s">
        <v>70</v>
      </c>
      <c r="P74" t="s">
        <v>49</v>
      </c>
    </row>
    <row r="75" spans="1:16" x14ac:dyDescent="0.25">
      <c r="A75" t="s">
        <v>255</v>
      </c>
      <c r="B75" s="6">
        <v>44942</v>
      </c>
      <c r="C75">
        <v>8847</v>
      </c>
      <c r="D75" t="s">
        <v>257</v>
      </c>
      <c r="E75" t="s">
        <v>38</v>
      </c>
      <c r="F75" t="s">
        <v>30</v>
      </c>
      <c r="G75">
        <v>49585.67</v>
      </c>
      <c r="H75">
        <v>23384.22</v>
      </c>
      <c r="I75" t="s">
        <v>31</v>
      </c>
      <c r="J75" t="s">
        <v>21</v>
      </c>
      <c r="K75" t="s">
        <v>80</v>
      </c>
      <c r="L75" t="s">
        <v>55</v>
      </c>
      <c r="M75">
        <v>1</v>
      </c>
      <c r="N75" t="s">
        <v>33</v>
      </c>
      <c r="O75" t="s">
        <v>25</v>
      </c>
      <c r="P75" t="s">
        <v>26</v>
      </c>
    </row>
    <row r="76" spans="1:16" x14ac:dyDescent="0.25">
      <c r="A76" t="s">
        <v>258</v>
      </c>
      <c r="B76" s="6">
        <v>45487</v>
      </c>
      <c r="C76">
        <v>9692</v>
      </c>
      <c r="D76" t="s">
        <v>260</v>
      </c>
      <c r="E76" t="s">
        <v>38</v>
      </c>
      <c r="F76" t="s">
        <v>30</v>
      </c>
      <c r="G76">
        <v>67681.84</v>
      </c>
      <c r="H76">
        <v>38652.11</v>
      </c>
      <c r="I76" t="s">
        <v>84</v>
      </c>
      <c r="J76" t="s">
        <v>54</v>
      </c>
      <c r="K76" t="s">
        <v>22</v>
      </c>
      <c r="L76" t="s">
        <v>48</v>
      </c>
      <c r="M76">
        <v>1</v>
      </c>
      <c r="N76" t="s">
        <v>69</v>
      </c>
      <c r="O76" t="s">
        <v>70</v>
      </c>
      <c r="P76" t="s">
        <v>49</v>
      </c>
    </row>
    <row r="77" spans="1:16" x14ac:dyDescent="0.25">
      <c r="A77" t="s">
        <v>261</v>
      </c>
      <c r="B77" s="6">
        <v>45503</v>
      </c>
      <c r="C77">
        <v>8430</v>
      </c>
      <c r="D77" t="s">
        <v>263</v>
      </c>
      <c r="E77" t="s">
        <v>38</v>
      </c>
      <c r="F77" t="s">
        <v>30</v>
      </c>
      <c r="G77">
        <v>52959.06</v>
      </c>
      <c r="H77">
        <v>24838.71</v>
      </c>
      <c r="I77" t="s">
        <v>20</v>
      </c>
      <c r="J77" t="s">
        <v>21</v>
      </c>
      <c r="K77" t="s">
        <v>80</v>
      </c>
      <c r="L77" t="s">
        <v>88</v>
      </c>
      <c r="M77">
        <v>3</v>
      </c>
      <c r="N77" t="s">
        <v>33</v>
      </c>
      <c r="O77" t="s">
        <v>25</v>
      </c>
      <c r="P77" t="s">
        <v>34</v>
      </c>
    </row>
    <row r="78" spans="1:16" x14ac:dyDescent="0.25">
      <c r="A78" t="s">
        <v>264</v>
      </c>
      <c r="B78" s="6">
        <v>44021</v>
      </c>
      <c r="C78">
        <v>1982</v>
      </c>
      <c r="D78" t="s">
        <v>265</v>
      </c>
      <c r="E78" t="s">
        <v>38</v>
      </c>
      <c r="F78" t="s">
        <v>58</v>
      </c>
      <c r="G78">
        <v>29511.439999999999</v>
      </c>
      <c r="H78">
        <v>15704.86</v>
      </c>
      <c r="I78" t="s">
        <v>63</v>
      </c>
      <c r="J78" t="s">
        <v>54</v>
      </c>
      <c r="K78" t="s">
        <v>80</v>
      </c>
      <c r="L78" t="s">
        <v>48</v>
      </c>
      <c r="M78">
        <v>1</v>
      </c>
      <c r="N78" t="s">
        <v>69</v>
      </c>
      <c r="O78" t="s">
        <v>70</v>
      </c>
      <c r="P78" t="s">
        <v>34</v>
      </c>
    </row>
    <row r="79" spans="1:16" x14ac:dyDescent="0.25">
      <c r="A79" t="s">
        <v>266</v>
      </c>
      <c r="B79" s="6">
        <v>45041</v>
      </c>
      <c r="C79">
        <v>6736</v>
      </c>
      <c r="D79" t="s">
        <v>268</v>
      </c>
      <c r="E79" t="s">
        <v>38</v>
      </c>
      <c r="F79" t="s">
        <v>58</v>
      </c>
      <c r="G79">
        <v>16906.04</v>
      </c>
      <c r="H79">
        <v>8549.6200000000008</v>
      </c>
      <c r="I79" t="s">
        <v>84</v>
      </c>
      <c r="J79" t="s">
        <v>54</v>
      </c>
      <c r="K79" t="s">
        <v>32</v>
      </c>
      <c r="L79" t="s">
        <v>64</v>
      </c>
      <c r="M79">
        <v>5</v>
      </c>
      <c r="N79" t="s">
        <v>69</v>
      </c>
      <c r="O79" t="s">
        <v>70</v>
      </c>
      <c r="P79" t="s">
        <v>49</v>
      </c>
    </row>
    <row r="80" spans="1:16" x14ac:dyDescent="0.25">
      <c r="A80" t="s">
        <v>269</v>
      </c>
      <c r="B80" s="6">
        <v>45647</v>
      </c>
      <c r="C80">
        <v>1474</v>
      </c>
      <c r="D80" t="s">
        <v>271</v>
      </c>
      <c r="E80" t="s">
        <v>18</v>
      </c>
      <c r="F80" t="s">
        <v>58</v>
      </c>
      <c r="G80">
        <v>22638.76</v>
      </c>
      <c r="H80">
        <v>13639.44</v>
      </c>
      <c r="I80" t="s">
        <v>31</v>
      </c>
      <c r="J80" t="s">
        <v>21</v>
      </c>
      <c r="K80" t="s">
        <v>42</v>
      </c>
      <c r="L80" t="s">
        <v>88</v>
      </c>
      <c r="M80">
        <v>1</v>
      </c>
      <c r="N80" t="s">
        <v>33</v>
      </c>
      <c r="O80" t="s">
        <v>25</v>
      </c>
      <c r="P80" t="s">
        <v>49</v>
      </c>
    </row>
    <row r="81" spans="1:16" x14ac:dyDescent="0.25">
      <c r="A81" t="s">
        <v>272</v>
      </c>
      <c r="B81" s="6">
        <v>45338</v>
      </c>
      <c r="C81">
        <v>4524</v>
      </c>
      <c r="D81" t="s">
        <v>274</v>
      </c>
      <c r="E81" t="s">
        <v>38</v>
      </c>
      <c r="F81" t="s">
        <v>19</v>
      </c>
      <c r="G81">
        <v>14381.36</v>
      </c>
      <c r="H81">
        <v>7452.12</v>
      </c>
      <c r="I81" t="s">
        <v>63</v>
      </c>
      <c r="J81" t="s">
        <v>54</v>
      </c>
      <c r="K81" t="s">
        <v>42</v>
      </c>
      <c r="L81" t="s">
        <v>88</v>
      </c>
      <c r="M81">
        <v>3</v>
      </c>
      <c r="N81" t="s">
        <v>24</v>
      </c>
      <c r="O81" t="s">
        <v>25</v>
      </c>
      <c r="P81" t="s">
        <v>26</v>
      </c>
    </row>
    <row r="82" spans="1:16" x14ac:dyDescent="0.25">
      <c r="A82" t="s">
        <v>275</v>
      </c>
      <c r="B82" s="6">
        <v>45272</v>
      </c>
      <c r="C82">
        <v>5458</v>
      </c>
      <c r="D82" t="s">
        <v>276</v>
      </c>
      <c r="E82" t="s">
        <v>38</v>
      </c>
      <c r="F82" t="s">
        <v>58</v>
      </c>
      <c r="G82">
        <v>28024.12</v>
      </c>
      <c r="H82">
        <v>15332.9</v>
      </c>
      <c r="I82" t="s">
        <v>68</v>
      </c>
      <c r="J82" t="s">
        <v>41</v>
      </c>
      <c r="K82" t="s">
        <v>80</v>
      </c>
      <c r="L82" t="s">
        <v>64</v>
      </c>
      <c r="M82">
        <v>3</v>
      </c>
      <c r="N82" t="s">
        <v>33</v>
      </c>
      <c r="O82" t="s">
        <v>25</v>
      </c>
      <c r="P82" t="s">
        <v>34</v>
      </c>
    </row>
    <row r="83" spans="1:16" x14ac:dyDescent="0.25">
      <c r="A83" t="s">
        <v>277</v>
      </c>
      <c r="B83" s="6">
        <v>45196</v>
      </c>
      <c r="C83">
        <v>6053</v>
      </c>
      <c r="D83" t="s">
        <v>279</v>
      </c>
      <c r="E83" t="s">
        <v>18</v>
      </c>
      <c r="F83" t="s">
        <v>19</v>
      </c>
      <c r="G83">
        <v>9242.57</v>
      </c>
      <c r="H83">
        <v>5978.92</v>
      </c>
      <c r="I83" t="s">
        <v>53</v>
      </c>
      <c r="J83" t="s">
        <v>54</v>
      </c>
      <c r="K83" t="s">
        <v>22</v>
      </c>
      <c r="L83" t="s">
        <v>55</v>
      </c>
      <c r="M83">
        <v>2</v>
      </c>
      <c r="N83" t="s">
        <v>33</v>
      </c>
      <c r="O83" t="s">
        <v>25</v>
      </c>
      <c r="P83" t="s">
        <v>26</v>
      </c>
    </row>
    <row r="84" spans="1:16" x14ac:dyDescent="0.25">
      <c r="A84" t="s">
        <v>280</v>
      </c>
      <c r="B84" s="6">
        <v>44051</v>
      </c>
      <c r="C84">
        <v>3116</v>
      </c>
      <c r="D84" t="s">
        <v>282</v>
      </c>
      <c r="E84" t="s">
        <v>38</v>
      </c>
      <c r="F84" t="s">
        <v>39</v>
      </c>
      <c r="G84">
        <v>18431.41</v>
      </c>
      <c r="H84">
        <v>9142.39</v>
      </c>
      <c r="I84" t="s">
        <v>120</v>
      </c>
      <c r="J84" t="s">
        <v>21</v>
      </c>
      <c r="K84" t="s">
        <v>42</v>
      </c>
      <c r="L84" t="s">
        <v>55</v>
      </c>
      <c r="M84">
        <v>4</v>
      </c>
      <c r="N84" t="s">
        <v>69</v>
      </c>
      <c r="O84" t="s">
        <v>25</v>
      </c>
      <c r="P84" t="s">
        <v>26</v>
      </c>
    </row>
    <row r="85" spans="1:16" x14ac:dyDescent="0.25">
      <c r="A85" t="s">
        <v>283</v>
      </c>
      <c r="B85" s="6">
        <v>45220</v>
      </c>
      <c r="C85">
        <v>7843</v>
      </c>
      <c r="D85" t="s">
        <v>284</v>
      </c>
      <c r="E85" t="s">
        <v>38</v>
      </c>
      <c r="F85" t="s">
        <v>47</v>
      </c>
      <c r="G85">
        <v>4530.62</v>
      </c>
      <c r="H85">
        <v>2057.6799999999998</v>
      </c>
      <c r="I85" t="s">
        <v>20</v>
      </c>
      <c r="J85" t="s">
        <v>21</v>
      </c>
      <c r="K85" t="s">
        <v>42</v>
      </c>
      <c r="L85" t="s">
        <v>23</v>
      </c>
      <c r="M85">
        <v>5</v>
      </c>
      <c r="N85" t="s">
        <v>24</v>
      </c>
      <c r="O85" t="s">
        <v>70</v>
      </c>
      <c r="P85" t="s">
        <v>34</v>
      </c>
    </row>
    <row r="86" spans="1:16" x14ac:dyDescent="0.25">
      <c r="A86" t="s">
        <v>285</v>
      </c>
      <c r="B86" s="6">
        <v>45195</v>
      </c>
      <c r="C86">
        <v>7484</v>
      </c>
      <c r="D86" t="s">
        <v>286</v>
      </c>
      <c r="E86" t="s">
        <v>38</v>
      </c>
      <c r="F86" t="s">
        <v>39</v>
      </c>
      <c r="G86">
        <v>43623.95</v>
      </c>
      <c r="H86">
        <v>21563.95</v>
      </c>
      <c r="I86" t="s">
        <v>63</v>
      </c>
      <c r="J86" t="s">
        <v>54</v>
      </c>
      <c r="K86" t="s">
        <v>32</v>
      </c>
      <c r="L86" t="s">
        <v>55</v>
      </c>
      <c r="M86">
        <v>5</v>
      </c>
      <c r="N86" t="s">
        <v>24</v>
      </c>
      <c r="O86" t="s">
        <v>25</v>
      </c>
      <c r="P86" t="s">
        <v>26</v>
      </c>
    </row>
    <row r="87" spans="1:16" x14ac:dyDescent="0.25">
      <c r="A87" t="s">
        <v>287</v>
      </c>
      <c r="B87" s="6">
        <v>45622</v>
      </c>
      <c r="C87">
        <v>4871</v>
      </c>
      <c r="D87" t="s">
        <v>289</v>
      </c>
      <c r="E87" t="s">
        <v>18</v>
      </c>
      <c r="F87" t="s">
        <v>39</v>
      </c>
      <c r="G87">
        <v>11093.12</v>
      </c>
      <c r="H87">
        <v>5429.58</v>
      </c>
      <c r="I87" t="s">
        <v>59</v>
      </c>
      <c r="J87" t="s">
        <v>41</v>
      </c>
      <c r="K87" t="s">
        <v>32</v>
      </c>
      <c r="L87" t="s">
        <v>48</v>
      </c>
      <c r="M87">
        <v>1</v>
      </c>
      <c r="N87" t="s">
        <v>33</v>
      </c>
      <c r="O87" t="s">
        <v>70</v>
      </c>
      <c r="P87" t="s">
        <v>34</v>
      </c>
    </row>
    <row r="88" spans="1:16" x14ac:dyDescent="0.25">
      <c r="A88" t="s">
        <v>290</v>
      </c>
      <c r="B88" s="6">
        <v>44851</v>
      </c>
      <c r="C88">
        <v>6295</v>
      </c>
      <c r="D88" t="s">
        <v>292</v>
      </c>
      <c r="E88" t="s">
        <v>38</v>
      </c>
      <c r="F88" t="s">
        <v>19</v>
      </c>
      <c r="G88">
        <v>5688.88</v>
      </c>
      <c r="H88">
        <v>2637.69</v>
      </c>
      <c r="I88" t="s">
        <v>31</v>
      </c>
      <c r="J88" t="s">
        <v>21</v>
      </c>
      <c r="K88" t="s">
        <v>80</v>
      </c>
      <c r="L88" t="s">
        <v>48</v>
      </c>
      <c r="M88">
        <v>3</v>
      </c>
      <c r="N88" t="s">
        <v>24</v>
      </c>
      <c r="O88" t="s">
        <v>25</v>
      </c>
      <c r="P88" t="s">
        <v>34</v>
      </c>
    </row>
    <row r="89" spans="1:16" x14ac:dyDescent="0.25">
      <c r="A89" t="s">
        <v>293</v>
      </c>
      <c r="B89" s="6">
        <v>44019</v>
      </c>
      <c r="C89">
        <v>2257</v>
      </c>
      <c r="D89" t="s">
        <v>294</v>
      </c>
      <c r="E89" t="s">
        <v>18</v>
      </c>
      <c r="F89" t="s">
        <v>30</v>
      </c>
      <c r="G89">
        <v>42671.71</v>
      </c>
      <c r="H89">
        <v>23529.759999999998</v>
      </c>
      <c r="I89" t="s">
        <v>120</v>
      </c>
      <c r="J89" t="s">
        <v>21</v>
      </c>
      <c r="K89" t="s">
        <v>80</v>
      </c>
      <c r="L89" t="s">
        <v>43</v>
      </c>
      <c r="M89">
        <v>5</v>
      </c>
      <c r="N89" t="s">
        <v>69</v>
      </c>
      <c r="O89" t="s">
        <v>70</v>
      </c>
      <c r="P89" t="s">
        <v>26</v>
      </c>
    </row>
    <row r="90" spans="1:16" x14ac:dyDescent="0.25">
      <c r="A90" t="s">
        <v>295</v>
      </c>
      <c r="B90" s="6">
        <v>44805</v>
      </c>
      <c r="C90">
        <v>3471</v>
      </c>
      <c r="D90" t="s">
        <v>297</v>
      </c>
      <c r="E90" t="s">
        <v>18</v>
      </c>
      <c r="F90" t="s">
        <v>19</v>
      </c>
      <c r="G90">
        <v>12039.1</v>
      </c>
      <c r="H90">
        <v>7370.26</v>
      </c>
      <c r="I90" t="s">
        <v>84</v>
      </c>
      <c r="J90" t="s">
        <v>54</v>
      </c>
      <c r="K90" t="s">
        <v>42</v>
      </c>
      <c r="L90" t="s">
        <v>48</v>
      </c>
      <c r="M90">
        <v>1</v>
      </c>
      <c r="N90" t="s">
        <v>24</v>
      </c>
      <c r="O90" t="s">
        <v>25</v>
      </c>
      <c r="P90" t="s">
        <v>26</v>
      </c>
    </row>
    <row r="91" spans="1:16" x14ac:dyDescent="0.25">
      <c r="A91" t="s">
        <v>298</v>
      </c>
      <c r="B91" s="6">
        <v>45113</v>
      </c>
      <c r="C91">
        <v>5634</v>
      </c>
      <c r="D91" t="s">
        <v>300</v>
      </c>
      <c r="E91" t="s">
        <v>38</v>
      </c>
      <c r="F91" t="s">
        <v>30</v>
      </c>
      <c r="G91">
        <v>48116.19</v>
      </c>
      <c r="H91">
        <v>24908.47</v>
      </c>
      <c r="I91" t="s">
        <v>120</v>
      </c>
      <c r="J91" t="s">
        <v>21</v>
      </c>
      <c r="K91" t="s">
        <v>22</v>
      </c>
      <c r="L91" t="s">
        <v>48</v>
      </c>
      <c r="M91">
        <v>3</v>
      </c>
      <c r="N91" t="s">
        <v>33</v>
      </c>
      <c r="O91" t="s">
        <v>25</v>
      </c>
      <c r="P91" t="s">
        <v>49</v>
      </c>
    </row>
    <row r="92" spans="1:16" x14ac:dyDescent="0.25">
      <c r="A92" t="s">
        <v>301</v>
      </c>
      <c r="B92" s="6">
        <v>45235</v>
      </c>
      <c r="C92">
        <v>6461</v>
      </c>
      <c r="D92" t="s">
        <v>303</v>
      </c>
      <c r="E92" t="s">
        <v>18</v>
      </c>
      <c r="F92" t="s">
        <v>19</v>
      </c>
      <c r="G92">
        <v>16490.62</v>
      </c>
      <c r="H92">
        <v>7887.23</v>
      </c>
      <c r="I92" t="s">
        <v>53</v>
      </c>
      <c r="J92" t="s">
        <v>54</v>
      </c>
      <c r="K92" t="s">
        <v>42</v>
      </c>
      <c r="L92" t="s">
        <v>88</v>
      </c>
      <c r="M92">
        <v>4</v>
      </c>
      <c r="N92" t="s">
        <v>33</v>
      </c>
      <c r="O92" t="s">
        <v>70</v>
      </c>
      <c r="P92" t="s">
        <v>26</v>
      </c>
    </row>
    <row r="93" spans="1:16" x14ac:dyDescent="0.25">
      <c r="A93" t="s">
        <v>304</v>
      </c>
      <c r="B93" s="6">
        <v>44627</v>
      </c>
      <c r="C93">
        <v>9624</v>
      </c>
      <c r="D93" t="s">
        <v>306</v>
      </c>
      <c r="E93" t="s">
        <v>18</v>
      </c>
      <c r="F93" t="s">
        <v>19</v>
      </c>
      <c r="G93">
        <v>15440.83</v>
      </c>
      <c r="H93">
        <v>8255.92</v>
      </c>
      <c r="I93" t="s">
        <v>53</v>
      </c>
      <c r="J93" t="s">
        <v>54</v>
      </c>
      <c r="K93" t="s">
        <v>42</v>
      </c>
      <c r="L93" t="s">
        <v>55</v>
      </c>
      <c r="M93">
        <v>3</v>
      </c>
      <c r="N93" t="s">
        <v>33</v>
      </c>
      <c r="O93" t="s">
        <v>70</v>
      </c>
      <c r="P93" t="s">
        <v>34</v>
      </c>
    </row>
    <row r="94" spans="1:16" x14ac:dyDescent="0.25">
      <c r="A94" t="s">
        <v>307</v>
      </c>
      <c r="B94" s="6">
        <v>45371</v>
      </c>
      <c r="C94">
        <v>5846</v>
      </c>
      <c r="D94" t="s">
        <v>308</v>
      </c>
      <c r="E94" t="s">
        <v>18</v>
      </c>
      <c r="F94" t="s">
        <v>58</v>
      </c>
      <c r="G94">
        <v>25110.49</v>
      </c>
      <c r="H94">
        <v>14010.5</v>
      </c>
      <c r="I94" t="s">
        <v>59</v>
      </c>
      <c r="J94" t="s">
        <v>41</v>
      </c>
      <c r="K94" t="s">
        <v>22</v>
      </c>
      <c r="L94" t="s">
        <v>48</v>
      </c>
      <c r="M94">
        <v>3</v>
      </c>
      <c r="N94" t="s">
        <v>69</v>
      </c>
      <c r="O94" t="s">
        <v>70</v>
      </c>
      <c r="P94" t="s">
        <v>49</v>
      </c>
    </row>
    <row r="95" spans="1:16" x14ac:dyDescent="0.25">
      <c r="A95" t="s">
        <v>309</v>
      </c>
      <c r="B95" s="6">
        <v>45246</v>
      </c>
      <c r="C95">
        <v>8170</v>
      </c>
      <c r="D95" t="s">
        <v>311</v>
      </c>
      <c r="E95" t="s">
        <v>18</v>
      </c>
      <c r="F95" t="s">
        <v>58</v>
      </c>
      <c r="G95">
        <v>32018.44</v>
      </c>
      <c r="H95">
        <v>18739.52</v>
      </c>
      <c r="I95" t="s">
        <v>63</v>
      </c>
      <c r="J95" t="s">
        <v>54</v>
      </c>
      <c r="K95" t="s">
        <v>32</v>
      </c>
      <c r="L95" t="s">
        <v>64</v>
      </c>
      <c r="M95">
        <v>5</v>
      </c>
      <c r="N95" t="s">
        <v>33</v>
      </c>
      <c r="O95" t="s">
        <v>70</v>
      </c>
      <c r="P95" t="s">
        <v>34</v>
      </c>
    </row>
    <row r="96" spans="1:16" x14ac:dyDescent="0.25">
      <c r="A96" t="s">
        <v>312</v>
      </c>
      <c r="B96" s="6">
        <v>45532</v>
      </c>
      <c r="C96">
        <v>7026</v>
      </c>
      <c r="D96" t="s">
        <v>314</v>
      </c>
      <c r="E96" t="s">
        <v>38</v>
      </c>
      <c r="F96" t="s">
        <v>39</v>
      </c>
      <c r="G96">
        <v>33353.160000000003</v>
      </c>
      <c r="H96">
        <v>16888.52</v>
      </c>
      <c r="I96" t="s">
        <v>63</v>
      </c>
      <c r="J96" t="s">
        <v>54</v>
      </c>
      <c r="K96" t="s">
        <v>80</v>
      </c>
      <c r="L96" t="s">
        <v>43</v>
      </c>
      <c r="M96">
        <v>5</v>
      </c>
      <c r="N96" t="s">
        <v>33</v>
      </c>
      <c r="O96" t="s">
        <v>25</v>
      </c>
      <c r="P96" t="s">
        <v>26</v>
      </c>
    </row>
    <row r="97" spans="1:16" x14ac:dyDescent="0.25">
      <c r="A97" t="s">
        <v>315</v>
      </c>
      <c r="B97" s="6">
        <v>44077</v>
      </c>
      <c r="C97">
        <v>2680</v>
      </c>
      <c r="D97" t="s">
        <v>317</v>
      </c>
      <c r="E97" t="s">
        <v>18</v>
      </c>
      <c r="F97" t="s">
        <v>47</v>
      </c>
      <c r="G97">
        <v>3410.6</v>
      </c>
      <c r="H97">
        <v>2055.31</v>
      </c>
      <c r="I97" t="s">
        <v>68</v>
      </c>
      <c r="J97" t="s">
        <v>41</v>
      </c>
      <c r="K97" t="s">
        <v>42</v>
      </c>
      <c r="L97" t="s">
        <v>64</v>
      </c>
      <c r="M97">
        <v>5</v>
      </c>
      <c r="N97" t="s">
        <v>33</v>
      </c>
      <c r="O97" t="s">
        <v>25</v>
      </c>
      <c r="P97" t="s">
        <v>26</v>
      </c>
    </row>
    <row r="98" spans="1:16" x14ac:dyDescent="0.25">
      <c r="A98" t="s">
        <v>318</v>
      </c>
      <c r="B98" s="6">
        <v>44764</v>
      </c>
      <c r="C98">
        <v>7126</v>
      </c>
      <c r="D98" t="s">
        <v>320</v>
      </c>
      <c r="E98" t="s">
        <v>18</v>
      </c>
      <c r="F98" t="s">
        <v>47</v>
      </c>
      <c r="G98">
        <v>5495.31</v>
      </c>
      <c r="H98">
        <v>2562.58</v>
      </c>
      <c r="I98" t="s">
        <v>59</v>
      </c>
      <c r="J98" t="s">
        <v>41</v>
      </c>
      <c r="K98" t="s">
        <v>32</v>
      </c>
      <c r="L98" t="s">
        <v>55</v>
      </c>
      <c r="M98">
        <v>3</v>
      </c>
      <c r="N98" t="s">
        <v>69</v>
      </c>
      <c r="O98" t="s">
        <v>70</v>
      </c>
      <c r="P98" t="s">
        <v>49</v>
      </c>
    </row>
    <row r="99" spans="1:16" x14ac:dyDescent="0.25">
      <c r="A99" t="s">
        <v>321</v>
      </c>
      <c r="B99" s="6">
        <v>44803</v>
      </c>
      <c r="C99">
        <v>8685</v>
      </c>
      <c r="D99" t="s">
        <v>323</v>
      </c>
      <c r="E99" t="s">
        <v>38</v>
      </c>
      <c r="F99" t="s">
        <v>58</v>
      </c>
      <c r="G99">
        <v>36921.46</v>
      </c>
      <c r="H99">
        <v>23303.77</v>
      </c>
      <c r="I99" t="s">
        <v>63</v>
      </c>
      <c r="J99" t="s">
        <v>54</v>
      </c>
      <c r="K99" t="s">
        <v>22</v>
      </c>
      <c r="L99" t="s">
        <v>88</v>
      </c>
      <c r="M99">
        <v>2</v>
      </c>
      <c r="N99" t="s">
        <v>69</v>
      </c>
      <c r="O99" t="s">
        <v>25</v>
      </c>
      <c r="P99" t="s">
        <v>49</v>
      </c>
    </row>
    <row r="100" spans="1:16" x14ac:dyDescent="0.25">
      <c r="A100" t="s">
        <v>324</v>
      </c>
      <c r="B100" s="6">
        <v>44716</v>
      </c>
      <c r="C100">
        <v>1782</v>
      </c>
      <c r="D100" t="s">
        <v>326</v>
      </c>
      <c r="E100" t="s">
        <v>18</v>
      </c>
      <c r="F100" t="s">
        <v>58</v>
      </c>
      <c r="G100">
        <v>23533.55</v>
      </c>
      <c r="H100">
        <v>14326.75</v>
      </c>
      <c r="I100" t="s">
        <v>120</v>
      </c>
      <c r="J100" t="s">
        <v>21</v>
      </c>
      <c r="K100" t="s">
        <v>80</v>
      </c>
      <c r="L100" t="s">
        <v>55</v>
      </c>
      <c r="M100">
        <v>1</v>
      </c>
      <c r="N100" t="s">
        <v>69</v>
      </c>
      <c r="O100" t="s">
        <v>25</v>
      </c>
      <c r="P100" t="s">
        <v>49</v>
      </c>
    </row>
    <row r="101" spans="1:16" x14ac:dyDescent="0.25">
      <c r="A101" t="s">
        <v>327</v>
      </c>
      <c r="B101" s="6">
        <v>45441</v>
      </c>
      <c r="C101">
        <v>1025</v>
      </c>
      <c r="D101" t="s">
        <v>329</v>
      </c>
      <c r="E101" t="s">
        <v>38</v>
      </c>
      <c r="F101" t="s">
        <v>30</v>
      </c>
      <c r="G101">
        <v>44341.78</v>
      </c>
      <c r="H101">
        <v>23648.07</v>
      </c>
      <c r="I101" t="s">
        <v>84</v>
      </c>
      <c r="J101" t="s">
        <v>54</v>
      </c>
      <c r="K101" t="s">
        <v>22</v>
      </c>
      <c r="L101" t="s">
        <v>43</v>
      </c>
      <c r="M101">
        <v>3</v>
      </c>
      <c r="N101" t="s">
        <v>33</v>
      </c>
      <c r="O101" t="s">
        <v>25</v>
      </c>
      <c r="P101" t="s">
        <v>49</v>
      </c>
    </row>
    <row r="102" spans="1:16" x14ac:dyDescent="0.25">
      <c r="A102" t="s">
        <v>330</v>
      </c>
      <c r="B102" s="6">
        <v>44802</v>
      </c>
      <c r="C102">
        <v>7338</v>
      </c>
      <c r="D102" t="s">
        <v>332</v>
      </c>
      <c r="E102" t="s">
        <v>38</v>
      </c>
      <c r="F102" t="s">
        <v>30</v>
      </c>
      <c r="G102">
        <v>30516.47</v>
      </c>
      <c r="H102">
        <v>13831.54</v>
      </c>
      <c r="I102" t="s">
        <v>31</v>
      </c>
      <c r="J102" t="s">
        <v>21</v>
      </c>
      <c r="K102" t="s">
        <v>22</v>
      </c>
      <c r="L102" t="s">
        <v>88</v>
      </c>
      <c r="M102">
        <v>2</v>
      </c>
      <c r="N102" t="s">
        <v>24</v>
      </c>
      <c r="O102" t="s">
        <v>70</v>
      </c>
      <c r="P102" t="s">
        <v>49</v>
      </c>
    </row>
    <row r="103" spans="1:16" x14ac:dyDescent="0.25">
      <c r="A103" t="s">
        <v>333</v>
      </c>
      <c r="B103" s="6">
        <v>44735</v>
      </c>
      <c r="C103">
        <v>3868</v>
      </c>
      <c r="D103" t="s">
        <v>334</v>
      </c>
      <c r="E103" t="s">
        <v>38</v>
      </c>
      <c r="F103" t="s">
        <v>58</v>
      </c>
      <c r="G103">
        <v>44290.31</v>
      </c>
      <c r="H103">
        <v>24169.5</v>
      </c>
      <c r="I103" t="s">
        <v>120</v>
      </c>
      <c r="J103" t="s">
        <v>21</v>
      </c>
      <c r="K103" t="s">
        <v>32</v>
      </c>
      <c r="L103" t="s">
        <v>23</v>
      </c>
      <c r="M103">
        <v>1</v>
      </c>
      <c r="N103" t="s">
        <v>24</v>
      </c>
      <c r="O103" t="s">
        <v>70</v>
      </c>
      <c r="P103" t="s">
        <v>26</v>
      </c>
    </row>
    <row r="104" spans="1:16" x14ac:dyDescent="0.25">
      <c r="A104" t="s">
        <v>335</v>
      </c>
      <c r="B104" s="6">
        <v>45453</v>
      </c>
      <c r="C104">
        <v>9444</v>
      </c>
      <c r="D104" t="s">
        <v>337</v>
      </c>
      <c r="E104" t="s">
        <v>38</v>
      </c>
      <c r="F104" t="s">
        <v>19</v>
      </c>
      <c r="G104">
        <v>26763.42</v>
      </c>
      <c r="H104">
        <v>14950.21</v>
      </c>
      <c r="I104" t="s">
        <v>63</v>
      </c>
      <c r="J104" t="s">
        <v>54</v>
      </c>
      <c r="K104" t="s">
        <v>42</v>
      </c>
      <c r="L104" t="s">
        <v>55</v>
      </c>
      <c r="M104">
        <v>2</v>
      </c>
      <c r="N104" t="s">
        <v>33</v>
      </c>
      <c r="O104" t="s">
        <v>70</v>
      </c>
      <c r="P104" t="s">
        <v>26</v>
      </c>
    </row>
    <row r="105" spans="1:16" x14ac:dyDescent="0.25">
      <c r="A105" t="s">
        <v>338</v>
      </c>
      <c r="B105" s="6">
        <v>45515</v>
      </c>
      <c r="C105">
        <v>8204</v>
      </c>
      <c r="D105" t="s">
        <v>340</v>
      </c>
      <c r="E105" t="s">
        <v>38</v>
      </c>
      <c r="F105" t="s">
        <v>39</v>
      </c>
      <c r="G105">
        <v>17051.45</v>
      </c>
      <c r="H105">
        <v>8310.25</v>
      </c>
      <c r="I105" t="s">
        <v>59</v>
      </c>
      <c r="J105" t="s">
        <v>41</v>
      </c>
      <c r="K105" t="s">
        <v>80</v>
      </c>
      <c r="L105" t="s">
        <v>88</v>
      </c>
      <c r="M105">
        <v>5</v>
      </c>
      <c r="N105" t="s">
        <v>33</v>
      </c>
      <c r="O105" t="s">
        <v>25</v>
      </c>
      <c r="P105" t="s">
        <v>34</v>
      </c>
    </row>
    <row r="106" spans="1:16" x14ac:dyDescent="0.25">
      <c r="A106" t="s">
        <v>341</v>
      </c>
      <c r="B106" s="6">
        <v>44347</v>
      </c>
      <c r="C106">
        <v>2680</v>
      </c>
      <c r="D106" t="s">
        <v>343</v>
      </c>
      <c r="E106" t="s">
        <v>18</v>
      </c>
      <c r="F106" t="s">
        <v>47</v>
      </c>
      <c r="G106">
        <v>6730.98</v>
      </c>
      <c r="H106">
        <v>3426.93</v>
      </c>
      <c r="I106" t="s">
        <v>84</v>
      </c>
      <c r="J106" t="s">
        <v>54</v>
      </c>
      <c r="K106" t="s">
        <v>80</v>
      </c>
      <c r="L106" t="s">
        <v>43</v>
      </c>
      <c r="M106">
        <v>4</v>
      </c>
      <c r="N106" t="s">
        <v>33</v>
      </c>
      <c r="O106" t="s">
        <v>25</v>
      </c>
      <c r="P106" t="s">
        <v>34</v>
      </c>
    </row>
    <row r="107" spans="1:16" x14ac:dyDescent="0.25">
      <c r="A107" t="s">
        <v>344</v>
      </c>
      <c r="B107" s="6">
        <v>44889</v>
      </c>
      <c r="C107">
        <v>2229</v>
      </c>
      <c r="D107" t="s">
        <v>346</v>
      </c>
      <c r="E107" t="s">
        <v>38</v>
      </c>
      <c r="F107" t="s">
        <v>30</v>
      </c>
      <c r="G107">
        <v>46226.06</v>
      </c>
      <c r="H107">
        <v>28208.03</v>
      </c>
      <c r="I107" t="s">
        <v>53</v>
      </c>
      <c r="J107" t="s">
        <v>54</v>
      </c>
      <c r="K107" t="s">
        <v>32</v>
      </c>
      <c r="L107" t="s">
        <v>55</v>
      </c>
      <c r="M107">
        <v>2</v>
      </c>
      <c r="N107" t="s">
        <v>69</v>
      </c>
      <c r="O107" t="s">
        <v>70</v>
      </c>
      <c r="P107" t="s">
        <v>34</v>
      </c>
    </row>
    <row r="108" spans="1:16" x14ac:dyDescent="0.25">
      <c r="A108" t="s">
        <v>347</v>
      </c>
      <c r="B108" s="6">
        <v>45112</v>
      </c>
      <c r="C108">
        <v>1530</v>
      </c>
      <c r="D108" t="s">
        <v>348</v>
      </c>
      <c r="E108" t="s">
        <v>18</v>
      </c>
      <c r="F108" t="s">
        <v>39</v>
      </c>
      <c r="G108">
        <v>40584.49</v>
      </c>
      <c r="H108">
        <v>25964.52</v>
      </c>
      <c r="I108" t="s">
        <v>63</v>
      </c>
      <c r="J108" t="s">
        <v>54</v>
      </c>
      <c r="K108" t="s">
        <v>42</v>
      </c>
      <c r="L108" t="s">
        <v>64</v>
      </c>
      <c r="M108">
        <v>1</v>
      </c>
      <c r="N108" t="s">
        <v>24</v>
      </c>
      <c r="O108" t="s">
        <v>25</v>
      </c>
      <c r="P108" t="s">
        <v>34</v>
      </c>
    </row>
    <row r="109" spans="1:16" x14ac:dyDescent="0.25">
      <c r="A109" t="s">
        <v>349</v>
      </c>
      <c r="B109" s="6">
        <v>44292</v>
      </c>
      <c r="C109">
        <v>9482</v>
      </c>
      <c r="D109" t="s">
        <v>351</v>
      </c>
      <c r="E109" t="s">
        <v>38</v>
      </c>
      <c r="F109" t="s">
        <v>39</v>
      </c>
      <c r="G109">
        <v>37889.839999999997</v>
      </c>
      <c r="H109">
        <v>17942.82</v>
      </c>
      <c r="I109" t="s">
        <v>53</v>
      </c>
      <c r="J109" t="s">
        <v>54</v>
      </c>
      <c r="K109" t="s">
        <v>42</v>
      </c>
      <c r="L109" t="s">
        <v>48</v>
      </c>
      <c r="M109">
        <v>4</v>
      </c>
      <c r="N109" t="s">
        <v>33</v>
      </c>
      <c r="O109" t="s">
        <v>70</v>
      </c>
      <c r="P109" t="s">
        <v>49</v>
      </c>
    </row>
    <row r="110" spans="1:16" x14ac:dyDescent="0.25">
      <c r="A110" t="s">
        <v>352</v>
      </c>
      <c r="B110" s="6">
        <v>44234</v>
      </c>
      <c r="C110">
        <v>3828</v>
      </c>
      <c r="D110" t="s">
        <v>354</v>
      </c>
      <c r="E110" t="s">
        <v>38</v>
      </c>
      <c r="F110" t="s">
        <v>58</v>
      </c>
      <c r="G110">
        <v>28622.93</v>
      </c>
      <c r="H110">
        <v>17520.169999999998</v>
      </c>
      <c r="I110" t="s">
        <v>59</v>
      </c>
      <c r="J110" t="s">
        <v>41</v>
      </c>
      <c r="K110" t="s">
        <v>42</v>
      </c>
      <c r="L110" t="s">
        <v>48</v>
      </c>
      <c r="M110">
        <v>3</v>
      </c>
      <c r="N110" t="s">
        <v>24</v>
      </c>
      <c r="O110" t="s">
        <v>25</v>
      </c>
      <c r="P110" t="s">
        <v>34</v>
      </c>
    </row>
    <row r="111" spans="1:16" x14ac:dyDescent="0.25">
      <c r="A111" t="s">
        <v>355</v>
      </c>
      <c r="B111" s="6">
        <v>45618</v>
      </c>
      <c r="C111">
        <v>6922</v>
      </c>
      <c r="D111" t="s">
        <v>357</v>
      </c>
      <c r="E111" t="s">
        <v>18</v>
      </c>
      <c r="F111" t="s">
        <v>19</v>
      </c>
      <c r="G111">
        <v>4931.0200000000004</v>
      </c>
      <c r="H111">
        <v>2417.17</v>
      </c>
      <c r="I111" t="s">
        <v>68</v>
      </c>
      <c r="J111" t="s">
        <v>41</v>
      </c>
      <c r="K111" t="s">
        <v>32</v>
      </c>
      <c r="L111" t="s">
        <v>23</v>
      </c>
      <c r="M111">
        <v>4</v>
      </c>
      <c r="N111" t="s">
        <v>33</v>
      </c>
      <c r="O111" t="s">
        <v>25</v>
      </c>
      <c r="P111" t="s">
        <v>34</v>
      </c>
    </row>
    <row r="112" spans="1:16" x14ac:dyDescent="0.25">
      <c r="A112" t="s">
        <v>358</v>
      </c>
      <c r="B112" s="6">
        <v>45325</v>
      </c>
      <c r="C112">
        <v>7523</v>
      </c>
      <c r="D112" t="s">
        <v>360</v>
      </c>
      <c r="E112" t="s">
        <v>38</v>
      </c>
      <c r="F112" t="s">
        <v>58</v>
      </c>
      <c r="G112">
        <v>34313.42</v>
      </c>
      <c r="H112">
        <v>20719.57</v>
      </c>
      <c r="I112" t="s">
        <v>31</v>
      </c>
      <c r="J112" t="s">
        <v>21</v>
      </c>
      <c r="K112" t="s">
        <v>22</v>
      </c>
      <c r="L112" t="s">
        <v>23</v>
      </c>
      <c r="M112">
        <v>3</v>
      </c>
      <c r="N112" t="s">
        <v>24</v>
      </c>
      <c r="O112" t="s">
        <v>25</v>
      </c>
      <c r="P112" t="s">
        <v>49</v>
      </c>
    </row>
    <row r="113" spans="1:16" x14ac:dyDescent="0.25">
      <c r="A113" t="s">
        <v>361</v>
      </c>
      <c r="B113" s="6">
        <v>45619</v>
      </c>
      <c r="C113">
        <v>3981</v>
      </c>
      <c r="D113" t="s">
        <v>362</v>
      </c>
      <c r="E113" t="s">
        <v>18</v>
      </c>
      <c r="F113" t="s">
        <v>47</v>
      </c>
      <c r="G113">
        <v>9884.66</v>
      </c>
      <c r="H113">
        <v>6248.51</v>
      </c>
      <c r="I113" t="s">
        <v>20</v>
      </c>
      <c r="J113" t="s">
        <v>21</v>
      </c>
      <c r="K113" t="s">
        <v>22</v>
      </c>
      <c r="L113" t="s">
        <v>55</v>
      </c>
      <c r="M113">
        <v>5</v>
      </c>
      <c r="N113" t="s">
        <v>33</v>
      </c>
      <c r="O113" t="s">
        <v>25</v>
      </c>
      <c r="P113" t="s">
        <v>34</v>
      </c>
    </row>
    <row r="114" spans="1:16" x14ac:dyDescent="0.25">
      <c r="A114" t="s">
        <v>363</v>
      </c>
      <c r="B114" s="6">
        <v>45437</v>
      </c>
      <c r="C114">
        <v>5105</v>
      </c>
      <c r="D114" t="s">
        <v>365</v>
      </c>
      <c r="E114" t="s">
        <v>18</v>
      </c>
      <c r="F114" t="s">
        <v>39</v>
      </c>
      <c r="G114">
        <v>26209.58</v>
      </c>
      <c r="H114">
        <v>14681.78</v>
      </c>
      <c r="I114" t="s">
        <v>68</v>
      </c>
      <c r="J114" t="s">
        <v>41</v>
      </c>
      <c r="K114" t="s">
        <v>32</v>
      </c>
      <c r="L114" t="s">
        <v>48</v>
      </c>
      <c r="M114">
        <v>3</v>
      </c>
      <c r="N114" t="s">
        <v>24</v>
      </c>
      <c r="O114" t="s">
        <v>25</v>
      </c>
      <c r="P114" t="s">
        <v>49</v>
      </c>
    </row>
    <row r="115" spans="1:16" x14ac:dyDescent="0.25">
      <c r="A115" t="s">
        <v>366</v>
      </c>
      <c r="B115" s="6">
        <v>45236</v>
      </c>
      <c r="C115">
        <v>1674</v>
      </c>
      <c r="D115" t="s">
        <v>368</v>
      </c>
      <c r="E115" t="s">
        <v>18</v>
      </c>
      <c r="F115" t="s">
        <v>58</v>
      </c>
      <c r="G115">
        <v>15187.24</v>
      </c>
      <c r="H115">
        <v>9715.42</v>
      </c>
      <c r="I115" t="s">
        <v>84</v>
      </c>
      <c r="J115" t="s">
        <v>54</v>
      </c>
      <c r="K115" t="s">
        <v>42</v>
      </c>
      <c r="L115" t="s">
        <v>48</v>
      </c>
      <c r="M115">
        <v>2</v>
      </c>
      <c r="N115" t="s">
        <v>24</v>
      </c>
      <c r="O115" t="s">
        <v>25</v>
      </c>
      <c r="P115" t="s">
        <v>49</v>
      </c>
    </row>
    <row r="116" spans="1:16" x14ac:dyDescent="0.25">
      <c r="A116" t="s">
        <v>369</v>
      </c>
      <c r="B116" s="6">
        <v>45081</v>
      </c>
      <c r="C116">
        <v>5012</v>
      </c>
      <c r="D116" t="s">
        <v>371</v>
      </c>
      <c r="E116" t="s">
        <v>38</v>
      </c>
      <c r="F116" t="s">
        <v>30</v>
      </c>
      <c r="G116">
        <v>46523.49</v>
      </c>
      <c r="H116">
        <v>21614.560000000001</v>
      </c>
      <c r="I116" t="s">
        <v>84</v>
      </c>
      <c r="J116" t="s">
        <v>54</v>
      </c>
      <c r="K116" t="s">
        <v>22</v>
      </c>
      <c r="L116" t="s">
        <v>23</v>
      </c>
      <c r="M116">
        <v>4</v>
      </c>
      <c r="N116" t="s">
        <v>33</v>
      </c>
      <c r="O116" t="s">
        <v>25</v>
      </c>
      <c r="P116" t="s">
        <v>34</v>
      </c>
    </row>
    <row r="117" spans="1:16" x14ac:dyDescent="0.25">
      <c r="A117" t="s">
        <v>372</v>
      </c>
      <c r="B117" s="6">
        <v>44738</v>
      </c>
      <c r="C117">
        <v>3142</v>
      </c>
      <c r="D117" t="s">
        <v>374</v>
      </c>
      <c r="E117" t="s">
        <v>38</v>
      </c>
      <c r="F117" t="s">
        <v>47</v>
      </c>
      <c r="G117">
        <v>8937.25</v>
      </c>
      <c r="H117">
        <v>4211.5600000000004</v>
      </c>
      <c r="I117" t="s">
        <v>120</v>
      </c>
      <c r="J117" t="s">
        <v>21</v>
      </c>
      <c r="K117" t="s">
        <v>32</v>
      </c>
      <c r="L117" t="s">
        <v>64</v>
      </c>
      <c r="M117">
        <v>1</v>
      </c>
      <c r="N117" t="s">
        <v>33</v>
      </c>
      <c r="O117" t="s">
        <v>25</v>
      </c>
      <c r="P117" t="s">
        <v>26</v>
      </c>
    </row>
    <row r="118" spans="1:16" x14ac:dyDescent="0.25">
      <c r="A118" t="s">
        <v>375</v>
      </c>
      <c r="B118" s="6">
        <v>44643</v>
      </c>
      <c r="C118">
        <v>6123</v>
      </c>
      <c r="D118" t="s">
        <v>377</v>
      </c>
      <c r="E118" t="s">
        <v>18</v>
      </c>
      <c r="F118" t="s">
        <v>47</v>
      </c>
      <c r="G118">
        <v>14446.82</v>
      </c>
      <c r="H118">
        <v>7940.74</v>
      </c>
      <c r="I118" t="s">
        <v>53</v>
      </c>
      <c r="J118" t="s">
        <v>54</v>
      </c>
      <c r="K118" t="s">
        <v>80</v>
      </c>
      <c r="L118" t="s">
        <v>64</v>
      </c>
      <c r="M118">
        <v>3</v>
      </c>
      <c r="N118" t="s">
        <v>24</v>
      </c>
      <c r="O118" t="s">
        <v>25</v>
      </c>
      <c r="P118" t="s">
        <v>34</v>
      </c>
    </row>
    <row r="119" spans="1:16" x14ac:dyDescent="0.25">
      <c r="A119" t="s">
        <v>378</v>
      </c>
      <c r="B119" s="6">
        <v>44587</v>
      </c>
      <c r="C119">
        <v>9108</v>
      </c>
      <c r="D119" t="s">
        <v>380</v>
      </c>
      <c r="E119" t="s">
        <v>38</v>
      </c>
      <c r="F119" t="s">
        <v>58</v>
      </c>
      <c r="G119">
        <v>18572.689999999999</v>
      </c>
      <c r="H119">
        <v>8388.09</v>
      </c>
      <c r="I119" t="s">
        <v>20</v>
      </c>
      <c r="J119" t="s">
        <v>21</v>
      </c>
      <c r="K119" t="s">
        <v>22</v>
      </c>
      <c r="L119" t="s">
        <v>64</v>
      </c>
      <c r="M119">
        <v>2</v>
      </c>
      <c r="N119" t="s">
        <v>69</v>
      </c>
      <c r="O119" t="s">
        <v>70</v>
      </c>
      <c r="P119" t="s">
        <v>34</v>
      </c>
    </row>
    <row r="120" spans="1:16" x14ac:dyDescent="0.25">
      <c r="A120" t="s">
        <v>381</v>
      </c>
      <c r="B120" s="6">
        <v>45112</v>
      </c>
      <c r="C120">
        <v>5728</v>
      </c>
      <c r="D120" t="s">
        <v>382</v>
      </c>
      <c r="E120" t="s">
        <v>18</v>
      </c>
      <c r="F120" t="s">
        <v>58</v>
      </c>
      <c r="G120">
        <v>30766.97</v>
      </c>
      <c r="H120">
        <v>16616.34</v>
      </c>
      <c r="I120" t="s">
        <v>53</v>
      </c>
      <c r="J120" t="s">
        <v>54</v>
      </c>
      <c r="K120" t="s">
        <v>42</v>
      </c>
      <c r="L120" t="s">
        <v>43</v>
      </c>
      <c r="M120">
        <v>5</v>
      </c>
      <c r="N120" t="s">
        <v>33</v>
      </c>
      <c r="O120" t="s">
        <v>70</v>
      </c>
      <c r="P120" t="s">
        <v>34</v>
      </c>
    </row>
    <row r="121" spans="1:16" x14ac:dyDescent="0.25">
      <c r="A121" t="s">
        <v>383</v>
      </c>
      <c r="B121" s="6">
        <v>44635</v>
      </c>
      <c r="C121">
        <v>9341</v>
      </c>
      <c r="D121" t="s">
        <v>384</v>
      </c>
      <c r="E121" t="s">
        <v>38</v>
      </c>
      <c r="F121" t="s">
        <v>30</v>
      </c>
      <c r="G121">
        <v>58206.82</v>
      </c>
      <c r="H121">
        <v>26720.46</v>
      </c>
      <c r="I121" t="s">
        <v>53</v>
      </c>
      <c r="J121" t="s">
        <v>54</v>
      </c>
      <c r="K121" t="s">
        <v>32</v>
      </c>
      <c r="L121" t="s">
        <v>48</v>
      </c>
      <c r="M121">
        <v>3</v>
      </c>
      <c r="N121" t="s">
        <v>69</v>
      </c>
      <c r="O121" t="s">
        <v>25</v>
      </c>
      <c r="P121" t="s">
        <v>26</v>
      </c>
    </row>
    <row r="122" spans="1:16" x14ac:dyDescent="0.25">
      <c r="A122" t="s">
        <v>385</v>
      </c>
      <c r="B122" s="6">
        <v>45455</v>
      </c>
      <c r="C122">
        <v>7438</v>
      </c>
      <c r="D122" t="s">
        <v>386</v>
      </c>
      <c r="E122" t="s">
        <v>38</v>
      </c>
      <c r="F122" t="s">
        <v>58</v>
      </c>
      <c r="G122">
        <v>37459.769999999997</v>
      </c>
      <c r="H122">
        <v>20657.68</v>
      </c>
      <c r="I122" t="s">
        <v>31</v>
      </c>
      <c r="J122" t="s">
        <v>21</v>
      </c>
      <c r="K122" t="s">
        <v>80</v>
      </c>
      <c r="L122" t="s">
        <v>48</v>
      </c>
      <c r="M122">
        <v>5</v>
      </c>
      <c r="N122" t="s">
        <v>33</v>
      </c>
      <c r="O122" t="s">
        <v>70</v>
      </c>
      <c r="P122" t="s">
        <v>34</v>
      </c>
    </row>
    <row r="123" spans="1:16" x14ac:dyDescent="0.25">
      <c r="A123" t="s">
        <v>387</v>
      </c>
      <c r="B123" s="6">
        <v>45279</v>
      </c>
      <c r="C123">
        <v>1436</v>
      </c>
      <c r="D123" t="s">
        <v>389</v>
      </c>
      <c r="E123" t="s">
        <v>38</v>
      </c>
      <c r="F123" t="s">
        <v>47</v>
      </c>
      <c r="G123">
        <v>8030.4</v>
      </c>
      <c r="H123">
        <v>4666.6099999999997</v>
      </c>
      <c r="I123" t="s">
        <v>63</v>
      </c>
      <c r="J123" t="s">
        <v>54</v>
      </c>
      <c r="K123" t="s">
        <v>32</v>
      </c>
      <c r="L123" t="s">
        <v>48</v>
      </c>
      <c r="M123">
        <v>1</v>
      </c>
      <c r="N123" t="s">
        <v>24</v>
      </c>
      <c r="O123" t="s">
        <v>25</v>
      </c>
      <c r="P123" t="s">
        <v>49</v>
      </c>
    </row>
    <row r="124" spans="1:16" x14ac:dyDescent="0.25">
      <c r="A124" t="s">
        <v>390</v>
      </c>
      <c r="B124" s="6">
        <v>44943</v>
      </c>
      <c r="C124">
        <v>2800</v>
      </c>
      <c r="D124" t="s">
        <v>392</v>
      </c>
      <c r="E124" t="s">
        <v>18</v>
      </c>
      <c r="F124" t="s">
        <v>58</v>
      </c>
      <c r="G124">
        <v>10005.780000000001</v>
      </c>
      <c r="H124">
        <v>5130.3500000000004</v>
      </c>
      <c r="I124" t="s">
        <v>120</v>
      </c>
      <c r="J124" t="s">
        <v>21</v>
      </c>
      <c r="K124" t="s">
        <v>32</v>
      </c>
      <c r="L124" t="s">
        <v>64</v>
      </c>
      <c r="M124">
        <v>2</v>
      </c>
      <c r="N124" t="s">
        <v>33</v>
      </c>
      <c r="O124" t="s">
        <v>70</v>
      </c>
      <c r="P124" t="s">
        <v>34</v>
      </c>
    </row>
    <row r="125" spans="1:16" x14ac:dyDescent="0.25">
      <c r="A125" t="s">
        <v>393</v>
      </c>
      <c r="B125" s="6">
        <v>45557</v>
      </c>
      <c r="C125">
        <v>6325</v>
      </c>
      <c r="D125" t="s">
        <v>394</v>
      </c>
      <c r="E125" t="s">
        <v>38</v>
      </c>
      <c r="F125" t="s">
        <v>19</v>
      </c>
      <c r="G125">
        <v>10424.459999999999</v>
      </c>
      <c r="H125">
        <v>5345.15</v>
      </c>
      <c r="I125" t="s">
        <v>40</v>
      </c>
      <c r="J125" t="s">
        <v>41</v>
      </c>
      <c r="K125" t="s">
        <v>32</v>
      </c>
      <c r="L125" t="s">
        <v>64</v>
      </c>
      <c r="M125">
        <v>5</v>
      </c>
      <c r="N125" t="s">
        <v>33</v>
      </c>
      <c r="O125" t="s">
        <v>25</v>
      </c>
      <c r="P125" t="s">
        <v>49</v>
      </c>
    </row>
    <row r="126" spans="1:16" x14ac:dyDescent="0.25">
      <c r="A126" t="s">
        <v>395</v>
      </c>
      <c r="B126" s="6">
        <v>45053</v>
      </c>
      <c r="C126">
        <v>5890</v>
      </c>
      <c r="D126" t="s">
        <v>397</v>
      </c>
      <c r="E126" t="s">
        <v>18</v>
      </c>
      <c r="F126" t="s">
        <v>39</v>
      </c>
      <c r="G126">
        <v>43779.38</v>
      </c>
      <c r="H126">
        <v>28301.27</v>
      </c>
      <c r="I126" t="s">
        <v>31</v>
      </c>
      <c r="J126" t="s">
        <v>21</v>
      </c>
      <c r="K126" t="s">
        <v>42</v>
      </c>
      <c r="L126" t="s">
        <v>48</v>
      </c>
      <c r="M126">
        <v>2</v>
      </c>
      <c r="N126" t="s">
        <v>24</v>
      </c>
      <c r="O126" t="s">
        <v>25</v>
      </c>
      <c r="P126" t="s">
        <v>34</v>
      </c>
    </row>
    <row r="127" spans="1:16" x14ac:dyDescent="0.25">
      <c r="A127" t="s">
        <v>398</v>
      </c>
      <c r="B127" s="6">
        <v>44543</v>
      </c>
      <c r="C127">
        <v>7220</v>
      </c>
      <c r="D127" t="s">
        <v>400</v>
      </c>
      <c r="E127" t="s">
        <v>38</v>
      </c>
      <c r="F127" t="s">
        <v>39</v>
      </c>
      <c r="G127">
        <v>34686.589999999997</v>
      </c>
      <c r="H127">
        <v>22231.39</v>
      </c>
      <c r="I127" t="s">
        <v>84</v>
      </c>
      <c r="J127" t="s">
        <v>54</v>
      </c>
      <c r="K127" t="s">
        <v>32</v>
      </c>
      <c r="L127" t="s">
        <v>88</v>
      </c>
      <c r="M127">
        <v>1</v>
      </c>
      <c r="N127" t="s">
        <v>33</v>
      </c>
      <c r="O127" t="s">
        <v>70</v>
      </c>
      <c r="P127" t="s">
        <v>34</v>
      </c>
    </row>
    <row r="128" spans="1:16" x14ac:dyDescent="0.25">
      <c r="A128" t="s">
        <v>401</v>
      </c>
      <c r="B128" s="6">
        <v>45030</v>
      </c>
      <c r="C128">
        <v>5442</v>
      </c>
      <c r="D128" t="s">
        <v>403</v>
      </c>
      <c r="E128" t="s">
        <v>38</v>
      </c>
      <c r="F128" t="s">
        <v>39</v>
      </c>
      <c r="G128">
        <v>9944.6299999999992</v>
      </c>
      <c r="H128">
        <v>5699.62</v>
      </c>
      <c r="I128" t="s">
        <v>40</v>
      </c>
      <c r="J128" t="s">
        <v>41</v>
      </c>
      <c r="K128" t="s">
        <v>32</v>
      </c>
      <c r="L128" t="s">
        <v>23</v>
      </c>
      <c r="M128">
        <v>1</v>
      </c>
      <c r="N128" t="s">
        <v>24</v>
      </c>
      <c r="O128" t="s">
        <v>25</v>
      </c>
      <c r="P128" t="s">
        <v>49</v>
      </c>
    </row>
    <row r="129" spans="1:16" x14ac:dyDescent="0.25">
      <c r="A129" t="s">
        <v>404</v>
      </c>
      <c r="B129" s="6">
        <v>45343</v>
      </c>
      <c r="C129">
        <v>3252</v>
      </c>
      <c r="D129" t="s">
        <v>405</v>
      </c>
      <c r="E129" t="s">
        <v>18</v>
      </c>
      <c r="F129" t="s">
        <v>39</v>
      </c>
      <c r="G129">
        <v>58243.68</v>
      </c>
      <c r="H129">
        <v>37601.08</v>
      </c>
      <c r="I129" t="s">
        <v>63</v>
      </c>
      <c r="J129" t="s">
        <v>54</v>
      </c>
      <c r="K129" t="s">
        <v>32</v>
      </c>
      <c r="L129" t="s">
        <v>64</v>
      </c>
      <c r="M129">
        <v>4</v>
      </c>
      <c r="N129" t="s">
        <v>24</v>
      </c>
      <c r="O129" t="s">
        <v>25</v>
      </c>
      <c r="P129" t="s">
        <v>34</v>
      </c>
    </row>
    <row r="130" spans="1:16" x14ac:dyDescent="0.25">
      <c r="A130" t="s">
        <v>406</v>
      </c>
      <c r="B130" s="6">
        <v>45625</v>
      </c>
      <c r="C130">
        <v>4804</v>
      </c>
      <c r="D130" t="s">
        <v>407</v>
      </c>
      <c r="E130" t="s">
        <v>18</v>
      </c>
      <c r="F130" t="s">
        <v>58</v>
      </c>
      <c r="G130">
        <v>62684.25</v>
      </c>
      <c r="H130">
        <v>30402.67</v>
      </c>
      <c r="I130" t="s">
        <v>84</v>
      </c>
      <c r="J130" t="s">
        <v>54</v>
      </c>
      <c r="K130" t="s">
        <v>32</v>
      </c>
      <c r="L130" t="s">
        <v>55</v>
      </c>
      <c r="M130">
        <v>4</v>
      </c>
      <c r="N130" t="s">
        <v>24</v>
      </c>
      <c r="O130" t="s">
        <v>25</v>
      </c>
      <c r="P130" t="s">
        <v>49</v>
      </c>
    </row>
    <row r="131" spans="1:16" x14ac:dyDescent="0.25">
      <c r="A131" t="s">
        <v>408</v>
      </c>
      <c r="B131" s="6">
        <v>44121</v>
      </c>
      <c r="C131">
        <v>2758</v>
      </c>
      <c r="D131" t="s">
        <v>410</v>
      </c>
      <c r="E131" t="s">
        <v>38</v>
      </c>
      <c r="F131" t="s">
        <v>47</v>
      </c>
      <c r="G131">
        <v>3407.07</v>
      </c>
      <c r="H131">
        <v>2207.17</v>
      </c>
      <c r="I131" t="s">
        <v>59</v>
      </c>
      <c r="J131" t="s">
        <v>41</v>
      </c>
      <c r="K131" t="s">
        <v>80</v>
      </c>
      <c r="L131" t="s">
        <v>23</v>
      </c>
      <c r="M131">
        <v>5</v>
      </c>
      <c r="N131" t="s">
        <v>24</v>
      </c>
      <c r="O131" t="s">
        <v>25</v>
      </c>
      <c r="P131" t="s">
        <v>26</v>
      </c>
    </row>
    <row r="132" spans="1:16" x14ac:dyDescent="0.25">
      <c r="A132" t="s">
        <v>411</v>
      </c>
      <c r="B132" s="6">
        <v>44657</v>
      </c>
      <c r="C132">
        <v>6523</v>
      </c>
      <c r="D132" t="s">
        <v>413</v>
      </c>
      <c r="E132" t="s">
        <v>38</v>
      </c>
      <c r="F132" t="s">
        <v>30</v>
      </c>
      <c r="G132">
        <v>64137.64</v>
      </c>
      <c r="H132">
        <v>38576</v>
      </c>
      <c r="I132" t="s">
        <v>84</v>
      </c>
      <c r="J132" t="s">
        <v>54</v>
      </c>
      <c r="K132" t="s">
        <v>32</v>
      </c>
      <c r="L132" t="s">
        <v>43</v>
      </c>
      <c r="M132">
        <v>4</v>
      </c>
      <c r="N132" t="s">
        <v>69</v>
      </c>
      <c r="O132" t="s">
        <v>25</v>
      </c>
      <c r="P132" t="s">
        <v>26</v>
      </c>
    </row>
    <row r="133" spans="1:16" x14ac:dyDescent="0.25">
      <c r="A133" t="s">
        <v>414</v>
      </c>
      <c r="B133" s="6">
        <v>44362</v>
      </c>
      <c r="C133">
        <v>1111</v>
      </c>
      <c r="D133" t="s">
        <v>416</v>
      </c>
      <c r="E133" t="s">
        <v>38</v>
      </c>
      <c r="F133" t="s">
        <v>58</v>
      </c>
      <c r="G133">
        <v>22636.1</v>
      </c>
      <c r="H133">
        <v>12208.71</v>
      </c>
      <c r="I133" t="s">
        <v>63</v>
      </c>
      <c r="J133" t="s">
        <v>54</v>
      </c>
      <c r="K133" t="s">
        <v>42</v>
      </c>
      <c r="L133" t="s">
        <v>88</v>
      </c>
      <c r="M133">
        <v>3</v>
      </c>
      <c r="N133" t="s">
        <v>24</v>
      </c>
      <c r="O133" t="s">
        <v>25</v>
      </c>
      <c r="P133" t="s">
        <v>34</v>
      </c>
    </row>
    <row r="134" spans="1:16" x14ac:dyDescent="0.25">
      <c r="A134" t="s">
        <v>417</v>
      </c>
      <c r="B134" s="6">
        <v>45165</v>
      </c>
      <c r="C134">
        <v>3616</v>
      </c>
      <c r="D134" t="s">
        <v>418</v>
      </c>
      <c r="E134" t="s">
        <v>38</v>
      </c>
      <c r="F134" t="s">
        <v>39</v>
      </c>
      <c r="G134">
        <v>34086.49</v>
      </c>
      <c r="H134">
        <v>21632.01</v>
      </c>
      <c r="I134" t="s">
        <v>31</v>
      </c>
      <c r="J134" t="s">
        <v>21</v>
      </c>
      <c r="K134" t="s">
        <v>42</v>
      </c>
      <c r="L134" t="s">
        <v>48</v>
      </c>
      <c r="M134">
        <v>1</v>
      </c>
      <c r="N134" t="s">
        <v>24</v>
      </c>
      <c r="O134" t="s">
        <v>70</v>
      </c>
      <c r="P134" t="s">
        <v>34</v>
      </c>
    </row>
    <row r="135" spans="1:16" x14ac:dyDescent="0.25">
      <c r="A135" t="s">
        <v>419</v>
      </c>
      <c r="B135" s="6">
        <v>45159</v>
      </c>
      <c r="C135">
        <v>7121</v>
      </c>
      <c r="D135" t="s">
        <v>421</v>
      </c>
      <c r="E135" t="s">
        <v>38</v>
      </c>
      <c r="F135" t="s">
        <v>47</v>
      </c>
      <c r="G135">
        <v>12965.4</v>
      </c>
      <c r="H135">
        <v>8201.39</v>
      </c>
      <c r="I135" t="s">
        <v>20</v>
      </c>
      <c r="J135" t="s">
        <v>21</v>
      </c>
      <c r="K135" t="s">
        <v>32</v>
      </c>
      <c r="L135" t="s">
        <v>23</v>
      </c>
      <c r="M135">
        <v>5</v>
      </c>
      <c r="N135" t="s">
        <v>69</v>
      </c>
      <c r="O135" t="s">
        <v>25</v>
      </c>
      <c r="P135" t="s">
        <v>34</v>
      </c>
    </row>
    <row r="136" spans="1:16" x14ac:dyDescent="0.25">
      <c r="A136" t="s">
        <v>422</v>
      </c>
      <c r="B136" s="6">
        <v>44958</v>
      </c>
      <c r="C136">
        <v>9281</v>
      </c>
      <c r="D136" t="s">
        <v>424</v>
      </c>
      <c r="E136" t="s">
        <v>18</v>
      </c>
      <c r="F136" t="s">
        <v>58</v>
      </c>
      <c r="G136">
        <v>33568.46</v>
      </c>
      <c r="H136">
        <v>16111.87</v>
      </c>
      <c r="I136" t="s">
        <v>120</v>
      </c>
      <c r="J136" t="s">
        <v>21</v>
      </c>
      <c r="K136" t="s">
        <v>42</v>
      </c>
      <c r="L136" t="s">
        <v>43</v>
      </c>
      <c r="M136">
        <v>4</v>
      </c>
      <c r="N136" t="s">
        <v>33</v>
      </c>
      <c r="O136" t="s">
        <v>25</v>
      </c>
      <c r="P136" t="s">
        <v>49</v>
      </c>
    </row>
    <row r="137" spans="1:16" x14ac:dyDescent="0.25">
      <c r="A137" t="s">
        <v>425</v>
      </c>
      <c r="B137" s="6">
        <v>43898</v>
      </c>
      <c r="C137">
        <v>7806</v>
      </c>
      <c r="D137" t="s">
        <v>427</v>
      </c>
      <c r="E137" t="s">
        <v>38</v>
      </c>
      <c r="F137" t="s">
        <v>30</v>
      </c>
      <c r="G137">
        <v>39874.14</v>
      </c>
      <c r="H137">
        <v>22399.67</v>
      </c>
      <c r="I137" t="s">
        <v>31</v>
      </c>
      <c r="J137" t="s">
        <v>21</v>
      </c>
      <c r="K137" t="s">
        <v>42</v>
      </c>
      <c r="L137" t="s">
        <v>48</v>
      </c>
      <c r="M137">
        <v>1</v>
      </c>
      <c r="N137" t="s">
        <v>33</v>
      </c>
      <c r="O137" t="s">
        <v>70</v>
      </c>
      <c r="P137" t="s">
        <v>49</v>
      </c>
    </row>
    <row r="138" spans="1:16" x14ac:dyDescent="0.25">
      <c r="A138" t="s">
        <v>428</v>
      </c>
      <c r="B138" s="6">
        <v>44594</v>
      </c>
      <c r="C138">
        <v>1987</v>
      </c>
      <c r="D138" t="s">
        <v>429</v>
      </c>
      <c r="E138" t="s">
        <v>18</v>
      </c>
      <c r="F138" t="s">
        <v>58</v>
      </c>
      <c r="G138">
        <v>53384.49</v>
      </c>
      <c r="H138">
        <v>29063.279999999999</v>
      </c>
      <c r="I138" t="s">
        <v>63</v>
      </c>
      <c r="J138" t="s">
        <v>54</v>
      </c>
      <c r="K138" t="s">
        <v>42</v>
      </c>
      <c r="L138" t="s">
        <v>64</v>
      </c>
      <c r="M138">
        <v>2</v>
      </c>
      <c r="N138" t="s">
        <v>24</v>
      </c>
      <c r="O138" t="s">
        <v>70</v>
      </c>
      <c r="P138" t="s">
        <v>49</v>
      </c>
    </row>
    <row r="139" spans="1:16" x14ac:dyDescent="0.25">
      <c r="A139" t="s">
        <v>430</v>
      </c>
      <c r="B139" s="6">
        <v>45521</v>
      </c>
      <c r="C139">
        <v>7154</v>
      </c>
      <c r="D139" t="s">
        <v>432</v>
      </c>
      <c r="E139" t="s">
        <v>18</v>
      </c>
      <c r="F139" t="s">
        <v>39</v>
      </c>
      <c r="G139">
        <v>36912.629999999997</v>
      </c>
      <c r="H139">
        <v>21496.38</v>
      </c>
      <c r="I139" t="s">
        <v>120</v>
      </c>
      <c r="J139" t="s">
        <v>21</v>
      </c>
      <c r="K139" t="s">
        <v>32</v>
      </c>
      <c r="L139" t="s">
        <v>48</v>
      </c>
      <c r="M139">
        <v>3</v>
      </c>
      <c r="N139" t="s">
        <v>33</v>
      </c>
      <c r="O139" t="s">
        <v>70</v>
      </c>
      <c r="P139" t="s">
        <v>34</v>
      </c>
    </row>
    <row r="140" spans="1:16" x14ac:dyDescent="0.25">
      <c r="A140" t="s">
        <v>433</v>
      </c>
      <c r="B140" s="6">
        <v>45303</v>
      </c>
      <c r="C140">
        <v>8585</v>
      </c>
      <c r="D140" t="s">
        <v>435</v>
      </c>
      <c r="E140" t="s">
        <v>38</v>
      </c>
      <c r="F140" t="s">
        <v>47</v>
      </c>
      <c r="G140">
        <v>11436.46</v>
      </c>
      <c r="H140">
        <v>7029.67</v>
      </c>
      <c r="I140" t="s">
        <v>31</v>
      </c>
      <c r="J140" t="s">
        <v>21</v>
      </c>
      <c r="K140" t="s">
        <v>32</v>
      </c>
      <c r="L140" t="s">
        <v>64</v>
      </c>
      <c r="M140">
        <v>3</v>
      </c>
      <c r="N140" t="s">
        <v>33</v>
      </c>
      <c r="O140" t="s">
        <v>25</v>
      </c>
      <c r="P140" t="s">
        <v>49</v>
      </c>
    </row>
    <row r="141" spans="1:16" x14ac:dyDescent="0.25">
      <c r="A141" t="s">
        <v>436</v>
      </c>
      <c r="B141" s="6">
        <v>44570</v>
      </c>
      <c r="C141">
        <v>4376</v>
      </c>
      <c r="D141" t="s">
        <v>437</v>
      </c>
      <c r="E141" t="s">
        <v>18</v>
      </c>
      <c r="F141" t="s">
        <v>47</v>
      </c>
      <c r="G141">
        <v>3761.21</v>
      </c>
      <c r="H141">
        <v>1717.8</v>
      </c>
      <c r="I141" t="s">
        <v>20</v>
      </c>
      <c r="J141" t="s">
        <v>21</v>
      </c>
      <c r="K141" t="s">
        <v>22</v>
      </c>
      <c r="L141" t="s">
        <v>23</v>
      </c>
      <c r="M141">
        <v>1</v>
      </c>
      <c r="N141" t="s">
        <v>33</v>
      </c>
      <c r="O141" t="s">
        <v>25</v>
      </c>
      <c r="P141" t="s">
        <v>26</v>
      </c>
    </row>
    <row r="142" spans="1:16" x14ac:dyDescent="0.25">
      <c r="A142" t="s">
        <v>438</v>
      </c>
      <c r="B142" s="6">
        <v>45411</v>
      </c>
      <c r="C142">
        <v>6224</v>
      </c>
      <c r="D142" t="s">
        <v>440</v>
      </c>
      <c r="E142" t="s">
        <v>38</v>
      </c>
      <c r="F142" t="s">
        <v>58</v>
      </c>
      <c r="G142">
        <v>20956.810000000001</v>
      </c>
      <c r="H142">
        <v>13103.28</v>
      </c>
      <c r="I142" t="s">
        <v>20</v>
      </c>
      <c r="J142" t="s">
        <v>21</v>
      </c>
      <c r="K142" t="s">
        <v>32</v>
      </c>
      <c r="L142" t="s">
        <v>64</v>
      </c>
      <c r="M142">
        <v>3</v>
      </c>
      <c r="N142" t="s">
        <v>33</v>
      </c>
      <c r="O142" t="s">
        <v>25</v>
      </c>
      <c r="P142" t="s">
        <v>49</v>
      </c>
    </row>
    <row r="143" spans="1:16" x14ac:dyDescent="0.25">
      <c r="A143" t="s">
        <v>441</v>
      </c>
      <c r="B143" s="6">
        <v>44815</v>
      </c>
      <c r="C143">
        <v>6642</v>
      </c>
      <c r="D143" t="s">
        <v>443</v>
      </c>
      <c r="E143" t="s">
        <v>38</v>
      </c>
      <c r="F143" t="s">
        <v>19</v>
      </c>
      <c r="G143">
        <v>11170.62</v>
      </c>
      <c r="H143">
        <v>5738.87</v>
      </c>
      <c r="I143" t="s">
        <v>68</v>
      </c>
      <c r="J143" t="s">
        <v>41</v>
      </c>
      <c r="K143" t="s">
        <v>80</v>
      </c>
      <c r="L143" t="s">
        <v>64</v>
      </c>
      <c r="M143">
        <v>2</v>
      </c>
      <c r="N143" t="s">
        <v>33</v>
      </c>
      <c r="O143" t="s">
        <v>25</v>
      </c>
      <c r="P143" t="s">
        <v>49</v>
      </c>
    </row>
    <row r="144" spans="1:16" x14ac:dyDescent="0.25">
      <c r="A144" t="s">
        <v>444</v>
      </c>
      <c r="B144" s="6">
        <v>45529</v>
      </c>
      <c r="C144">
        <v>7761</v>
      </c>
      <c r="D144" t="s">
        <v>445</v>
      </c>
      <c r="E144" t="s">
        <v>38</v>
      </c>
      <c r="F144" t="s">
        <v>39</v>
      </c>
      <c r="G144">
        <v>31738.080000000002</v>
      </c>
      <c r="H144">
        <v>15133.31</v>
      </c>
      <c r="I144" t="s">
        <v>20</v>
      </c>
      <c r="J144" t="s">
        <v>21</v>
      </c>
      <c r="K144" t="s">
        <v>32</v>
      </c>
      <c r="L144" t="s">
        <v>88</v>
      </c>
      <c r="M144">
        <v>2</v>
      </c>
      <c r="N144" t="s">
        <v>33</v>
      </c>
      <c r="O144" t="s">
        <v>25</v>
      </c>
      <c r="P144" t="s">
        <v>34</v>
      </c>
    </row>
    <row r="145" spans="1:16" x14ac:dyDescent="0.25">
      <c r="A145" t="s">
        <v>446</v>
      </c>
      <c r="B145" s="6">
        <v>45318</v>
      </c>
      <c r="C145">
        <v>7179</v>
      </c>
      <c r="D145" t="s">
        <v>447</v>
      </c>
      <c r="E145" t="s">
        <v>18</v>
      </c>
      <c r="F145" t="s">
        <v>30</v>
      </c>
      <c r="G145">
        <v>71038.399999999994</v>
      </c>
      <c r="H145">
        <v>34640.639999999999</v>
      </c>
      <c r="I145" t="s">
        <v>68</v>
      </c>
      <c r="J145" t="s">
        <v>41</v>
      </c>
      <c r="K145" t="s">
        <v>32</v>
      </c>
      <c r="L145" t="s">
        <v>64</v>
      </c>
      <c r="M145">
        <v>2</v>
      </c>
      <c r="N145" t="s">
        <v>69</v>
      </c>
      <c r="O145" t="s">
        <v>25</v>
      </c>
      <c r="P145" t="s">
        <v>26</v>
      </c>
    </row>
    <row r="146" spans="1:16" x14ac:dyDescent="0.25">
      <c r="A146" t="s">
        <v>448</v>
      </c>
      <c r="B146" s="6">
        <v>44442</v>
      </c>
      <c r="C146">
        <v>4350</v>
      </c>
      <c r="D146" t="s">
        <v>450</v>
      </c>
      <c r="E146" t="s">
        <v>38</v>
      </c>
      <c r="F146" t="s">
        <v>47</v>
      </c>
      <c r="G146">
        <v>14217.86</v>
      </c>
      <c r="H146">
        <v>7967.91</v>
      </c>
      <c r="I146" t="s">
        <v>63</v>
      </c>
      <c r="J146" t="s">
        <v>54</v>
      </c>
      <c r="K146" t="s">
        <v>42</v>
      </c>
      <c r="L146" t="s">
        <v>64</v>
      </c>
      <c r="M146">
        <v>4</v>
      </c>
      <c r="N146" t="s">
        <v>24</v>
      </c>
      <c r="O146" t="s">
        <v>25</v>
      </c>
      <c r="P146" t="s">
        <v>34</v>
      </c>
    </row>
    <row r="147" spans="1:16" x14ac:dyDescent="0.25">
      <c r="A147" t="s">
        <v>451</v>
      </c>
      <c r="B147" s="6">
        <v>45532</v>
      </c>
      <c r="C147">
        <v>4328</v>
      </c>
      <c r="D147" t="s">
        <v>452</v>
      </c>
      <c r="E147" t="s">
        <v>38</v>
      </c>
      <c r="F147" t="s">
        <v>30</v>
      </c>
      <c r="G147">
        <v>52264.959999999999</v>
      </c>
      <c r="H147">
        <v>23997.1</v>
      </c>
      <c r="I147" t="s">
        <v>53</v>
      </c>
      <c r="J147" t="s">
        <v>54</v>
      </c>
      <c r="K147" t="s">
        <v>32</v>
      </c>
      <c r="L147" t="s">
        <v>48</v>
      </c>
      <c r="M147">
        <v>2</v>
      </c>
      <c r="N147" t="s">
        <v>33</v>
      </c>
      <c r="O147" t="s">
        <v>25</v>
      </c>
      <c r="P147" t="s">
        <v>49</v>
      </c>
    </row>
    <row r="148" spans="1:16" x14ac:dyDescent="0.25">
      <c r="A148" t="s">
        <v>453</v>
      </c>
      <c r="B148" s="6">
        <v>44314</v>
      </c>
      <c r="C148">
        <v>5026</v>
      </c>
      <c r="D148" t="s">
        <v>455</v>
      </c>
      <c r="E148" t="s">
        <v>38</v>
      </c>
      <c r="F148" t="s">
        <v>39</v>
      </c>
      <c r="G148">
        <v>21395.52</v>
      </c>
      <c r="H148">
        <v>13665.17</v>
      </c>
      <c r="I148" t="s">
        <v>120</v>
      </c>
      <c r="J148" t="s">
        <v>21</v>
      </c>
      <c r="K148" t="s">
        <v>42</v>
      </c>
      <c r="L148" t="s">
        <v>88</v>
      </c>
      <c r="M148">
        <v>4</v>
      </c>
      <c r="N148" t="s">
        <v>69</v>
      </c>
      <c r="O148" t="s">
        <v>70</v>
      </c>
      <c r="P148" t="s">
        <v>34</v>
      </c>
    </row>
    <row r="149" spans="1:16" x14ac:dyDescent="0.25">
      <c r="A149" t="s">
        <v>456</v>
      </c>
      <c r="B149" s="6">
        <v>44476</v>
      </c>
      <c r="C149">
        <v>4015</v>
      </c>
      <c r="D149" t="s">
        <v>457</v>
      </c>
      <c r="E149" t="s">
        <v>18</v>
      </c>
      <c r="F149" t="s">
        <v>19</v>
      </c>
      <c r="G149">
        <v>9432.61</v>
      </c>
      <c r="H149">
        <v>5827.6</v>
      </c>
      <c r="I149" t="s">
        <v>31</v>
      </c>
      <c r="J149" t="s">
        <v>21</v>
      </c>
      <c r="K149" t="s">
        <v>22</v>
      </c>
      <c r="L149" t="s">
        <v>48</v>
      </c>
      <c r="M149">
        <v>1</v>
      </c>
      <c r="N149" t="s">
        <v>24</v>
      </c>
      <c r="O149" t="s">
        <v>25</v>
      </c>
      <c r="P149" t="s">
        <v>49</v>
      </c>
    </row>
    <row r="150" spans="1:16" x14ac:dyDescent="0.25">
      <c r="A150" t="s">
        <v>458</v>
      </c>
      <c r="B150" s="6">
        <v>44430</v>
      </c>
      <c r="C150">
        <v>1990</v>
      </c>
      <c r="D150" t="s">
        <v>459</v>
      </c>
      <c r="E150" t="s">
        <v>38</v>
      </c>
      <c r="F150" t="s">
        <v>58</v>
      </c>
      <c r="G150">
        <v>33041.39</v>
      </c>
      <c r="H150">
        <v>14972.59</v>
      </c>
      <c r="I150" t="s">
        <v>84</v>
      </c>
      <c r="J150" t="s">
        <v>54</v>
      </c>
      <c r="K150" t="s">
        <v>80</v>
      </c>
      <c r="L150" t="s">
        <v>55</v>
      </c>
      <c r="M150">
        <v>1</v>
      </c>
      <c r="N150" t="s">
        <v>24</v>
      </c>
      <c r="O150" t="s">
        <v>25</v>
      </c>
      <c r="P150" t="s">
        <v>34</v>
      </c>
    </row>
    <row r="151" spans="1:16" x14ac:dyDescent="0.25">
      <c r="A151" t="s">
        <v>460</v>
      </c>
      <c r="B151" s="6">
        <v>45383</v>
      </c>
      <c r="C151">
        <v>2578</v>
      </c>
      <c r="D151" t="s">
        <v>462</v>
      </c>
      <c r="E151" t="s">
        <v>18</v>
      </c>
      <c r="F151" t="s">
        <v>19</v>
      </c>
      <c r="G151">
        <v>10491.07</v>
      </c>
      <c r="H151">
        <v>6021.41</v>
      </c>
      <c r="I151" t="s">
        <v>84</v>
      </c>
      <c r="J151" t="s">
        <v>54</v>
      </c>
      <c r="K151" t="s">
        <v>42</v>
      </c>
      <c r="L151" t="s">
        <v>88</v>
      </c>
      <c r="M151">
        <v>3</v>
      </c>
      <c r="N151" t="s">
        <v>24</v>
      </c>
      <c r="O151" t="s">
        <v>25</v>
      </c>
      <c r="P151" t="s">
        <v>34</v>
      </c>
    </row>
    <row r="152" spans="1:16" x14ac:dyDescent="0.25">
      <c r="A152" t="s">
        <v>463</v>
      </c>
      <c r="B152" s="6">
        <v>44547</v>
      </c>
      <c r="C152">
        <v>1519</v>
      </c>
      <c r="D152" t="s">
        <v>147</v>
      </c>
      <c r="E152" t="s">
        <v>18</v>
      </c>
      <c r="F152" t="s">
        <v>47</v>
      </c>
      <c r="G152">
        <v>6431.08</v>
      </c>
      <c r="H152">
        <v>3379.11</v>
      </c>
      <c r="I152" t="s">
        <v>20</v>
      </c>
      <c r="J152" t="s">
        <v>21</v>
      </c>
      <c r="K152" t="s">
        <v>80</v>
      </c>
      <c r="L152" t="s">
        <v>55</v>
      </c>
      <c r="M152">
        <v>1</v>
      </c>
      <c r="N152" t="s">
        <v>24</v>
      </c>
      <c r="O152" t="s">
        <v>25</v>
      </c>
      <c r="P152" t="s">
        <v>34</v>
      </c>
    </row>
    <row r="153" spans="1:16" x14ac:dyDescent="0.25">
      <c r="A153" t="s">
        <v>465</v>
      </c>
      <c r="B153" s="6">
        <v>45340</v>
      </c>
      <c r="C153">
        <v>1697</v>
      </c>
      <c r="D153" t="s">
        <v>466</v>
      </c>
      <c r="E153" t="s">
        <v>18</v>
      </c>
      <c r="F153" t="s">
        <v>30</v>
      </c>
      <c r="G153">
        <v>34291.81</v>
      </c>
      <c r="H153">
        <v>21385.17</v>
      </c>
      <c r="I153" t="s">
        <v>120</v>
      </c>
      <c r="J153" t="s">
        <v>21</v>
      </c>
      <c r="K153" t="s">
        <v>80</v>
      </c>
      <c r="L153" t="s">
        <v>88</v>
      </c>
      <c r="M153">
        <v>1</v>
      </c>
      <c r="N153" t="s">
        <v>69</v>
      </c>
      <c r="O153" t="s">
        <v>70</v>
      </c>
      <c r="P153" t="s">
        <v>34</v>
      </c>
    </row>
    <row r="154" spans="1:16" x14ac:dyDescent="0.25">
      <c r="A154" t="s">
        <v>467</v>
      </c>
      <c r="B154" s="6">
        <v>44358</v>
      </c>
      <c r="C154">
        <v>4394</v>
      </c>
      <c r="D154" t="s">
        <v>468</v>
      </c>
      <c r="E154" t="s">
        <v>18</v>
      </c>
      <c r="F154" t="s">
        <v>19</v>
      </c>
      <c r="G154">
        <v>9184.9</v>
      </c>
      <c r="H154">
        <v>5442.44</v>
      </c>
      <c r="I154" t="s">
        <v>40</v>
      </c>
      <c r="J154" t="s">
        <v>41</v>
      </c>
      <c r="K154" t="s">
        <v>80</v>
      </c>
      <c r="L154" t="s">
        <v>55</v>
      </c>
      <c r="M154">
        <v>3</v>
      </c>
      <c r="N154" t="s">
        <v>33</v>
      </c>
      <c r="O154" t="s">
        <v>25</v>
      </c>
      <c r="P154" t="s">
        <v>34</v>
      </c>
    </row>
    <row r="155" spans="1:16" x14ac:dyDescent="0.25">
      <c r="A155" t="s">
        <v>469</v>
      </c>
      <c r="B155" s="6">
        <v>45363</v>
      </c>
      <c r="C155">
        <v>2284</v>
      </c>
      <c r="D155" t="s">
        <v>470</v>
      </c>
      <c r="E155" t="s">
        <v>38</v>
      </c>
      <c r="F155" t="s">
        <v>39</v>
      </c>
      <c r="G155">
        <v>10964.98</v>
      </c>
      <c r="H155">
        <v>5892.77</v>
      </c>
      <c r="I155" t="s">
        <v>31</v>
      </c>
      <c r="J155" t="s">
        <v>21</v>
      </c>
      <c r="K155" t="s">
        <v>22</v>
      </c>
      <c r="L155" t="s">
        <v>88</v>
      </c>
      <c r="M155">
        <v>5</v>
      </c>
      <c r="N155" t="s">
        <v>24</v>
      </c>
      <c r="O155" t="s">
        <v>70</v>
      </c>
      <c r="P155" t="s">
        <v>34</v>
      </c>
    </row>
    <row r="156" spans="1:16" x14ac:dyDescent="0.25">
      <c r="A156" t="s">
        <v>471</v>
      </c>
      <c r="B156" s="6">
        <v>44792</v>
      </c>
      <c r="C156">
        <v>4737</v>
      </c>
      <c r="D156" t="s">
        <v>473</v>
      </c>
      <c r="E156" t="s">
        <v>38</v>
      </c>
      <c r="F156" t="s">
        <v>58</v>
      </c>
      <c r="G156">
        <v>21346.799999999999</v>
      </c>
      <c r="H156">
        <v>11208.89</v>
      </c>
      <c r="I156" t="s">
        <v>59</v>
      </c>
      <c r="J156" t="s">
        <v>41</v>
      </c>
      <c r="K156" t="s">
        <v>32</v>
      </c>
      <c r="L156" t="s">
        <v>48</v>
      </c>
      <c r="M156">
        <v>5</v>
      </c>
      <c r="N156" t="s">
        <v>24</v>
      </c>
      <c r="O156" t="s">
        <v>25</v>
      </c>
      <c r="P156" t="s">
        <v>49</v>
      </c>
    </row>
    <row r="157" spans="1:16" x14ac:dyDescent="0.25">
      <c r="A157" t="s">
        <v>474</v>
      </c>
      <c r="B157" s="6">
        <v>43909</v>
      </c>
      <c r="C157">
        <v>3527</v>
      </c>
      <c r="D157" t="s">
        <v>476</v>
      </c>
      <c r="E157" t="s">
        <v>38</v>
      </c>
      <c r="F157" t="s">
        <v>19</v>
      </c>
      <c r="G157">
        <v>7282.65</v>
      </c>
      <c r="H157">
        <v>3432.39</v>
      </c>
      <c r="I157" t="s">
        <v>63</v>
      </c>
      <c r="J157" t="s">
        <v>54</v>
      </c>
      <c r="K157" t="s">
        <v>22</v>
      </c>
      <c r="L157" t="s">
        <v>88</v>
      </c>
      <c r="M157">
        <v>4</v>
      </c>
      <c r="N157" t="s">
        <v>33</v>
      </c>
      <c r="O157" t="s">
        <v>25</v>
      </c>
      <c r="P157" t="s">
        <v>26</v>
      </c>
    </row>
    <row r="158" spans="1:16" x14ac:dyDescent="0.25">
      <c r="A158" t="s">
        <v>477</v>
      </c>
      <c r="B158" s="6">
        <v>45135</v>
      </c>
      <c r="C158">
        <v>1430</v>
      </c>
      <c r="D158" t="s">
        <v>478</v>
      </c>
      <c r="E158" t="s">
        <v>18</v>
      </c>
      <c r="F158" t="s">
        <v>30</v>
      </c>
      <c r="G158">
        <v>52213.33</v>
      </c>
      <c r="H158">
        <v>24467.84</v>
      </c>
      <c r="I158" t="s">
        <v>53</v>
      </c>
      <c r="J158" t="s">
        <v>54</v>
      </c>
      <c r="K158" t="s">
        <v>42</v>
      </c>
      <c r="L158" t="s">
        <v>64</v>
      </c>
      <c r="M158">
        <v>1</v>
      </c>
      <c r="N158" t="s">
        <v>33</v>
      </c>
      <c r="O158" t="s">
        <v>25</v>
      </c>
      <c r="P158" t="s">
        <v>26</v>
      </c>
    </row>
    <row r="159" spans="1:16" x14ac:dyDescent="0.25">
      <c r="A159" t="s">
        <v>479</v>
      </c>
      <c r="B159" s="6">
        <v>45584</v>
      </c>
      <c r="C159">
        <v>3778</v>
      </c>
      <c r="D159" t="s">
        <v>481</v>
      </c>
      <c r="E159" t="s">
        <v>38</v>
      </c>
      <c r="F159" t="s">
        <v>47</v>
      </c>
      <c r="G159">
        <v>5773.46</v>
      </c>
      <c r="H159">
        <v>2908.58</v>
      </c>
      <c r="I159" t="s">
        <v>31</v>
      </c>
      <c r="J159" t="s">
        <v>21</v>
      </c>
      <c r="K159" t="s">
        <v>42</v>
      </c>
      <c r="L159" t="s">
        <v>64</v>
      </c>
      <c r="M159">
        <v>2</v>
      </c>
      <c r="N159" t="s">
        <v>33</v>
      </c>
      <c r="O159" t="s">
        <v>25</v>
      </c>
      <c r="P159" t="s">
        <v>34</v>
      </c>
    </row>
    <row r="160" spans="1:16" x14ac:dyDescent="0.25">
      <c r="A160" t="s">
        <v>482</v>
      </c>
      <c r="B160" s="6">
        <v>45612</v>
      </c>
      <c r="C160">
        <v>4203</v>
      </c>
      <c r="D160" t="s">
        <v>484</v>
      </c>
      <c r="E160" t="s">
        <v>38</v>
      </c>
      <c r="F160" t="s">
        <v>39</v>
      </c>
      <c r="G160">
        <v>15795.13</v>
      </c>
      <c r="H160">
        <v>8070.23</v>
      </c>
      <c r="I160" t="s">
        <v>63</v>
      </c>
      <c r="J160" t="s">
        <v>54</v>
      </c>
      <c r="K160" t="s">
        <v>80</v>
      </c>
      <c r="L160" t="s">
        <v>88</v>
      </c>
      <c r="M160">
        <v>5</v>
      </c>
      <c r="N160" t="s">
        <v>33</v>
      </c>
      <c r="O160" t="s">
        <v>70</v>
      </c>
      <c r="P160" t="s">
        <v>34</v>
      </c>
    </row>
    <row r="161" spans="1:16" x14ac:dyDescent="0.25">
      <c r="A161" t="s">
        <v>485</v>
      </c>
      <c r="B161" s="6">
        <v>44361</v>
      </c>
      <c r="C161">
        <v>4290</v>
      </c>
      <c r="D161" t="s">
        <v>487</v>
      </c>
      <c r="E161" t="s">
        <v>38</v>
      </c>
      <c r="F161" t="s">
        <v>47</v>
      </c>
      <c r="G161">
        <v>6555.84</v>
      </c>
      <c r="H161">
        <v>4214.8500000000004</v>
      </c>
      <c r="I161" t="s">
        <v>84</v>
      </c>
      <c r="J161" t="s">
        <v>54</v>
      </c>
      <c r="K161" t="s">
        <v>42</v>
      </c>
      <c r="L161" t="s">
        <v>88</v>
      </c>
      <c r="M161">
        <v>4</v>
      </c>
      <c r="N161" t="s">
        <v>69</v>
      </c>
      <c r="O161" t="s">
        <v>70</v>
      </c>
      <c r="P161" t="s">
        <v>34</v>
      </c>
    </row>
    <row r="162" spans="1:16" x14ac:dyDescent="0.25">
      <c r="A162" t="s">
        <v>488</v>
      </c>
      <c r="B162" s="6">
        <v>45394</v>
      </c>
      <c r="C162">
        <v>9939</v>
      </c>
      <c r="D162" t="s">
        <v>490</v>
      </c>
      <c r="E162" t="s">
        <v>18</v>
      </c>
      <c r="F162" t="s">
        <v>39</v>
      </c>
      <c r="G162">
        <v>44244.78</v>
      </c>
      <c r="H162">
        <v>24777.95</v>
      </c>
      <c r="I162" t="s">
        <v>53</v>
      </c>
      <c r="J162" t="s">
        <v>54</v>
      </c>
      <c r="K162" t="s">
        <v>80</v>
      </c>
      <c r="L162" t="s">
        <v>48</v>
      </c>
      <c r="M162">
        <v>2</v>
      </c>
      <c r="N162" t="s">
        <v>33</v>
      </c>
      <c r="O162" t="s">
        <v>25</v>
      </c>
      <c r="P162" t="s">
        <v>49</v>
      </c>
    </row>
    <row r="163" spans="1:16" x14ac:dyDescent="0.25">
      <c r="A163" t="s">
        <v>491</v>
      </c>
      <c r="B163" s="6">
        <v>44352</v>
      </c>
      <c r="C163">
        <v>5139</v>
      </c>
      <c r="D163" t="s">
        <v>492</v>
      </c>
      <c r="E163" t="s">
        <v>18</v>
      </c>
      <c r="F163" t="s">
        <v>19</v>
      </c>
      <c r="G163">
        <v>14148.35</v>
      </c>
      <c r="H163">
        <v>8599.58</v>
      </c>
      <c r="I163" t="s">
        <v>53</v>
      </c>
      <c r="J163" t="s">
        <v>54</v>
      </c>
      <c r="K163" t="s">
        <v>22</v>
      </c>
      <c r="L163" t="s">
        <v>64</v>
      </c>
      <c r="M163">
        <v>5</v>
      </c>
      <c r="N163" t="s">
        <v>24</v>
      </c>
      <c r="O163" t="s">
        <v>25</v>
      </c>
      <c r="P163" t="s">
        <v>49</v>
      </c>
    </row>
    <row r="164" spans="1:16" x14ac:dyDescent="0.25">
      <c r="A164" t="s">
        <v>493</v>
      </c>
      <c r="B164" s="6">
        <v>44015</v>
      </c>
      <c r="C164">
        <v>2392</v>
      </c>
      <c r="D164" t="s">
        <v>494</v>
      </c>
      <c r="E164" t="s">
        <v>18</v>
      </c>
      <c r="F164" t="s">
        <v>39</v>
      </c>
      <c r="G164">
        <v>18211.21</v>
      </c>
      <c r="H164">
        <v>10590.19</v>
      </c>
      <c r="I164" t="s">
        <v>40</v>
      </c>
      <c r="J164" t="s">
        <v>41</v>
      </c>
      <c r="K164" t="s">
        <v>42</v>
      </c>
      <c r="L164" t="s">
        <v>23</v>
      </c>
      <c r="M164">
        <v>5</v>
      </c>
      <c r="N164" t="s">
        <v>33</v>
      </c>
      <c r="O164" t="s">
        <v>70</v>
      </c>
      <c r="P164" t="s">
        <v>49</v>
      </c>
    </row>
    <row r="165" spans="1:16" x14ac:dyDescent="0.25">
      <c r="A165" t="s">
        <v>495</v>
      </c>
      <c r="B165" s="6">
        <v>44567</v>
      </c>
      <c r="C165">
        <v>5239</v>
      </c>
      <c r="D165" t="s">
        <v>497</v>
      </c>
      <c r="E165" t="s">
        <v>18</v>
      </c>
      <c r="F165" t="s">
        <v>47</v>
      </c>
      <c r="G165">
        <v>8883.4500000000007</v>
      </c>
      <c r="H165">
        <v>4919.3</v>
      </c>
      <c r="I165" t="s">
        <v>120</v>
      </c>
      <c r="J165" t="s">
        <v>21</v>
      </c>
      <c r="K165" t="s">
        <v>32</v>
      </c>
      <c r="L165" t="s">
        <v>64</v>
      </c>
      <c r="M165">
        <v>3</v>
      </c>
      <c r="N165" t="s">
        <v>33</v>
      </c>
      <c r="O165" t="s">
        <v>70</v>
      </c>
      <c r="P165" t="s">
        <v>49</v>
      </c>
    </row>
    <row r="166" spans="1:16" x14ac:dyDescent="0.25">
      <c r="A166" t="s">
        <v>498</v>
      </c>
      <c r="B166" s="6">
        <v>43884</v>
      </c>
      <c r="C166">
        <v>7815</v>
      </c>
      <c r="D166" t="s">
        <v>499</v>
      </c>
      <c r="E166" t="s">
        <v>18</v>
      </c>
      <c r="F166" t="s">
        <v>39</v>
      </c>
      <c r="G166">
        <v>8122.72</v>
      </c>
      <c r="H166">
        <v>5183.3900000000003</v>
      </c>
      <c r="I166" t="s">
        <v>20</v>
      </c>
      <c r="J166" t="s">
        <v>21</v>
      </c>
      <c r="K166" t="s">
        <v>32</v>
      </c>
      <c r="L166" t="s">
        <v>88</v>
      </c>
      <c r="M166">
        <v>3</v>
      </c>
      <c r="N166" t="s">
        <v>33</v>
      </c>
      <c r="O166" t="s">
        <v>70</v>
      </c>
      <c r="P166" t="s">
        <v>49</v>
      </c>
    </row>
    <row r="167" spans="1:16" x14ac:dyDescent="0.25">
      <c r="A167" t="s">
        <v>500</v>
      </c>
      <c r="B167" s="6">
        <v>45523</v>
      </c>
      <c r="C167">
        <v>2100</v>
      </c>
      <c r="D167" t="s">
        <v>502</v>
      </c>
      <c r="E167" t="s">
        <v>38</v>
      </c>
      <c r="F167" t="s">
        <v>58</v>
      </c>
      <c r="G167">
        <v>12066.59</v>
      </c>
      <c r="H167">
        <v>7145.3</v>
      </c>
      <c r="I167" t="s">
        <v>120</v>
      </c>
      <c r="J167" t="s">
        <v>21</v>
      </c>
      <c r="K167" t="s">
        <v>22</v>
      </c>
      <c r="L167" t="s">
        <v>88</v>
      </c>
      <c r="M167">
        <v>1</v>
      </c>
      <c r="N167" t="s">
        <v>24</v>
      </c>
      <c r="O167" t="s">
        <v>25</v>
      </c>
      <c r="P167" t="s">
        <v>49</v>
      </c>
    </row>
    <row r="168" spans="1:16" x14ac:dyDescent="0.25">
      <c r="A168" t="s">
        <v>503</v>
      </c>
      <c r="B168" s="6">
        <v>44780</v>
      </c>
      <c r="C168">
        <v>4798</v>
      </c>
      <c r="D168" t="s">
        <v>505</v>
      </c>
      <c r="E168" t="s">
        <v>38</v>
      </c>
      <c r="F168" t="s">
        <v>30</v>
      </c>
      <c r="G168">
        <v>69567</v>
      </c>
      <c r="H168">
        <v>33898.43</v>
      </c>
      <c r="I168" t="s">
        <v>63</v>
      </c>
      <c r="J168" t="s">
        <v>54</v>
      </c>
      <c r="K168" t="s">
        <v>80</v>
      </c>
      <c r="L168" t="s">
        <v>64</v>
      </c>
      <c r="M168">
        <v>1</v>
      </c>
      <c r="N168" t="s">
        <v>24</v>
      </c>
      <c r="O168" t="s">
        <v>70</v>
      </c>
      <c r="P168" t="s">
        <v>34</v>
      </c>
    </row>
    <row r="169" spans="1:16" x14ac:dyDescent="0.25">
      <c r="A169" t="s">
        <v>506</v>
      </c>
      <c r="B169" s="6">
        <v>44339</v>
      </c>
      <c r="C169">
        <v>2667</v>
      </c>
      <c r="D169" t="s">
        <v>508</v>
      </c>
      <c r="E169" t="s">
        <v>18</v>
      </c>
      <c r="F169" t="s">
        <v>58</v>
      </c>
      <c r="G169">
        <v>18304.189999999999</v>
      </c>
      <c r="H169">
        <v>8958.34</v>
      </c>
      <c r="I169" t="s">
        <v>120</v>
      </c>
      <c r="J169" t="s">
        <v>21</v>
      </c>
      <c r="K169" t="s">
        <v>22</v>
      </c>
      <c r="L169" t="s">
        <v>88</v>
      </c>
      <c r="M169">
        <v>4</v>
      </c>
      <c r="N169" t="s">
        <v>24</v>
      </c>
      <c r="O169" t="s">
        <v>70</v>
      </c>
      <c r="P169" t="s">
        <v>49</v>
      </c>
    </row>
    <row r="170" spans="1:16" x14ac:dyDescent="0.25">
      <c r="A170" t="s">
        <v>509</v>
      </c>
      <c r="B170" s="6">
        <v>44796</v>
      </c>
      <c r="C170">
        <v>3826</v>
      </c>
      <c r="D170" t="s">
        <v>511</v>
      </c>
      <c r="E170" t="s">
        <v>38</v>
      </c>
      <c r="F170" t="s">
        <v>30</v>
      </c>
      <c r="G170">
        <v>94876.59</v>
      </c>
      <c r="H170">
        <v>53893.1</v>
      </c>
      <c r="I170" t="s">
        <v>53</v>
      </c>
      <c r="J170" t="s">
        <v>54</v>
      </c>
      <c r="K170" t="s">
        <v>32</v>
      </c>
      <c r="L170" t="s">
        <v>88</v>
      </c>
      <c r="M170">
        <v>1</v>
      </c>
      <c r="N170" t="s">
        <v>33</v>
      </c>
      <c r="O170" t="s">
        <v>25</v>
      </c>
      <c r="P170" t="s">
        <v>34</v>
      </c>
    </row>
    <row r="171" spans="1:16" x14ac:dyDescent="0.25">
      <c r="A171" t="s">
        <v>512</v>
      </c>
      <c r="B171" s="6">
        <v>45221</v>
      </c>
      <c r="C171">
        <v>7931</v>
      </c>
      <c r="D171" t="s">
        <v>514</v>
      </c>
      <c r="E171" t="s">
        <v>18</v>
      </c>
      <c r="F171" t="s">
        <v>39</v>
      </c>
      <c r="G171">
        <v>26519.13</v>
      </c>
      <c r="H171">
        <v>14783.77</v>
      </c>
      <c r="I171" t="s">
        <v>31</v>
      </c>
      <c r="J171" t="s">
        <v>21</v>
      </c>
      <c r="K171" t="s">
        <v>32</v>
      </c>
      <c r="L171" t="s">
        <v>43</v>
      </c>
      <c r="M171">
        <v>2</v>
      </c>
      <c r="N171" t="s">
        <v>24</v>
      </c>
      <c r="O171" t="s">
        <v>25</v>
      </c>
      <c r="P171" t="s">
        <v>34</v>
      </c>
    </row>
    <row r="172" spans="1:16" x14ac:dyDescent="0.25">
      <c r="A172" t="s">
        <v>515</v>
      </c>
      <c r="B172" s="6">
        <v>44566</v>
      </c>
      <c r="C172">
        <v>3236</v>
      </c>
      <c r="D172" t="s">
        <v>516</v>
      </c>
      <c r="E172" t="s">
        <v>18</v>
      </c>
      <c r="F172" t="s">
        <v>58</v>
      </c>
      <c r="G172">
        <v>28622.240000000002</v>
      </c>
      <c r="H172">
        <v>18397.400000000001</v>
      </c>
      <c r="I172" t="s">
        <v>40</v>
      </c>
      <c r="J172" t="s">
        <v>41</v>
      </c>
      <c r="K172" t="s">
        <v>80</v>
      </c>
      <c r="L172" t="s">
        <v>64</v>
      </c>
      <c r="M172">
        <v>4</v>
      </c>
      <c r="N172" t="s">
        <v>33</v>
      </c>
      <c r="O172" t="s">
        <v>70</v>
      </c>
      <c r="P172" t="s">
        <v>34</v>
      </c>
    </row>
    <row r="173" spans="1:16" x14ac:dyDescent="0.25">
      <c r="A173" t="s">
        <v>517</v>
      </c>
      <c r="B173" s="6">
        <v>45441</v>
      </c>
      <c r="C173">
        <v>5503</v>
      </c>
      <c r="D173" t="s">
        <v>518</v>
      </c>
      <c r="E173" t="s">
        <v>18</v>
      </c>
      <c r="F173" t="s">
        <v>58</v>
      </c>
      <c r="G173">
        <v>41837.279999999999</v>
      </c>
      <c r="H173">
        <v>20234.259999999998</v>
      </c>
      <c r="I173" t="s">
        <v>84</v>
      </c>
      <c r="J173" t="s">
        <v>54</v>
      </c>
      <c r="K173" t="s">
        <v>80</v>
      </c>
      <c r="L173" t="s">
        <v>43</v>
      </c>
      <c r="M173">
        <v>4</v>
      </c>
      <c r="N173" t="s">
        <v>24</v>
      </c>
      <c r="O173" t="s">
        <v>25</v>
      </c>
      <c r="P173" t="s">
        <v>26</v>
      </c>
    </row>
    <row r="174" spans="1:16" x14ac:dyDescent="0.25">
      <c r="A174" t="s">
        <v>519</v>
      </c>
      <c r="B174" s="6">
        <v>44583</v>
      </c>
      <c r="C174">
        <v>9951</v>
      </c>
      <c r="D174" t="s">
        <v>521</v>
      </c>
      <c r="E174" t="s">
        <v>18</v>
      </c>
      <c r="F174" t="s">
        <v>47</v>
      </c>
      <c r="G174">
        <v>17846.64</v>
      </c>
      <c r="H174">
        <v>8396.5499999999993</v>
      </c>
      <c r="I174" t="s">
        <v>84</v>
      </c>
      <c r="J174" t="s">
        <v>54</v>
      </c>
      <c r="K174" t="s">
        <v>32</v>
      </c>
      <c r="L174" t="s">
        <v>88</v>
      </c>
      <c r="M174">
        <v>1</v>
      </c>
      <c r="N174" t="s">
        <v>33</v>
      </c>
      <c r="O174" t="s">
        <v>25</v>
      </c>
      <c r="P174" t="s">
        <v>26</v>
      </c>
    </row>
    <row r="175" spans="1:16" x14ac:dyDescent="0.25">
      <c r="A175" t="s">
        <v>522</v>
      </c>
      <c r="B175" s="6">
        <v>44498</v>
      </c>
      <c r="C175">
        <v>6744</v>
      </c>
      <c r="D175" t="s">
        <v>523</v>
      </c>
      <c r="E175" t="s">
        <v>38</v>
      </c>
      <c r="F175" t="s">
        <v>19</v>
      </c>
      <c r="G175">
        <v>6024.87</v>
      </c>
      <c r="H175">
        <v>2878.97</v>
      </c>
      <c r="I175" t="s">
        <v>63</v>
      </c>
      <c r="J175" t="s">
        <v>54</v>
      </c>
      <c r="K175" t="s">
        <v>32</v>
      </c>
      <c r="L175" t="s">
        <v>23</v>
      </c>
      <c r="M175">
        <v>1</v>
      </c>
      <c r="N175" t="s">
        <v>24</v>
      </c>
      <c r="O175" t="s">
        <v>25</v>
      </c>
      <c r="P175" t="s">
        <v>49</v>
      </c>
    </row>
    <row r="176" spans="1:16" x14ac:dyDescent="0.25">
      <c r="A176" t="s">
        <v>524</v>
      </c>
      <c r="B176" s="6">
        <v>44855</v>
      </c>
      <c r="C176">
        <v>9428</v>
      </c>
      <c r="D176" t="s">
        <v>526</v>
      </c>
      <c r="E176" t="s">
        <v>18</v>
      </c>
      <c r="F176" t="s">
        <v>47</v>
      </c>
      <c r="G176">
        <v>4194.8599999999997</v>
      </c>
      <c r="H176">
        <v>2516.9899999999998</v>
      </c>
      <c r="I176" t="s">
        <v>120</v>
      </c>
      <c r="J176" t="s">
        <v>21</v>
      </c>
      <c r="K176" t="s">
        <v>80</v>
      </c>
      <c r="L176" t="s">
        <v>55</v>
      </c>
      <c r="M176">
        <v>3</v>
      </c>
      <c r="N176" t="s">
        <v>69</v>
      </c>
      <c r="O176" t="s">
        <v>25</v>
      </c>
      <c r="P176" t="s">
        <v>26</v>
      </c>
    </row>
    <row r="177" spans="1:16" x14ac:dyDescent="0.25">
      <c r="A177" t="s">
        <v>527</v>
      </c>
      <c r="B177" s="6">
        <v>44543</v>
      </c>
      <c r="C177">
        <v>9019</v>
      </c>
      <c r="D177" t="s">
        <v>528</v>
      </c>
      <c r="E177" t="s">
        <v>18</v>
      </c>
      <c r="F177" t="s">
        <v>39</v>
      </c>
      <c r="G177">
        <v>26576.14</v>
      </c>
      <c r="H177">
        <v>13387.56</v>
      </c>
      <c r="I177" t="s">
        <v>84</v>
      </c>
      <c r="J177" t="s">
        <v>54</v>
      </c>
      <c r="K177" t="s">
        <v>80</v>
      </c>
      <c r="L177" t="s">
        <v>64</v>
      </c>
      <c r="M177">
        <v>4</v>
      </c>
      <c r="N177" t="s">
        <v>33</v>
      </c>
      <c r="O177" t="s">
        <v>70</v>
      </c>
      <c r="P177" t="s">
        <v>26</v>
      </c>
    </row>
    <row r="178" spans="1:16" x14ac:dyDescent="0.25">
      <c r="A178" t="s">
        <v>529</v>
      </c>
      <c r="B178" s="6">
        <v>45480</v>
      </c>
      <c r="C178">
        <v>8996</v>
      </c>
      <c r="D178" t="s">
        <v>531</v>
      </c>
      <c r="E178" t="s">
        <v>38</v>
      </c>
      <c r="F178" t="s">
        <v>39</v>
      </c>
      <c r="G178">
        <v>39306.800000000003</v>
      </c>
      <c r="H178">
        <v>24518.86</v>
      </c>
      <c r="I178" t="s">
        <v>84</v>
      </c>
      <c r="J178" t="s">
        <v>54</v>
      </c>
      <c r="K178" t="s">
        <v>22</v>
      </c>
      <c r="L178" t="s">
        <v>48</v>
      </c>
      <c r="M178">
        <v>4</v>
      </c>
      <c r="N178" t="s">
        <v>24</v>
      </c>
      <c r="O178" t="s">
        <v>70</v>
      </c>
      <c r="P178" t="s">
        <v>26</v>
      </c>
    </row>
    <row r="179" spans="1:16" x14ac:dyDescent="0.25">
      <c r="A179" t="s">
        <v>532</v>
      </c>
      <c r="B179" s="6">
        <v>44670</v>
      </c>
      <c r="C179">
        <v>5399</v>
      </c>
      <c r="D179" t="s">
        <v>534</v>
      </c>
      <c r="E179" t="s">
        <v>38</v>
      </c>
      <c r="F179" t="s">
        <v>58</v>
      </c>
      <c r="G179">
        <v>38648.71</v>
      </c>
      <c r="H179">
        <v>20002.68</v>
      </c>
      <c r="I179" t="s">
        <v>120</v>
      </c>
      <c r="J179" t="s">
        <v>21</v>
      </c>
      <c r="K179" t="s">
        <v>32</v>
      </c>
      <c r="L179" t="s">
        <v>43</v>
      </c>
      <c r="M179">
        <v>4</v>
      </c>
      <c r="N179" t="s">
        <v>24</v>
      </c>
      <c r="O179" t="s">
        <v>70</v>
      </c>
      <c r="P179" t="s">
        <v>26</v>
      </c>
    </row>
    <row r="180" spans="1:16" x14ac:dyDescent="0.25">
      <c r="A180" t="s">
        <v>535</v>
      </c>
      <c r="B180" s="6">
        <v>44990</v>
      </c>
      <c r="C180">
        <v>8230</v>
      </c>
      <c r="D180" t="s">
        <v>537</v>
      </c>
      <c r="E180" t="s">
        <v>38</v>
      </c>
      <c r="F180" t="s">
        <v>19</v>
      </c>
      <c r="G180">
        <v>4843.53</v>
      </c>
      <c r="H180">
        <v>3107.64</v>
      </c>
      <c r="I180" t="s">
        <v>84</v>
      </c>
      <c r="J180" t="s">
        <v>54</v>
      </c>
      <c r="K180" t="s">
        <v>32</v>
      </c>
      <c r="L180" t="s">
        <v>48</v>
      </c>
      <c r="M180">
        <v>2</v>
      </c>
      <c r="N180" t="s">
        <v>69</v>
      </c>
      <c r="O180" t="s">
        <v>25</v>
      </c>
      <c r="P180" t="s">
        <v>34</v>
      </c>
    </row>
    <row r="181" spans="1:16" x14ac:dyDescent="0.25">
      <c r="A181" t="s">
        <v>538</v>
      </c>
      <c r="B181" s="6">
        <v>44894</v>
      </c>
      <c r="C181">
        <v>1848</v>
      </c>
      <c r="D181" t="s">
        <v>539</v>
      </c>
      <c r="E181" t="s">
        <v>38</v>
      </c>
      <c r="F181" t="s">
        <v>39</v>
      </c>
      <c r="G181">
        <v>33173.93</v>
      </c>
      <c r="H181">
        <v>19745.05</v>
      </c>
      <c r="I181" t="s">
        <v>53</v>
      </c>
      <c r="J181" t="s">
        <v>54</v>
      </c>
      <c r="K181" t="s">
        <v>32</v>
      </c>
      <c r="L181" t="s">
        <v>64</v>
      </c>
      <c r="M181">
        <v>1</v>
      </c>
      <c r="N181" t="s">
        <v>24</v>
      </c>
      <c r="O181" t="s">
        <v>25</v>
      </c>
      <c r="P181" t="s">
        <v>34</v>
      </c>
    </row>
    <row r="182" spans="1:16" x14ac:dyDescent="0.25">
      <c r="A182" t="s">
        <v>540</v>
      </c>
      <c r="B182" s="6">
        <v>44931</v>
      </c>
      <c r="C182">
        <v>6629</v>
      </c>
      <c r="D182" t="s">
        <v>542</v>
      </c>
      <c r="E182" t="s">
        <v>18</v>
      </c>
      <c r="F182" t="s">
        <v>39</v>
      </c>
      <c r="G182">
        <v>54660.57</v>
      </c>
      <c r="H182">
        <v>29214.04</v>
      </c>
      <c r="I182" t="s">
        <v>84</v>
      </c>
      <c r="J182" t="s">
        <v>54</v>
      </c>
      <c r="K182" t="s">
        <v>32</v>
      </c>
      <c r="L182" t="s">
        <v>64</v>
      </c>
      <c r="M182">
        <v>1</v>
      </c>
      <c r="N182" t="s">
        <v>33</v>
      </c>
      <c r="O182" t="s">
        <v>25</v>
      </c>
      <c r="P182" t="s">
        <v>26</v>
      </c>
    </row>
    <row r="183" spans="1:16" x14ac:dyDescent="0.25">
      <c r="A183" t="s">
        <v>543</v>
      </c>
      <c r="B183" s="6">
        <v>44265</v>
      </c>
      <c r="C183">
        <v>3340</v>
      </c>
      <c r="D183" t="s">
        <v>545</v>
      </c>
      <c r="E183" t="s">
        <v>18</v>
      </c>
      <c r="F183" t="s">
        <v>47</v>
      </c>
      <c r="G183">
        <v>9313.98</v>
      </c>
      <c r="H183">
        <v>4207.08</v>
      </c>
      <c r="I183" t="s">
        <v>53</v>
      </c>
      <c r="J183" t="s">
        <v>54</v>
      </c>
      <c r="K183" t="s">
        <v>32</v>
      </c>
      <c r="L183" t="s">
        <v>64</v>
      </c>
      <c r="M183">
        <v>3</v>
      </c>
      <c r="N183" t="s">
        <v>24</v>
      </c>
      <c r="O183" t="s">
        <v>70</v>
      </c>
      <c r="P183" t="s">
        <v>26</v>
      </c>
    </row>
    <row r="184" spans="1:16" x14ac:dyDescent="0.25">
      <c r="A184" t="s">
        <v>546</v>
      </c>
      <c r="B184" s="6">
        <v>45336</v>
      </c>
      <c r="C184">
        <v>3293</v>
      </c>
      <c r="D184" t="s">
        <v>548</v>
      </c>
      <c r="E184" t="s">
        <v>18</v>
      </c>
      <c r="F184" t="s">
        <v>19</v>
      </c>
      <c r="G184">
        <v>11295.77</v>
      </c>
      <c r="H184">
        <v>5950.68</v>
      </c>
      <c r="I184" t="s">
        <v>40</v>
      </c>
      <c r="J184" t="s">
        <v>41</v>
      </c>
      <c r="K184" t="s">
        <v>80</v>
      </c>
      <c r="L184" t="s">
        <v>88</v>
      </c>
      <c r="M184">
        <v>2</v>
      </c>
      <c r="N184" t="s">
        <v>33</v>
      </c>
      <c r="O184" t="s">
        <v>70</v>
      </c>
      <c r="P184" t="s">
        <v>26</v>
      </c>
    </row>
    <row r="185" spans="1:16" x14ac:dyDescent="0.25">
      <c r="A185" t="s">
        <v>549</v>
      </c>
      <c r="B185" s="6">
        <v>44915</v>
      </c>
      <c r="C185">
        <v>5942</v>
      </c>
      <c r="D185" t="s">
        <v>551</v>
      </c>
      <c r="E185" t="s">
        <v>18</v>
      </c>
      <c r="F185" t="s">
        <v>19</v>
      </c>
      <c r="G185">
        <v>11007.36</v>
      </c>
      <c r="H185">
        <v>6075.01</v>
      </c>
      <c r="I185" t="s">
        <v>31</v>
      </c>
      <c r="J185" t="s">
        <v>21</v>
      </c>
      <c r="K185" t="s">
        <v>80</v>
      </c>
      <c r="L185" t="s">
        <v>88</v>
      </c>
      <c r="M185">
        <v>1</v>
      </c>
      <c r="N185" t="s">
        <v>24</v>
      </c>
      <c r="O185" t="s">
        <v>70</v>
      </c>
      <c r="P185" t="s">
        <v>26</v>
      </c>
    </row>
    <row r="186" spans="1:16" x14ac:dyDescent="0.25">
      <c r="A186" t="s">
        <v>552</v>
      </c>
      <c r="B186" s="6">
        <v>44963</v>
      </c>
      <c r="C186">
        <v>1197</v>
      </c>
      <c r="D186" t="s">
        <v>554</v>
      </c>
      <c r="E186" t="s">
        <v>38</v>
      </c>
      <c r="F186" t="s">
        <v>39</v>
      </c>
      <c r="G186">
        <v>43492.43</v>
      </c>
      <c r="H186">
        <v>20719.64</v>
      </c>
      <c r="I186" t="s">
        <v>20</v>
      </c>
      <c r="J186" t="s">
        <v>21</v>
      </c>
      <c r="K186" t="s">
        <v>80</v>
      </c>
      <c r="L186" t="s">
        <v>88</v>
      </c>
      <c r="M186">
        <v>5</v>
      </c>
      <c r="N186" t="s">
        <v>24</v>
      </c>
      <c r="O186" t="s">
        <v>70</v>
      </c>
      <c r="P186" t="s">
        <v>26</v>
      </c>
    </row>
    <row r="187" spans="1:16" x14ac:dyDescent="0.25">
      <c r="A187" t="s">
        <v>555</v>
      </c>
      <c r="B187" s="6">
        <v>44227</v>
      </c>
      <c r="C187">
        <v>9300</v>
      </c>
      <c r="D187" t="s">
        <v>556</v>
      </c>
      <c r="E187" t="s">
        <v>38</v>
      </c>
      <c r="F187" t="s">
        <v>58</v>
      </c>
      <c r="G187">
        <v>31882.26</v>
      </c>
      <c r="H187">
        <v>17541.93</v>
      </c>
      <c r="I187" t="s">
        <v>63</v>
      </c>
      <c r="J187" t="s">
        <v>54</v>
      </c>
      <c r="K187" t="s">
        <v>80</v>
      </c>
      <c r="L187" t="s">
        <v>64</v>
      </c>
      <c r="M187">
        <v>4</v>
      </c>
      <c r="N187" t="s">
        <v>33</v>
      </c>
      <c r="O187" t="s">
        <v>25</v>
      </c>
      <c r="P187" t="s">
        <v>49</v>
      </c>
    </row>
    <row r="188" spans="1:16" x14ac:dyDescent="0.25">
      <c r="A188" t="s">
        <v>557</v>
      </c>
      <c r="B188" s="6">
        <v>45031</v>
      </c>
      <c r="C188">
        <v>9788</v>
      </c>
      <c r="D188" t="s">
        <v>558</v>
      </c>
      <c r="E188" t="s">
        <v>38</v>
      </c>
      <c r="F188" t="s">
        <v>39</v>
      </c>
      <c r="G188">
        <v>27453.91</v>
      </c>
      <c r="H188">
        <v>15837.03</v>
      </c>
      <c r="I188" t="s">
        <v>63</v>
      </c>
      <c r="J188" t="s">
        <v>54</v>
      </c>
      <c r="K188" t="s">
        <v>22</v>
      </c>
      <c r="L188" t="s">
        <v>88</v>
      </c>
      <c r="M188">
        <v>4</v>
      </c>
      <c r="N188" t="s">
        <v>24</v>
      </c>
      <c r="O188" t="s">
        <v>70</v>
      </c>
      <c r="P188" t="s">
        <v>26</v>
      </c>
    </row>
    <row r="189" spans="1:16" x14ac:dyDescent="0.25">
      <c r="A189" t="s">
        <v>559</v>
      </c>
      <c r="B189" s="6">
        <v>44955</v>
      </c>
      <c r="C189">
        <v>3877</v>
      </c>
      <c r="D189" t="s">
        <v>360</v>
      </c>
      <c r="E189" t="s">
        <v>18</v>
      </c>
      <c r="F189" t="s">
        <v>58</v>
      </c>
      <c r="G189">
        <v>11686.67</v>
      </c>
      <c r="H189">
        <v>5579.71</v>
      </c>
      <c r="I189" t="s">
        <v>53</v>
      </c>
      <c r="J189" t="s">
        <v>54</v>
      </c>
      <c r="K189" t="s">
        <v>22</v>
      </c>
      <c r="L189" t="s">
        <v>23</v>
      </c>
      <c r="M189">
        <v>4</v>
      </c>
      <c r="N189" t="s">
        <v>69</v>
      </c>
      <c r="O189" t="s">
        <v>25</v>
      </c>
      <c r="P189" t="s">
        <v>49</v>
      </c>
    </row>
    <row r="190" spans="1:16" x14ac:dyDescent="0.25">
      <c r="A190" t="s">
        <v>560</v>
      </c>
      <c r="B190" s="6">
        <v>45429</v>
      </c>
      <c r="C190">
        <v>1480</v>
      </c>
      <c r="D190" t="s">
        <v>562</v>
      </c>
      <c r="E190" t="s">
        <v>38</v>
      </c>
      <c r="F190" t="s">
        <v>58</v>
      </c>
      <c r="G190">
        <v>56794.49</v>
      </c>
      <c r="H190">
        <v>28646.92</v>
      </c>
      <c r="I190" t="s">
        <v>53</v>
      </c>
      <c r="J190" t="s">
        <v>54</v>
      </c>
      <c r="K190" t="s">
        <v>22</v>
      </c>
      <c r="L190" t="s">
        <v>88</v>
      </c>
      <c r="M190">
        <v>5</v>
      </c>
      <c r="N190" t="s">
        <v>24</v>
      </c>
      <c r="O190" t="s">
        <v>25</v>
      </c>
      <c r="P190" t="s">
        <v>49</v>
      </c>
    </row>
    <row r="191" spans="1:16" x14ac:dyDescent="0.25">
      <c r="A191" t="s">
        <v>563</v>
      </c>
      <c r="B191" s="6">
        <v>44277</v>
      </c>
      <c r="C191">
        <v>2685</v>
      </c>
      <c r="D191" t="s">
        <v>564</v>
      </c>
      <c r="E191" t="s">
        <v>18</v>
      </c>
      <c r="F191" t="s">
        <v>47</v>
      </c>
      <c r="G191">
        <v>5462.16</v>
      </c>
      <c r="H191">
        <v>3013.83</v>
      </c>
      <c r="I191" t="s">
        <v>53</v>
      </c>
      <c r="J191" t="s">
        <v>54</v>
      </c>
      <c r="K191" t="s">
        <v>22</v>
      </c>
      <c r="L191" t="s">
        <v>55</v>
      </c>
      <c r="M191">
        <v>2</v>
      </c>
      <c r="N191" t="s">
        <v>33</v>
      </c>
      <c r="O191" t="s">
        <v>25</v>
      </c>
      <c r="P191" t="s">
        <v>26</v>
      </c>
    </row>
    <row r="192" spans="1:16" x14ac:dyDescent="0.25">
      <c r="A192" t="s">
        <v>565</v>
      </c>
      <c r="B192" s="6">
        <v>45627</v>
      </c>
      <c r="C192">
        <v>4678</v>
      </c>
      <c r="D192" t="s">
        <v>567</v>
      </c>
      <c r="E192" t="s">
        <v>38</v>
      </c>
      <c r="F192" t="s">
        <v>30</v>
      </c>
      <c r="G192">
        <v>45184.82</v>
      </c>
      <c r="H192">
        <v>28609.72</v>
      </c>
      <c r="I192" t="s">
        <v>63</v>
      </c>
      <c r="J192" t="s">
        <v>54</v>
      </c>
      <c r="K192" t="s">
        <v>42</v>
      </c>
      <c r="L192" t="s">
        <v>88</v>
      </c>
      <c r="M192">
        <v>1</v>
      </c>
      <c r="N192" t="s">
        <v>24</v>
      </c>
      <c r="O192" t="s">
        <v>25</v>
      </c>
      <c r="P192" t="s">
        <v>49</v>
      </c>
    </row>
    <row r="193" spans="1:16" x14ac:dyDescent="0.25">
      <c r="A193" t="s">
        <v>568</v>
      </c>
      <c r="B193" s="6">
        <v>44950</v>
      </c>
      <c r="C193">
        <v>2129</v>
      </c>
      <c r="D193" t="s">
        <v>570</v>
      </c>
      <c r="E193" t="s">
        <v>38</v>
      </c>
      <c r="F193" t="s">
        <v>39</v>
      </c>
      <c r="G193">
        <v>30686.94</v>
      </c>
      <c r="H193">
        <v>18556.560000000001</v>
      </c>
      <c r="I193" t="s">
        <v>68</v>
      </c>
      <c r="J193" t="s">
        <v>41</v>
      </c>
      <c r="K193" t="s">
        <v>42</v>
      </c>
      <c r="L193" t="s">
        <v>88</v>
      </c>
      <c r="M193">
        <v>1</v>
      </c>
      <c r="N193" t="s">
        <v>24</v>
      </c>
      <c r="O193" t="s">
        <v>25</v>
      </c>
      <c r="P193" t="s">
        <v>26</v>
      </c>
    </row>
    <row r="194" spans="1:16" x14ac:dyDescent="0.25">
      <c r="A194" t="s">
        <v>571</v>
      </c>
      <c r="B194" s="6">
        <v>44385</v>
      </c>
      <c r="C194">
        <v>9083</v>
      </c>
      <c r="D194" t="s">
        <v>573</v>
      </c>
      <c r="E194" t="s">
        <v>18</v>
      </c>
      <c r="F194" t="s">
        <v>19</v>
      </c>
      <c r="G194">
        <v>14403.13</v>
      </c>
      <c r="H194">
        <v>8055.84</v>
      </c>
      <c r="I194" t="s">
        <v>53</v>
      </c>
      <c r="J194" t="s">
        <v>54</v>
      </c>
      <c r="K194" t="s">
        <v>32</v>
      </c>
      <c r="L194" t="s">
        <v>23</v>
      </c>
      <c r="M194">
        <v>1</v>
      </c>
      <c r="N194" t="s">
        <v>69</v>
      </c>
      <c r="O194" t="s">
        <v>25</v>
      </c>
      <c r="P194" t="s">
        <v>49</v>
      </c>
    </row>
    <row r="195" spans="1:16" x14ac:dyDescent="0.25">
      <c r="A195" t="s">
        <v>574</v>
      </c>
      <c r="B195" s="6">
        <v>45292</v>
      </c>
      <c r="C195">
        <v>7164</v>
      </c>
      <c r="D195" t="s">
        <v>576</v>
      </c>
      <c r="E195" t="s">
        <v>38</v>
      </c>
      <c r="F195" t="s">
        <v>47</v>
      </c>
      <c r="G195">
        <v>5699.04</v>
      </c>
      <c r="H195">
        <v>3168.45</v>
      </c>
      <c r="I195" t="s">
        <v>84</v>
      </c>
      <c r="J195" t="s">
        <v>54</v>
      </c>
      <c r="K195" t="s">
        <v>32</v>
      </c>
      <c r="L195" t="s">
        <v>64</v>
      </c>
      <c r="M195">
        <v>4</v>
      </c>
      <c r="N195" t="s">
        <v>69</v>
      </c>
      <c r="O195" t="s">
        <v>70</v>
      </c>
      <c r="P195" t="s">
        <v>26</v>
      </c>
    </row>
    <row r="196" spans="1:16" x14ac:dyDescent="0.25">
      <c r="A196" t="s">
        <v>577</v>
      </c>
      <c r="B196" s="6">
        <v>44463</v>
      </c>
      <c r="C196">
        <v>7102</v>
      </c>
      <c r="D196" t="s">
        <v>579</v>
      </c>
      <c r="E196" t="s">
        <v>38</v>
      </c>
      <c r="F196" t="s">
        <v>58</v>
      </c>
      <c r="G196">
        <v>37449.75</v>
      </c>
      <c r="H196">
        <v>17488.3</v>
      </c>
      <c r="I196" t="s">
        <v>20</v>
      </c>
      <c r="J196" t="s">
        <v>21</v>
      </c>
      <c r="K196" t="s">
        <v>22</v>
      </c>
      <c r="L196" t="s">
        <v>43</v>
      </c>
      <c r="M196">
        <v>2</v>
      </c>
      <c r="N196" t="s">
        <v>24</v>
      </c>
      <c r="O196" t="s">
        <v>25</v>
      </c>
      <c r="P196" t="s">
        <v>49</v>
      </c>
    </row>
    <row r="197" spans="1:16" x14ac:dyDescent="0.25">
      <c r="A197" t="s">
        <v>580</v>
      </c>
      <c r="B197" s="6">
        <v>44346</v>
      </c>
      <c r="C197">
        <v>6161</v>
      </c>
      <c r="D197" t="s">
        <v>582</v>
      </c>
      <c r="E197" t="s">
        <v>38</v>
      </c>
      <c r="F197" t="s">
        <v>19</v>
      </c>
      <c r="G197">
        <v>11611.44</v>
      </c>
      <c r="H197">
        <v>6932.85</v>
      </c>
      <c r="I197" t="s">
        <v>120</v>
      </c>
      <c r="J197" t="s">
        <v>21</v>
      </c>
      <c r="K197" t="s">
        <v>42</v>
      </c>
      <c r="L197" t="s">
        <v>64</v>
      </c>
      <c r="M197">
        <v>3</v>
      </c>
      <c r="N197" t="s">
        <v>33</v>
      </c>
      <c r="O197" t="s">
        <v>70</v>
      </c>
      <c r="P197" t="s">
        <v>26</v>
      </c>
    </row>
    <row r="198" spans="1:16" x14ac:dyDescent="0.25">
      <c r="A198" t="s">
        <v>583</v>
      </c>
      <c r="B198" s="6">
        <v>44427</v>
      </c>
      <c r="C198">
        <v>6145</v>
      </c>
      <c r="D198" t="s">
        <v>584</v>
      </c>
      <c r="E198" t="s">
        <v>38</v>
      </c>
      <c r="F198" t="s">
        <v>58</v>
      </c>
      <c r="G198">
        <v>10597.17</v>
      </c>
      <c r="H198">
        <v>5528.09</v>
      </c>
      <c r="I198" t="s">
        <v>31</v>
      </c>
      <c r="J198" t="s">
        <v>21</v>
      </c>
      <c r="K198" t="s">
        <v>32</v>
      </c>
      <c r="L198" t="s">
        <v>64</v>
      </c>
      <c r="M198">
        <v>3</v>
      </c>
      <c r="N198" t="s">
        <v>24</v>
      </c>
      <c r="O198" t="s">
        <v>70</v>
      </c>
      <c r="P198" t="s">
        <v>26</v>
      </c>
    </row>
    <row r="199" spans="1:16" x14ac:dyDescent="0.25">
      <c r="A199" t="s">
        <v>585</v>
      </c>
      <c r="B199" s="6">
        <v>45600</v>
      </c>
      <c r="C199">
        <v>4522</v>
      </c>
      <c r="D199" t="s">
        <v>587</v>
      </c>
      <c r="E199" t="s">
        <v>38</v>
      </c>
      <c r="F199" t="s">
        <v>39</v>
      </c>
      <c r="G199">
        <v>17842.03</v>
      </c>
      <c r="H199">
        <v>10566.61</v>
      </c>
      <c r="I199" t="s">
        <v>84</v>
      </c>
      <c r="J199" t="s">
        <v>54</v>
      </c>
      <c r="K199" t="s">
        <v>42</v>
      </c>
      <c r="L199" t="s">
        <v>64</v>
      </c>
      <c r="M199">
        <v>5</v>
      </c>
      <c r="N199" t="s">
        <v>33</v>
      </c>
      <c r="O199" t="s">
        <v>25</v>
      </c>
      <c r="P199" t="s">
        <v>26</v>
      </c>
    </row>
    <row r="200" spans="1:16" x14ac:dyDescent="0.25">
      <c r="A200" t="s">
        <v>588</v>
      </c>
      <c r="B200" s="6">
        <v>45208</v>
      </c>
      <c r="C200">
        <v>2551</v>
      </c>
      <c r="D200" t="s">
        <v>589</v>
      </c>
      <c r="E200" t="s">
        <v>38</v>
      </c>
      <c r="F200" t="s">
        <v>47</v>
      </c>
      <c r="G200">
        <v>5207.8999999999996</v>
      </c>
      <c r="H200">
        <v>3170.37</v>
      </c>
      <c r="I200" t="s">
        <v>53</v>
      </c>
      <c r="J200" t="s">
        <v>54</v>
      </c>
      <c r="K200" t="s">
        <v>22</v>
      </c>
      <c r="L200" t="s">
        <v>55</v>
      </c>
      <c r="M200">
        <v>1</v>
      </c>
      <c r="N200" t="s">
        <v>69</v>
      </c>
      <c r="O200" t="s">
        <v>70</v>
      </c>
      <c r="P200" t="s">
        <v>26</v>
      </c>
    </row>
    <row r="201" spans="1:16" x14ac:dyDescent="0.25">
      <c r="A201" t="s">
        <v>590</v>
      </c>
      <c r="B201" s="6">
        <v>45257</v>
      </c>
      <c r="C201">
        <v>5240</v>
      </c>
      <c r="D201" t="s">
        <v>592</v>
      </c>
      <c r="E201" t="s">
        <v>18</v>
      </c>
      <c r="F201" t="s">
        <v>39</v>
      </c>
      <c r="G201">
        <v>10652.78</v>
      </c>
      <c r="H201">
        <v>4931.1099999999997</v>
      </c>
      <c r="I201" t="s">
        <v>53</v>
      </c>
      <c r="J201" t="s">
        <v>54</v>
      </c>
      <c r="K201" t="s">
        <v>80</v>
      </c>
      <c r="L201" t="s">
        <v>23</v>
      </c>
      <c r="M201">
        <v>1</v>
      </c>
      <c r="N201" t="s">
        <v>69</v>
      </c>
      <c r="O201" t="s">
        <v>70</v>
      </c>
      <c r="P201" t="s">
        <v>34</v>
      </c>
    </row>
    <row r="202" spans="1:16" x14ac:dyDescent="0.25">
      <c r="A202" t="s">
        <v>593</v>
      </c>
      <c r="B202" s="6">
        <v>45513</v>
      </c>
      <c r="C202">
        <v>9128</v>
      </c>
      <c r="D202" t="s">
        <v>595</v>
      </c>
      <c r="E202" t="s">
        <v>18</v>
      </c>
      <c r="F202" t="s">
        <v>58</v>
      </c>
      <c r="G202">
        <v>33241.480000000003</v>
      </c>
      <c r="H202">
        <v>17795.25</v>
      </c>
      <c r="I202" t="s">
        <v>53</v>
      </c>
      <c r="J202" t="s">
        <v>54</v>
      </c>
      <c r="K202" t="s">
        <v>42</v>
      </c>
      <c r="L202" t="s">
        <v>23</v>
      </c>
      <c r="M202">
        <v>2</v>
      </c>
      <c r="N202" t="s">
        <v>33</v>
      </c>
      <c r="O202" t="s">
        <v>25</v>
      </c>
      <c r="P202" t="s">
        <v>26</v>
      </c>
    </row>
    <row r="203" spans="1:16" x14ac:dyDescent="0.25">
      <c r="A203" t="s">
        <v>596</v>
      </c>
      <c r="B203" s="6">
        <v>45182</v>
      </c>
      <c r="C203">
        <v>8848</v>
      </c>
      <c r="D203" t="s">
        <v>598</v>
      </c>
      <c r="E203" t="s">
        <v>18</v>
      </c>
      <c r="F203" t="s">
        <v>30</v>
      </c>
      <c r="G203">
        <v>25397.07</v>
      </c>
      <c r="H203">
        <v>13374.17</v>
      </c>
      <c r="I203" t="s">
        <v>84</v>
      </c>
      <c r="J203" t="s">
        <v>54</v>
      </c>
      <c r="K203" t="s">
        <v>80</v>
      </c>
      <c r="L203" t="s">
        <v>23</v>
      </c>
      <c r="M203">
        <v>5</v>
      </c>
      <c r="N203" t="s">
        <v>33</v>
      </c>
      <c r="O203" t="s">
        <v>70</v>
      </c>
      <c r="P203" t="s">
        <v>49</v>
      </c>
    </row>
    <row r="204" spans="1:16" x14ac:dyDescent="0.25">
      <c r="A204" t="s">
        <v>599</v>
      </c>
      <c r="B204" s="6">
        <v>44840</v>
      </c>
      <c r="C204">
        <v>6636</v>
      </c>
      <c r="D204" t="s">
        <v>601</v>
      </c>
      <c r="E204" t="s">
        <v>38</v>
      </c>
      <c r="F204" t="s">
        <v>19</v>
      </c>
      <c r="G204">
        <v>9131.5300000000007</v>
      </c>
      <c r="H204">
        <v>4437.59</v>
      </c>
      <c r="I204" t="s">
        <v>120</v>
      </c>
      <c r="J204" t="s">
        <v>21</v>
      </c>
      <c r="K204" t="s">
        <v>42</v>
      </c>
      <c r="L204" t="s">
        <v>43</v>
      </c>
      <c r="M204">
        <v>2</v>
      </c>
      <c r="N204" t="s">
        <v>33</v>
      </c>
      <c r="O204" t="s">
        <v>70</v>
      </c>
      <c r="P204" t="s">
        <v>34</v>
      </c>
    </row>
    <row r="205" spans="1:16" x14ac:dyDescent="0.25">
      <c r="A205" t="s">
        <v>602</v>
      </c>
      <c r="B205" s="6">
        <v>45411</v>
      </c>
      <c r="C205">
        <v>2640</v>
      </c>
      <c r="D205" t="s">
        <v>603</v>
      </c>
      <c r="E205" t="s">
        <v>18</v>
      </c>
      <c r="F205" t="s">
        <v>30</v>
      </c>
      <c r="G205">
        <v>89926.65</v>
      </c>
      <c r="H205">
        <v>45260.57</v>
      </c>
      <c r="I205" t="s">
        <v>53</v>
      </c>
      <c r="J205" t="s">
        <v>54</v>
      </c>
      <c r="K205" t="s">
        <v>22</v>
      </c>
      <c r="L205" t="s">
        <v>23</v>
      </c>
      <c r="M205">
        <v>5</v>
      </c>
      <c r="N205" t="s">
        <v>69</v>
      </c>
      <c r="O205" t="s">
        <v>70</v>
      </c>
      <c r="P205" t="s">
        <v>34</v>
      </c>
    </row>
    <row r="206" spans="1:16" x14ac:dyDescent="0.25">
      <c r="A206" t="s">
        <v>604</v>
      </c>
      <c r="B206" s="6">
        <v>45284</v>
      </c>
      <c r="C206">
        <v>1462</v>
      </c>
      <c r="D206" t="s">
        <v>606</v>
      </c>
      <c r="E206" t="s">
        <v>38</v>
      </c>
      <c r="F206" t="s">
        <v>58</v>
      </c>
      <c r="G206">
        <v>37138.97</v>
      </c>
      <c r="H206">
        <v>20898.89</v>
      </c>
      <c r="I206" t="s">
        <v>68</v>
      </c>
      <c r="J206" t="s">
        <v>41</v>
      </c>
      <c r="K206" t="s">
        <v>32</v>
      </c>
      <c r="L206" t="s">
        <v>64</v>
      </c>
      <c r="M206">
        <v>5</v>
      </c>
      <c r="N206" t="s">
        <v>33</v>
      </c>
      <c r="O206" t="s">
        <v>25</v>
      </c>
      <c r="P206" t="s">
        <v>26</v>
      </c>
    </row>
    <row r="207" spans="1:16" x14ac:dyDescent="0.25">
      <c r="A207" t="s">
        <v>607</v>
      </c>
      <c r="B207" s="6">
        <v>44927</v>
      </c>
      <c r="C207">
        <v>4300</v>
      </c>
      <c r="D207" t="s">
        <v>609</v>
      </c>
      <c r="E207" t="s">
        <v>18</v>
      </c>
      <c r="F207" t="s">
        <v>58</v>
      </c>
      <c r="G207">
        <v>28439.16</v>
      </c>
      <c r="H207">
        <v>13806.98</v>
      </c>
      <c r="I207" t="s">
        <v>84</v>
      </c>
      <c r="J207" t="s">
        <v>54</v>
      </c>
      <c r="K207" t="s">
        <v>42</v>
      </c>
      <c r="L207" t="s">
        <v>55</v>
      </c>
      <c r="M207">
        <v>1</v>
      </c>
      <c r="N207" t="s">
        <v>33</v>
      </c>
      <c r="O207" t="s">
        <v>70</v>
      </c>
      <c r="P207" t="s">
        <v>26</v>
      </c>
    </row>
    <row r="208" spans="1:16" x14ac:dyDescent="0.25">
      <c r="A208" t="s">
        <v>610</v>
      </c>
      <c r="B208" s="6">
        <v>45483</v>
      </c>
      <c r="C208">
        <v>7481</v>
      </c>
      <c r="D208" t="s">
        <v>612</v>
      </c>
      <c r="E208" t="s">
        <v>18</v>
      </c>
      <c r="F208" t="s">
        <v>47</v>
      </c>
      <c r="G208">
        <v>8383.77</v>
      </c>
      <c r="H208">
        <v>4313.62</v>
      </c>
      <c r="I208" t="s">
        <v>31</v>
      </c>
      <c r="J208" t="s">
        <v>21</v>
      </c>
      <c r="K208" t="s">
        <v>32</v>
      </c>
      <c r="L208" t="s">
        <v>48</v>
      </c>
      <c r="M208">
        <v>4</v>
      </c>
      <c r="N208" t="s">
        <v>24</v>
      </c>
      <c r="O208" t="s">
        <v>70</v>
      </c>
      <c r="P208" t="s">
        <v>49</v>
      </c>
    </row>
    <row r="209" spans="1:16" x14ac:dyDescent="0.25">
      <c r="A209" t="s">
        <v>613</v>
      </c>
      <c r="B209" s="6">
        <v>45241</v>
      </c>
      <c r="C209">
        <v>4657</v>
      </c>
      <c r="D209" t="s">
        <v>615</v>
      </c>
      <c r="E209" t="s">
        <v>18</v>
      </c>
      <c r="F209" t="s">
        <v>47</v>
      </c>
      <c r="G209">
        <v>9977.1299999999992</v>
      </c>
      <c r="H209">
        <v>5954.34</v>
      </c>
      <c r="I209" t="s">
        <v>84</v>
      </c>
      <c r="J209" t="s">
        <v>54</v>
      </c>
      <c r="K209" t="s">
        <v>42</v>
      </c>
      <c r="L209" t="s">
        <v>23</v>
      </c>
      <c r="M209">
        <v>2</v>
      </c>
      <c r="N209" t="s">
        <v>24</v>
      </c>
      <c r="O209" t="s">
        <v>70</v>
      </c>
      <c r="P209" t="s">
        <v>49</v>
      </c>
    </row>
    <row r="210" spans="1:16" x14ac:dyDescent="0.25">
      <c r="A210" t="s">
        <v>616</v>
      </c>
      <c r="B210" s="6">
        <v>45240</v>
      </c>
      <c r="C210">
        <v>2705</v>
      </c>
      <c r="D210" t="s">
        <v>617</v>
      </c>
      <c r="E210" t="s">
        <v>38</v>
      </c>
      <c r="F210" t="s">
        <v>58</v>
      </c>
      <c r="G210">
        <v>18221.25</v>
      </c>
      <c r="H210">
        <v>10915.78</v>
      </c>
      <c r="I210" t="s">
        <v>84</v>
      </c>
      <c r="J210" t="s">
        <v>54</v>
      </c>
      <c r="K210" t="s">
        <v>32</v>
      </c>
      <c r="L210" t="s">
        <v>88</v>
      </c>
      <c r="M210">
        <v>3</v>
      </c>
      <c r="N210" t="s">
        <v>33</v>
      </c>
      <c r="O210" t="s">
        <v>70</v>
      </c>
      <c r="P210" t="s">
        <v>26</v>
      </c>
    </row>
    <row r="211" spans="1:16" x14ac:dyDescent="0.25">
      <c r="A211" t="s">
        <v>618</v>
      </c>
      <c r="B211" s="6">
        <v>45520</v>
      </c>
      <c r="C211">
        <v>5345</v>
      </c>
      <c r="D211" t="s">
        <v>620</v>
      </c>
      <c r="E211" t="s">
        <v>18</v>
      </c>
      <c r="F211" t="s">
        <v>19</v>
      </c>
      <c r="G211">
        <v>6673.45</v>
      </c>
      <c r="H211">
        <v>3093.54</v>
      </c>
      <c r="I211" t="s">
        <v>40</v>
      </c>
      <c r="J211" t="s">
        <v>41</v>
      </c>
      <c r="K211" t="s">
        <v>42</v>
      </c>
      <c r="L211" t="s">
        <v>55</v>
      </c>
      <c r="M211">
        <v>1</v>
      </c>
      <c r="N211" t="s">
        <v>33</v>
      </c>
      <c r="O211" t="s">
        <v>25</v>
      </c>
      <c r="P211" t="s">
        <v>34</v>
      </c>
    </row>
    <row r="212" spans="1:16" x14ac:dyDescent="0.25">
      <c r="A212" t="s">
        <v>621</v>
      </c>
      <c r="B212" s="6">
        <v>44841</v>
      </c>
      <c r="C212">
        <v>2661</v>
      </c>
      <c r="D212" t="s">
        <v>623</v>
      </c>
      <c r="E212" t="s">
        <v>38</v>
      </c>
      <c r="F212" t="s">
        <v>30</v>
      </c>
      <c r="G212">
        <v>52182.97</v>
      </c>
      <c r="H212">
        <v>29515.27</v>
      </c>
      <c r="I212" t="s">
        <v>59</v>
      </c>
      <c r="J212" t="s">
        <v>41</v>
      </c>
      <c r="K212" t="s">
        <v>32</v>
      </c>
      <c r="L212" t="s">
        <v>23</v>
      </c>
      <c r="M212">
        <v>4</v>
      </c>
      <c r="N212" t="s">
        <v>33</v>
      </c>
      <c r="O212" t="s">
        <v>70</v>
      </c>
      <c r="P212" t="s">
        <v>34</v>
      </c>
    </row>
    <row r="213" spans="1:16" x14ac:dyDescent="0.25">
      <c r="A213" t="s">
        <v>624</v>
      </c>
      <c r="B213" s="6">
        <v>43918</v>
      </c>
      <c r="C213">
        <v>3636</v>
      </c>
      <c r="D213" t="s">
        <v>626</v>
      </c>
      <c r="E213" t="s">
        <v>18</v>
      </c>
      <c r="F213" t="s">
        <v>47</v>
      </c>
      <c r="G213">
        <v>8404.27</v>
      </c>
      <c r="H213">
        <v>5291.54</v>
      </c>
      <c r="I213" t="s">
        <v>53</v>
      </c>
      <c r="J213" t="s">
        <v>54</v>
      </c>
      <c r="K213" t="s">
        <v>22</v>
      </c>
      <c r="L213" t="s">
        <v>88</v>
      </c>
      <c r="M213">
        <v>5</v>
      </c>
      <c r="N213" t="s">
        <v>69</v>
      </c>
      <c r="O213" t="s">
        <v>70</v>
      </c>
      <c r="P213" t="s">
        <v>49</v>
      </c>
    </row>
    <row r="214" spans="1:16" x14ac:dyDescent="0.25">
      <c r="A214" t="s">
        <v>627</v>
      </c>
      <c r="B214" s="6">
        <v>45372</v>
      </c>
      <c r="C214">
        <v>2659</v>
      </c>
      <c r="D214" t="s">
        <v>629</v>
      </c>
      <c r="E214" t="s">
        <v>38</v>
      </c>
      <c r="F214" t="s">
        <v>58</v>
      </c>
      <c r="G214">
        <v>23408.05</v>
      </c>
      <c r="H214">
        <v>11423.05</v>
      </c>
      <c r="I214" t="s">
        <v>84</v>
      </c>
      <c r="J214" t="s">
        <v>54</v>
      </c>
      <c r="K214" t="s">
        <v>42</v>
      </c>
      <c r="L214" t="s">
        <v>48</v>
      </c>
      <c r="M214">
        <v>3</v>
      </c>
      <c r="N214" t="s">
        <v>33</v>
      </c>
      <c r="O214" t="s">
        <v>25</v>
      </c>
      <c r="P214" t="s">
        <v>34</v>
      </c>
    </row>
    <row r="215" spans="1:16" x14ac:dyDescent="0.25">
      <c r="A215" t="s">
        <v>630</v>
      </c>
      <c r="B215" s="6">
        <v>44780</v>
      </c>
      <c r="C215">
        <v>5825</v>
      </c>
      <c r="D215" t="s">
        <v>631</v>
      </c>
      <c r="E215" t="s">
        <v>38</v>
      </c>
      <c r="F215" t="s">
        <v>58</v>
      </c>
      <c r="G215">
        <v>15387.97</v>
      </c>
      <c r="H215">
        <v>7003.79</v>
      </c>
      <c r="I215" t="s">
        <v>120</v>
      </c>
      <c r="J215" t="s">
        <v>21</v>
      </c>
      <c r="K215" t="s">
        <v>32</v>
      </c>
      <c r="L215" t="s">
        <v>48</v>
      </c>
      <c r="M215">
        <v>3</v>
      </c>
      <c r="N215" t="s">
        <v>69</v>
      </c>
      <c r="O215" t="s">
        <v>25</v>
      </c>
      <c r="P215" t="s">
        <v>26</v>
      </c>
    </row>
    <row r="216" spans="1:16" x14ac:dyDescent="0.25">
      <c r="A216" t="s">
        <v>632</v>
      </c>
      <c r="B216" s="6">
        <v>45427</v>
      </c>
      <c r="C216">
        <v>9914</v>
      </c>
      <c r="D216" t="s">
        <v>634</v>
      </c>
      <c r="E216" t="s">
        <v>38</v>
      </c>
      <c r="F216" t="s">
        <v>30</v>
      </c>
      <c r="G216">
        <v>38244.49</v>
      </c>
      <c r="H216">
        <v>23983.06</v>
      </c>
      <c r="I216" t="s">
        <v>53</v>
      </c>
      <c r="J216" t="s">
        <v>54</v>
      </c>
      <c r="K216" t="s">
        <v>42</v>
      </c>
      <c r="L216" t="s">
        <v>23</v>
      </c>
      <c r="M216">
        <v>4</v>
      </c>
      <c r="N216" t="s">
        <v>33</v>
      </c>
      <c r="O216" t="s">
        <v>25</v>
      </c>
      <c r="P216" t="s">
        <v>34</v>
      </c>
    </row>
    <row r="217" spans="1:16" x14ac:dyDescent="0.25">
      <c r="A217" t="s">
        <v>635</v>
      </c>
      <c r="B217" s="6">
        <v>44553</v>
      </c>
      <c r="C217">
        <v>2584</v>
      </c>
      <c r="D217" t="s">
        <v>636</v>
      </c>
      <c r="E217" t="s">
        <v>18</v>
      </c>
      <c r="F217" t="s">
        <v>30</v>
      </c>
      <c r="G217">
        <v>61989.79</v>
      </c>
      <c r="H217">
        <v>37915.19</v>
      </c>
      <c r="I217" t="s">
        <v>53</v>
      </c>
      <c r="J217" t="s">
        <v>54</v>
      </c>
      <c r="K217" t="s">
        <v>80</v>
      </c>
      <c r="L217" t="s">
        <v>43</v>
      </c>
      <c r="M217">
        <v>2</v>
      </c>
      <c r="N217" t="s">
        <v>24</v>
      </c>
      <c r="O217" t="s">
        <v>70</v>
      </c>
      <c r="P217" t="s">
        <v>49</v>
      </c>
    </row>
    <row r="218" spans="1:16" x14ac:dyDescent="0.25">
      <c r="A218" t="s">
        <v>637</v>
      </c>
      <c r="B218" s="6">
        <v>45585</v>
      </c>
      <c r="C218">
        <v>8803</v>
      </c>
      <c r="D218" t="s">
        <v>639</v>
      </c>
      <c r="E218" t="s">
        <v>38</v>
      </c>
      <c r="F218" t="s">
        <v>19</v>
      </c>
      <c r="G218">
        <v>6967.27</v>
      </c>
      <c r="H218">
        <v>4393.25</v>
      </c>
      <c r="I218" t="s">
        <v>84</v>
      </c>
      <c r="J218" t="s">
        <v>54</v>
      </c>
      <c r="K218" t="s">
        <v>22</v>
      </c>
      <c r="L218" t="s">
        <v>43</v>
      </c>
      <c r="M218">
        <v>5</v>
      </c>
      <c r="N218" t="s">
        <v>69</v>
      </c>
      <c r="O218" t="s">
        <v>70</v>
      </c>
      <c r="P218" t="s">
        <v>49</v>
      </c>
    </row>
    <row r="219" spans="1:16" x14ac:dyDescent="0.25">
      <c r="A219" t="s">
        <v>640</v>
      </c>
      <c r="B219" s="6">
        <v>45380</v>
      </c>
      <c r="C219">
        <v>4471</v>
      </c>
      <c r="D219" t="s">
        <v>642</v>
      </c>
      <c r="E219" t="s">
        <v>18</v>
      </c>
      <c r="F219" t="s">
        <v>58</v>
      </c>
      <c r="G219">
        <v>11877.08</v>
      </c>
      <c r="H219">
        <v>6350.38</v>
      </c>
      <c r="I219" t="s">
        <v>68</v>
      </c>
      <c r="J219" t="s">
        <v>41</v>
      </c>
      <c r="K219" t="s">
        <v>80</v>
      </c>
      <c r="L219" t="s">
        <v>23</v>
      </c>
      <c r="M219">
        <v>2</v>
      </c>
      <c r="N219" t="s">
        <v>69</v>
      </c>
      <c r="O219" t="s">
        <v>25</v>
      </c>
      <c r="P219" t="s">
        <v>49</v>
      </c>
    </row>
    <row r="220" spans="1:16" x14ac:dyDescent="0.25">
      <c r="A220" t="s">
        <v>643</v>
      </c>
      <c r="B220" s="6">
        <v>45209</v>
      </c>
      <c r="C220">
        <v>5525</v>
      </c>
      <c r="D220" t="s">
        <v>645</v>
      </c>
      <c r="E220" t="s">
        <v>38</v>
      </c>
      <c r="F220" t="s">
        <v>58</v>
      </c>
      <c r="G220">
        <v>36168.93</v>
      </c>
      <c r="H220">
        <v>16365.46</v>
      </c>
      <c r="I220" t="s">
        <v>68</v>
      </c>
      <c r="J220" t="s">
        <v>41</v>
      </c>
      <c r="K220" t="s">
        <v>80</v>
      </c>
      <c r="L220" t="s">
        <v>55</v>
      </c>
      <c r="M220">
        <v>4</v>
      </c>
      <c r="N220" t="s">
        <v>33</v>
      </c>
      <c r="O220" t="s">
        <v>25</v>
      </c>
      <c r="P220" t="s">
        <v>49</v>
      </c>
    </row>
    <row r="221" spans="1:16" x14ac:dyDescent="0.25">
      <c r="A221" t="s">
        <v>646</v>
      </c>
      <c r="B221" s="6">
        <v>44978</v>
      </c>
      <c r="C221">
        <v>9775</v>
      </c>
      <c r="D221" t="s">
        <v>647</v>
      </c>
      <c r="E221" t="s">
        <v>38</v>
      </c>
      <c r="F221" t="s">
        <v>47</v>
      </c>
      <c r="G221">
        <v>15494.72</v>
      </c>
      <c r="H221">
        <v>7791.17</v>
      </c>
      <c r="I221" t="s">
        <v>20</v>
      </c>
      <c r="J221" t="s">
        <v>21</v>
      </c>
      <c r="K221" t="s">
        <v>80</v>
      </c>
      <c r="L221" t="s">
        <v>43</v>
      </c>
      <c r="M221">
        <v>5</v>
      </c>
      <c r="N221" t="s">
        <v>24</v>
      </c>
      <c r="O221" t="s">
        <v>25</v>
      </c>
      <c r="P221" t="s">
        <v>34</v>
      </c>
    </row>
    <row r="222" spans="1:16" x14ac:dyDescent="0.25">
      <c r="A222" t="s">
        <v>648</v>
      </c>
      <c r="B222" s="6">
        <v>44764</v>
      </c>
      <c r="C222">
        <v>4892</v>
      </c>
      <c r="D222" t="s">
        <v>649</v>
      </c>
      <c r="E222" t="s">
        <v>18</v>
      </c>
      <c r="F222" t="s">
        <v>19</v>
      </c>
      <c r="G222">
        <v>17176.05</v>
      </c>
      <c r="H222">
        <v>10892.48</v>
      </c>
      <c r="I222" t="s">
        <v>84</v>
      </c>
      <c r="J222" t="s">
        <v>54</v>
      </c>
      <c r="K222" t="s">
        <v>42</v>
      </c>
      <c r="L222" t="s">
        <v>55</v>
      </c>
      <c r="M222">
        <v>3</v>
      </c>
      <c r="N222" t="s">
        <v>69</v>
      </c>
      <c r="O222" t="s">
        <v>25</v>
      </c>
      <c r="P222" t="s">
        <v>34</v>
      </c>
    </row>
    <row r="223" spans="1:16" x14ac:dyDescent="0.25">
      <c r="A223" t="s">
        <v>650</v>
      </c>
      <c r="B223" s="6">
        <v>45408</v>
      </c>
      <c r="C223">
        <v>5923</v>
      </c>
      <c r="D223" t="s">
        <v>652</v>
      </c>
      <c r="E223" t="s">
        <v>38</v>
      </c>
      <c r="F223" t="s">
        <v>19</v>
      </c>
      <c r="G223">
        <v>13803.23</v>
      </c>
      <c r="H223">
        <v>7097.26</v>
      </c>
      <c r="I223" t="s">
        <v>40</v>
      </c>
      <c r="J223" t="s">
        <v>41</v>
      </c>
      <c r="K223" t="s">
        <v>80</v>
      </c>
      <c r="L223" t="s">
        <v>43</v>
      </c>
      <c r="M223">
        <v>1</v>
      </c>
      <c r="N223" t="s">
        <v>33</v>
      </c>
      <c r="O223" t="s">
        <v>25</v>
      </c>
      <c r="P223" t="s">
        <v>34</v>
      </c>
    </row>
    <row r="224" spans="1:16" x14ac:dyDescent="0.25">
      <c r="A224" t="s">
        <v>653</v>
      </c>
      <c r="B224" s="6">
        <v>45555</v>
      </c>
      <c r="C224">
        <v>2075</v>
      </c>
      <c r="D224" t="s">
        <v>654</v>
      </c>
      <c r="E224" t="s">
        <v>38</v>
      </c>
      <c r="F224" t="s">
        <v>47</v>
      </c>
      <c r="G224">
        <v>14212.02</v>
      </c>
      <c r="H224">
        <v>7541.99</v>
      </c>
      <c r="I224" t="s">
        <v>31</v>
      </c>
      <c r="J224" t="s">
        <v>21</v>
      </c>
      <c r="K224" t="s">
        <v>22</v>
      </c>
      <c r="L224" t="s">
        <v>23</v>
      </c>
      <c r="M224">
        <v>2</v>
      </c>
      <c r="N224" t="s">
        <v>69</v>
      </c>
      <c r="O224" t="s">
        <v>25</v>
      </c>
      <c r="P224" t="s">
        <v>26</v>
      </c>
    </row>
    <row r="225" spans="1:16" x14ac:dyDescent="0.25">
      <c r="A225" t="s">
        <v>655</v>
      </c>
      <c r="B225" s="6">
        <v>44663</v>
      </c>
      <c r="C225">
        <v>7035</v>
      </c>
      <c r="D225" t="s">
        <v>656</v>
      </c>
      <c r="E225" t="s">
        <v>38</v>
      </c>
      <c r="F225" t="s">
        <v>58</v>
      </c>
      <c r="G225">
        <v>32027.61</v>
      </c>
      <c r="H225">
        <v>18482.560000000001</v>
      </c>
      <c r="I225" t="s">
        <v>53</v>
      </c>
      <c r="J225" t="s">
        <v>54</v>
      </c>
      <c r="K225" t="s">
        <v>22</v>
      </c>
      <c r="L225" t="s">
        <v>48</v>
      </c>
      <c r="M225">
        <v>1</v>
      </c>
      <c r="N225" t="s">
        <v>33</v>
      </c>
      <c r="O225" t="s">
        <v>25</v>
      </c>
      <c r="P225" t="s">
        <v>34</v>
      </c>
    </row>
    <row r="226" spans="1:16" x14ac:dyDescent="0.25">
      <c r="A226" t="s">
        <v>657</v>
      </c>
      <c r="B226" s="6">
        <v>44645</v>
      </c>
      <c r="C226">
        <v>2480</v>
      </c>
      <c r="D226" t="s">
        <v>659</v>
      </c>
      <c r="E226" t="s">
        <v>38</v>
      </c>
      <c r="F226" t="s">
        <v>30</v>
      </c>
      <c r="G226">
        <v>16804.66</v>
      </c>
      <c r="H226">
        <v>7728.97</v>
      </c>
      <c r="I226" t="s">
        <v>53</v>
      </c>
      <c r="J226" t="s">
        <v>54</v>
      </c>
      <c r="K226" t="s">
        <v>32</v>
      </c>
      <c r="L226" t="s">
        <v>23</v>
      </c>
      <c r="M226">
        <v>2</v>
      </c>
      <c r="N226" t="s">
        <v>24</v>
      </c>
      <c r="O226" t="s">
        <v>25</v>
      </c>
      <c r="P226" t="s">
        <v>34</v>
      </c>
    </row>
    <row r="227" spans="1:16" x14ac:dyDescent="0.25">
      <c r="A227" t="s">
        <v>660</v>
      </c>
      <c r="B227" s="6">
        <v>45623</v>
      </c>
      <c r="C227">
        <v>1138</v>
      </c>
      <c r="D227" t="s">
        <v>662</v>
      </c>
      <c r="E227" t="s">
        <v>18</v>
      </c>
      <c r="F227" t="s">
        <v>58</v>
      </c>
      <c r="G227">
        <v>21673.06</v>
      </c>
      <c r="H227">
        <v>13242.61</v>
      </c>
      <c r="I227" t="s">
        <v>31</v>
      </c>
      <c r="J227" t="s">
        <v>21</v>
      </c>
      <c r="K227" t="s">
        <v>42</v>
      </c>
      <c r="L227" t="s">
        <v>48</v>
      </c>
      <c r="M227">
        <v>3</v>
      </c>
      <c r="N227" t="s">
        <v>33</v>
      </c>
      <c r="O227" t="s">
        <v>25</v>
      </c>
      <c r="P227" t="s">
        <v>34</v>
      </c>
    </row>
    <row r="228" spans="1:16" x14ac:dyDescent="0.25">
      <c r="A228" t="s">
        <v>663</v>
      </c>
      <c r="B228" s="6">
        <v>45246</v>
      </c>
      <c r="C228">
        <v>2676</v>
      </c>
      <c r="D228" t="s">
        <v>664</v>
      </c>
      <c r="E228" t="s">
        <v>18</v>
      </c>
      <c r="F228" t="s">
        <v>30</v>
      </c>
      <c r="G228">
        <v>56741.58</v>
      </c>
      <c r="H228">
        <v>33050.33</v>
      </c>
      <c r="I228" t="s">
        <v>20</v>
      </c>
      <c r="J228" t="s">
        <v>21</v>
      </c>
      <c r="K228" t="s">
        <v>42</v>
      </c>
      <c r="L228" t="s">
        <v>43</v>
      </c>
      <c r="M228">
        <v>5</v>
      </c>
      <c r="N228" t="s">
        <v>24</v>
      </c>
      <c r="O228" t="s">
        <v>25</v>
      </c>
      <c r="P228" t="s">
        <v>26</v>
      </c>
    </row>
    <row r="229" spans="1:16" x14ac:dyDescent="0.25">
      <c r="A229" t="s">
        <v>665</v>
      </c>
      <c r="B229" s="6">
        <v>45068</v>
      </c>
      <c r="C229">
        <v>5895</v>
      </c>
      <c r="D229" t="s">
        <v>666</v>
      </c>
      <c r="E229" t="s">
        <v>18</v>
      </c>
      <c r="F229" t="s">
        <v>47</v>
      </c>
      <c r="G229">
        <v>5030.2299999999996</v>
      </c>
      <c r="H229">
        <v>3033.71</v>
      </c>
      <c r="I229" t="s">
        <v>120</v>
      </c>
      <c r="J229" t="s">
        <v>21</v>
      </c>
      <c r="K229" t="s">
        <v>22</v>
      </c>
      <c r="L229" t="s">
        <v>43</v>
      </c>
      <c r="M229">
        <v>4</v>
      </c>
      <c r="N229" t="s">
        <v>24</v>
      </c>
      <c r="O229" t="s">
        <v>70</v>
      </c>
      <c r="P229" t="s">
        <v>49</v>
      </c>
    </row>
    <row r="230" spans="1:16" x14ac:dyDescent="0.25">
      <c r="A230" t="s">
        <v>667</v>
      </c>
      <c r="B230" s="6">
        <v>44776</v>
      </c>
      <c r="C230">
        <v>7361</v>
      </c>
      <c r="D230" t="s">
        <v>668</v>
      </c>
      <c r="E230" t="s">
        <v>18</v>
      </c>
      <c r="F230" t="s">
        <v>47</v>
      </c>
      <c r="G230">
        <v>11745.36</v>
      </c>
      <c r="H230">
        <v>7622.16</v>
      </c>
      <c r="I230" t="s">
        <v>53</v>
      </c>
      <c r="J230" t="s">
        <v>54</v>
      </c>
      <c r="K230" t="s">
        <v>32</v>
      </c>
      <c r="L230" t="s">
        <v>88</v>
      </c>
      <c r="M230">
        <v>2</v>
      </c>
      <c r="N230" t="s">
        <v>24</v>
      </c>
      <c r="O230" t="s">
        <v>70</v>
      </c>
      <c r="P230" t="s">
        <v>34</v>
      </c>
    </row>
    <row r="231" spans="1:16" x14ac:dyDescent="0.25">
      <c r="A231" t="s">
        <v>669</v>
      </c>
      <c r="B231" s="6">
        <v>44649</v>
      </c>
      <c r="C231">
        <v>3967</v>
      </c>
      <c r="D231" t="s">
        <v>670</v>
      </c>
      <c r="E231" t="s">
        <v>38</v>
      </c>
      <c r="F231" t="s">
        <v>39</v>
      </c>
      <c r="G231">
        <v>7665.68</v>
      </c>
      <c r="H231">
        <v>3645.71</v>
      </c>
      <c r="I231" t="s">
        <v>40</v>
      </c>
      <c r="J231" t="s">
        <v>41</v>
      </c>
      <c r="K231" t="s">
        <v>42</v>
      </c>
      <c r="L231" t="s">
        <v>48</v>
      </c>
      <c r="M231">
        <v>5</v>
      </c>
      <c r="N231" t="s">
        <v>24</v>
      </c>
      <c r="O231" t="s">
        <v>25</v>
      </c>
      <c r="P231" t="s">
        <v>49</v>
      </c>
    </row>
    <row r="232" spans="1:16" x14ac:dyDescent="0.25">
      <c r="A232" t="s">
        <v>671</v>
      </c>
      <c r="B232" s="6">
        <v>44719</v>
      </c>
      <c r="C232">
        <v>6428</v>
      </c>
      <c r="D232" t="s">
        <v>672</v>
      </c>
      <c r="E232" t="s">
        <v>38</v>
      </c>
      <c r="F232" t="s">
        <v>58</v>
      </c>
      <c r="G232">
        <v>13230.52</v>
      </c>
      <c r="H232">
        <v>6731.82</v>
      </c>
      <c r="I232" t="s">
        <v>40</v>
      </c>
      <c r="J232" t="s">
        <v>41</v>
      </c>
      <c r="K232" t="s">
        <v>22</v>
      </c>
      <c r="L232" t="s">
        <v>64</v>
      </c>
      <c r="M232">
        <v>1</v>
      </c>
      <c r="N232" t="s">
        <v>69</v>
      </c>
      <c r="O232" t="s">
        <v>25</v>
      </c>
      <c r="P232" t="s">
        <v>49</v>
      </c>
    </row>
    <row r="233" spans="1:16" x14ac:dyDescent="0.25">
      <c r="A233" t="s">
        <v>673</v>
      </c>
      <c r="B233" s="6">
        <v>45487</v>
      </c>
      <c r="C233">
        <v>5888</v>
      </c>
      <c r="D233" t="s">
        <v>674</v>
      </c>
      <c r="E233" t="s">
        <v>38</v>
      </c>
      <c r="F233" t="s">
        <v>30</v>
      </c>
      <c r="G233">
        <v>23919.79</v>
      </c>
      <c r="H233">
        <v>14850.55</v>
      </c>
      <c r="I233" t="s">
        <v>63</v>
      </c>
      <c r="J233" t="s">
        <v>54</v>
      </c>
      <c r="K233" t="s">
        <v>32</v>
      </c>
      <c r="L233" t="s">
        <v>23</v>
      </c>
      <c r="M233">
        <v>3</v>
      </c>
      <c r="N233" t="s">
        <v>33</v>
      </c>
      <c r="O233" t="s">
        <v>25</v>
      </c>
      <c r="P233" t="s">
        <v>34</v>
      </c>
    </row>
    <row r="234" spans="1:16" x14ac:dyDescent="0.25">
      <c r="A234" t="s">
        <v>675</v>
      </c>
      <c r="B234" s="6">
        <v>44001</v>
      </c>
      <c r="C234">
        <v>3897</v>
      </c>
      <c r="D234" t="s">
        <v>677</v>
      </c>
      <c r="E234" t="s">
        <v>38</v>
      </c>
      <c r="F234" t="s">
        <v>58</v>
      </c>
      <c r="G234">
        <v>28328.82</v>
      </c>
      <c r="H234">
        <v>12774.67</v>
      </c>
      <c r="I234" t="s">
        <v>84</v>
      </c>
      <c r="J234" t="s">
        <v>54</v>
      </c>
      <c r="K234" t="s">
        <v>42</v>
      </c>
      <c r="L234" t="s">
        <v>23</v>
      </c>
      <c r="M234">
        <v>2</v>
      </c>
      <c r="N234" t="s">
        <v>24</v>
      </c>
      <c r="O234" t="s">
        <v>25</v>
      </c>
      <c r="P234" t="s">
        <v>26</v>
      </c>
    </row>
    <row r="235" spans="1:16" x14ac:dyDescent="0.25">
      <c r="A235" t="s">
        <v>678</v>
      </c>
      <c r="B235" s="6">
        <v>44806</v>
      </c>
      <c r="C235">
        <v>1076</v>
      </c>
      <c r="D235" t="s">
        <v>680</v>
      </c>
      <c r="E235" t="s">
        <v>18</v>
      </c>
      <c r="F235" t="s">
        <v>19</v>
      </c>
      <c r="G235">
        <v>13487.82</v>
      </c>
      <c r="H235">
        <v>8040.52</v>
      </c>
      <c r="I235" t="s">
        <v>53</v>
      </c>
      <c r="J235" t="s">
        <v>54</v>
      </c>
      <c r="K235" t="s">
        <v>22</v>
      </c>
      <c r="L235" t="s">
        <v>88</v>
      </c>
      <c r="M235">
        <v>5</v>
      </c>
      <c r="N235" t="s">
        <v>33</v>
      </c>
      <c r="O235" t="s">
        <v>70</v>
      </c>
      <c r="P235" t="s">
        <v>49</v>
      </c>
    </row>
    <row r="236" spans="1:16" x14ac:dyDescent="0.25">
      <c r="A236" t="s">
        <v>681</v>
      </c>
      <c r="B236" s="6">
        <v>44628</v>
      </c>
      <c r="C236">
        <v>7284</v>
      </c>
      <c r="D236" t="s">
        <v>683</v>
      </c>
      <c r="E236" t="s">
        <v>38</v>
      </c>
      <c r="F236" t="s">
        <v>19</v>
      </c>
      <c r="G236">
        <v>5921.79</v>
      </c>
      <c r="H236">
        <v>3640.53</v>
      </c>
      <c r="I236" t="s">
        <v>20</v>
      </c>
      <c r="J236" t="s">
        <v>21</v>
      </c>
      <c r="K236" t="s">
        <v>42</v>
      </c>
      <c r="L236" t="s">
        <v>88</v>
      </c>
      <c r="M236">
        <v>4</v>
      </c>
      <c r="N236" t="s">
        <v>24</v>
      </c>
      <c r="O236" t="s">
        <v>25</v>
      </c>
      <c r="P236" t="s">
        <v>34</v>
      </c>
    </row>
    <row r="237" spans="1:16" x14ac:dyDescent="0.25">
      <c r="A237" t="s">
        <v>684</v>
      </c>
      <c r="B237" s="6">
        <v>44812</v>
      </c>
      <c r="C237">
        <v>4087</v>
      </c>
      <c r="D237" t="s">
        <v>686</v>
      </c>
      <c r="E237" t="s">
        <v>18</v>
      </c>
      <c r="F237" t="s">
        <v>47</v>
      </c>
      <c r="G237">
        <v>17221.27</v>
      </c>
      <c r="H237">
        <v>10912.1</v>
      </c>
      <c r="I237" t="s">
        <v>84</v>
      </c>
      <c r="J237" t="s">
        <v>54</v>
      </c>
      <c r="K237" t="s">
        <v>80</v>
      </c>
      <c r="L237" t="s">
        <v>55</v>
      </c>
      <c r="M237">
        <v>2</v>
      </c>
      <c r="N237" t="s">
        <v>33</v>
      </c>
      <c r="O237" t="s">
        <v>70</v>
      </c>
      <c r="P237" t="s">
        <v>26</v>
      </c>
    </row>
    <row r="238" spans="1:16" x14ac:dyDescent="0.25">
      <c r="A238" t="s">
        <v>687</v>
      </c>
      <c r="B238" s="6">
        <v>44561</v>
      </c>
      <c r="C238">
        <v>1612</v>
      </c>
      <c r="D238" t="s">
        <v>689</v>
      </c>
      <c r="E238" t="s">
        <v>38</v>
      </c>
      <c r="F238" t="s">
        <v>30</v>
      </c>
      <c r="G238">
        <v>64589.56</v>
      </c>
      <c r="H238">
        <v>32369.56</v>
      </c>
      <c r="I238" t="s">
        <v>31</v>
      </c>
      <c r="J238" t="s">
        <v>21</v>
      </c>
      <c r="K238" t="s">
        <v>22</v>
      </c>
      <c r="L238" t="s">
        <v>43</v>
      </c>
      <c r="M238">
        <v>1</v>
      </c>
      <c r="N238" t="s">
        <v>24</v>
      </c>
      <c r="O238" t="s">
        <v>70</v>
      </c>
      <c r="P238" t="s">
        <v>26</v>
      </c>
    </row>
    <row r="239" spans="1:16" x14ac:dyDescent="0.25">
      <c r="A239" t="s">
        <v>690</v>
      </c>
      <c r="B239" s="6">
        <v>44842</v>
      </c>
      <c r="C239">
        <v>8772</v>
      </c>
      <c r="D239" t="s">
        <v>691</v>
      </c>
      <c r="E239" t="s">
        <v>18</v>
      </c>
      <c r="F239" t="s">
        <v>39</v>
      </c>
      <c r="G239">
        <v>16537.599999999999</v>
      </c>
      <c r="H239">
        <v>9710.02</v>
      </c>
      <c r="I239" t="s">
        <v>63</v>
      </c>
      <c r="J239" t="s">
        <v>54</v>
      </c>
      <c r="K239" t="s">
        <v>22</v>
      </c>
      <c r="L239" t="s">
        <v>88</v>
      </c>
      <c r="M239">
        <v>4</v>
      </c>
      <c r="N239" t="s">
        <v>24</v>
      </c>
      <c r="O239" t="s">
        <v>70</v>
      </c>
      <c r="P239" t="s">
        <v>34</v>
      </c>
    </row>
    <row r="240" spans="1:16" x14ac:dyDescent="0.25">
      <c r="A240" t="s">
        <v>692</v>
      </c>
      <c r="B240" s="6">
        <v>45345</v>
      </c>
      <c r="C240">
        <v>2928</v>
      </c>
      <c r="D240" t="s">
        <v>694</v>
      </c>
      <c r="E240" t="s">
        <v>38</v>
      </c>
      <c r="F240" t="s">
        <v>58</v>
      </c>
      <c r="G240">
        <v>15273.08</v>
      </c>
      <c r="H240">
        <v>7197.48</v>
      </c>
      <c r="I240" t="s">
        <v>31</v>
      </c>
      <c r="J240" t="s">
        <v>21</v>
      </c>
      <c r="K240" t="s">
        <v>32</v>
      </c>
      <c r="L240" t="s">
        <v>43</v>
      </c>
      <c r="M240">
        <v>2</v>
      </c>
      <c r="N240" t="s">
        <v>24</v>
      </c>
      <c r="O240" t="s">
        <v>70</v>
      </c>
      <c r="P240" t="s">
        <v>26</v>
      </c>
    </row>
    <row r="241" spans="1:16" x14ac:dyDescent="0.25">
      <c r="A241" t="s">
        <v>695</v>
      </c>
      <c r="B241" s="6">
        <v>44085</v>
      </c>
      <c r="C241">
        <v>8875</v>
      </c>
      <c r="D241" t="s">
        <v>696</v>
      </c>
      <c r="E241" t="s">
        <v>38</v>
      </c>
      <c r="F241" t="s">
        <v>39</v>
      </c>
      <c r="G241">
        <v>13264.81</v>
      </c>
      <c r="H241">
        <v>6002.99</v>
      </c>
      <c r="I241" t="s">
        <v>53</v>
      </c>
      <c r="J241" t="s">
        <v>54</v>
      </c>
      <c r="K241" t="s">
        <v>22</v>
      </c>
      <c r="L241" t="s">
        <v>55</v>
      </c>
      <c r="M241">
        <v>5</v>
      </c>
      <c r="N241" t="s">
        <v>24</v>
      </c>
      <c r="O241" t="s">
        <v>25</v>
      </c>
      <c r="P241" t="s">
        <v>26</v>
      </c>
    </row>
    <row r="242" spans="1:16" x14ac:dyDescent="0.25">
      <c r="A242" t="s">
        <v>697</v>
      </c>
      <c r="B242" s="6">
        <v>44328</v>
      </c>
      <c r="C242">
        <v>4787</v>
      </c>
      <c r="D242" t="s">
        <v>698</v>
      </c>
      <c r="E242" t="s">
        <v>38</v>
      </c>
      <c r="F242" t="s">
        <v>19</v>
      </c>
      <c r="G242">
        <v>15160.31</v>
      </c>
      <c r="H242">
        <v>7719.7</v>
      </c>
      <c r="I242" t="s">
        <v>20</v>
      </c>
      <c r="J242" t="s">
        <v>21</v>
      </c>
      <c r="K242" t="s">
        <v>80</v>
      </c>
      <c r="L242" t="s">
        <v>55</v>
      </c>
      <c r="M242">
        <v>1</v>
      </c>
      <c r="N242" t="s">
        <v>69</v>
      </c>
      <c r="O242" t="s">
        <v>70</v>
      </c>
      <c r="P242" t="s">
        <v>34</v>
      </c>
    </row>
    <row r="243" spans="1:16" x14ac:dyDescent="0.25">
      <c r="A243" t="s">
        <v>699</v>
      </c>
      <c r="B243" s="6">
        <v>45340</v>
      </c>
      <c r="C243">
        <v>1158</v>
      </c>
      <c r="D243" t="s">
        <v>700</v>
      </c>
      <c r="E243" t="s">
        <v>18</v>
      </c>
      <c r="F243" t="s">
        <v>39</v>
      </c>
      <c r="G243">
        <v>43336.07</v>
      </c>
      <c r="H243">
        <v>20979.1</v>
      </c>
      <c r="I243" t="s">
        <v>84</v>
      </c>
      <c r="J243" t="s">
        <v>54</v>
      </c>
      <c r="K243" t="s">
        <v>42</v>
      </c>
      <c r="L243" t="s">
        <v>64</v>
      </c>
      <c r="M243">
        <v>5</v>
      </c>
      <c r="N243" t="s">
        <v>33</v>
      </c>
      <c r="O243" t="s">
        <v>70</v>
      </c>
      <c r="P243" t="s">
        <v>34</v>
      </c>
    </row>
    <row r="244" spans="1:16" x14ac:dyDescent="0.25">
      <c r="A244" t="s">
        <v>701</v>
      </c>
      <c r="B244" s="6">
        <v>44795</v>
      </c>
      <c r="C244">
        <v>7319</v>
      </c>
      <c r="D244" t="s">
        <v>702</v>
      </c>
      <c r="E244" t="s">
        <v>38</v>
      </c>
      <c r="F244" t="s">
        <v>58</v>
      </c>
      <c r="G244">
        <v>28197.200000000001</v>
      </c>
      <c r="H244">
        <v>16347.87</v>
      </c>
      <c r="I244" t="s">
        <v>68</v>
      </c>
      <c r="J244" t="s">
        <v>41</v>
      </c>
      <c r="K244" t="s">
        <v>32</v>
      </c>
      <c r="L244" t="s">
        <v>55</v>
      </c>
      <c r="M244">
        <v>2</v>
      </c>
      <c r="N244" t="s">
        <v>24</v>
      </c>
      <c r="O244" t="s">
        <v>25</v>
      </c>
      <c r="P244" t="s">
        <v>26</v>
      </c>
    </row>
    <row r="245" spans="1:16" x14ac:dyDescent="0.25">
      <c r="A245" t="s">
        <v>703</v>
      </c>
      <c r="B245" s="6">
        <v>45151</v>
      </c>
      <c r="C245">
        <v>7221</v>
      </c>
      <c r="D245" t="s">
        <v>705</v>
      </c>
      <c r="E245" t="s">
        <v>38</v>
      </c>
      <c r="F245" t="s">
        <v>30</v>
      </c>
      <c r="G245">
        <v>78148.25</v>
      </c>
      <c r="H245">
        <v>48648.47</v>
      </c>
      <c r="I245" t="s">
        <v>84</v>
      </c>
      <c r="J245" t="s">
        <v>54</v>
      </c>
      <c r="K245" t="s">
        <v>32</v>
      </c>
      <c r="L245" t="s">
        <v>64</v>
      </c>
      <c r="M245">
        <v>4</v>
      </c>
      <c r="N245" t="s">
        <v>33</v>
      </c>
      <c r="O245" t="s">
        <v>25</v>
      </c>
      <c r="P245" t="s">
        <v>26</v>
      </c>
    </row>
    <row r="246" spans="1:16" x14ac:dyDescent="0.25">
      <c r="A246" t="s">
        <v>706</v>
      </c>
      <c r="B246" s="6">
        <v>45639</v>
      </c>
      <c r="C246">
        <v>4669</v>
      </c>
      <c r="D246" t="s">
        <v>708</v>
      </c>
      <c r="E246" t="s">
        <v>38</v>
      </c>
      <c r="F246" t="s">
        <v>39</v>
      </c>
      <c r="G246">
        <v>36195.43</v>
      </c>
      <c r="H246">
        <v>21270.18</v>
      </c>
      <c r="I246" t="s">
        <v>84</v>
      </c>
      <c r="J246" t="s">
        <v>54</v>
      </c>
      <c r="K246" t="s">
        <v>22</v>
      </c>
      <c r="L246" t="s">
        <v>64</v>
      </c>
      <c r="M246">
        <v>2</v>
      </c>
      <c r="N246" t="s">
        <v>24</v>
      </c>
      <c r="O246" t="s">
        <v>70</v>
      </c>
      <c r="P246" t="s">
        <v>49</v>
      </c>
    </row>
    <row r="247" spans="1:16" x14ac:dyDescent="0.25">
      <c r="A247" t="s">
        <v>709</v>
      </c>
      <c r="B247" s="6">
        <v>44932</v>
      </c>
      <c r="C247">
        <v>3571</v>
      </c>
      <c r="D247" t="s">
        <v>711</v>
      </c>
      <c r="E247" t="s">
        <v>38</v>
      </c>
      <c r="F247" t="s">
        <v>47</v>
      </c>
      <c r="G247">
        <v>18144.78</v>
      </c>
      <c r="H247">
        <v>11320.22</v>
      </c>
      <c r="I247" t="s">
        <v>84</v>
      </c>
      <c r="J247" t="s">
        <v>54</v>
      </c>
      <c r="K247" t="s">
        <v>22</v>
      </c>
      <c r="L247" t="s">
        <v>64</v>
      </c>
      <c r="M247">
        <v>3</v>
      </c>
      <c r="N247" t="s">
        <v>33</v>
      </c>
      <c r="O247" t="s">
        <v>70</v>
      </c>
      <c r="P247" t="s">
        <v>26</v>
      </c>
    </row>
    <row r="248" spans="1:16" x14ac:dyDescent="0.25">
      <c r="A248" t="s">
        <v>712</v>
      </c>
      <c r="B248" s="6">
        <v>44682</v>
      </c>
      <c r="C248">
        <v>8521</v>
      </c>
      <c r="D248" t="s">
        <v>714</v>
      </c>
      <c r="E248" t="s">
        <v>38</v>
      </c>
      <c r="F248" t="s">
        <v>19</v>
      </c>
      <c r="G248">
        <v>15118.29</v>
      </c>
      <c r="H248">
        <v>8158.13</v>
      </c>
      <c r="I248" t="s">
        <v>31</v>
      </c>
      <c r="J248" t="s">
        <v>21</v>
      </c>
      <c r="K248" t="s">
        <v>80</v>
      </c>
      <c r="L248" t="s">
        <v>64</v>
      </c>
      <c r="M248">
        <v>3</v>
      </c>
      <c r="N248" t="s">
        <v>33</v>
      </c>
      <c r="O248" t="s">
        <v>25</v>
      </c>
      <c r="P248" t="s">
        <v>49</v>
      </c>
    </row>
    <row r="249" spans="1:16" x14ac:dyDescent="0.25">
      <c r="A249" t="s">
        <v>715</v>
      </c>
      <c r="B249" s="6">
        <v>44927</v>
      </c>
      <c r="C249">
        <v>5990</v>
      </c>
      <c r="D249" t="s">
        <v>716</v>
      </c>
      <c r="E249" t="s">
        <v>18</v>
      </c>
      <c r="F249" t="s">
        <v>39</v>
      </c>
      <c r="G249">
        <v>39470.300000000003</v>
      </c>
      <c r="H249">
        <v>21362.97</v>
      </c>
      <c r="I249" t="s">
        <v>53</v>
      </c>
      <c r="J249" t="s">
        <v>54</v>
      </c>
      <c r="K249" t="s">
        <v>42</v>
      </c>
      <c r="L249" t="s">
        <v>88</v>
      </c>
      <c r="M249">
        <v>1</v>
      </c>
      <c r="N249" t="s">
        <v>69</v>
      </c>
      <c r="O249" t="s">
        <v>70</v>
      </c>
      <c r="P249" t="s">
        <v>34</v>
      </c>
    </row>
    <row r="250" spans="1:16" x14ac:dyDescent="0.25">
      <c r="A250" t="s">
        <v>717</v>
      </c>
      <c r="B250" s="6">
        <v>45478</v>
      </c>
      <c r="C250">
        <v>2868</v>
      </c>
      <c r="D250" t="s">
        <v>719</v>
      </c>
      <c r="E250" t="s">
        <v>18</v>
      </c>
      <c r="F250" t="s">
        <v>30</v>
      </c>
      <c r="G250">
        <v>84287.95</v>
      </c>
      <c r="H250">
        <v>41667.699999999997</v>
      </c>
      <c r="I250" t="s">
        <v>31</v>
      </c>
      <c r="J250" t="s">
        <v>21</v>
      </c>
      <c r="K250" t="s">
        <v>42</v>
      </c>
      <c r="L250" t="s">
        <v>88</v>
      </c>
      <c r="M250">
        <v>3</v>
      </c>
      <c r="N250" t="s">
        <v>24</v>
      </c>
      <c r="O250" t="s">
        <v>25</v>
      </c>
      <c r="P250" t="s">
        <v>26</v>
      </c>
    </row>
    <row r="251" spans="1:16" x14ac:dyDescent="0.25">
      <c r="A251" t="s">
        <v>720</v>
      </c>
      <c r="B251" s="6">
        <v>45501</v>
      </c>
      <c r="C251">
        <v>5166</v>
      </c>
      <c r="D251" t="s">
        <v>722</v>
      </c>
      <c r="E251" t="s">
        <v>18</v>
      </c>
      <c r="F251" t="s">
        <v>30</v>
      </c>
      <c r="G251">
        <v>38536</v>
      </c>
      <c r="H251">
        <v>24510.560000000001</v>
      </c>
      <c r="I251" t="s">
        <v>63</v>
      </c>
      <c r="J251" t="s">
        <v>54</v>
      </c>
      <c r="K251" t="s">
        <v>80</v>
      </c>
      <c r="L251" t="s">
        <v>23</v>
      </c>
      <c r="M251">
        <v>4</v>
      </c>
      <c r="N251" t="s">
        <v>69</v>
      </c>
      <c r="O251" t="s">
        <v>25</v>
      </c>
      <c r="P251" t="s">
        <v>34</v>
      </c>
    </row>
    <row r="252" spans="1:16" x14ac:dyDescent="0.25">
      <c r="A252" t="s">
        <v>723</v>
      </c>
      <c r="B252" s="6">
        <v>45271</v>
      </c>
      <c r="C252">
        <v>3018</v>
      </c>
      <c r="D252" t="s">
        <v>725</v>
      </c>
      <c r="E252" t="s">
        <v>38</v>
      </c>
      <c r="F252" t="s">
        <v>58</v>
      </c>
      <c r="G252">
        <v>34394.22</v>
      </c>
      <c r="H252">
        <v>19531.21</v>
      </c>
      <c r="I252" t="s">
        <v>53</v>
      </c>
      <c r="J252" t="s">
        <v>54</v>
      </c>
      <c r="K252" t="s">
        <v>32</v>
      </c>
      <c r="L252" t="s">
        <v>64</v>
      </c>
      <c r="M252">
        <v>1</v>
      </c>
      <c r="N252" t="s">
        <v>24</v>
      </c>
      <c r="O252" t="s">
        <v>25</v>
      </c>
      <c r="P252" t="s">
        <v>34</v>
      </c>
    </row>
    <row r="253" spans="1:16" x14ac:dyDescent="0.25">
      <c r="A253" t="s">
        <v>726</v>
      </c>
      <c r="B253" s="6">
        <v>45382</v>
      </c>
      <c r="C253">
        <v>3845</v>
      </c>
      <c r="D253" t="s">
        <v>728</v>
      </c>
      <c r="E253" t="s">
        <v>18</v>
      </c>
      <c r="F253" t="s">
        <v>47</v>
      </c>
      <c r="G253">
        <v>3557.27</v>
      </c>
      <c r="H253">
        <v>2068.5700000000002</v>
      </c>
      <c r="I253" t="s">
        <v>59</v>
      </c>
      <c r="J253" t="s">
        <v>41</v>
      </c>
      <c r="K253" t="s">
        <v>42</v>
      </c>
      <c r="L253" t="s">
        <v>43</v>
      </c>
      <c r="M253">
        <v>4</v>
      </c>
      <c r="N253" t="s">
        <v>33</v>
      </c>
      <c r="O253" t="s">
        <v>70</v>
      </c>
      <c r="P253" t="s">
        <v>49</v>
      </c>
    </row>
    <row r="254" spans="1:16" x14ac:dyDescent="0.25">
      <c r="A254" t="s">
        <v>729</v>
      </c>
      <c r="B254" s="6">
        <v>44712</v>
      </c>
      <c r="C254">
        <v>3185</v>
      </c>
      <c r="D254" t="s">
        <v>731</v>
      </c>
      <c r="E254" t="s">
        <v>18</v>
      </c>
      <c r="F254" t="s">
        <v>39</v>
      </c>
      <c r="G254">
        <v>20620.599999999999</v>
      </c>
      <c r="H254">
        <v>12166.21</v>
      </c>
      <c r="I254" t="s">
        <v>120</v>
      </c>
      <c r="J254" t="s">
        <v>21</v>
      </c>
      <c r="K254" t="s">
        <v>42</v>
      </c>
      <c r="L254" t="s">
        <v>48</v>
      </c>
      <c r="M254">
        <v>5</v>
      </c>
      <c r="N254" t="s">
        <v>69</v>
      </c>
      <c r="O254" t="s">
        <v>70</v>
      </c>
      <c r="P254" t="s">
        <v>49</v>
      </c>
    </row>
    <row r="255" spans="1:16" x14ac:dyDescent="0.25">
      <c r="A255" t="s">
        <v>732</v>
      </c>
      <c r="B255" s="6">
        <v>45643</v>
      </c>
      <c r="C255">
        <v>3173</v>
      </c>
      <c r="D255" t="s">
        <v>734</v>
      </c>
      <c r="E255" t="s">
        <v>18</v>
      </c>
      <c r="F255" t="s">
        <v>58</v>
      </c>
      <c r="G255">
        <v>33305.07</v>
      </c>
      <c r="H255">
        <v>19612.099999999999</v>
      </c>
      <c r="I255" t="s">
        <v>20</v>
      </c>
      <c r="J255" t="s">
        <v>21</v>
      </c>
      <c r="K255" t="s">
        <v>42</v>
      </c>
      <c r="L255" t="s">
        <v>48</v>
      </c>
      <c r="M255">
        <v>1</v>
      </c>
      <c r="N255" t="s">
        <v>24</v>
      </c>
      <c r="O255" t="s">
        <v>25</v>
      </c>
      <c r="P255" t="s">
        <v>49</v>
      </c>
    </row>
    <row r="256" spans="1:16" x14ac:dyDescent="0.25">
      <c r="A256" t="s">
        <v>735</v>
      </c>
      <c r="B256" s="6">
        <v>45200</v>
      </c>
      <c r="C256">
        <v>7920</v>
      </c>
      <c r="D256" t="s">
        <v>737</v>
      </c>
      <c r="E256" t="s">
        <v>18</v>
      </c>
      <c r="F256" t="s">
        <v>19</v>
      </c>
      <c r="G256">
        <v>12741.52</v>
      </c>
      <c r="H256">
        <v>5798.09</v>
      </c>
      <c r="I256" t="s">
        <v>31</v>
      </c>
      <c r="J256" t="s">
        <v>21</v>
      </c>
      <c r="K256" t="s">
        <v>32</v>
      </c>
      <c r="L256" t="s">
        <v>55</v>
      </c>
      <c r="M256">
        <v>1</v>
      </c>
      <c r="N256" t="s">
        <v>33</v>
      </c>
      <c r="O256" t="s">
        <v>70</v>
      </c>
      <c r="P256" t="s">
        <v>26</v>
      </c>
    </row>
    <row r="257" spans="1:16" x14ac:dyDescent="0.25">
      <c r="A257" t="s">
        <v>738</v>
      </c>
      <c r="B257" s="6">
        <v>45645</v>
      </c>
      <c r="C257">
        <v>4342</v>
      </c>
      <c r="D257" t="s">
        <v>739</v>
      </c>
      <c r="E257" t="s">
        <v>18</v>
      </c>
      <c r="F257" t="s">
        <v>39</v>
      </c>
      <c r="G257">
        <v>17659.240000000002</v>
      </c>
      <c r="H257">
        <v>9545.15</v>
      </c>
      <c r="I257" t="s">
        <v>40</v>
      </c>
      <c r="J257" t="s">
        <v>41</v>
      </c>
      <c r="K257" t="s">
        <v>32</v>
      </c>
      <c r="L257" t="s">
        <v>48</v>
      </c>
      <c r="M257">
        <v>5</v>
      </c>
      <c r="N257" t="s">
        <v>33</v>
      </c>
      <c r="O257" t="s">
        <v>25</v>
      </c>
      <c r="P257" t="s">
        <v>49</v>
      </c>
    </row>
    <row r="258" spans="1:16" x14ac:dyDescent="0.25">
      <c r="A258" t="s">
        <v>740</v>
      </c>
      <c r="B258" s="6">
        <v>44775</v>
      </c>
      <c r="C258">
        <v>6122</v>
      </c>
      <c r="D258" t="s">
        <v>742</v>
      </c>
      <c r="E258" t="s">
        <v>18</v>
      </c>
      <c r="F258" t="s">
        <v>58</v>
      </c>
      <c r="G258">
        <v>10175.66</v>
      </c>
      <c r="H258">
        <v>5090.5600000000004</v>
      </c>
      <c r="I258" t="s">
        <v>84</v>
      </c>
      <c r="J258" t="s">
        <v>54</v>
      </c>
      <c r="K258" t="s">
        <v>80</v>
      </c>
      <c r="L258" t="s">
        <v>23</v>
      </c>
      <c r="M258">
        <v>3</v>
      </c>
      <c r="N258" t="s">
        <v>24</v>
      </c>
      <c r="O258" t="s">
        <v>25</v>
      </c>
      <c r="P258" t="s">
        <v>49</v>
      </c>
    </row>
    <row r="259" spans="1:16" x14ac:dyDescent="0.25">
      <c r="A259" t="s">
        <v>743</v>
      </c>
      <c r="B259" s="6">
        <v>44652</v>
      </c>
      <c r="C259">
        <v>2220</v>
      </c>
      <c r="D259" t="s">
        <v>745</v>
      </c>
      <c r="E259" t="s">
        <v>18</v>
      </c>
      <c r="F259" t="s">
        <v>47</v>
      </c>
      <c r="G259">
        <v>17437.13</v>
      </c>
      <c r="H259">
        <v>10410.24</v>
      </c>
      <c r="I259" t="s">
        <v>84</v>
      </c>
      <c r="J259" t="s">
        <v>54</v>
      </c>
      <c r="K259" t="s">
        <v>22</v>
      </c>
      <c r="L259" t="s">
        <v>64</v>
      </c>
      <c r="M259">
        <v>1</v>
      </c>
      <c r="N259" t="s">
        <v>33</v>
      </c>
      <c r="O259" t="s">
        <v>25</v>
      </c>
      <c r="P259" t="s">
        <v>26</v>
      </c>
    </row>
    <row r="260" spans="1:16" x14ac:dyDescent="0.25">
      <c r="A260" t="s">
        <v>746</v>
      </c>
      <c r="B260" s="6">
        <v>45006</v>
      </c>
      <c r="C260">
        <v>3518</v>
      </c>
      <c r="D260" t="s">
        <v>747</v>
      </c>
      <c r="E260" t="s">
        <v>38</v>
      </c>
      <c r="F260" t="s">
        <v>58</v>
      </c>
      <c r="G260">
        <v>41516.71</v>
      </c>
      <c r="H260">
        <v>25106.49</v>
      </c>
      <c r="I260" t="s">
        <v>53</v>
      </c>
      <c r="J260" t="s">
        <v>54</v>
      </c>
      <c r="K260" t="s">
        <v>42</v>
      </c>
      <c r="L260" t="s">
        <v>64</v>
      </c>
      <c r="M260">
        <v>5</v>
      </c>
      <c r="N260" t="s">
        <v>24</v>
      </c>
      <c r="O260" t="s">
        <v>25</v>
      </c>
      <c r="P260" t="s">
        <v>49</v>
      </c>
    </row>
    <row r="261" spans="1:16" x14ac:dyDescent="0.25">
      <c r="A261" t="s">
        <v>748</v>
      </c>
      <c r="B261" s="6">
        <v>45185</v>
      </c>
      <c r="C261">
        <v>7814</v>
      </c>
      <c r="D261" t="s">
        <v>749</v>
      </c>
      <c r="E261" t="s">
        <v>38</v>
      </c>
      <c r="F261" t="s">
        <v>47</v>
      </c>
      <c r="G261">
        <v>5036.0600000000004</v>
      </c>
      <c r="H261">
        <v>2489.02</v>
      </c>
      <c r="I261" t="s">
        <v>63</v>
      </c>
      <c r="J261" t="s">
        <v>54</v>
      </c>
      <c r="K261" t="s">
        <v>32</v>
      </c>
      <c r="L261" t="s">
        <v>48</v>
      </c>
      <c r="M261">
        <v>3</v>
      </c>
      <c r="N261" t="s">
        <v>33</v>
      </c>
      <c r="O261" t="s">
        <v>25</v>
      </c>
      <c r="P261" t="s">
        <v>49</v>
      </c>
    </row>
    <row r="262" spans="1:16" x14ac:dyDescent="0.25">
      <c r="A262" t="s">
        <v>750</v>
      </c>
      <c r="B262" s="6">
        <v>45296</v>
      </c>
      <c r="C262">
        <v>6668</v>
      </c>
      <c r="D262" t="s">
        <v>751</v>
      </c>
      <c r="E262" t="s">
        <v>38</v>
      </c>
      <c r="F262" t="s">
        <v>47</v>
      </c>
      <c r="G262">
        <v>6880.44</v>
      </c>
      <c r="H262">
        <v>3980.01</v>
      </c>
      <c r="I262" t="s">
        <v>31</v>
      </c>
      <c r="J262" t="s">
        <v>21</v>
      </c>
      <c r="K262" t="s">
        <v>32</v>
      </c>
      <c r="L262" t="s">
        <v>55</v>
      </c>
      <c r="M262">
        <v>3</v>
      </c>
      <c r="N262" t="s">
        <v>33</v>
      </c>
      <c r="O262" t="s">
        <v>70</v>
      </c>
      <c r="P262" t="s">
        <v>26</v>
      </c>
    </row>
    <row r="263" spans="1:16" x14ac:dyDescent="0.25">
      <c r="A263" t="s">
        <v>752</v>
      </c>
      <c r="B263" s="6">
        <v>44095</v>
      </c>
      <c r="C263">
        <v>9426</v>
      </c>
      <c r="D263" t="s">
        <v>753</v>
      </c>
      <c r="E263" t="s">
        <v>38</v>
      </c>
      <c r="F263" t="s">
        <v>19</v>
      </c>
      <c r="G263">
        <v>9502.7999999999993</v>
      </c>
      <c r="H263">
        <v>4839.6499999999996</v>
      </c>
      <c r="I263" t="s">
        <v>84</v>
      </c>
      <c r="J263" t="s">
        <v>54</v>
      </c>
      <c r="K263" t="s">
        <v>32</v>
      </c>
      <c r="L263" t="s">
        <v>88</v>
      </c>
      <c r="M263">
        <v>5</v>
      </c>
      <c r="N263" t="s">
        <v>33</v>
      </c>
      <c r="O263" t="s">
        <v>25</v>
      </c>
      <c r="P263" t="s">
        <v>49</v>
      </c>
    </row>
    <row r="264" spans="1:16" x14ac:dyDescent="0.25">
      <c r="A264" t="s">
        <v>754</v>
      </c>
      <c r="B264" s="6">
        <v>45036</v>
      </c>
      <c r="C264">
        <v>7950</v>
      </c>
      <c r="D264" t="s">
        <v>756</v>
      </c>
      <c r="E264" t="s">
        <v>18</v>
      </c>
      <c r="F264" t="s">
        <v>58</v>
      </c>
      <c r="G264">
        <v>17947.41</v>
      </c>
      <c r="H264">
        <v>11051.11</v>
      </c>
      <c r="I264" t="s">
        <v>31</v>
      </c>
      <c r="J264" t="s">
        <v>21</v>
      </c>
      <c r="K264" t="s">
        <v>80</v>
      </c>
      <c r="L264" t="s">
        <v>48</v>
      </c>
      <c r="M264">
        <v>1</v>
      </c>
      <c r="N264" t="s">
        <v>24</v>
      </c>
      <c r="O264" t="s">
        <v>25</v>
      </c>
      <c r="P264" t="s">
        <v>34</v>
      </c>
    </row>
    <row r="265" spans="1:16" x14ac:dyDescent="0.25">
      <c r="A265" t="s">
        <v>757</v>
      </c>
      <c r="B265" s="6">
        <v>43959</v>
      </c>
      <c r="C265">
        <v>2154</v>
      </c>
      <c r="D265" t="s">
        <v>758</v>
      </c>
      <c r="E265" t="s">
        <v>18</v>
      </c>
      <c r="F265" t="s">
        <v>58</v>
      </c>
      <c r="G265">
        <v>31279.88</v>
      </c>
      <c r="H265">
        <v>16626.09</v>
      </c>
      <c r="I265" t="s">
        <v>20</v>
      </c>
      <c r="J265" t="s">
        <v>21</v>
      </c>
      <c r="K265" t="s">
        <v>80</v>
      </c>
      <c r="L265" t="s">
        <v>48</v>
      </c>
      <c r="M265">
        <v>4</v>
      </c>
      <c r="N265" t="s">
        <v>33</v>
      </c>
      <c r="O265" t="s">
        <v>25</v>
      </c>
      <c r="P265" t="s">
        <v>49</v>
      </c>
    </row>
    <row r="266" spans="1:16" x14ac:dyDescent="0.25">
      <c r="A266" t="s">
        <v>759</v>
      </c>
      <c r="B266" s="6">
        <v>45226</v>
      </c>
      <c r="C266">
        <v>2189</v>
      </c>
      <c r="D266" t="s">
        <v>760</v>
      </c>
      <c r="E266" t="s">
        <v>38</v>
      </c>
      <c r="F266" t="s">
        <v>19</v>
      </c>
      <c r="G266">
        <v>23400.240000000002</v>
      </c>
      <c r="H266">
        <v>11026.83</v>
      </c>
      <c r="I266" t="s">
        <v>63</v>
      </c>
      <c r="J266" t="s">
        <v>54</v>
      </c>
      <c r="K266" t="s">
        <v>42</v>
      </c>
      <c r="L266" t="s">
        <v>43</v>
      </c>
      <c r="M266">
        <v>1</v>
      </c>
      <c r="N266" t="s">
        <v>33</v>
      </c>
      <c r="O266" t="s">
        <v>70</v>
      </c>
      <c r="P266" t="s">
        <v>34</v>
      </c>
    </row>
    <row r="267" spans="1:16" x14ac:dyDescent="0.25">
      <c r="A267" t="s">
        <v>761</v>
      </c>
      <c r="B267" s="6">
        <v>44309</v>
      </c>
      <c r="C267">
        <v>7406</v>
      </c>
      <c r="D267" t="s">
        <v>762</v>
      </c>
      <c r="E267" t="s">
        <v>38</v>
      </c>
      <c r="F267" t="s">
        <v>58</v>
      </c>
      <c r="G267">
        <v>44395.47</v>
      </c>
      <c r="H267">
        <v>21257.22</v>
      </c>
      <c r="I267" t="s">
        <v>84</v>
      </c>
      <c r="J267" t="s">
        <v>54</v>
      </c>
      <c r="K267" t="s">
        <v>42</v>
      </c>
      <c r="L267" t="s">
        <v>55</v>
      </c>
      <c r="M267">
        <v>5</v>
      </c>
      <c r="N267" t="s">
        <v>69</v>
      </c>
      <c r="O267" t="s">
        <v>25</v>
      </c>
      <c r="P267" t="s">
        <v>26</v>
      </c>
    </row>
    <row r="268" spans="1:16" x14ac:dyDescent="0.25">
      <c r="A268" t="s">
        <v>763</v>
      </c>
      <c r="B268" s="6">
        <v>44970</v>
      </c>
      <c r="C268">
        <v>4441</v>
      </c>
      <c r="D268" t="s">
        <v>765</v>
      </c>
      <c r="E268" t="s">
        <v>38</v>
      </c>
      <c r="F268" t="s">
        <v>39</v>
      </c>
      <c r="G268">
        <v>19302.5</v>
      </c>
      <c r="H268">
        <v>12182.3</v>
      </c>
      <c r="I268" t="s">
        <v>84</v>
      </c>
      <c r="J268" t="s">
        <v>54</v>
      </c>
      <c r="K268" t="s">
        <v>32</v>
      </c>
      <c r="L268" t="s">
        <v>23</v>
      </c>
      <c r="M268">
        <v>2</v>
      </c>
      <c r="N268" t="s">
        <v>33</v>
      </c>
      <c r="O268" t="s">
        <v>70</v>
      </c>
      <c r="P268" t="s">
        <v>26</v>
      </c>
    </row>
    <row r="269" spans="1:16" x14ac:dyDescent="0.25">
      <c r="A269" t="s">
        <v>766</v>
      </c>
      <c r="B269" s="6">
        <v>45573</v>
      </c>
      <c r="C269">
        <v>2198</v>
      </c>
      <c r="D269" t="s">
        <v>767</v>
      </c>
      <c r="E269" t="s">
        <v>38</v>
      </c>
      <c r="F269" t="s">
        <v>19</v>
      </c>
      <c r="G269">
        <v>19859.150000000001</v>
      </c>
      <c r="H269">
        <v>9932.31</v>
      </c>
      <c r="I269" t="s">
        <v>84</v>
      </c>
      <c r="J269" t="s">
        <v>54</v>
      </c>
      <c r="K269" t="s">
        <v>32</v>
      </c>
      <c r="L269" t="s">
        <v>48</v>
      </c>
      <c r="M269">
        <v>5</v>
      </c>
      <c r="N269" t="s">
        <v>24</v>
      </c>
      <c r="O269" t="s">
        <v>25</v>
      </c>
      <c r="P269" t="s">
        <v>26</v>
      </c>
    </row>
    <row r="270" spans="1:16" x14ac:dyDescent="0.25">
      <c r="A270" t="s">
        <v>768</v>
      </c>
      <c r="B270" s="6">
        <v>45026</v>
      </c>
      <c r="C270">
        <v>8960</v>
      </c>
      <c r="D270" t="s">
        <v>770</v>
      </c>
      <c r="E270" t="s">
        <v>38</v>
      </c>
      <c r="F270" t="s">
        <v>58</v>
      </c>
      <c r="G270">
        <v>23171.13</v>
      </c>
      <c r="H270">
        <v>13482.92</v>
      </c>
      <c r="I270" t="s">
        <v>20</v>
      </c>
      <c r="J270" t="s">
        <v>21</v>
      </c>
      <c r="K270" t="s">
        <v>32</v>
      </c>
      <c r="L270" t="s">
        <v>43</v>
      </c>
      <c r="M270">
        <v>5</v>
      </c>
      <c r="N270" t="s">
        <v>33</v>
      </c>
      <c r="O270" t="s">
        <v>25</v>
      </c>
      <c r="P270" t="s">
        <v>34</v>
      </c>
    </row>
    <row r="271" spans="1:16" x14ac:dyDescent="0.25">
      <c r="A271" t="s">
        <v>771</v>
      </c>
      <c r="B271" s="6">
        <v>44525</v>
      </c>
      <c r="C271">
        <v>5533</v>
      </c>
      <c r="D271" t="s">
        <v>773</v>
      </c>
      <c r="E271" t="s">
        <v>38</v>
      </c>
      <c r="F271" t="s">
        <v>39</v>
      </c>
      <c r="G271">
        <v>11660.73</v>
      </c>
      <c r="H271">
        <v>6956.73</v>
      </c>
      <c r="I271" t="s">
        <v>53</v>
      </c>
      <c r="J271" t="s">
        <v>54</v>
      </c>
      <c r="K271" t="s">
        <v>80</v>
      </c>
      <c r="L271" t="s">
        <v>64</v>
      </c>
      <c r="M271">
        <v>4</v>
      </c>
      <c r="N271" t="s">
        <v>33</v>
      </c>
      <c r="O271" t="s">
        <v>25</v>
      </c>
      <c r="P271" t="s">
        <v>49</v>
      </c>
    </row>
    <row r="272" spans="1:16" x14ac:dyDescent="0.25">
      <c r="A272" t="s">
        <v>774</v>
      </c>
      <c r="B272" s="6">
        <v>45363</v>
      </c>
      <c r="C272">
        <v>4218</v>
      </c>
      <c r="D272" t="s">
        <v>403</v>
      </c>
      <c r="E272" t="s">
        <v>38</v>
      </c>
      <c r="F272" t="s">
        <v>30</v>
      </c>
      <c r="G272">
        <v>98323.14</v>
      </c>
      <c r="H272">
        <v>56567.64</v>
      </c>
      <c r="I272" t="s">
        <v>84</v>
      </c>
      <c r="J272" t="s">
        <v>54</v>
      </c>
      <c r="K272" t="s">
        <v>22</v>
      </c>
      <c r="L272" t="s">
        <v>55</v>
      </c>
      <c r="M272">
        <v>5</v>
      </c>
      <c r="N272" t="s">
        <v>24</v>
      </c>
      <c r="O272" t="s">
        <v>70</v>
      </c>
      <c r="P272" t="s">
        <v>49</v>
      </c>
    </row>
    <row r="273" spans="1:16" x14ac:dyDescent="0.25">
      <c r="A273" t="s">
        <v>775</v>
      </c>
      <c r="B273" s="6">
        <v>43964</v>
      </c>
      <c r="C273">
        <v>9842</v>
      </c>
      <c r="D273" t="s">
        <v>776</v>
      </c>
      <c r="E273" t="s">
        <v>38</v>
      </c>
      <c r="F273" t="s">
        <v>58</v>
      </c>
      <c r="G273">
        <v>28975.14</v>
      </c>
      <c r="H273">
        <v>13900.15</v>
      </c>
      <c r="I273" t="s">
        <v>84</v>
      </c>
      <c r="J273" t="s">
        <v>54</v>
      </c>
      <c r="K273" t="s">
        <v>80</v>
      </c>
      <c r="L273" t="s">
        <v>23</v>
      </c>
      <c r="M273">
        <v>5</v>
      </c>
      <c r="N273" t="s">
        <v>24</v>
      </c>
      <c r="O273" t="s">
        <v>25</v>
      </c>
      <c r="P273" t="s">
        <v>34</v>
      </c>
    </row>
    <row r="274" spans="1:16" x14ac:dyDescent="0.25">
      <c r="A274" t="s">
        <v>777</v>
      </c>
      <c r="B274" s="6">
        <v>45266</v>
      </c>
      <c r="C274">
        <v>3717</v>
      </c>
      <c r="D274" t="s">
        <v>779</v>
      </c>
      <c r="E274" t="s">
        <v>18</v>
      </c>
      <c r="F274" t="s">
        <v>39</v>
      </c>
      <c r="G274">
        <v>24984.07</v>
      </c>
      <c r="H274">
        <v>12137.99</v>
      </c>
      <c r="I274" t="s">
        <v>20</v>
      </c>
      <c r="J274" t="s">
        <v>21</v>
      </c>
      <c r="K274" t="s">
        <v>32</v>
      </c>
      <c r="L274" t="s">
        <v>48</v>
      </c>
      <c r="M274">
        <v>4</v>
      </c>
      <c r="N274" t="s">
        <v>69</v>
      </c>
      <c r="O274" t="s">
        <v>25</v>
      </c>
      <c r="P274" t="s">
        <v>34</v>
      </c>
    </row>
    <row r="275" spans="1:16" x14ac:dyDescent="0.25">
      <c r="A275" t="s">
        <v>780</v>
      </c>
      <c r="B275" s="6">
        <v>43936</v>
      </c>
      <c r="C275">
        <v>6918</v>
      </c>
      <c r="D275" t="s">
        <v>782</v>
      </c>
      <c r="E275" t="s">
        <v>38</v>
      </c>
      <c r="F275" t="s">
        <v>39</v>
      </c>
      <c r="G275">
        <v>20249.32</v>
      </c>
      <c r="H275">
        <v>10953.44</v>
      </c>
      <c r="I275" t="s">
        <v>53</v>
      </c>
      <c r="J275" t="s">
        <v>54</v>
      </c>
      <c r="K275" t="s">
        <v>22</v>
      </c>
      <c r="L275" t="s">
        <v>55</v>
      </c>
      <c r="M275">
        <v>3</v>
      </c>
      <c r="N275" t="s">
        <v>33</v>
      </c>
      <c r="O275" t="s">
        <v>70</v>
      </c>
      <c r="P275" t="s">
        <v>49</v>
      </c>
    </row>
    <row r="276" spans="1:16" x14ac:dyDescent="0.25">
      <c r="A276" t="s">
        <v>783</v>
      </c>
      <c r="B276" s="6">
        <v>45016</v>
      </c>
      <c r="C276">
        <v>7201</v>
      </c>
      <c r="D276" t="s">
        <v>785</v>
      </c>
      <c r="E276" t="s">
        <v>38</v>
      </c>
      <c r="F276" t="s">
        <v>39</v>
      </c>
      <c r="G276">
        <v>22764.31</v>
      </c>
      <c r="H276">
        <v>14333.44</v>
      </c>
      <c r="I276" t="s">
        <v>40</v>
      </c>
      <c r="J276" t="s">
        <v>41</v>
      </c>
      <c r="K276" t="s">
        <v>22</v>
      </c>
      <c r="L276" t="s">
        <v>43</v>
      </c>
      <c r="M276">
        <v>3</v>
      </c>
      <c r="N276" t="s">
        <v>33</v>
      </c>
      <c r="O276" t="s">
        <v>70</v>
      </c>
      <c r="P276" t="s">
        <v>49</v>
      </c>
    </row>
    <row r="277" spans="1:16" x14ac:dyDescent="0.25">
      <c r="A277" t="s">
        <v>786</v>
      </c>
      <c r="B277" s="6">
        <v>45236</v>
      </c>
      <c r="C277">
        <v>9222</v>
      </c>
      <c r="D277" t="s">
        <v>787</v>
      </c>
      <c r="E277" t="s">
        <v>18</v>
      </c>
      <c r="F277" t="s">
        <v>30</v>
      </c>
      <c r="G277">
        <v>60875.4</v>
      </c>
      <c r="H277">
        <v>30194.09</v>
      </c>
      <c r="I277" t="s">
        <v>53</v>
      </c>
      <c r="J277" t="s">
        <v>54</v>
      </c>
      <c r="K277" t="s">
        <v>42</v>
      </c>
      <c r="L277" t="s">
        <v>23</v>
      </c>
      <c r="M277">
        <v>2</v>
      </c>
      <c r="N277" t="s">
        <v>33</v>
      </c>
      <c r="O277" t="s">
        <v>25</v>
      </c>
      <c r="P277" t="s">
        <v>49</v>
      </c>
    </row>
    <row r="278" spans="1:16" x14ac:dyDescent="0.25">
      <c r="A278" t="s">
        <v>788</v>
      </c>
      <c r="B278" s="6">
        <v>45350</v>
      </c>
      <c r="C278">
        <v>8844</v>
      </c>
      <c r="D278" t="s">
        <v>790</v>
      </c>
      <c r="E278" t="s">
        <v>38</v>
      </c>
      <c r="F278" t="s">
        <v>39</v>
      </c>
      <c r="G278">
        <v>13081.15</v>
      </c>
      <c r="H278">
        <v>6308.37</v>
      </c>
      <c r="I278" t="s">
        <v>40</v>
      </c>
      <c r="J278" t="s">
        <v>41</v>
      </c>
      <c r="K278" t="s">
        <v>80</v>
      </c>
      <c r="L278" t="s">
        <v>55</v>
      </c>
      <c r="M278">
        <v>2</v>
      </c>
      <c r="N278" t="s">
        <v>33</v>
      </c>
      <c r="O278" t="s">
        <v>25</v>
      </c>
      <c r="P278" t="s">
        <v>26</v>
      </c>
    </row>
    <row r="279" spans="1:16" x14ac:dyDescent="0.25">
      <c r="A279" t="s">
        <v>791</v>
      </c>
      <c r="B279" s="6">
        <v>44955</v>
      </c>
      <c r="C279">
        <v>5231</v>
      </c>
      <c r="D279" t="s">
        <v>792</v>
      </c>
      <c r="E279" t="s">
        <v>18</v>
      </c>
      <c r="F279" t="s">
        <v>58</v>
      </c>
      <c r="G279">
        <v>37419.67</v>
      </c>
      <c r="H279">
        <v>19873.259999999998</v>
      </c>
      <c r="I279" t="s">
        <v>84</v>
      </c>
      <c r="J279" t="s">
        <v>54</v>
      </c>
      <c r="K279" t="s">
        <v>22</v>
      </c>
      <c r="L279" t="s">
        <v>48</v>
      </c>
      <c r="M279">
        <v>3</v>
      </c>
      <c r="N279" t="s">
        <v>69</v>
      </c>
      <c r="O279" t="s">
        <v>25</v>
      </c>
      <c r="P279" t="s">
        <v>49</v>
      </c>
    </row>
    <row r="280" spans="1:16" x14ac:dyDescent="0.25">
      <c r="A280" t="s">
        <v>793</v>
      </c>
      <c r="B280" s="6">
        <v>45599</v>
      </c>
      <c r="C280">
        <v>3979</v>
      </c>
      <c r="D280" t="s">
        <v>795</v>
      </c>
      <c r="E280" t="s">
        <v>38</v>
      </c>
      <c r="F280" t="s">
        <v>58</v>
      </c>
      <c r="G280">
        <v>13317.85</v>
      </c>
      <c r="H280">
        <v>7819.15</v>
      </c>
      <c r="I280" t="s">
        <v>59</v>
      </c>
      <c r="J280" t="s">
        <v>41</v>
      </c>
      <c r="K280" t="s">
        <v>80</v>
      </c>
      <c r="L280" t="s">
        <v>43</v>
      </c>
      <c r="M280">
        <v>5</v>
      </c>
      <c r="N280" t="s">
        <v>33</v>
      </c>
      <c r="O280" t="s">
        <v>25</v>
      </c>
      <c r="P280" t="s">
        <v>26</v>
      </c>
    </row>
    <row r="281" spans="1:16" x14ac:dyDescent="0.25">
      <c r="A281" t="s">
        <v>796</v>
      </c>
      <c r="B281" s="6">
        <v>45642</v>
      </c>
      <c r="C281">
        <v>3450</v>
      </c>
      <c r="D281" t="s">
        <v>798</v>
      </c>
      <c r="E281" t="s">
        <v>18</v>
      </c>
      <c r="F281" t="s">
        <v>30</v>
      </c>
      <c r="G281">
        <v>37427.730000000003</v>
      </c>
      <c r="H281">
        <v>23591.51</v>
      </c>
      <c r="I281" t="s">
        <v>63</v>
      </c>
      <c r="J281" t="s">
        <v>54</v>
      </c>
      <c r="K281" t="s">
        <v>22</v>
      </c>
      <c r="L281" t="s">
        <v>43</v>
      </c>
      <c r="M281">
        <v>5</v>
      </c>
      <c r="N281" t="s">
        <v>24</v>
      </c>
      <c r="O281" t="s">
        <v>25</v>
      </c>
      <c r="P281" t="s">
        <v>49</v>
      </c>
    </row>
    <row r="282" spans="1:16" x14ac:dyDescent="0.25">
      <c r="A282" t="s">
        <v>799</v>
      </c>
      <c r="B282" s="6">
        <v>44178</v>
      </c>
      <c r="C282">
        <v>8069</v>
      </c>
      <c r="D282" t="s">
        <v>800</v>
      </c>
      <c r="E282" t="s">
        <v>38</v>
      </c>
      <c r="F282" t="s">
        <v>30</v>
      </c>
      <c r="G282">
        <v>35133.800000000003</v>
      </c>
      <c r="H282">
        <v>16115.44</v>
      </c>
      <c r="I282" t="s">
        <v>84</v>
      </c>
      <c r="J282" t="s">
        <v>54</v>
      </c>
      <c r="K282" t="s">
        <v>80</v>
      </c>
      <c r="L282" t="s">
        <v>23</v>
      </c>
      <c r="M282">
        <v>4</v>
      </c>
      <c r="N282" t="s">
        <v>24</v>
      </c>
      <c r="O282" t="s">
        <v>25</v>
      </c>
      <c r="P282" t="s">
        <v>49</v>
      </c>
    </row>
    <row r="283" spans="1:16" x14ac:dyDescent="0.25">
      <c r="A283" t="s">
        <v>801</v>
      </c>
      <c r="B283" s="6">
        <v>44692</v>
      </c>
      <c r="C283">
        <v>4809</v>
      </c>
      <c r="D283" t="s">
        <v>803</v>
      </c>
      <c r="E283" t="s">
        <v>18</v>
      </c>
      <c r="F283" t="s">
        <v>30</v>
      </c>
      <c r="G283">
        <v>24508.85</v>
      </c>
      <c r="H283">
        <v>15326.69</v>
      </c>
      <c r="I283" t="s">
        <v>40</v>
      </c>
      <c r="J283" t="s">
        <v>41</v>
      </c>
      <c r="K283" t="s">
        <v>80</v>
      </c>
      <c r="L283" t="s">
        <v>88</v>
      </c>
      <c r="M283">
        <v>2</v>
      </c>
      <c r="N283" t="s">
        <v>33</v>
      </c>
      <c r="O283" t="s">
        <v>70</v>
      </c>
      <c r="P283" t="s">
        <v>26</v>
      </c>
    </row>
    <row r="284" spans="1:16" x14ac:dyDescent="0.25">
      <c r="A284" t="s">
        <v>804</v>
      </c>
      <c r="B284" s="6">
        <v>44667</v>
      </c>
      <c r="C284">
        <v>6175</v>
      </c>
      <c r="D284" t="s">
        <v>806</v>
      </c>
      <c r="E284" t="s">
        <v>38</v>
      </c>
      <c r="F284" t="s">
        <v>30</v>
      </c>
      <c r="G284">
        <v>38445.69</v>
      </c>
      <c r="H284">
        <v>18490.669999999998</v>
      </c>
      <c r="I284" t="s">
        <v>20</v>
      </c>
      <c r="J284" t="s">
        <v>21</v>
      </c>
      <c r="K284" t="s">
        <v>42</v>
      </c>
      <c r="L284" t="s">
        <v>88</v>
      </c>
      <c r="M284">
        <v>5</v>
      </c>
      <c r="N284" t="s">
        <v>33</v>
      </c>
      <c r="O284" t="s">
        <v>25</v>
      </c>
      <c r="P284" t="s">
        <v>34</v>
      </c>
    </row>
    <row r="285" spans="1:16" x14ac:dyDescent="0.25">
      <c r="A285" t="s">
        <v>807</v>
      </c>
      <c r="B285" s="6">
        <v>44847</v>
      </c>
      <c r="C285">
        <v>3928</v>
      </c>
      <c r="D285" t="s">
        <v>809</v>
      </c>
      <c r="E285" t="s">
        <v>38</v>
      </c>
      <c r="F285" t="s">
        <v>19</v>
      </c>
      <c r="G285">
        <v>8705.15</v>
      </c>
      <c r="H285">
        <v>4759.5600000000004</v>
      </c>
      <c r="I285" t="s">
        <v>59</v>
      </c>
      <c r="J285" t="s">
        <v>41</v>
      </c>
      <c r="K285" t="s">
        <v>42</v>
      </c>
      <c r="L285" t="s">
        <v>43</v>
      </c>
      <c r="M285">
        <v>3</v>
      </c>
      <c r="N285" t="s">
        <v>24</v>
      </c>
      <c r="O285" t="s">
        <v>25</v>
      </c>
      <c r="P285" t="s">
        <v>26</v>
      </c>
    </row>
    <row r="286" spans="1:16" x14ac:dyDescent="0.25">
      <c r="A286" t="s">
        <v>810</v>
      </c>
      <c r="B286" s="6">
        <v>44555</v>
      </c>
      <c r="C286">
        <v>2642</v>
      </c>
      <c r="D286" t="s">
        <v>812</v>
      </c>
      <c r="E286" t="s">
        <v>18</v>
      </c>
      <c r="F286" t="s">
        <v>58</v>
      </c>
      <c r="G286">
        <v>17090.55</v>
      </c>
      <c r="H286">
        <v>10377.66</v>
      </c>
      <c r="I286" t="s">
        <v>40</v>
      </c>
      <c r="J286" t="s">
        <v>41</v>
      </c>
      <c r="K286" t="s">
        <v>22</v>
      </c>
      <c r="L286" t="s">
        <v>23</v>
      </c>
      <c r="M286">
        <v>4</v>
      </c>
      <c r="N286" t="s">
        <v>69</v>
      </c>
      <c r="O286" t="s">
        <v>25</v>
      </c>
      <c r="P286" t="s">
        <v>26</v>
      </c>
    </row>
    <row r="287" spans="1:16" x14ac:dyDescent="0.25">
      <c r="A287" t="s">
        <v>813</v>
      </c>
      <c r="B287" s="6">
        <v>44594</v>
      </c>
      <c r="C287">
        <v>4633</v>
      </c>
      <c r="D287" t="s">
        <v>814</v>
      </c>
      <c r="E287" t="s">
        <v>38</v>
      </c>
      <c r="F287" t="s">
        <v>47</v>
      </c>
      <c r="G287">
        <v>2625.37</v>
      </c>
      <c r="H287">
        <v>1201.24</v>
      </c>
      <c r="I287" t="s">
        <v>59</v>
      </c>
      <c r="J287" t="s">
        <v>41</v>
      </c>
      <c r="K287" t="s">
        <v>80</v>
      </c>
      <c r="L287" t="s">
        <v>64</v>
      </c>
      <c r="M287">
        <v>5</v>
      </c>
      <c r="N287" t="s">
        <v>24</v>
      </c>
      <c r="O287" t="s">
        <v>25</v>
      </c>
      <c r="P287" t="s">
        <v>49</v>
      </c>
    </row>
    <row r="288" spans="1:16" x14ac:dyDescent="0.25">
      <c r="A288" t="s">
        <v>815</v>
      </c>
      <c r="B288" s="6">
        <v>44665</v>
      </c>
      <c r="C288">
        <v>9489</v>
      </c>
      <c r="D288" t="s">
        <v>816</v>
      </c>
      <c r="E288" t="s">
        <v>38</v>
      </c>
      <c r="F288" t="s">
        <v>19</v>
      </c>
      <c r="G288">
        <v>7588.59</v>
      </c>
      <c r="H288">
        <v>4604.6899999999996</v>
      </c>
      <c r="I288" t="s">
        <v>63</v>
      </c>
      <c r="J288" t="s">
        <v>54</v>
      </c>
      <c r="K288" t="s">
        <v>32</v>
      </c>
      <c r="L288" t="s">
        <v>43</v>
      </c>
      <c r="M288">
        <v>2</v>
      </c>
      <c r="N288" t="s">
        <v>24</v>
      </c>
      <c r="O288" t="s">
        <v>25</v>
      </c>
      <c r="P288" t="s">
        <v>49</v>
      </c>
    </row>
    <row r="289" spans="1:16" x14ac:dyDescent="0.25">
      <c r="A289" t="s">
        <v>817</v>
      </c>
      <c r="B289" s="6">
        <v>44766</v>
      </c>
      <c r="C289">
        <v>7474</v>
      </c>
      <c r="D289" t="s">
        <v>819</v>
      </c>
      <c r="E289" t="s">
        <v>38</v>
      </c>
      <c r="F289" t="s">
        <v>58</v>
      </c>
      <c r="G289">
        <v>35621.96</v>
      </c>
      <c r="H289">
        <v>19718.48</v>
      </c>
      <c r="I289" t="s">
        <v>63</v>
      </c>
      <c r="J289" t="s">
        <v>54</v>
      </c>
      <c r="K289" t="s">
        <v>22</v>
      </c>
      <c r="L289" t="s">
        <v>55</v>
      </c>
      <c r="M289">
        <v>5</v>
      </c>
      <c r="N289" t="s">
        <v>33</v>
      </c>
      <c r="O289" t="s">
        <v>70</v>
      </c>
      <c r="P289" t="s">
        <v>49</v>
      </c>
    </row>
    <row r="290" spans="1:16" x14ac:dyDescent="0.25">
      <c r="A290" t="s">
        <v>820</v>
      </c>
      <c r="B290" s="6">
        <v>45524</v>
      </c>
      <c r="C290">
        <v>1076</v>
      </c>
      <c r="D290" t="s">
        <v>821</v>
      </c>
      <c r="E290" t="s">
        <v>38</v>
      </c>
      <c r="F290" t="s">
        <v>39</v>
      </c>
      <c r="G290">
        <v>19164.22</v>
      </c>
      <c r="H290">
        <v>10564.23</v>
      </c>
      <c r="I290" t="s">
        <v>53</v>
      </c>
      <c r="J290" t="s">
        <v>54</v>
      </c>
      <c r="K290" t="s">
        <v>22</v>
      </c>
      <c r="L290" t="s">
        <v>43</v>
      </c>
      <c r="M290">
        <v>3</v>
      </c>
      <c r="N290" t="s">
        <v>33</v>
      </c>
      <c r="O290" t="s">
        <v>25</v>
      </c>
      <c r="P290" t="s">
        <v>49</v>
      </c>
    </row>
    <row r="291" spans="1:16" x14ac:dyDescent="0.25">
      <c r="A291" t="s">
        <v>822</v>
      </c>
      <c r="B291" s="6">
        <v>45282</v>
      </c>
      <c r="C291">
        <v>7178</v>
      </c>
      <c r="D291" t="s">
        <v>824</v>
      </c>
      <c r="E291" t="s">
        <v>38</v>
      </c>
      <c r="F291" t="s">
        <v>47</v>
      </c>
      <c r="G291">
        <v>10457.459999999999</v>
      </c>
      <c r="H291">
        <v>6290.11</v>
      </c>
      <c r="I291" t="s">
        <v>40</v>
      </c>
      <c r="J291" t="s">
        <v>41</v>
      </c>
      <c r="K291" t="s">
        <v>80</v>
      </c>
      <c r="L291" t="s">
        <v>48</v>
      </c>
      <c r="M291">
        <v>4</v>
      </c>
      <c r="N291" t="s">
        <v>69</v>
      </c>
      <c r="O291" t="s">
        <v>70</v>
      </c>
      <c r="P291" t="s">
        <v>34</v>
      </c>
    </row>
    <row r="292" spans="1:16" x14ac:dyDescent="0.25">
      <c r="A292" t="s">
        <v>825</v>
      </c>
      <c r="B292" s="6">
        <v>45404</v>
      </c>
      <c r="C292">
        <v>4767</v>
      </c>
      <c r="D292" t="s">
        <v>827</v>
      </c>
      <c r="E292" t="s">
        <v>38</v>
      </c>
      <c r="F292" t="s">
        <v>39</v>
      </c>
      <c r="G292">
        <v>30915.09</v>
      </c>
      <c r="H292">
        <v>16094.99</v>
      </c>
      <c r="I292" t="s">
        <v>63</v>
      </c>
      <c r="J292" t="s">
        <v>54</v>
      </c>
      <c r="K292" t="s">
        <v>22</v>
      </c>
      <c r="L292" t="s">
        <v>48</v>
      </c>
      <c r="M292">
        <v>3</v>
      </c>
      <c r="N292" t="s">
        <v>33</v>
      </c>
      <c r="O292" t="s">
        <v>25</v>
      </c>
      <c r="P292" t="s">
        <v>49</v>
      </c>
    </row>
    <row r="293" spans="1:16" x14ac:dyDescent="0.25">
      <c r="A293" t="s">
        <v>828</v>
      </c>
      <c r="B293" s="6">
        <v>45535</v>
      </c>
      <c r="C293">
        <v>6792</v>
      </c>
      <c r="D293" t="s">
        <v>830</v>
      </c>
      <c r="E293" t="s">
        <v>18</v>
      </c>
      <c r="F293" t="s">
        <v>58</v>
      </c>
      <c r="G293">
        <v>51362.13</v>
      </c>
      <c r="H293">
        <v>25877.02</v>
      </c>
      <c r="I293" t="s">
        <v>120</v>
      </c>
      <c r="J293" t="s">
        <v>21</v>
      </c>
      <c r="K293" t="s">
        <v>32</v>
      </c>
      <c r="L293" t="s">
        <v>64</v>
      </c>
      <c r="M293">
        <v>2</v>
      </c>
      <c r="N293" t="s">
        <v>33</v>
      </c>
      <c r="O293" t="s">
        <v>25</v>
      </c>
      <c r="P293" t="s">
        <v>34</v>
      </c>
    </row>
    <row r="294" spans="1:16" x14ac:dyDescent="0.25">
      <c r="A294" t="s">
        <v>831</v>
      </c>
      <c r="B294" s="6">
        <v>45474</v>
      </c>
      <c r="C294">
        <v>2747</v>
      </c>
      <c r="D294" t="s">
        <v>833</v>
      </c>
      <c r="E294" t="s">
        <v>18</v>
      </c>
      <c r="F294" t="s">
        <v>47</v>
      </c>
      <c r="G294">
        <v>21003.53</v>
      </c>
      <c r="H294">
        <v>12290.48</v>
      </c>
      <c r="I294" t="s">
        <v>63</v>
      </c>
      <c r="J294" t="s">
        <v>54</v>
      </c>
      <c r="K294" t="s">
        <v>80</v>
      </c>
      <c r="L294" t="s">
        <v>43</v>
      </c>
      <c r="M294">
        <v>1</v>
      </c>
      <c r="N294" t="s">
        <v>24</v>
      </c>
      <c r="O294" t="s">
        <v>25</v>
      </c>
      <c r="P294" t="s">
        <v>26</v>
      </c>
    </row>
    <row r="295" spans="1:16" x14ac:dyDescent="0.25">
      <c r="A295" t="s">
        <v>834</v>
      </c>
      <c r="B295" s="6">
        <v>45221</v>
      </c>
      <c r="C295">
        <v>9041</v>
      </c>
      <c r="D295" t="s">
        <v>835</v>
      </c>
      <c r="E295" t="s">
        <v>18</v>
      </c>
      <c r="F295" t="s">
        <v>19</v>
      </c>
      <c r="G295">
        <v>15329.84</v>
      </c>
      <c r="H295">
        <v>9706.8799999999992</v>
      </c>
      <c r="I295" t="s">
        <v>59</v>
      </c>
      <c r="J295" t="s">
        <v>41</v>
      </c>
      <c r="K295" t="s">
        <v>42</v>
      </c>
      <c r="L295" t="s">
        <v>64</v>
      </c>
      <c r="M295">
        <v>2</v>
      </c>
      <c r="N295" t="s">
        <v>24</v>
      </c>
      <c r="O295" t="s">
        <v>25</v>
      </c>
      <c r="P295" t="s">
        <v>49</v>
      </c>
    </row>
    <row r="296" spans="1:16" x14ac:dyDescent="0.25">
      <c r="A296" t="s">
        <v>836</v>
      </c>
      <c r="B296" s="6">
        <v>44008</v>
      </c>
      <c r="C296">
        <v>3863</v>
      </c>
      <c r="D296" t="s">
        <v>837</v>
      </c>
      <c r="E296" t="s">
        <v>38</v>
      </c>
      <c r="F296" t="s">
        <v>47</v>
      </c>
      <c r="G296">
        <v>11029.75</v>
      </c>
      <c r="H296">
        <v>6503.68</v>
      </c>
      <c r="I296" t="s">
        <v>120</v>
      </c>
      <c r="J296" t="s">
        <v>21</v>
      </c>
      <c r="K296" t="s">
        <v>80</v>
      </c>
      <c r="L296" t="s">
        <v>88</v>
      </c>
      <c r="M296">
        <v>1</v>
      </c>
      <c r="N296" t="s">
        <v>33</v>
      </c>
      <c r="O296" t="s">
        <v>25</v>
      </c>
      <c r="P296" t="s">
        <v>49</v>
      </c>
    </row>
    <row r="297" spans="1:16" x14ac:dyDescent="0.25">
      <c r="A297" t="s">
        <v>838</v>
      </c>
      <c r="B297" s="6">
        <v>44842</v>
      </c>
      <c r="C297">
        <v>4885</v>
      </c>
      <c r="D297" t="s">
        <v>839</v>
      </c>
      <c r="E297" t="s">
        <v>38</v>
      </c>
      <c r="F297" t="s">
        <v>30</v>
      </c>
      <c r="G297">
        <v>55689.85</v>
      </c>
      <c r="H297">
        <v>31888.94</v>
      </c>
      <c r="I297" t="s">
        <v>53</v>
      </c>
      <c r="J297" t="s">
        <v>54</v>
      </c>
      <c r="K297" t="s">
        <v>42</v>
      </c>
      <c r="L297" t="s">
        <v>23</v>
      </c>
      <c r="M297">
        <v>4</v>
      </c>
      <c r="N297" t="s">
        <v>33</v>
      </c>
      <c r="O297" t="s">
        <v>25</v>
      </c>
      <c r="P297" t="s">
        <v>34</v>
      </c>
    </row>
    <row r="298" spans="1:16" x14ac:dyDescent="0.25">
      <c r="A298" t="s">
        <v>840</v>
      </c>
      <c r="B298" s="6">
        <v>44264</v>
      </c>
      <c r="C298">
        <v>4744</v>
      </c>
      <c r="D298" t="s">
        <v>841</v>
      </c>
      <c r="E298" t="s">
        <v>18</v>
      </c>
      <c r="F298" t="s">
        <v>39</v>
      </c>
      <c r="G298">
        <v>31402.65</v>
      </c>
      <c r="H298">
        <v>19181.29</v>
      </c>
      <c r="I298" t="s">
        <v>53</v>
      </c>
      <c r="J298" t="s">
        <v>54</v>
      </c>
      <c r="K298" t="s">
        <v>80</v>
      </c>
      <c r="L298" t="s">
        <v>64</v>
      </c>
      <c r="M298">
        <v>2</v>
      </c>
      <c r="N298" t="s">
        <v>33</v>
      </c>
      <c r="O298" t="s">
        <v>70</v>
      </c>
      <c r="P298" t="s">
        <v>26</v>
      </c>
    </row>
    <row r="299" spans="1:16" x14ac:dyDescent="0.25">
      <c r="A299" t="s">
        <v>842</v>
      </c>
      <c r="B299" s="6">
        <v>45249</v>
      </c>
      <c r="C299">
        <v>9748</v>
      </c>
      <c r="D299" t="s">
        <v>844</v>
      </c>
      <c r="E299" t="s">
        <v>38</v>
      </c>
      <c r="F299" t="s">
        <v>58</v>
      </c>
      <c r="G299">
        <v>42615.92</v>
      </c>
      <c r="H299">
        <v>21734.41</v>
      </c>
      <c r="I299" t="s">
        <v>20</v>
      </c>
      <c r="J299" t="s">
        <v>21</v>
      </c>
      <c r="K299" t="s">
        <v>22</v>
      </c>
      <c r="L299" t="s">
        <v>64</v>
      </c>
      <c r="M299">
        <v>1</v>
      </c>
      <c r="N299" t="s">
        <v>24</v>
      </c>
      <c r="O299" t="s">
        <v>25</v>
      </c>
      <c r="P299" t="s">
        <v>34</v>
      </c>
    </row>
    <row r="300" spans="1:16" x14ac:dyDescent="0.25">
      <c r="A300" t="s">
        <v>845</v>
      </c>
      <c r="B300" s="6">
        <v>45425</v>
      </c>
      <c r="C300">
        <v>6903</v>
      </c>
      <c r="D300" t="s">
        <v>847</v>
      </c>
      <c r="E300" t="s">
        <v>38</v>
      </c>
      <c r="F300" t="s">
        <v>58</v>
      </c>
      <c r="G300">
        <v>25916.49</v>
      </c>
      <c r="H300">
        <v>13796.7</v>
      </c>
      <c r="I300" t="s">
        <v>31</v>
      </c>
      <c r="J300" t="s">
        <v>21</v>
      </c>
      <c r="K300" t="s">
        <v>42</v>
      </c>
      <c r="L300" t="s">
        <v>48</v>
      </c>
      <c r="M300">
        <v>5</v>
      </c>
      <c r="N300" t="s">
        <v>33</v>
      </c>
      <c r="O300" t="s">
        <v>25</v>
      </c>
      <c r="P300" t="s">
        <v>49</v>
      </c>
    </row>
    <row r="301" spans="1:16" x14ac:dyDescent="0.25">
      <c r="A301" t="s">
        <v>848</v>
      </c>
      <c r="B301" s="6">
        <v>45176</v>
      </c>
      <c r="C301">
        <v>2284</v>
      </c>
      <c r="D301" t="s">
        <v>850</v>
      </c>
      <c r="E301" t="s">
        <v>38</v>
      </c>
      <c r="F301" t="s">
        <v>39</v>
      </c>
      <c r="G301">
        <v>31338.54</v>
      </c>
      <c r="H301">
        <v>17009.009999999998</v>
      </c>
      <c r="I301" t="s">
        <v>120</v>
      </c>
      <c r="J301" t="s">
        <v>21</v>
      </c>
      <c r="K301" t="s">
        <v>32</v>
      </c>
      <c r="L301" t="s">
        <v>23</v>
      </c>
      <c r="M301">
        <v>3</v>
      </c>
      <c r="N301" t="s">
        <v>33</v>
      </c>
      <c r="O301" t="s">
        <v>70</v>
      </c>
      <c r="P301" t="s">
        <v>34</v>
      </c>
    </row>
    <row r="302" spans="1:16" x14ac:dyDescent="0.25">
      <c r="A302" t="s">
        <v>851</v>
      </c>
      <c r="B302" s="6">
        <v>44722</v>
      </c>
      <c r="C302">
        <v>5773</v>
      </c>
      <c r="D302" t="s">
        <v>852</v>
      </c>
      <c r="E302" t="s">
        <v>38</v>
      </c>
      <c r="F302" t="s">
        <v>58</v>
      </c>
      <c r="G302">
        <v>22799.43</v>
      </c>
      <c r="H302">
        <v>12062.97</v>
      </c>
      <c r="I302" t="s">
        <v>68</v>
      </c>
      <c r="J302" t="s">
        <v>41</v>
      </c>
      <c r="K302" t="s">
        <v>80</v>
      </c>
      <c r="L302" t="s">
        <v>88</v>
      </c>
      <c r="M302">
        <v>5</v>
      </c>
      <c r="N302" t="s">
        <v>24</v>
      </c>
      <c r="O302" t="s">
        <v>25</v>
      </c>
      <c r="P302" t="s">
        <v>26</v>
      </c>
    </row>
    <row r="303" spans="1:16" x14ac:dyDescent="0.25">
      <c r="A303" t="s">
        <v>853</v>
      </c>
      <c r="B303" s="6">
        <v>44325</v>
      </c>
      <c r="C303">
        <v>4450</v>
      </c>
      <c r="D303" t="s">
        <v>854</v>
      </c>
      <c r="E303" t="s">
        <v>18</v>
      </c>
      <c r="F303" t="s">
        <v>58</v>
      </c>
      <c r="G303">
        <v>23144.5</v>
      </c>
      <c r="H303">
        <v>10857.33</v>
      </c>
      <c r="I303" t="s">
        <v>63</v>
      </c>
      <c r="J303" t="s">
        <v>54</v>
      </c>
      <c r="K303" t="s">
        <v>80</v>
      </c>
      <c r="L303" t="s">
        <v>43</v>
      </c>
      <c r="M303">
        <v>1</v>
      </c>
      <c r="N303" t="s">
        <v>33</v>
      </c>
      <c r="O303" t="s">
        <v>25</v>
      </c>
      <c r="P303" t="s">
        <v>26</v>
      </c>
    </row>
    <row r="304" spans="1:16" x14ac:dyDescent="0.25">
      <c r="A304" t="s">
        <v>855</v>
      </c>
      <c r="B304" s="6">
        <v>45126</v>
      </c>
      <c r="C304">
        <v>4757</v>
      </c>
      <c r="D304" t="s">
        <v>857</v>
      </c>
      <c r="E304" t="s">
        <v>18</v>
      </c>
      <c r="F304" t="s">
        <v>58</v>
      </c>
      <c r="G304">
        <v>48701.51</v>
      </c>
      <c r="H304">
        <v>26232.2</v>
      </c>
      <c r="I304" t="s">
        <v>84</v>
      </c>
      <c r="J304" t="s">
        <v>54</v>
      </c>
      <c r="K304" t="s">
        <v>32</v>
      </c>
      <c r="L304" t="s">
        <v>23</v>
      </c>
      <c r="M304">
        <v>5</v>
      </c>
      <c r="N304" t="s">
        <v>69</v>
      </c>
      <c r="O304" t="s">
        <v>25</v>
      </c>
      <c r="P304" t="s">
        <v>49</v>
      </c>
    </row>
    <row r="305" spans="1:16" x14ac:dyDescent="0.25">
      <c r="A305" t="s">
        <v>858</v>
      </c>
      <c r="B305" s="6">
        <v>45203</v>
      </c>
      <c r="C305">
        <v>9987</v>
      </c>
      <c r="D305" t="s">
        <v>859</v>
      </c>
      <c r="E305" t="s">
        <v>38</v>
      </c>
      <c r="F305" t="s">
        <v>47</v>
      </c>
      <c r="G305">
        <v>5780.73</v>
      </c>
      <c r="H305">
        <v>3697.92</v>
      </c>
      <c r="I305" t="s">
        <v>53</v>
      </c>
      <c r="J305" t="s">
        <v>54</v>
      </c>
      <c r="K305" t="s">
        <v>32</v>
      </c>
      <c r="L305" t="s">
        <v>43</v>
      </c>
      <c r="M305">
        <v>5</v>
      </c>
      <c r="N305" t="s">
        <v>24</v>
      </c>
      <c r="O305" t="s">
        <v>70</v>
      </c>
      <c r="P305" t="s">
        <v>49</v>
      </c>
    </row>
    <row r="306" spans="1:16" x14ac:dyDescent="0.25">
      <c r="A306" t="s">
        <v>860</v>
      </c>
      <c r="B306" s="6">
        <v>44739</v>
      </c>
      <c r="C306">
        <v>9841</v>
      </c>
      <c r="D306" t="s">
        <v>862</v>
      </c>
      <c r="E306" t="s">
        <v>18</v>
      </c>
      <c r="F306" t="s">
        <v>19</v>
      </c>
      <c r="G306">
        <v>18201.919999999998</v>
      </c>
      <c r="H306">
        <v>9799.41</v>
      </c>
      <c r="I306" t="s">
        <v>84</v>
      </c>
      <c r="J306" t="s">
        <v>54</v>
      </c>
      <c r="K306" t="s">
        <v>42</v>
      </c>
      <c r="L306" t="s">
        <v>64</v>
      </c>
      <c r="M306">
        <v>3</v>
      </c>
      <c r="N306" t="s">
        <v>33</v>
      </c>
      <c r="O306" t="s">
        <v>25</v>
      </c>
      <c r="P306" t="s">
        <v>49</v>
      </c>
    </row>
    <row r="307" spans="1:16" x14ac:dyDescent="0.25">
      <c r="A307" t="s">
        <v>863</v>
      </c>
      <c r="B307" s="6">
        <v>44931</v>
      </c>
      <c r="C307">
        <v>9059</v>
      </c>
      <c r="D307" t="s">
        <v>806</v>
      </c>
      <c r="E307" t="s">
        <v>38</v>
      </c>
      <c r="F307" t="s">
        <v>39</v>
      </c>
      <c r="G307">
        <v>14565.16</v>
      </c>
      <c r="H307">
        <v>8785.32</v>
      </c>
      <c r="I307" t="s">
        <v>68</v>
      </c>
      <c r="J307" t="s">
        <v>41</v>
      </c>
      <c r="K307" t="s">
        <v>42</v>
      </c>
      <c r="L307" t="s">
        <v>43</v>
      </c>
      <c r="M307">
        <v>2</v>
      </c>
      <c r="N307" t="s">
        <v>24</v>
      </c>
      <c r="O307" t="s">
        <v>25</v>
      </c>
      <c r="P307" t="s">
        <v>26</v>
      </c>
    </row>
    <row r="308" spans="1:16" x14ac:dyDescent="0.25">
      <c r="A308" t="s">
        <v>864</v>
      </c>
      <c r="B308" s="6">
        <v>44527</v>
      </c>
      <c r="C308">
        <v>7199</v>
      </c>
      <c r="D308" t="s">
        <v>866</v>
      </c>
      <c r="E308" t="s">
        <v>18</v>
      </c>
      <c r="F308" t="s">
        <v>30</v>
      </c>
      <c r="G308">
        <v>31821.51</v>
      </c>
      <c r="H308">
        <v>17006.939999999999</v>
      </c>
      <c r="I308" t="s">
        <v>84</v>
      </c>
      <c r="J308" t="s">
        <v>54</v>
      </c>
      <c r="K308" t="s">
        <v>32</v>
      </c>
      <c r="L308" t="s">
        <v>43</v>
      </c>
      <c r="M308">
        <v>5</v>
      </c>
      <c r="N308" t="s">
        <v>69</v>
      </c>
      <c r="O308" t="s">
        <v>70</v>
      </c>
      <c r="P308" t="s">
        <v>34</v>
      </c>
    </row>
    <row r="309" spans="1:16" x14ac:dyDescent="0.25">
      <c r="A309" t="s">
        <v>867</v>
      </c>
      <c r="B309" s="6">
        <v>44597</v>
      </c>
      <c r="C309">
        <v>3238</v>
      </c>
      <c r="D309" t="s">
        <v>869</v>
      </c>
      <c r="E309" t="s">
        <v>38</v>
      </c>
      <c r="F309" t="s">
        <v>47</v>
      </c>
      <c r="G309">
        <v>3879.45</v>
      </c>
      <c r="H309">
        <v>2099.0500000000002</v>
      </c>
      <c r="I309" t="s">
        <v>31</v>
      </c>
      <c r="J309" t="s">
        <v>21</v>
      </c>
      <c r="K309" t="s">
        <v>80</v>
      </c>
      <c r="L309" t="s">
        <v>88</v>
      </c>
      <c r="M309">
        <v>5</v>
      </c>
      <c r="N309" t="s">
        <v>24</v>
      </c>
      <c r="O309" t="s">
        <v>25</v>
      </c>
      <c r="P309" t="s">
        <v>26</v>
      </c>
    </row>
    <row r="310" spans="1:16" x14ac:dyDescent="0.25">
      <c r="A310" t="s">
        <v>870</v>
      </c>
      <c r="B310" s="6">
        <v>45436</v>
      </c>
      <c r="C310">
        <v>3048</v>
      </c>
      <c r="D310" t="s">
        <v>872</v>
      </c>
      <c r="E310" t="s">
        <v>38</v>
      </c>
      <c r="F310" t="s">
        <v>58</v>
      </c>
      <c r="G310">
        <v>52354.44</v>
      </c>
      <c r="H310">
        <v>25997.23</v>
      </c>
      <c r="I310" t="s">
        <v>84</v>
      </c>
      <c r="J310" t="s">
        <v>54</v>
      </c>
      <c r="K310" t="s">
        <v>32</v>
      </c>
      <c r="L310" t="s">
        <v>55</v>
      </c>
      <c r="M310">
        <v>4</v>
      </c>
      <c r="N310" t="s">
        <v>33</v>
      </c>
      <c r="O310" t="s">
        <v>25</v>
      </c>
      <c r="P310" t="s">
        <v>34</v>
      </c>
    </row>
    <row r="311" spans="1:16" x14ac:dyDescent="0.25">
      <c r="A311" t="s">
        <v>873</v>
      </c>
      <c r="B311" s="6">
        <v>43872</v>
      </c>
      <c r="C311">
        <v>1918</v>
      </c>
      <c r="D311" t="s">
        <v>874</v>
      </c>
      <c r="E311" t="s">
        <v>38</v>
      </c>
      <c r="F311" t="s">
        <v>19</v>
      </c>
      <c r="G311">
        <v>8295.17</v>
      </c>
      <c r="H311">
        <v>3851.26</v>
      </c>
      <c r="I311" t="s">
        <v>59</v>
      </c>
      <c r="J311" t="s">
        <v>41</v>
      </c>
      <c r="K311" t="s">
        <v>80</v>
      </c>
      <c r="L311" t="s">
        <v>23</v>
      </c>
      <c r="M311">
        <v>2</v>
      </c>
      <c r="N311" t="s">
        <v>69</v>
      </c>
      <c r="O311" t="s">
        <v>25</v>
      </c>
      <c r="P311" t="s">
        <v>34</v>
      </c>
    </row>
    <row r="312" spans="1:16" x14ac:dyDescent="0.25">
      <c r="A312" t="s">
        <v>875</v>
      </c>
      <c r="B312" s="6">
        <v>45489</v>
      </c>
      <c r="C312">
        <v>5049</v>
      </c>
      <c r="D312" t="s">
        <v>877</v>
      </c>
      <c r="E312" t="s">
        <v>18</v>
      </c>
      <c r="F312" t="s">
        <v>47</v>
      </c>
      <c r="G312">
        <v>4677.8900000000003</v>
      </c>
      <c r="H312">
        <v>2793</v>
      </c>
      <c r="I312" t="s">
        <v>68</v>
      </c>
      <c r="J312" t="s">
        <v>41</v>
      </c>
      <c r="K312" t="s">
        <v>22</v>
      </c>
      <c r="L312" t="s">
        <v>43</v>
      </c>
      <c r="M312">
        <v>2</v>
      </c>
      <c r="N312" t="s">
        <v>24</v>
      </c>
      <c r="O312" t="s">
        <v>70</v>
      </c>
      <c r="P312" t="s">
        <v>34</v>
      </c>
    </row>
    <row r="313" spans="1:16" x14ac:dyDescent="0.25">
      <c r="A313" t="s">
        <v>878</v>
      </c>
      <c r="B313" s="6">
        <v>44112</v>
      </c>
      <c r="C313">
        <v>3001</v>
      </c>
      <c r="D313" t="s">
        <v>880</v>
      </c>
      <c r="E313" t="s">
        <v>38</v>
      </c>
      <c r="F313" t="s">
        <v>19</v>
      </c>
      <c r="G313">
        <v>5893.78</v>
      </c>
      <c r="H313">
        <v>3004.43</v>
      </c>
      <c r="I313" t="s">
        <v>68</v>
      </c>
      <c r="J313" t="s">
        <v>41</v>
      </c>
      <c r="K313" t="s">
        <v>42</v>
      </c>
      <c r="L313" t="s">
        <v>55</v>
      </c>
      <c r="M313">
        <v>2</v>
      </c>
      <c r="N313" t="s">
        <v>69</v>
      </c>
      <c r="O313" t="s">
        <v>25</v>
      </c>
      <c r="P313" t="s">
        <v>34</v>
      </c>
    </row>
    <row r="314" spans="1:16" x14ac:dyDescent="0.25">
      <c r="A314" t="s">
        <v>881</v>
      </c>
      <c r="B314" s="6">
        <v>45129</v>
      </c>
      <c r="C314">
        <v>1146</v>
      </c>
      <c r="D314" t="s">
        <v>883</v>
      </c>
      <c r="E314" t="s">
        <v>18</v>
      </c>
      <c r="F314" t="s">
        <v>19</v>
      </c>
      <c r="G314">
        <v>16457.349999999999</v>
      </c>
      <c r="H314">
        <v>9679.4</v>
      </c>
      <c r="I314" t="s">
        <v>63</v>
      </c>
      <c r="J314" t="s">
        <v>54</v>
      </c>
      <c r="K314" t="s">
        <v>32</v>
      </c>
      <c r="L314" t="s">
        <v>88</v>
      </c>
      <c r="M314">
        <v>1</v>
      </c>
      <c r="N314" t="s">
        <v>33</v>
      </c>
      <c r="O314" t="s">
        <v>25</v>
      </c>
      <c r="P314" t="s">
        <v>49</v>
      </c>
    </row>
    <row r="315" spans="1:16" x14ac:dyDescent="0.25">
      <c r="A315" t="s">
        <v>884</v>
      </c>
      <c r="B315" s="6">
        <v>44640</v>
      </c>
      <c r="C315">
        <v>2759</v>
      </c>
      <c r="D315" t="s">
        <v>885</v>
      </c>
      <c r="E315" t="s">
        <v>18</v>
      </c>
      <c r="F315" t="s">
        <v>58</v>
      </c>
      <c r="G315">
        <v>26050.19</v>
      </c>
      <c r="H315">
        <v>13372.81</v>
      </c>
      <c r="I315" t="s">
        <v>31</v>
      </c>
      <c r="J315" t="s">
        <v>21</v>
      </c>
      <c r="K315" t="s">
        <v>42</v>
      </c>
      <c r="L315" t="s">
        <v>64</v>
      </c>
      <c r="M315">
        <v>2</v>
      </c>
      <c r="N315" t="s">
        <v>33</v>
      </c>
      <c r="O315" t="s">
        <v>25</v>
      </c>
      <c r="P315" t="s">
        <v>49</v>
      </c>
    </row>
    <row r="316" spans="1:16" x14ac:dyDescent="0.25">
      <c r="A316" t="s">
        <v>886</v>
      </c>
      <c r="B316" s="6">
        <v>44712</v>
      </c>
      <c r="C316">
        <v>9029</v>
      </c>
      <c r="D316" t="s">
        <v>887</v>
      </c>
      <c r="E316" t="s">
        <v>18</v>
      </c>
      <c r="F316" t="s">
        <v>30</v>
      </c>
      <c r="G316">
        <v>64043.07</v>
      </c>
      <c r="H316">
        <v>35782.410000000003</v>
      </c>
      <c r="I316" t="s">
        <v>63</v>
      </c>
      <c r="J316" t="s">
        <v>54</v>
      </c>
      <c r="K316" t="s">
        <v>42</v>
      </c>
      <c r="L316" t="s">
        <v>48</v>
      </c>
      <c r="M316">
        <v>4</v>
      </c>
      <c r="N316" t="s">
        <v>33</v>
      </c>
      <c r="O316" t="s">
        <v>70</v>
      </c>
      <c r="P316" t="s">
        <v>49</v>
      </c>
    </row>
    <row r="317" spans="1:16" x14ac:dyDescent="0.25">
      <c r="A317" t="s">
        <v>888</v>
      </c>
      <c r="B317" s="6">
        <v>44696</v>
      </c>
      <c r="C317">
        <v>7014</v>
      </c>
      <c r="D317" t="s">
        <v>889</v>
      </c>
      <c r="E317" t="s">
        <v>38</v>
      </c>
      <c r="F317" t="s">
        <v>58</v>
      </c>
      <c r="G317">
        <v>9631.9599999999991</v>
      </c>
      <c r="H317">
        <v>5563.47</v>
      </c>
      <c r="I317" t="s">
        <v>84</v>
      </c>
      <c r="J317" t="s">
        <v>54</v>
      </c>
      <c r="K317" t="s">
        <v>80</v>
      </c>
      <c r="L317" t="s">
        <v>48</v>
      </c>
      <c r="M317">
        <v>2</v>
      </c>
      <c r="N317" t="s">
        <v>69</v>
      </c>
      <c r="O317" t="s">
        <v>70</v>
      </c>
      <c r="P317" t="s">
        <v>34</v>
      </c>
    </row>
    <row r="318" spans="1:16" x14ac:dyDescent="0.25">
      <c r="A318" t="s">
        <v>890</v>
      </c>
      <c r="B318" s="6">
        <v>44106</v>
      </c>
      <c r="C318">
        <v>4110</v>
      </c>
      <c r="D318" t="s">
        <v>891</v>
      </c>
      <c r="E318" t="s">
        <v>38</v>
      </c>
      <c r="F318" t="s">
        <v>39</v>
      </c>
      <c r="G318">
        <v>24201.919999999998</v>
      </c>
      <c r="H318">
        <v>11636.92</v>
      </c>
      <c r="I318" t="s">
        <v>20</v>
      </c>
      <c r="J318" t="s">
        <v>21</v>
      </c>
      <c r="K318" t="s">
        <v>42</v>
      </c>
      <c r="L318" t="s">
        <v>88</v>
      </c>
      <c r="M318">
        <v>4</v>
      </c>
      <c r="N318" t="s">
        <v>24</v>
      </c>
      <c r="O318" t="s">
        <v>25</v>
      </c>
      <c r="P318" t="s">
        <v>49</v>
      </c>
    </row>
    <row r="319" spans="1:16" x14ac:dyDescent="0.25">
      <c r="A319" t="s">
        <v>892</v>
      </c>
      <c r="B319" s="6">
        <v>44213</v>
      </c>
      <c r="C319">
        <v>2753</v>
      </c>
      <c r="D319" t="s">
        <v>893</v>
      </c>
      <c r="E319" t="s">
        <v>38</v>
      </c>
      <c r="F319" t="s">
        <v>47</v>
      </c>
      <c r="G319">
        <v>4160.93</v>
      </c>
      <c r="H319">
        <v>1898.9</v>
      </c>
      <c r="I319" t="s">
        <v>20</v>
      </c>
      <c r="J319" t="s">
        <v>21</v>
      </c>
      <c r="K319" t="s">
        <v>80</v>
      </c>
      <c r="L319" t="s">
        <v>48</v>
      </c>
      <c r="M319">
        <v>4</v>
      </c>
      <c r="N319" t="s">
        <v>24</v>
      </c>
      <c r="O319" t="s">
        <v>70</v>
      </c>
      <c r="P319" t="s">
        <v>34</v>
      </c>
    </row>
    <row r="320" spans="1:16" x14ac:dyDescent="0.25">
      <c r="A320" t="s">
        <v>894</v>
      </c>
      <c r="B320" s="6">
        <v>43937</v>
      </c>
      <c r="C320">
        <v>9051</v>
      </c>
      <c r="D320" t="s">
        <v>895</v>
      </c>
      <c r="E320" t="s">
        <v>18</v>
      </c>
      <c r="F320" t="s">
        <v>30</v>
      </c>
      <c r="G320">
        <v>41551.49</v>
      </c>
      <c r="H320">
        <v>24007.759999999998</v>
      </c>
      <c r="I320" t="s">
        <v>63</v>
      </c>
      <c r="J320" t="s">
        <v>54</v>
      </c>
      <c r="K320" t="s">
        <v>42</v>
      </c>
      <c r="L320" t="s">
        <v>43</v>
      </c>
      <c r="M320">
        <v>4</v>
      </c>
      <c r="N320" t="s">
        <v>69</v>
      </c>
      <c r="O320" t="s">
        <v>70</v>
      </c>
      <c r="P320" t="s">
        <v>26</v>
      </c>
    </row>
    <row r="321" spans="1:16" x14ac:dyDescent="0.25">
      <c r="A321" t="s">
        <v>896</v>
      </c>
      <c r="B321" s="6">
        <v>45447</v>
      </c>
      <c r="C321">
        <v>4537</v>
      </c>
      <c r="D321" t="s">
        <v>898</v>
      </c>
      <c r="E321" t="s">
        <v>18</v>
      </c>
      <c r="F321" t="s">
        <v>30</v>
      </c>
      <c r="G321">
        <v>18177.59</v>
      </c>
      <c r="H321">
        <v>9019.7900000000009</v>
      </c>
      <c r="I321" t="s">
        <v>59</v>
      </c>
      <c r="J321" t="s">
        <v>41</v>
      </c>
      <c r="K321" t="s">
        <v>80</v>
      </c>
      <c r="L321" t="s">
        <v>23</v>
      </c>
      <c r="M321">
        <v>2</v>
      </c>
      <c r="N321" t="s">
        <v>24</v>
      </c>
      <c r="O321" t="s">
        <v>25</v>
      </c>
      <c r="P321" t="s">
        <v>49</v>
      </c>
    </row>
    <row r="322" spans="1:16" x14ac:dyDescent="0.25">
      <c r="A322" t="s">
        <v>899</v>
      </c>
      <c r="B322" s="6">
        <v>44616</v>
      </c>
      <c r="C322">
        <v>6864</v>
      </c>
      <c r="D322" t="s">
        <v>901</v>
      </c>
      <c r="E322" t="s">
        <v>38</v>
      </c>
      <c r="F322" t="s">
        <v>19</v>
      </c>
      <c r="G322">
        <v>10265.24</v>
      </c>
      <c r="H322">
        <v>5496.16</v>
      </c>
      <c r="I322" t="s">
        <v>40</v>
      </c>
      <c r="J322" t="s">
        <v>41</v>
      </c>
      <c r="K322" t="s">
        <v>22</v>
      </c>
      <c r="L322" t="s">
        <v>23</v>
      </c>
      <c r="M322">
        <v>2</v>
      </c>
      <c r="N322" t="s">
        <v>24</v>
      </c>
      <c r="O322" t="s">
        <v>25</v>
      </c>
      <c r="P322" t="s">
        <v>49</v>
      </c>
    </row>
    <row r="323" spans="1:16" x14ac:dyDescent="0.25">
      <c r="A323" t="s">
        <v>902</v>
      </c>
      <c r="B323" s="6">
        <v>44723</v>
      </c>
      <c r="C323">
        <v>6319</v>
      </c>
      <c r="D323" t="s">
        <v>903</v>
      </c>
      <c r="E323" t="s">
        <v>38</v>
      </c>
      <c r="F323" t="s">
        <v>30</v>
      </c>
      <c r="G323">
        <v>50521.27</v>
      </c>
      <c r="H323">
        <v>29133</v>
      </c>
      <c r="I323" t="s">
        <v>84</v>
      </c>
      <c r="J323" t="s">
        <v>54</v>
      </c>
      <c r="K323" t="s">
        <v>42</v>
      </c>
      <c r="L323" t="s">
        <v>43</v>
      </c>
      <c r="M323">
        <v>2</v>
      </c>
      <c r="N323" t="s">
        <v>24</v>
      </c>
      <c r="O323" t="s">
        <v>25</v>
      </c>
      <c r="P323" t="s">
        <v>49</v>
      </c>
    </row>
    <row r="324" spans="1:16" x14ac:dyDescent="0.25">
      <c r="A324" t="s">
        <v>904</v>
      </c>
      <c r="B324" s="6">
        <v>45130</v>
      </c>
      <c r="C324">
        <v>1567</v>
      </c>
      <c r="D324" t="s">
        <v>906</v>
      </c>
      <c r="E324" t="s">
        <v>38</v>
      </c>
      <c r="F324" t="s">
        <v>39</v>
      </c>
      <c r="G324">
        <v>22994.400000000001</v>
      </c>
      <c r="H324">
        <v>12727.9</v>
      </c>
      <c r="I324" t="s">
        <v>59</v>
      </c>
      <c r="J324" t="s">
        <v>41</v>
      </c>
      <c r="K324" t="s">
        <v>42</v>
      </c>
      <c r="L324" t="s">
        <v>55</v>
      </c>
      <c r="M324">
        <v>3</v>
      </c>
      <c r="N324" t="s">
        <v>69</v>
      </c>
      <c r="O324" t="s">
        <v>25</v>
      </c>
      <c r="P324" t="s">
        <v>34</v>
      </c>
    </row>
    <row r="325" spans="1:16" x14ac:dyDescent="0.25">
      <c r="A325" t="s">
        <v>907</v>
      </c>
      <c r="B325" s="6">
        <v>45553</v>
      </c>
      <c r="C325">
        <v>3534</v>
      </c>
      <c r="D325" t="s">
        <v>909</v>
      </c>
      <c r="E325" t="s">
        <v>18</v>
      </c>
      <c r="F325" t="s">
        <v>47</v>
      </c>
      <c r="G325">
        <v>4457.5600000000004</v>
      </c>
      <c r="H325">
        <v>2322.9699999999998</v>
      </c>
      <c r="I325" t="s">
        <v>84</v>
      </c>
      <c r="J325" t="s">
        <v>54</v>
      </c>
      <c r="K325" t="s">
        <v>32</v>
      </c>
      <c r="L325" t="s">
        <v>88</v>
      </c>
      <c r="M325">
        <v>3</v>
      </c>
      <c r="N325" t="s">
        <v>69</v>
      </c>
      <c r="O325" t="s">
        <v>25</v>
      </c>
      <c r="P325" t="s">
        <v>34</v>
      </c>
    </row>
    <row r="326" spans="1:16" x14ac:dyDescent="0.25">
      <c r="A326" t="s">
        <v>910</v>
      </c>
      <c r="B326" s="6">
        <v>45038</v>
      </c>
      <c r="C326">
        <v>6319</v>
      </c>
      <c r="D326" t="s">
        <v>308</v>
      </c>
      <c r="E326" t="s">
        <v>38</v>
      </c>
      <c r="F326" t="s">
        <v>30</v>
      </c>
      <c r="G326">
        <v>21236.37</v>
      </c>
      <c r="H326">
        <v>13063.36</v>
      </c>
      <c r="I326" t="s">
        <v>68</v>
      </c>
      <c r="J326" t="s">
        <v>41</v>
      </c>
      <c r="K326" t="s">
        <v>22</v>
      </c>
      <c r="L326" t="s">
        <v>43</v>
      </c>
      <c r="M326">
        <v>3</v>
      </c>
      <c r="N326" t="s">
        <v>33</v>
      </c>
      <c r="O326" t="s">
        <v>70</v>
      </c>
      <c r="P326" t="s">
        <v>34</v>
      </c>
    </row>
    <row r="327" spans="1:16" x14ac:dyDescent="0.25">
      <c r="A327" t="s">
        <v>911</v>
      </c>
      <c r="B327" s="6">
        <v>44784</v>
      </c>
      <c r="C327">
        <v>2974</v>
      </c>
      <c r="D327" t="s">
        <v>913</v>
      </c>
      <c r="E327" t="s">
        <v>18</v>
      </c>
      <c r="F327" t="s">
        <v>47</v>
      </c>
      <c r="G327">
        <v>14215.18</v>
      </c>
      <c r="H327">
        <v>8811.93</v>
      </c>
      <c r="I327" t="s">
        <v>63</v>
      </c>
      <c r="J327" t="s">
        <v>54</v>
      </c>
      <c r="K327" t="s">
        <v>22</v>
      </c>
      <c r="L327" t="s">
        <v>48</v>
      </c>
      <c r="M327">
        <v>4</v>
      </c>
      <c r="N327" t="s">
        <v>33</v>
      </c>
      <c r="O327" t="s">
        <v>25</v>
      </c>
      <c r="P327" t="s">
        <v>34</v>
      </c>
    </row>
    <row r="328" spans="1:16" x14ac:dyDescent="0.25">
      <c r="A328" t="s">
        <v>914</v>
      </c>
      <c r="B328" s="6">
        <v>45005</v>
      </c>
      <c r="C328">
        <v>7436</v>
      </c>
      <c r="D328" t="s">
        <v>916</v>
      </c>
      <c r="E328" t="s">
        <v>38</v>
      </c>
      <c r="F328" t="s">
        <v>39</v>
      </c>
      <c r="G328">
        <v>36620.29</v>
      </c>
      <c r="H328">
        <v>20692.330000000002</v>
      </c>
      <c r="I328" t="s">
        <v>20</v>
      </c>
      <c r="J328" t="s">
        <v>21</v>
      </c>
      <c r="K328" t="s">
        <v>22</v>
      </c>
      <c r="L328" t="s">
        <v>23</v>
      </c>
      <c r="M328">
        <v>4</v>
      </c>
      <c r="N328" t="s">
        <v>33</v>
      </c>
      <c r="O328" t="s">
        <v>25</v>
      </c>
      <c r="P328" t="s">
        <v>26</v>
      </c>
    </row>
    <row r="329" spans="1:16" x14ac:dyDescent="0.25">
      <c r="A329" t="s">
        <v>917</v>
      </c>
      <c r="B329" s="6">
        <v>44035</v>
      </c>
      <c r="C329">
        <v>2393</v>
      </c>
      <c r="D329" t="s">
        <v>918</v>
      </c>
      <c r="E329" t="s">
        <v>38</v>
      </c>
      <c r="F329" t="s">
        <v>30</v>
      </c>
      <c r="G329">
        <v>43769.78</v>
      </c>
      <c r="H329">
        <v>26470.43</v>
      </c>
      <c r="I329" t="s">
        <v>53</v>
      </c>
      <c r="J329" t="s">
        <v>54</v>
      </c>
      <c r="K329" t="s">
        <v>32</v>
      </c>
      <c r="L329" t="s">
        <v>23</v>
      </c>
      <c r="M329">
        <v>4</v>
      </c>
      <c r="N329" t="s">
        <v>24</v>
      </c>
      <c r="O329" t="s">
        <v>25</v>
      </c>
      <c r="P329" t="s">
        <v>49</v>
      </c>
    </row>
    <row r="330" spans="1:16" x14ac:dyDescent="0.25">
      <c r="A330" t="s">
        <v>919</v>
      </c>
      <c r="B330" s="6">
        <v>45418</v>
      </c>
      <c r="C330">
        <v>2173</v>
      </c>
      <c r="D330" t="s">
        <v>921</v>
      </c>
      <c r="E330" t="s">
        <v>38</v>
      </c>
      <c r="F330" t="s">
        <v>30</v>
      </c>
      <c r="G330">
        <v>85880.44</v>
      </c>
      <c r="H330">
        <v>44201.14</v>
      </c>
      <c r="I330" t="s">
        <v>31</v>
      </c>
      <c r="J330" t="s">
        <v>21</v>
      </c>
      <c r="K330" t="s">
        <v>22</v>
      </c>
      <c r="L330" t="s">
        <v>55</v>
      </c>
      <c r="M330">
        <v>4</v>
      </c>
      <c r="N330" t="s">
        <v>33</v>
      </c>
      <c r="O330" t="s">
        <v>25</v>
      </c>
      <c r="P330" t="s">
        <v>34</v>
      </c>
    </row>
    <row r="331" spans="1:16" x14ac:dyDescent="0.25">
      <c r="A331" t="s">
        <v>922</v>
      </c>
      <c r="B331" s="6">
        <v>44741</v>
      </c>
      <c r="C331">
        <v>8245</v>
      </c>
      <c r="D331" t="s">
        <v>924</v>
      </c>
      <c r="E331" t="s">
        <v>18</v>
      </c>
      <c r="F331" t="s">
        <v>58</v>
      </c>
      <c r="G331">
        <v>29156.58</v>
      </c>
      <c r="H331">
        <v>18509.84</v>
      </c>
      <c r="I331" t="s">
        <v>84</v>
      </c>
      <c r="J331" t="s">
        <v>54</v>
      </c>
      <c r="K331" t="s">
        <v>32</v>
      </c>
      <c r="L331" t="s">
        <v>23</v>
      </c>
      <c r="M331">
        <v>3</v>
      </c>
      <c r="N331" t="s">
        <v>33</v>
      </c>
      <c r="O331" t="s">
        <v>70</v>
      </c>
      <c r="P331" t="s">
        <v>26</v>
      </c>
    </row>
    <row r="332" spans="1:16" x14ac:dyDescent="0.25">
      <c r="A332" t="s">
        <v>925</v>
      </c>
      <c r="B332" s="6">
        <v>45002</v>
      </c>
      <c r="C332">
        <v>1225</v>
      </c>
      <c r="D332" t="s">
        <v>927</v>
      </c>
      <c r="E332" t="s">
        <v>38</v>
      </c>
      <c r="F332" t="s">
        <v>39</v>
      </c>
      <c r="G332">
        <v>41255.43</v>
      </c>
      <c r="H332">
        <v>19483.11</v>
      </c>
      <c r="I332" t="s">
        <v>63</v>
      </c>
      <c r="J332" t="s">
        <v>54</v>
      </c>
      <c r="K332" t="s">
        <v>80</v>
      </c>
      <c r="L332" t="s">
        <v>64</v>
      </c>
      <c r="M332">
        <v>1</v>
      </c>
      <c r="N332" t="s">
        <v>33</v>
      </c>
      <c r="O332" t="s">
        <v>70</v>
      </c>
      <c r="P332" t="s">
        <v>26</v>
      </c>
    </row>
    <row r="333" spans="1:16" x14ac:dyDescent="0.25">
      <c r="A333" t="s">
        <v>928</v>
      </c>
      <c r="B333" s="6">
        <v>45245</v>
      </c>
      <c r="C333">
        <v>1301</v>
      </c>
      <c r="D333" t="s">
        <v>929</v>
      </c>
      <c r="E333" t="s">
        <v>38</v>
      </c>
      <c r="F333" t="s">
        <v>19</v>
      </c>
      <c r="G333">
        <v>16495.93</v>
      </c>
      <c r="H333">
        <v>9612.27</v>
      </c>
      <c r="I333" t="s">
        <v>84</v>
      </c>
      <c r="J333" t="s">
        <v>54</v>
      </c>
      <c r="K333" t="s">
        <v>22</v>
      </c>
      <c r="L333" t="s">
        <v>88</v>
      </c>
      <c r="M333">
        <v>2</v>
      </c>
      <c r="N333" t="s">
        <v>33</v>
      </c>
      <c r="O333" t="s">
        <v>25</v>
      </c>
      <c r="P333" t="s">
        <v>49</v>
      </c>
    </row>
    <row r="334" spans="1:16" x14ac:dyDescent="0.25">
      <c r="A334" t="s">
        <v>930</v>
      </c>
      <c r="B334" s="6">
        <v>45326</v>
      </c>
      <c r="C334">
        <v>5445</v>
      </c>
      <c r="D334" t="s">
        <v>932</v>
      </c>
      <c r="E334" t="s">
        <v>38</v>
      </c>
      <c r="F334" t="s">
        <v>30</v>
      </c>
      <c r="G334">
        <v>93865.76</v>
      </c>
      <c r="H334">
        <v>42597.75</v>
      </c>
      <c r="I334" t="s">
        <v>20</v>
      </c>
      <c r="J334" t="s">
        <v>21</v>
      </c>
      <c r="K334" t="s">
        <v>80</v>
      </c>
      <c r="L334" t="s">
        <v>23</v>
      </c>
      <c r="M334">
        <v>4</v>
      </c>
      <c r="N334" t="s">
        <v>24</v>
      </c>
      <c r="O334" t="s">
        <v>70</v>
      </c>
      <c r="P334" t="s">
        <v>34</v>
      </c>
    </row>
    <row r="335" spans="1:16" x14ac:dyDescent="0.25">
      <c r="A335" t="s">
        <v>933</v>
      </c>
      <c r="B335" s="6">
        <v>44453</v>
      </c>
      <c r="C335">
        <v>1352</v>
      </c>
      <c r="D335" t="s">
        <v>934</v>
      </c>
      <c r="E335" t="s">
        <v>18</v>
      </c>
      <c r="F335" t="s">
        <v>30</v>
      </c>
      <c r="G335">
        <v>25550.68</v>
      </c>
      <c r="H335">
        <v>14203.19</v>
      </c>
      <c r="I335" t="s">
        <v>31</v>
      </c>
      <c r="J335" t="s">
        <v>21</v>
      </c>
      <c r="K335" t="s">
        <v>42</v>
      </c>
      <c r="L335" t="s">
        <v>64</v>
      </c>
      <c r="M335">
        <v>4</v>
      </c>
      <c r="N335" t="s">
        <v>24</v>
      </c>
      <c r="O335" t="s">
        <v>25</v>
      </c>
      <c r="P335" t="s">
        <v>49</v>
      </c>
    </row>
    <row r="336" spans="1:16" x14ac:dyDescent="0.25">
      <c r="A336" t="s">
        <v>935</v>
      </c>
      <c r="B336" s="6">
        <v>45548</v>
      </c>
      <c r="C336">
        <v>2015</v>
      </c>
      <c r="D336" t="s">
        <v>937</v>
      </c>
      <c r="E336" t="s">
        <v>38</v>
      </c>
      <c r="F336" t="s">
        <v>39</v>
      </c>
      <c r="G336">
        <v>53994.53</v>
      </c>
      <c r="H336">
        <v>33912.910000000003</v>
      </c>
      <c r="I336" t="s">
        <v>84</v>
      </c>
      <c r="J336" t="s">
        <v>54</v>
      </c>
      <c r="K336" t="s">
        <v>22</v>
      </c>
      <c r="L336" t="s">
        <v>43</v>
      </c>
      <c r="M336">
        <v>3</v>
      </c>
      <c r="N336" t="s">
        <v>33</v>
      </c>
      <c r="O336" t="s">
        <v>25</v>
      </c>
      <c r="P336" t="s">
        <v>34</v>
      </c>
    </row>
    <row r="337" spans="1:16" x14ac:dyDescent="0.25">
      <c r="A337" t="s">
        <v>938</v>
      </c>
      <c r="B337" s="6">
        <v>45274</v>
      </c>
      <c r="C337">
        <v>4726</v>
      </c>
      <c r="D337" t="s">
        <v>939</v>
      </c>
      <c r="E337" t="s">
        <v>38</v>
      </c>
      <c r="F337" t="s">
        <v>19</v>
      </c>
      <c r="G337">
        <v>8033.02</v>
      </c>
      <c r="H337">
        <v>3860.27</v>
      </c>
      <c r="I337" t="s">
        <v>20</v>
      </c>
      <c r="J337" t="s">
        <v>21</v>
      </c>
      <c r="K337" t="s">
        <v>42</v>
      </c>
      <c r="L337" t="s">
        <v>43</v>
      </c>
      <c r="M337">
        <v>3</v>
      </c>
      <c r="N337" t="s">
        <v>33</v>
      </c>
      <c r="O337" t="s">
        <v>25</v>
      </c>
      <c r="P337" t="s">
        <v>49</v>
      </c>
    </row>
    <row r="338" spans="1:16" x14ac:dyDescent="0.25">
      <c r="A338" t="s">
        <v>940</v>
      </c>
      <c r="B338" s="6">
        <v>44267</v>
      </c>
      <c r="C338">
        <v>9582</v>
      </c>
      <c r="D338" t="s">
        <v>941</v>
      </c>
      <c r="E338" t="s">
        <v>18</v>
      </c>
      <c r="F338" t="s">
        <v>19</v>
      </c>
      <c r="G338">
        <v>9930.65</v>
      </c>
      <c r="H338">
        <v>6274.19</v>
      </c>
      <c r="I338" t="s">
        <v>84</v>
      </c>
      <c r="J338" t="s">
        <v>54</v>
      </c>
      <c r="K338" t="s">
        <v>32</v>
      </c>
      <c r="L338" t="s">
        <v>48</v>
      </c>
      <c r="M338">
        <v>5</v>
      </c>
      <c r="N338" t="s">
        <v>69</v>
      </c>
      <c r="O338" t="s">
        <v>25</v>
      </c>
      <c r="P338" t="s">
        <v>49</v>
      </c>
    </row>
    <row r="339" spans="1:16" x14ac:dyDescent="0.25">
      <c r="A339" t="s">
        <v>942</v>
      </c>
      <c r="B339" s="6">
        <v>44636</v>
      </c>
      <c r="C339">
        <v>6221</v>
      </c>
      <c r="D339" t="s">
        <v>944</v>
      </c>
      <c r="E339" t="s">
        <v>38</v>
      </c>
      <c r="F339" t="s">
        <v>58</v>
      </c>
      <c r="G339">
        <v>43564.26</v>
      </c>
      <c r="H339">
        <v>22246.94</v>
      </c>
      <c r="I339" t="s">
        <v>31</v>
      </c>
      <c r="J339" t="s">
        <v>21</v>
      </c>
      <c r="K339" t="s">
        <v>42</v>
      </c>
      <c r="L339" t="s">
        <v>23</v>
      </c>
      <c r="M339">
        <v>2</v>
      </c>
      <c r="N339" t="s">
        <v>33</v>
      </c>
      <c r="O339" t="s">
        <v>25</v>
      </c>
      <c r="P339" t="s">
        <v>49</v>
      </c>
    </row>
    <row r="340" spans="1:16" x14ac:dyDescent="0.25">
      <c r="A340" t="s">
        <v>945</v>
      </c>
      <c r="B340" s="6">
        <v>44315</v>
      </c>
      <c r="C340">
        <v>1427</v>
      </c>
      <c r="D340" t="s">
        <v>947</v>
      </c>
      <c r="E340" t="s">
        <v>38</v>
      </c>
      <c r="F340" t="s">
        <v>30</v>
      </c>
      <c r="G340">
        <v>15131.45</v>
      </c>
      <c r="H340">
        <v>9169.1299999999992</v>
      </c>
      <c r="I340" t="s">
        <v>31</v>
      </c>
      <c r="J340" t="s">
        <v>21</v>
      </c>
      <c r="K340" t="s">
        <v>32</v>
      </c>
      <c r="L340" t="s">
        <v>43</v>
      </c>
      <c r="M340">
        <v>5</v>
      </c>
      <c r="N340" t="s">
        <v>24</v>
      </c>
      <c r="O340" t="s">
        <v>70</v>
      </c>
      <c r="P340" t="s">
        <v>26</v>
      </c>
    </row>
    <row r="341" spans="1:16" x14ac:dyDescent="0.25">
      <c r="A341" t="s">
        <v>948</v>
      </c>
      <c r="B341" s="6">
        <v>44312</v>
      </c>
      <c r="C341">
        <v>7694</v>
      </c>
      <c r="D341" t="s">
        <v>950</v>
      </c>
      <c r="E341" t="s">
        <v>18</v>
      </c>
      <c r="F341" t="s">
        <v>30</v>
      </c>
      <c r="G341">
        <v>50717.440000000002</v>
      </c>
      <c r="H341">
        <v>32461.17</v>
      </c>
      <c r="I341" t="s">
        <v>59</v>
      </c>
      <c r="J341" t="s">
        <v>41</v>
      </c>
      <c r="K341" t="s">
        <v>32</v>
      </c>
      <c r="L341" t="s">
        <v>48</v>
      </c>
      <c r="M341">
        <v>2</v>
      </c>
      <c r="N341" t="s">
        <v>24</v>
      </c>
      <c r="O341" t="s">
        <v>25</v>
      </c>
      <c r="P341" t="s">
        <v>34</v>
      </c>
    </row>
    <row r="342" spans="1:16" x14ac:dyDescent="0.25">
      <c r="A342" t="s">
        <v>951</v>
      </c>
      <c r="B342" s="6">
        <v>45418</v>
      </c>
      <c r="C342">
        <v>7633</v>
      </c>
      <c r="D342" t="s">
        <v>952</v>
      </c>
      <c r="E342" t="s">
        <v>18</v>
      </c>
      <c r="F342" t="s">
        <v>19</v>
      </c>
      <c r="G342">
        <v>11545.3</v>
      </c>
      <c r="H342">
        <v>7098.81</v>
      </c>
      <c r="I342" t="s">
        <v>59</v>
      </c>
      <c r="J342" t="s">
        <v>41</v>
      </c>
      <c r="K342" t="s">
        <v>42</v>
      </c>
      <c r="L342" t="s">
        <v>64</v>
      </c>
      <c r="M342">
        <v>5</v>
      </c>
      <c r="N342" t="s">
        <v>69</v>
      </c>
      <c r="O342" t="s">
        <v>25</v>
      </c>
      <c r="P342" t="s">
        <v>49</v>
      </c>
    </row>
    <row r="343" spans="1:16" x14ac:dyDescent="0.25">
      <c r="A343" t="s">
        <v>953</v>
      </c>
      <c r="B343" s="6">
        <v>45158</v>
      </c>
      <c r="C343">
        <v>1694</v>
      </c>
      <c r="D343" t="s">
        <v>955</v>
      </c>
      <c r="E343" t="s">
        <v>18</v>
      </c>
      <c r="F343" t="s">
        <v>19</v>
      </c>
      <c r="G343">
        <v>12674.37</v>
      </c>
      <c r="H343">
        <v>6706.29</v>
      </c>
      <c r="I343" t="s">
        <v>31</v>
      </c>
      <c r="J343" t="s">
        <v>21</v>
      </c>
      <c r="K343" t="s">
        <v>22</v>
      </c>
      <c r="L343" t="s">
        <v>43</v>
      </c>
      <c r="M343">
        <v>4</v>
      </c>
      <c r="N343" t="s">
        <v>24</v>
      </c>
      <c r="O343" t="s">
        <v>70</v>
      </c>
      <c r="P343" t="s">
        <v>26</v>
      </c>
    </row>
    <row r="344" spans="1:16" x14ac:dyDescent="0.25">
      <c r="A344" t="s">
        <v>956</v>
      </c>
      <c r="B344" s="6">
        <v>44708</v>
      </c>
      <c r="C344">
        <v>3727</v>
      </c>
      <c r="D344" t="s">
        <v>958</v>
      </c>
      <c r="E344" t="s">
        <v>38</v>
      </c>
      <c r="F344" t="s">
        <v>39</v>
      </c>
      <c r="G344">
        <v>20059.02</v>
      </c>
      <c r="H344">
        <v>12713.54</v>
      </c>
      <c r="I344" t="s">
        <v>53</v>
      </c>
      <c r="J344" t="s">
        <v>54</v>
      </c>
      <c r="K344" t="s">
        <v>32</v>
      </c>
      <c r="L344" t="s">
        <v>64</v>
      </c>
      <c r="M344">
        <v>4</v>
      </c>
      <c r="N344" t="s">
        <v>33</v>
      </c>
      <c r="O344" t="s">
        <v>25</v>
      </c>
      <c r="P344" t="s">
        <v>26</v>
      </c>
    </row>
    <row r="345" spans="1:16" x14ac:dyDescent="0.25">
      <c r="A345" t="s">
        <v>959</v>
      </c>
      <c r="B345" s="6">
        <v>44727</v>
      </c>
      <c r="C345">
        <v>1408</v>
      </c>
      <c r="D345" t="s">
        <v>961</v>
      </c>
      <c r="E345" t="s">
        <v>18</v>
      </c>
      <c r="F345" t="s">
        <v>30</v>
      </c>
      <c r="G345">
        <v>45118.69</v>
      </c>
      <c r="H345">
        <v>28394.25</v>
      </c>
      <c r="I345" t="s">
        <v>31</v>
      </c>
      <c r="J345" t="s">
        <v>21</v>
      </c>
      <c r="K345" t="s">
        <v>32</v>
      </c>
      <c r="L345" t="s">
        <v>64</v>
      </c>
      <c r="M345">
        <v>1</v>
      </c>
      <c r="N345" t="s">
        <v>33</v>
      </c>
      <c r="O345" t="s">
        <v>70</v>
      </c>
      <c r="P345" t="s">
        <v>49</v>
      </c>
    </row>
    <row r="346" spans="1:16" x14ac:dyDescent="0.25">
      <c r="A346" t="s">
        <v>962</v>
      </c>
      <c r="B346" s="6">
        <v>44192</v>
      </c>
      <c r="C346">
        <v>6946</v>
      </c>
      <c r="D346" t="s">
        <v>963</v>
      </c>
      <c r="E346" t="s">
        <v>18</v>
      </c>
      <c r="F346" t="s">
        <v>19</v>
      </c>
      <c r="G346">
        <v>8321.51</v>
      </c>
      <c r="H346">
        <v>4383.92</v>
      </c>
      <c r="I346" t="s">
        <v>31</v>
      </c>
      <c r="J346" t="s">
        <v>21</v>
      </c>
      <c r="K346" t="s">
        <v>32</v>
      </c>
      <c r="L346" t="s">
        <v>64</v>
      </c>
      <c r="M346">
        <v>5</v>
      </c>
      <c r="N346" t="s">
        <v>33</v>
      </c>
      <c r="O346" t="s">
        <v>70</v>
      </c>
      <c r="P346" t="s">
        <v>34</v>
      </c>
    </row>
    <row r="347" spans="1:16" x14ac:dyDescent="0.25">
      <c r="A347" t="s">
        <v>964</v>
      </c>
      <c r="B347" s="6">
        <v>44271</v>
      </c>
      <c r="C347">
        <v>1840</v>
      </c>
      <c r="D347" t="s">
        <v>965</v>
      </c>
      <c r="E347" t="s">
        <v>38</v>
      </c>
      <c r="F347" t="s">
        <v>47</v>
      </c>
      <c r="G347">
        <v>5398.16</v>
      </c>
      <c r="H347">
        <v>3217.48</v>
      </c>
      <c r="I347" t="s">
        <v>31</v>
      </c>
      <c r="J347" t="s">
        <v>21</v>
      </c>
      <c r="K347" t="s">
        <v>80</v>
      </c>
      <c r="L347" t="s">
        <v>88</v>
      </c>
      <c r="M347">
        <v>2</v>
      </c>
      <c r="N347" t="s">
        <v>33</v>
      </c>
      <c r="O347" t="s">
        <v>25</v>
      </c>
      <c r="P347" t="s">
        <v>26</v>
      </c>
    </row>
    <row r="348" spans="1:16" x14ac:dyDescent="0.25">
      <c r="A348" t="s">
        <v>966</v>
      </c>
      <c r="B348" s="6">
        <v>45182</v>
      </c>
      <c r="C348">
        <v>1094</v>
      </c>
      <c r="D348" t="s">
        <v>776</v>
      </c>
      <c r="E348" t="s">
        <v>38</v>
      </c>
      <c r="F348" t="s">
        <v>58</v>
      </c>
      <c r="G348">
        <v>23186.07</v>
      </c>
      <c r="H348">
        <v>13164.41</v>
      </c>
      <c r="I348" t="s">
        <v>53</v>
      </c>
      <c r="J348" t="s">
        <v>54</v>
      </c>
      <c r="K348" t="s">
        <v>80</v>
      </c>
      <c r="L348" t="s">
        <v>64</v>
      </c>
      <c r="M348">
        <v>4</v>
      </c>
      <c r="N348" t="s">
        <v>33</v>
      </c>
      <c r="O348" t="s">
        <v>70</v>
      </c>
      <c r="P348" t="s">
        <v>26</v>
      </c>
    </row>
    <row r="349" spans="1:16" x14ac:dyDescent="0.25">
      <c r="A349" t="s">
        <v>967</v>
      </c>
      <c r="B349" s="6">
        <v>45033</v>
      </c>
      <c r="C349">
        <v>4028</v>
      </c>
      <c r="D349" t="s">
        <v>969</v>
      </c>
      <c r="E349" t="s">
        <v>18</v>
      </c>
      <c r="F349" t="s">
        <v>39</v>
      </c>
      <c r="G349">
        <v>12167.61</v>
      </c>
      <c r="H349">
        <v>6324.77</v>
      </c>
      <c r="I349" t="s">
        <v>84</v>
      </c>
      <c r="J349" t="s">
        <v>54</v>
      </c>
      <c r="K349" t="s">
        <v>32</v>
      </c>
      <c r="L349" t="s">
        <v>55</v>
      </c>
      <c r="M349">
        <v>5</v>
      </c>
      <c r="N349" t="s">
        <v>69</v>
      </c>
      <c r="O349" t="s">
        <v>25</v>
      </c>
      <c r="P349" t="s">
        <v>26</v>
      </c>
    </row>
    <row r="350" spans="1:16" x14ac:dyDescent="0.25">
      <c r="A350" t="s">
        <v>970</v>
      </c>
      <c r="B350" s="6">
        <v>44342</v>
      </c>
      <c r="C350">
        <v>3906</v>
      </c>
      <c r="D350" t="s">
        <v>972</v>
      </c>
      <c r="E350" t="s">
        <v>38</v>
      </c>
      <c r="F350" t="s">
        <v>47</v>
      </c>
      <c r="G350">
        <v>12104.02</v>
      </c>
      <c r="H350">
        <v>6318.76</v>
      </c>
      <c r="I350" t="s">
        <v>53</v>
      </c>
      <c r="J350" t="s">
        <v>54</v>
      </c>
      <c r="K350" t="s">
        <v>22</v>
      </c>
      <c r="L350" t="s">
        <v>55</v>
      </c>
      <c r="M350">
        <v>3</v>
      </c>
      <c r="N350" t="s">
        <v>33</v>
      </c>
      <c r="O350" t="s">
        <v>70</v>
      </c>
      <c r="P350" t="s">
        <v>26</v>
      </c>
    </row>
    <row r="351" spans="1:16" x14ac:dyDescent="0.25">
      <c r="A351" t="s">
        <v>973</v>
      </c>
      <c r="B351" s="6">
        <v>44989</v>
      </c>
      <c r="C351">
        <v>6393</v>
      </c>
      <c r="D351" t="s">
        <v>975</v>
      </c>
      <c r="E351" t="s">
        <v>38</v>
      </c>
      <c r="F351" t="s">
        <v>58</v>
      </c>
      <c r="G351">
        <v>31523.7</v>
      </c>
      <c r="H351">
        <v>18572.689999999999</v>
      </c>
      <c r="I351" t="s">
        <v>31</v>
      </c>
      <c r="J351" t="s">
        <v>21</v>
      </c>
      <c r="K351" t="s">
        <v>22</v>
      </c>
      <c r="L351" t="s">
        <v>55</v>
      </c>
      <c r="M351">
        <v>5</v>
      </c>
      <c r="N351" t="s">
        <v>24</v>
      </c>
      <c r="O351" t="s">
        <v>70</v>
      </c>
      <c r="P351" t="s">
        <v>26</v>
      </c>
    </row>
    <row r="352" spans="1:16" x14ac:dyDescent="0.25">
      <c r="A352" t="s">
        <v>976</v>
      </c>
      <c r="B352" s="6">
        <v>45653</v>
      </c>
      <c r="C352">
        <v>7996</v>
      </c>
      <c r="D352" t="s">
        <v>978</v>
      </c>
      <c r="E352" t="s">
        <v>38</v>
      </c>
      <c r="F352" t="s">
        <v>30</v>
      </c>
      <c r="G352">
        <v>38693.980000000003</v>
      </c>
      <c r="H352">
        <v>21863.200000000001</v>
      </c>
      <c r="I352" t="s">
        <v>31</v>
      </c>
      <c r="J352" t="s">
        <v>21</v>
      </c>
      <c r="K352" t="s">
        <v>42</v>
      </c>
      <c r="L352" t="s">
        <v>23</v>
      </c>
      <c r="M352">
        <v>5</v>
      </c>
      <c r="N352" t="s">
        <v>24</v>
      </c>
      <c r="O352" t="s">
        <v>25</v>
      </c>
      <c r="P352" t="s">
        <v>49</v>
      </c>
    </row>
    <row r="353" spans="1:16" x14ac:dyDescent="0.25">
      <c r="A353" t="s">
        <v>979</v>
      </c>
      <c r="B353" s="6">
        <v>44345</v>
      </c>
      <c r="C353">
        <v>1025</v>
      </c>
      <c r="D353" t="s">
        <v>981</v>
      </c>
      <c r="E353" t="s">
        <v>18</v>
      </c>
      <c r="F353" t="s">
        <v>47</v>
      </c>
      <c r="G353">
        <v>2379.86</v>
      </c>
      <c r="H353">
        <v>1368.64</v>
      </c>
      <c r="I353" t="s">
        <v>20</v>
      </c>
      <c r="J353" t="s">
        <v>21</v>
      </c>
      <c r="K353" t="s">
        <v>22</v>
      </c>
      <c r="L353" t="s">
        <v>48</v>
      </c>
      <c r="M353">
        <v>2</v>
      </c>
      <c r="N353" t="s">
        <v>24</v>
      </c>
      <c r="O353" t="s">
        <v>70</v>
      </c>
      <c r="P353" t="s">
        <v>34</v>
      </c>
    </row>
    <row r="354" spans="1:16" x14ac:dyDescent="0.25">
      <c r="A354" t="s">
        <v>982</v>
      </c>
      <c r="B354" s="6">
        <v>44932</v>
      </c>
      <c r="C354">
        <v>4296</v>
      </c>
      <c r="D354" t="s">
        <v>983</v>
      </c>
      <c r="E354" t="s">
        <v>38</v>
      </c>
      <c r="F354" t="s">
        <v>30</v>
      </c>
      <c r="G354">
        <v>42190.02</v>
      </c>
      <c r="H354">
        <v>19557.91</v>
      </c>
      <c r="I354" t="s">
        <v>53</v>
      </c>
      <c r="J354" t="s">
        <v>54</v>
      </c>
      <c r="K354" t="s">
        <v>42</v>
      </c>
      <c r="L354" t="s">
        <v>43</v>
      </c>
      <c r="M354">
        <v>5</v>
      </c>
      <c r="N354" t="s">
        <v>33</v>
      </c>
      <c r="O354" t="s">
        <v>25</v>
      </c>
      <c r="P354" t="s">
        <v>49</v>
      </c>
    </row>
    <row r="355" spans="1:16" x14ac:dyDescent="0.25">
      <c r="A355" t="s">
        <v>984</v>
      </c>
      <c r="B355" s="6">
        <v>44941</v>
      </c>
      <c r="C355">
        <v>4178</v>
      </c>
      <c r="D355" t="s">
        <v>985</v>
      </c>
      <c r="E355" t="s">
        <v>38</v>
      </c>
      <c r="F355" t="s">
        <v>19</v>
      </c>
      <c r="G355">
        <v>21514.84</v>
      </c>
      <c r="H355">
        <v>13650.22</v>
      </c>
      <c r="I355" t="s">
        <v>53</v>
      </c>
      <c r="J355" t="s">
        <v>54</v>
      </c>
      <c r="K355" t="s">
        <v>80</v>
      </c>
      <c r="L355" t="s">
        <v>64</v>
      </c>
      <c r="M355">
        <v>1</v>
      </c>
      <c r="N355" t="s">
        <v>24</v>
      </c>
      <c r="O355" t="s">
        <v>25</v>
      </c>
      <c r="P355" t="s">
        <v>49</v>
      </c>
    </row>
    <row r="356" spans="1:16" x14ac:dyDescent="0.25">
      <c r="A356" t="s">
        <v>986</v>
      </c>
      <c r="B356" s="6">
        <v>45138</v>
      </c>
      <c r="C356">
        <v>9537</v>
      </c>
      <c r="D356" t="s">
        <v>988</v>
      </c>
      <c r="E356" t="s">
        <v>38</v>
      </c>
      <c r="F356" t="s">
        <v>47</v>
      </c>
      <c r="G356">
        <v>10996.05</v>
      </c>
      <c r="H356">
        <v>6439.72</v>
      </c>
      <c r="I356" t="s">
        <v>31</v>
      </c>
      <c r="J356" t="s">
        <v>21</v>
      </c>
      <c r="K356" t="s">
        <v>22</v>
      </c>
      <c r="L356" t="s">
        <v>23</v>
      </c>
      <c r="M356">
        <v>5</v>
      </c>
      <c r="N356" t="s">
        <v>24</v>
      </c>
      <c r="O356" t="s">
        <v>70</v>
      </c>
      <c r="P356" t="s">
        <v>34</v>
      </c>
    </row>
    <row r="357" spans="1:16" x14ac:dyDescent="0.25">
      <c r="A357" t="s">
        <v>989</v>
      </c>
      <c r="B357" s="6">
        <v>44023</v>
      </c>
      <c r="C357">
        <v>9753</v>
      </c>
      <c r="D357" t="s">
        <v>990</v>
      </c>
      <c r="E357" t="s">
        <v>18</v>
      </c>
      <c r="F357" t="s">
        <v>39</v>
      </c>
      <c r="G357">
        <v>23258.15</v>
      </c>
      <c r="H357">
        <v>12278.29</v>
      </c>
      <c r="I357" t="s">
        <v>63</v>
      </c>
      <c r="J357" t="s">
        <v>54</v>
      </c>
      <c r="K357" t="s">
        <v>22</v>
      </c>
      <c r="L357" t="s">
        <v>88</v>
      </c>
      <c r="M357">
        <v>3</v>
      </c>
      <c r="N357" t="s">
        <v>24</v>
      </c>
      <c r="O357" t="s">
        <v>25</v>
      </c>
      <c r="P357" t="s">
        <v>26</v>
      </c>
    </row>
    <row r="358" spans="1:16" x14ac:dyDescent="0.25">
      <c r="A358" t="s">
        <v>991</v>
      </c>
      <c r="B358" s="6">
        <v>45446</v>
      </c>
      <c r="C358">
        <v>9603</v>
      </c>
      <c r="D358" t="s">
        <v>993</v>
      </c>
      <c r="E358" t="s">
        <v>38</v>
      </c>
      <c r="F358" t="s">
        <v>39</v>
      </c>
      <c r="G358">
        <v>15969.28</v>
      </c>
      <c r="H358">
        <v>8381.3700000000008</v>
      </c>
      <c r="I358" t="s">
        <v>20</v>
      </c>
      <c r="J358" t="s">
        <v>21</v>
      </c>
      <c r="K358" t="s">
        <v>22</v>
      </c>
      <c r="L358" t="s">
        <v>23</v>
      </c>
      <c r="M358">
        <v>1</v>
      </c>
      <c r="N358" t="s">
        <v>33</v>
      </c>
      <c r="O358" t="s">
        <v>25</v>
      </c>
      <c r="P358" t="s">
        <v>34</v>
      </c>
    </row>
    <row r="359" spans="1:16" x14ac:dyDescent="0.25">
      <c r="A359" t="s">
        <v>994</v>
      </c>
      <c r="B359" s="6">
        <v>45560</v>
      </c>
      <c r="C359">
        <v>6363</v>
      </c>
      <c r="D359" t="s">
        <v>996</v>
      </c>
      <c r="E359" t="s">
        <v>18</v>
      </c>
      <c r="F359" t="s">
        <v>58</v>
      </c>
      <c r="G359">
        <v>34191.39</v>
      </c>
      <c r="H359">
        <v>16058</v>
      </c>
      <c r="I359" t="s">
        <v>68</v>
      </c>
      <c r="J359" t="s">
        <v>41</v>
      </c>
      <c r="K359" t="s">
        <v>32</v>
      </c>
      <c r="L359" t="s">
        <v>23</v>
      </c>
      <c r="M359">
        <v>1</v>
      </c>
      <c r="N359" t="s">
        <v>24</v>
      </c>
      <c r="O359" t="s">
        <v>70</v>
      </c>
      <c r="P359" t="s">
        <v>49</v>
      </c>
    </row>
    <row r="360" spans="1:16" x14ac:dyDescent="0.25">
      <c r="A360" t="s">
        <v>997</v>
      </c>
      <c r="B360" s="6">
        <v>45231</v>
      </c>
      <c r="C360">
        <v>6460</v>
      </c>
      <c r="D360" t="s">
        <v>999</v>
      </c>
      <c r="E360" t="s">
        <v>38</v>
      </c>
      <c r="F360" t="s">
        <v>47</v>
      </c>
      <c r="G360">
        <v>18788.46</v>
      </c>
      <c r="H360">
        <v>8842.24</v>
      </c>
      <c r="I360" t="s">
        <v>53</v>
      </c>
      <c r="J360" t="s">
        <v>54</v>
      </c>
      <c r="K360" t="s">
        <v>42</v>
      </c>
      <c r="L360" t="s">
        <v>55</v>
      </c>
      <c r="M360">
        <v>5</v>
      </c>
      <c r="N360" t="s">
        <v>24</v>
      </c>
      <c r="O360" t="s">
        <v>70</v>
      </c>
      <c r="P360" t="s">
        <v>26</v>
      </c>
    </row>
    <row r="361" spans="1:16" x14ac:dyDescent="0.25">
      <c r="A361" t="s">
        <v>1000</v>
      </c>
      <c r="B361" s="6">
        <v>45152</v>
      </c>
      <c r="C361">
        <v>2927</v>
      </c>
      <c r="D361" t="s">
        <v>1002</v>
      </c>
      <c r="E361" t="s">
        <v>38</v>
      </c>
      <c r="F361" t="s">
        <v>39</v>
      </c>
      <c r="G361">
        <v>16460.07</v>
      </c>
      <c r="H361">
        <v>8307.85</v>
      </c>
      <c r="I361" t="s">
        <v>63</v>
      </c>
      <c r="J361" t="s">
        <v>54</v>
      </c>
      <c r="K361" t="s">
        <v>22</v>
      </c>
      <c r="L361" t="s">
        <v>43</v>
      </c>
      <c r="M361">
        <v>5</v>
      </c>
      <c r="N361" t="s">
        <v>24</v>
      </c>
      <c r="O361" t="s">
        <v>25</v>
      </c>
      <c r="P361" t="s">
        <v>34</v>
      </c>
    </row>
    <row r="362" spans="1:16" x14ac:dyDescent="0.25">
      <c r="A362" t="s">
        <v>1003</v>
      </c>
      <c r="B362" s="6">
        <v>45437</v>
      </c>
      <c r="C362">
        <v>5011</v>
      </c>
      <c r="D362" t="s">
        <v>182</v>
      </c>
      <c r="E362" t="s">
        <v>18</v>
      </c>
      <c r="F362" t="s">
        <v>58</v>
      </c>
      <c r="G362">
        <v>13294.98</v>
      </c>
      <c r="H362">
        <v>7613.4</v>
      </c>
      <c r="I362" t="s">
        <v>120</v>
      </c>
      <c r="J362" t="s">
        <v>21</v>
      </c>
      <c r="K362" t="s">
        <v>42</v>
      </c>
      <c r="L362" t="s">
        <v>43</v>
      </c>
      <c r="M362">
        <v>4</v>
      </c>
      <c r="N362" t="s">
        <v>33</v>
      </c>
      <c r="O362" t="s">
        <v>25</v>
      </c>
      <c r="P362" t="s">
        <v>49</v>
      </c>
    </row>
    <row r="363" spans="1:16" x14ac:dyDescent="0.25">
      <c r="A363" t="s">
        <v>1004</v>
      </c>
      <c r="B363" s="6">
        <v>44653</v>
      </c>
      <c r="C363">
        <v>8304</v>
      </c>
      <c r="D363" t="s">
        <v>1005</v>
      </c>
      <c r="E363" t="s">
        <v>38</v>
      </c>
      <c r="F363" t="s">
        <v>58</v>
      </c>
      <c r="G363">
        <v>23472.36</v>
      </c>
      <c r="H363">
        <v>14400.02</v>
      </c>
      <c r="I363" t="s">
        <v>53</v>
      </c>
      <c r="J363" t="s">
        <v>54</v>
      </c>
      <c r="K363" t="s">
        <v>22</v>
      </c>
      <c r="L363" t="s">
        <v>64</v>
      </c>
      <c r="M363">
        <v>5</v>
      </c>
      <c r="N363" t="s">
        <v>33</v>
      </c>
      <c r="O363" t="s">
        <v>70</v>
      </c>
      <c r="P363" t="s">
        <v>49</v>
      </c>
    </row>
    <row r="364" spans="1:16" x14ac:dyDescent="0.25">
      <c r="A364" t="s">
        <v>1006</v>
      </c>
      <c r="B364" s="6">
        <v>45165</v>
      </c>
      <c r="C364">
        <v>4796</v>
      </c>
      <c r="D364" t="s">
        <v>1007</v>
      </c>
      <c r="E364" t="s">
        <v>18</v>
      </c>
      <c r="F364" t="s">
        <v>39</v>
      </c>
      <c r="G364">
        <v>13504.24</v>
      </c>
      <c r="H364">
        <v>8496.06</v>
      </c>
      <c r="I364" t="s">
        <v>120</v>
      </c>
      <c r="J364" t="s">
        <v>21</v>
      </c>
      <c r="K364" t="s">
        <v>42</v>
      </c>
      <c r="L364" t="s">
        <v>88</v>
      </c>
      <c r="M364">
        <v>4</v>
      </c>
      <c r="N364" t="s">
        <v>33</v>
      </c>
      <c r="O364" t="s">
        <v>70</v>
      </c>
      <c r="P364" t="s">
        <v>34</v>
      </c>
    </row>
    <row r="365" spans="1:16" x14ac:dyDescent="0.25">
      <c r="A365" t="s">
        <v>1008</v>
      </c>
      <c r="B365" s="6">
        <v>44074</v>
      </c>
      <c r="C365">
        <v>6758</v>
      </c>
      <c r="D365" t="s">
        <v>1009</v>
      </c>
      <c r="E365" t="s">
        <v>38</v>
      </c>
      <c r="F365" t="s">
        <v>30</v>
      </c>
      <c r="G365">
        <v>34252.980000000003</v>
      </c>
      <c r="H365">
        <v>16583.93</v>
      </c>
      <c r="I365" t="s">
        <v>120</v>
      </c>
      <c r="J365" t="s">
        <v>21</v>
      </c>
      <c r="K365" t="s">
        <v>42</v>
      </c>
      <c r="L365" t="s">
        <v>43</v>
      </c>
      <c r="M365">
        <v>5</v>
      </c>
      <c r="N365" t="s">
        <v>33</v>
      </c>
      <c r="O365" t="s">
        <v>25</v>
      </c>
      <c r="P365" t="s">
        <v>49</v>
      </c>
    </row>
    <row r="366" spans="1:16" x14ac:dyDescent="0.25">
      <c r="A366" t="s">
        <v>1010</v>
      </c>
      <c r="B366" s="6">
        <v>43985</v>
      </c>
      <c r="C366">
        <v>8552</v>
      </c>
      <c r="D366" t="s">
        <v>1012</v>
      </c>
      <c r="E366" t="s">
        <v>38</v>
      </c>
      <c r="F366" t="s">
        <v>30</v>
      </c>
      <c r="G366">
        <v>41331.839999999997</v>
      </c>
      <c r="H366">
        <v>20571.48</v>
      </c>
      <c r="I366" t="s">
        <v>120</v>
      </c>
      <c r="J366" t="s">
        <v>21</v>
      </c>
      <c r="K366" t="s">
        <v>32</v>
      </c>
      <c r="L366" t="s">
        <v>43</v>
      </c>
      <c r="M366">
        <v>2</v>
      </c>
      <c r="N366" t="s">
        <v>69</v>
      </c>
      <c r="O366" t="s">
        <v>25</v>
      </c>
      <c r="P366" t="s">
        <v>34</v>
      </c>
    </row>
    <row r="367" spans="1:16" x14ac:dyDescent="0.25">
      <c r="A367" t="s">
        <v>1013</v>
      </c>
      <c r="B367" s="6">
        <v>45514</v>
      </c>
      <c r="C367">
        <v>6606</v>
      </c>
      <c r="D367" t="s">
        <v>1015</v>
      </c>
      <c r="E367" t="s">
        <v>18</v>
      </c>
      <c r="F367" t="s">
        <v>30</v>
      </c>
      <c r="G367">
        <v>36952.86</v>
      </c>
      <c r="H367">
        <v>21577.55</v>
      </c>
      <c r="I367" t="s">
        <v>84</v>
      </c>
      <c r="J367" t="s">
        <v>54</v>
      </c>
      <c r="K367" t="s">
        <v>80</v>
      </c>
      <c r="L367" t="s">
        <v>55</v>
      </c>
      <c r="M367">
        <v>5</v>
      </c>
      <c r="N367" t="s">
        <v>24</v>
      </c>
      <c r="O367" t="s">
        <v>25</v>
      </c>
      <c r="P367" t="s">
        <v>26</v>
      </c>
    </row>
    <row r="368" spans="1:16" x14ac:dyDescent="0.25">
      <c r="A368" t="s">
        <v>1016</v>
      </c>
      <c r="B368" s="6">
        <v>44868</v>
      </c>
      <c r="C368">
        <v>7208</v>
      </c>
      <c r="D368" t="s">
        <v>1018</v>
      </c>
      <c r="E368" t="s">
        <v>38</v>
      </c>
      <c r="F368" t="s">
        <v>39</v>
      </c>
      <c r="G368">
        <v>17483.8</v>
      </c>
      <c r="H368">
        <v>10176.15</v>
      </c>
      <c r="I368" t="s">
        <v>68</v>
      </c>
      <c r="J368" t="s">
        <v>41</v>
      </c>
      <c r="K368" t="s">
        <v>22</v>
      </c>
      <c r="L368" t="s">
        <v>23</v>
      </c>
      <c r="M368">
        <v>2</v>
      </c>
      <c r="N368" t="s">
        <v>69</v>
      </c>
      <c r="O368" t="s">
        <v>70</v>
      </c>
      <c r="P368" t="s">
        <v>49</v>
      </c>
    </row>
    <row r="369" spans="1:16" x14ac:dyDescent="0.25">
      <c r="A369" t="s">
        <v>1019</v>
      </c>
      <c r="B369" s="6">
        <v>45076</v>
      </c>
      <c r="C369">
        <v>8326</v>
      </c>
      <c r="D369" t="s">
        <v>1021</v>
      </c>
      <c r="E369" t="s">
        <v>18</v>
      </c>
      <c r="F369" t="s">
        <v>19</v>
      </c>
      <c r="G369">
        <v>5590.81</v>
      </c>
      <c r="H369">
        <v>3496.97</v>
      </c>
      <c r="I369" t="s">
        <v>68</v>
      </c>
      <c r="J369" t="s">
        <v>41</v>
      </c>
      <c r="K369" t="s">
        <v>42</v>
      </c>
      <c r="L369" t="s">
        <v>43</v>
      </c>
      <c r="M369">
        <v>3</v>
      </c>
      <c r="N369" t="s">
        <v>69</v>
      </c>
      <c r="O369" t="s">
        <v>70</v>
      </c>
      <c r="P369" t="s">
        <v>49</v>
      </c>
    </row>
    <row r="370" spans="1:16" x14ac:dyDescent="0.25">
      <c r="A370" t="s">
        <v>1022</v>
      </c>
      <c r="B370" s="6">
        <v>45240</v>
      </c>
      <c r="C370">
        <v>7622</v>
      </c>
      <c r="D370" t="s">
        <v>1023</v>
      </c>
      <c r="E370" t="s">
        <v>18</v>
      </c>
      <c r="F370" t="s">
        <v>47</v>
      </c>
      <c r="G370">
        <v>11347.32</v>
      </c>
      <c r="H370">
        <v>5247.93</v>
      </c>
      <c r="I370" t="s">
        <v>59</v>
      </c>
      <c r="J370" t="s">
        <v>41</v>
      </c>
      <c r="K370" t="s">
        <v>22</v>
      </c>
      <c r="L370" t="s">
        <v>55</v>
      </c>
      <c r="M370">
        <v>5</v>
      </c>
      <c r="N370" t="s">
        <v>69</v>
      </c>
      <c r="O370" t="s">
        <v>25</v>
      </c>
      <c r="P370" t="s">
        <v>34</v>
      </c>
    </row>
    <row r="371" spans="1:16" x14ac:dyDescent="0.25">
      <c r="A371" t="s">
        <v>1024</v>
      </c>
      <c r="B371" s="6">
        <v>45247</v>
      </c>
      <c r="C371">
        <v>7271</v>
      </c>
      <c r="D371" t="s">
        <v>1026</v>
      </c>
      <c r="E371" t="s">
        <v>38</v>
      </c>
      <c r="F371" t="s">
        <v>30</v>
      </c>
      <c r="G371">
        <v>34374.29</v>
      </c>
      <c r="H371">
        <v>19216.04</v>
      </c>
      <c r="I371" t="s">
        <v>68</v>
      </c>
      <c r="J371" t="s">
        <v>41</v>
      </c>
      <c r="K371" t="s">
        <v>32</v>
      </c>
      <c r="L371" t="s">
        <v>64</v>
      </c>
      <c r="M371">
        <v>2</v>
      </c>
      <c r="N371" t="s">
        <v>33</v>
      </c>
      <c r="O371" t="s">
        <v>25</v>
      </c>
      <c r="P371" t="s">
        <v>34</v>
      </c>
    </row>
    <row r="372" spans="1:16" x14ac:dyDescent="0.25">
      <c r="A372" t="s">
        <v>1027</v>
      </c>
      <c r="B372" s="6">
        <v>45356</v>
      </c>
      <c r="C372">
        <v>1190</v>
      </c>
      <c r="D372" t="s">
        <v>1028</v>
      </c>
      <c r="E372" t="s">
        <v>18</v>
      </c>
      <c r="F372" t="s">
        <v>39</v>
      </c>
      <c r="G372">
        <v>26622.04</v>
      </c>
      <c r="H372">
        <v>12746.61</v>
      </c>
      <c r="I372" t="s">
        <v>68</v>
      </c>
      <c r="J372" t="s">
        <v>41</v>
      </c>
      <c r="K372" t="s">
        <v>80</v>
      </c>
      <c r="L372" t="s">
        <v>48</v>
      </c>
      <c r="M372">
        <v>4</v>
      </c>
      <c r="N372" t="s">
        <v>69</v>
      </c>
      <c r="O372" t="s">
        <v>25</v>
      </c>
      <c r="P372" t="s">
        <v>26</v>
      </c>
    </row>
    <row r="373" spans="1:16" x14ac:dyDescent="0.25">
      <c r="A373" t="s">
        <v>1029</v>
      </c>
      <c r="B373" s="6">
        <v>45648</v>
      </c>
      <c r="C373">
        <v>7974</v>
      </c>
      <c r="D373" t="s">
        <v>1030</v>
      </c>
      <c r="E373" t="s">
        <v>18</v>
      </c>
      <c r="F373" t="s">
        <v>47</v>
      </c>
      <c r="G373">
        <v>10224.91</v>
      </c>
      <c r="H373">
        <v>5468.54</v>
      </c>
      <c r="I373" t="s">
        <v>120</v>
      </c>
      <c r="J373" t="s">
        <v>21</v>
      </c>
      <c r="K373" t="s">
        <v>80</v>
      </c>
      <c r="L373" t="s">
        <v>64</v>
      </c>
      <c r="M373">
        <v>3</v>
      </c>
      <c r="N373" t="s">
        <v>33</v>
      </c>
      <c r="O373" t="s">
        <v>25</v>
      </c>
      <c r="P373" t="s">
        <v>26</v>
      </c>
    </row>
    <row r="374" spans="1:16" x14ac:dyDescent="0.25">
      <c r="A374" t="s">
        <v>1031</v>
      </c>
      <c r="B374" s="6">
        <v>45137</v>
      </c>
      <c r="C374">
        <v>7012</v>
      </c>
      <c r="D374" t="s">
        <v>1032</v>
      </c>
      <c r="E374" t="s">
        <v>18</v>
      </c>
      <c r="F374" t="s">
        <v>39</v>
      </c>
      <c r="G374">
        <v>45173.96</v>
      </c>
      <c r="H374">
        <v>25461.4</v>
      </c>
      <c r="I374" t="s">
        <v>31</v>
      </c>
      <c r="J374" t="s">
        <v>21</v>
      </c>
      <c r="K374" t="s">
        <v>42</v>
      </c>
      <c r="L374" t="s">
        <v>55</v>
      </c>
      <c r="M374">
        <v>5</v>
      </c>
      <c r="N374" t="s">
        <v>24</v>
      </c>
      <c r="O374" t="s">
        <v>70</v>
      </c>
      <c r="P374" t="s">
        <v>26</v>
      </c>
    </row>
    <row r="375" spans="1:16" x14ac:dyDescent="0.25">
      <c r="A375" t="s">
        <v>1033</v>
      </c>
      <c r="B375" s="6">
        <v>45435</v>
      </c>
      <c r="C375">
        <v>9469</v>
      </c>
      <c r="D375" t="s">
        <v>1035</v>
      </c>
      <c r="E375" t="s">
        <v>18</v>
      </c>
      <c r="F375" t="s">
        <v>47</v>
      </c>
      <c r="G375">
        <v>11302.45</v>
      </c>
      <c r="H375">
        <v>6465.16</v>
      </c>
      <c r="I375" t="s">
        <v>31</v>
      </c>
      <c r="J375" t="s">
        <v>21</v>
      </c>
      <c r="K375" t="s">
        <v>32</v>
      </c>
      <c r="L375" t="s">
        <v>64</v>
      </c>
      <c r="M375">
        <v>1</v>
      </c>
      <c r="N375" t="s">
        <v>24</v>
      </c>
      <c r="O375" t="s">
        <v>25</v>
      </c>
      <c r="P375" t="s">
        <v>49</v>
      </c>
    </row>
    <row r="376" spans="1:16" x14ac:dyDescent="0.25">
      <c r="A376" t="s">
        <v>1036</v>
      </c>
      <c r="B376" s="6">
        <v>44932</v>
      </c>
      <c r="C376">
        <v>8438</v>
      </c>
      <c r="D376" t="s">
        <v>1037</v>
      </c>
      <c r="E376" t="s">
        <v>38</v>
      </c>
      <c r="F376" t="s">
        <v>47</v>
      </c>
      <c r="G376">
        <v>13350.9</v>
      </c>
      <c r="H376">
        <v>6893.11</v>
      </c>
      <c r="I376" t="s">
        <v>63</v>
      </c>
      <c r="J376" t="s">
        <v>54</v>
      </c>
      <c r="K376" t="s">
        <v>42</v>
      </c>
      <c r="L376" t="s">
        <v>88</v>
      </c>
      <c r="M376">
        <v>3</v>
      </c>
      <c r="N376" t="s">
        <v>33</v>
      </c>
      <c r="O376" t="s">
        <v>70</v>
      </c>
      <c r="P376" t="s">
        <v>49</v>
      </c>
    </row>
    <row r="377" spans="1:16" x14ac:dyDescent="0.25">
      <c r="A377" t="s">
        <v>1038</v>
      </c>
      <c r="B377" s="6">
        <v>44884</v>
      </c>
      <c r="C377">
        <v>3770</v>
      </c>
      <c r="D377" t="s">
        <v>1039</v>
      </c>
      <c r="E377" t="s">
        <v>18</v>
      </c>
      <c r="F377" t="s">
        <v>19</v>
      </c>
      <c r="G377">
        <v>13016.64</v>
      </c>
      <c r="H377">
        <v>6617.02</v>
      </c>
      <c r="I377" t="s">
        <v>31</v>
      </c>
      <c r="J377" t="s">
        <v>21</v>
      </c>
      <c r="K377" t="s">
        <v>22</v>
      </c>
      <c r="L377" t="s">
        <v>88</v>
      </c>
      <c r="M377">
        <v>4</v>
      </c>
      <c r="N377" t="s">
        <v>33</v>
      </c>
      <c r="O377" t="s">
        <v>25</v>
      </c>
      <c r="P377" t="s">
        <v>34</v>
      </c>
    </row>
    <row r="378" spans="1:16" x14ac:dyDescent="0.25">
      <c r="A378" t="s">
        <v>1040</v>
      </c>
      <c r="B378" s="6">
        <v>45299</v>
      </c>
      <c r="C378">
        <v>3860</v>
      </c>
      <c r="D378" t="s">
        <v>1041</v>
      </c>
      <c r="E378" t="s">
        <v>18</v>
      </c>
      <c r="F378" t="s">
        <v>39</v>
      </c>
      <c r="G378">
        <v>43128.2</v>
      </c>
      <c r="H378">
        <v>22597.17</v>
      </c>
      <c r="I378" t="s">
        <v>84</v>
      </c>
      <c r="J378" t="s">
        <v>54</v>
      </c>
      <c r="K378" t="s">
        <v>32</v>
      </c>
      <c r="L378" t="s">
        <v>88</v>
      </c>
      <c r="M378">
        <v>2</v>
      </c>
      <c r="N378" t="s">
        <v>24</v>
      </c>
      <c r="O378" t="s">
        <v>70</v>
      </c>
      <c r="P378" t="s">
        <v>26</v>
      </c>
    </row>
    <row r="379" spans="1:16" x14ac:dyDescent="0.25">
      <c r="A379" t="s">
        <v>1042</v>
      </c>
      <c r="B379" s="6">
        <v>45005</v>
      </c>
      <c r="C379">
        <v>7765</v>
      </c>
      <c r="D379" t="s">
        <v>1043</v>
      </c>
      <c r="E379" t="s">
        <v>38</v>
      </c>
      <c r="F379" t="s">
        <v>47</v>
      </c>
      <c r="G379">
        <v>7554.59</v>
      </c>
      <c r="H379">
        <v>4064.65</v>
      </c>
      <c r="I379" t="s">
        <v>63</v>
      </c>
      <c r="J379" t="s">
        <v>54</v>
      </c>
      <c r="K379" t="s">
        <v>32</v>
      </c>
      <c r="L379" t="s">
        <v>23</v>
      </c>
      <c r="M379">
        <v>5</v>
      </c>
      <c r="N379" t="s">
        <v>24</v>
      </c>
      <c r="O379" t="s">
        <v>25</v>
      </c>
      <c r="P379" t="s">
        <v>49</v>
      </c>
    </row>
    <row r="380" spans="1:16" x14ac:dyDescent="0.25">
      <c r="A380" t="s">
        <v>1044</v>
      </c>
      <c r="B380" s="6">
        <v>45170</v>
      </c>
      <c r="C380">
        <v>8803</v>
      </c>
      <c r="D380" t="s">
        <v>1046</v>
      </c>
      <c r="E380" t="s">
        <v>18</v>
      </c>
      <c r="F380" t="s">
        <v>58</v>
      </c>
      <c r="G380">
        <v>30432.63</v>
      </c>
      <c r="H380">
        <v>17989.38</v>
      </c>
      <c r="I380" t="s">
        <v>63</v>
      </c>
      <c r="J380" t="s">
        <v>54</v>
      </c>
      <c r="K380" t="s">
        <v>80</v>
      </c>
      <c r="L380" t="s">
        <v>88</v>
      </c>
      <c r="M380">
        <v>2</v>
      </c>
      <c r="N380" t="s">
        <v>24</v>
      </c>
      <c r="O380" t="s">
        <v>25</v>
      </c>
      <c r="P380" t="s">
        <v>34</v>
      </c>
    </row>
    <row r="381" spans="1:16" x14ac:dyDescent="0.25">
      <c r="A381" t="s">
        <v>1047</v>
      </c>
      <c r="B381" s="6">
        <v>44833</v>
      </c>
      <c r="C381">
        <v>1672</v>
      </c>
      <c r="D381" t="s">
        <v>1049</v>
      </c>
      <c r="E381" t="s">
        <v>18</v>
      </c>
      <c r="F381" t="s">
        <v>39</v>
      </c>
      <c r="G381">
        <v>27963.38</v>
      </c>
      <c r="H381">
        <v>16148.43</v>
      </c>
      <c r="I381" t="s">
        <v>59</v>
      </c>
      <c r="J381" t="s">
        <v>41</v>
      </c>
      <c r="K381" t="s">
        <v>80</v>
      </c>
      <c r="L381" t="s">
        <v>43</v>
      </c>
      <c r="M381">
        <v>3</v>
      </c>
      <c r="N381" t="s">
        <v>33</v>
      </c>
      <c r="O381" t="s">
        <v>25</v>
      </c>
      <c r="P381" t="s">
        <v>26</v>
      </c>
    </row>
    <row r="382" spans="1:16" x14ac:dyDescent="0.25">
      <c r="A382" t="s">
        <v>1050</v>
      </c>
      <c r="B382" s="6">
        <v>45415</v>
      </c>
      <c r="C382">
        <v>4193</v>
      </c>
      <c r="D382" t="s">
        <v>1052</v>
      </c>
      <c r="E382" t="s">
        <v>38</v>
      </c>
      <c r="F382" t="s">
        <v>39</v>
      </c>
      <c r="G382">
        <v>44047.05</v>
      </c>
      <c r="H382">
        <v>28570.81</v>
      </c>
      <c r="I382" t="s">
        <v>84</v>
      </c>
      <c r="J382" t="s">
        <v>54</v>
      </c>
      <c r="K382" t="s">
        <v>42</v>
      </c>
      <c r="L382" t="s">
        <v>43</v>
      </c>
      <c r="M382">
        <v>1</v>
      </c>
      <c r="N382" t="s">
        <v>24</v>
      </c>
      <c r="O382" t="s">
        <v>70</v>
      </c>
      <c r="P382" t="s">
        <v>26</v>
      </c>
    </row>
    <row r="383" spans="1:16" x14ac:dyDescent="0.25">
      <c r="A383" t="s">
        <v>1053</v>
      </c>
      <c r="B383" s="6">
        <v>44674</v>
      </c>
      <c r="C383">
        <v>5127</v>
      </c>
      <c r="D383" t="s">
        <v>1054</v>
      </c>
      <c r="E383" t="s">
        <v>18</v>
      </c>
      <c r="F383" t="s">
        <v>58</v>
      </c>
      <c r="G383">
        <v>11111.45</v>
      </c>
      <c r="H383">
        <v>6376.63</v>
      </c>
      <c r="I383" t="s">
        <v>84</v>
      </c>
      <c r="J383" t="s">
        <v>54</v>
      </c>
      <c r="K383" t="s">
        <v>22</v>
      </c>
      <c r="L383" t="s">
        <v>43</v>
      </c>
      <c r="M383">
        <v>2</v>
      </c>
      <c r="N383" t="s">
        <v>69</v>
      </c>
      <c r="O383" t="s">
        <v>70</v>
      </c>
      <c r="P383" t="s">
        <v>49</v>
      </c>
    </row>
    <row r="384" spans="1:16" x14ac:dyDescent="0.25">
      <c r="A384" t="s">
        <v>1055</v>
      </c>
      <c r="B384" s="6">
        <v>44533</v>
      </c>
      <c r="C384">
        <v>4027</v>
      </c>
      <c r="D384" t="s">
        <v>1057</v>
      </c>
      <c r="E384" t="s">
        <v>18</v>
      </c>
      <c r="F384" t="s">
        <v>47</v>
      </c>
      <c r="G384">
        <v>7137.24</v>
      </c>
      <c r="H384">
        <v>3573.38</v>
      </c>
      <c r="I384" t="s">
        <v>68</v>
      </c>
      <c r="J384" t="s">
        <v>41</v>
      </c>
      <c r="K384" t="s">
        <v>80</v>
      </c>
      <c r="L384" t="s">
        <v>48</v>
      </c>
      <c r="M384">
        <v>1</v>
      </c>
      <c r="N384" t="s">
        <v>24</v>
      </c>
      <c r="O384" t="s">
        <v>70</v>
      </c>
      <c r="P384" t="s">
        <v>34</v>
      </c>
    </row>
    <row r="385" spans="1:16" x14ac:dyDescent="0.25">
      <c r="A385" t="s">
        <v>1058</v>
      </c>
      <c r="B385" s="6">
        <v>45457</v>
      </c>
      <c r="C385">
        <v>3653</v>
      </c>
      <c r="D385" t="s">
        <v>1060</v>
      </c>
      <c r="E385" t="s">
        <v>18</v>
      </c>
      <c r="F385" t="s">
        <v>47</v>
      </c>
      <c r="G385">
        <v>7457.62</v>
      </c>
      <c r="H385">
        <v>3448.98</v>
      </c>
      <c r="I385" t="s">
        <v>31</v>
      </c>
      <c r="J385" t="s">
        <v>21</v>
      </c>
      <c r="K385" t="s">
        <v>80</v>
      </c>
      <c r="L385" t="s">
        <v>88</v>
      </c>
      <c r="M385">
        <v>1</v>
      </c>
      <c r="N385" t="s">
        <v>33</v>
      </c>
      <c r="O385" t="s">
        <v>70</v>
      </c>
      <c r="P385" t="s">
        <v>26</v>
      </c>
    </row>
    <row r="386" spans="1:16" x14ac:dyDescent="0.25">
      <c r="A386" t="s">
        <v>1061</v>
      </c>
      <c r="B386" s="6">
        <v>44398</v>
      </c>
      <c r="C386">
        <v>9061</v>
      </c>
      <c r="D386" t="s">
        <v>1063</v>
      </c>
      <c r="E386" t="s">
        <v>18</v>
      </c>
      <c r="F386" t="s">
        <v>47</v>
      </c>
      <c r="G386">
        <v>4384.38</v>
      </c>
      <c r="H386">
        <v>2647.03</v>
      </c>
      <c r="I386" t="s">
        <v>53</v>
      </c>
      <c r="J386" t="s">
        <v>54</v>
      </c>
      <c r="K386" t="s">
        <v>32</v>
      </c>
      <c r="L386" t="s">
        <v>43</v>
      </c>
      <c r="M386">
        <v>1</v>
      </c>
      <c r="N386" t="s">
        <v>69</v>
      </c>
      <c r="O386" t="s">
        <v>70</v>
      </c>
      <c r="P386" t="s">
        <v>26</v>
      </c>
    </row>
    <row r="387" spans="1:16" x14ac:dyDescent="0.25">
      <c r="A387" t="s">
        <v>1064</v>
      </c>
      <c r="B387" s="6">
        <v>44790</v>
      </c>
      <c r="C387">
        <v>9154</v>
      </c>
      <c r="D387" t="s">
        <v>1066</v>
      </c>
      <c r="E387" t="s">
        <v>18</v>
      </c>
      <c r="F387" t="s">
        <v>30</v>
      </c>
      <c r="G387">
        <v>71591</v>
      </c>
      <c r="H387">
        <v>32228.37</v>
      </c>
      <c r="I387" t="s">
        <v>63</v>
      </c>
      <c r="J387" t="s">
        <v>54</v>
      </c>
      <c r="K387" t="s">
        <v>22</v>
      </c>
      <c r="L387" t="s">
        <v>48</v>
      </c>
      <c r="M387">
        <v>4</v>
      </c>
      <c r="N387" t="s">
        <v>33</v>
      </c>
      <c r="O387" t="s">
        <v>70</v>
      </c>
      <c r="P387" t="s">
        <v>34</v>
      </c>
    </row>
    <row r="388" spans="1:16" x14ac:dyDescent="0.25">
      <c r="A388" t="s">
        <v>1067</v>
      </c>
      <c r="B388" s="6">
        <v>45536</v>
      </c>
      <c r="C388">
        <v>7617</v>
      </c>
      <c r="D388" t="s">
        <v>1069</v>
      </c>
      <c r="E388" t="s">
        <v>18</v>
      </c>
      <c r="F388" t="s">
        <v>19</v>
      </c>
      <c r="G388">
        <v>14164.83</v>
      </c>
      <c r="H388">
        <v>6383.54</v>
      </c>
      <c r="I388" t="s">
        <v>31</v>
      </c>
      <c r="J388" t="s">
        <v>21</v>
      </c>
      <c r="K388" t="s">
        <v>80</v>
      </c>
      <c r="L388" t="s">
        <v>55</v>
      </c>
      <c r="M388">
        <v>5</v>
      </c>
      <c r="N388" t="s">
        <v>24</v>
      </c>
      <c r="O388" t="s">
        <v>70</v>
      </c>
      <c r="P388" t="s">
        <v>34</v>
      </c>
    </row>
    <row r="389" spans="1:16" x14ac:dyDescent="0.25">
      <c r="A389" t="s">
        <v>1070</v>
      </c>
      <c r="B389" s="6">
        <v>45623</v>
      </c>
      <c r="C389">
        <v>6985</v>
      </c>
      <c r="D389" t="s">
        <v>1071</v>
      </c>
      <c r="E389" t="s">
        <v>38</v>
      </c>
      <c r="F389" t="s">
        <v>58</v>
      </c>
      <c r="G389">
        <v>13721.13</v>
      </c>
      <c r="H389">
        <v>7435.86</v>
      </c>
      <c r="I389" t="s">
        <v>120</v>
      </c>
      <c r="J389" t="s">
        <v>21</v>
      </c>
      <c r="K389" t="s">
        <v>42</v>
      </c>
      <c r="L389" t="s">
        <v>48</v>
      </c>
      <c r="M389">
        <v>2</v>
      </c>
      <c r="N389" t="s">
        <v>33</v>
      </c>
      <c r="O389" t="s">
        <v>25</v>
      </c>
      <c r="P389" t="s">
        <v>34</v>
      </c>
    </row>
    <row r="390" spans="1:16" x14ac:dyDescent="0.25">
      <c r="A390" t="s">
        <v>1072</v>
      </c>
      <c r="B390" s="6">
        <v>45614</v>
      </c>
      <c r="C390">
        <v>6886</v>
      </c>
      <c r="D390" t="s">
        <v>1073</v>
      </c>
      <c r="E390" t="s">
        <v>38</v>
      </c>
      <c r="F390" t="s">
        <v>19</v>
      </c>
      <c r="G390">
        <v>5913.13</v>
      </c>
      <c r="H390">
        <v>3409.26</v>
      </c>
      <c r="I390" t="s">
        <v>120</v>
      </c>
      <c r="J390" t="s">
        <v>21</v>
      </c>
      <c r="K390" t="s">
        <v>32</v>
      </c>
      <c r="L390" t="s">
        <v>23</v>
      </c>
      <c r="M390">
        <v>1</v>
      </c>
      <c r="N390" t="s">
        <v>33</v>
      </c>
      <c r="O390" t="s">
        <v>70</v>
      </c>
      <c r="P390" t="s">
        <v>49</v>
      </c>
    </row>
    <row r="391" spans="1:16" x14ac:dyDescent="0.25">
      <c r="A391" t="s">
        <v>1074</v>
      </c>
      <c r="B391" s="6">
        <v>45084</v>
      </c>
      <c r="C391">
        <v>9748</v>
      </c>
      <c r="D391" t="s">
        <v>1076</v>
      </c>
      <c r="E391" t="s">
        <v>38</v>
      </c>
      <c r="F391" t="s">
        <v>58</v>
      </c>
      <c r="G391">
        <v>60393.279999999999</v>
      </c>
      <c r="H391">
        <v>27375.29</v>
      </c>
      <c r="I391" t="s">
        <v>53</v>
      </c>
      <c r="J391" t="s">
        <v>54</v>
      </c>
      <c r="K391" t="s">
        <v>42</v>
      </c>
      <c r="L391" t="s">
        <v>55</v>
      </c>
      <c r="M391">
        <v>3</v>
      </c>
      <c r="N391" t="s">
        <v>24</v>
      </c>
      <c r="O391" t="s">
        <v>25</v>
      </c>
      <c r="P391" t="s">
        <v>26</v>
      </c>
    </row>
    <row r="392" spans="1:16" x14ac:dyDescent="0.25">
      <c r="A392" t="s">
        <v>1077</v>
      </c>
      <c r="B392" s="6">
        <v>45274</v>
      </c>
      <c r="C392">
        <v>3440</v>
      </c>
      <c r="D392" t="s">
        <v>1078</v>
      </c>
      <c r="E392" t="s">
        <v>18</v>
      </c>
      <c r="F392" t="s">
        <v>19</v>
      </c>
      <c r="G392">
        <v>23335.56</v>
      </c>
      <c r="H392">
        <v>10673.11</v>
      </c>
      <c r="I392" t="s">
        <v>84</v>
      </c>
      <c r="J392" t="s">
        <v>54</v>
      </c>
      <c r="K392" t="s">
        <v>32</v>
      </c>
      <c r="L392" t="s">
        <v>64</v>
      </c>
      <c r="M392">
        <v>1</v>
      </c>
      <c r="N392" t="s">
        <v>24</v>
      </c>
      <c r="O392" t="s">
        <v>70</v>
      </c>
      <c r="P392" t="s">
        <v>26</v>
      </c>
    </row>
    <row r="393" spans="1:16" x14ac:dyDescent="0.25">
      <c r="A393" t="s">
        <v>1079</v>
      </c>
      <c r="B393" s="6">
        <v>44222</v>
      </c>
      <c r="C393">
        <v>2594</v>
      </c>
      <c r="D393" t="s">
        <v>1081</v>
      </c>
      <c r="E393" t="s">
        <v>38</v>
      </c>
      <c r="F393" t="s">
        <v>58</v>
      </c>
      <c r="G393">
        <v>31227.67</v>
      </c>
      <c r="H393">
        <v>19269.669999999998</v>
      </c>
      <c r="I393" t="s">
        <v>84</v>
      </c>
      <c r="J393" t="s">
        <v>54</v>
      </c>
      <c r="K393" t="s">
        <v>22</v>
      </c>
      <c r="L393" t="s">
        <v>55</v>
      </c>
      <c r="M393">
        <v>1</v>
      </c>
      <c r="N393" t="s">
        <v>24</v>
      </c>
      <c r="O393" t="s">
        <v>70</v>
      </c>
      <c r="P393" t="s">
        <v>26</v>
      </c>
    </row>
    <row r="394" spans="1:16" x14ac:dyDescent="0.25">
      <c r="A394" t="s">
        <v>1082</v>
      </c>
      <c r="B394" s="6">
        <v>45639</v>
      </c>
      <c r="C394">
        <v>6312</v>
      </c>
      <c r="D394" t="s">
        <v>1083</v>
      </c>
      <c r="E394" t="s">
        <v>18</v>
      </c>
      <c r="F394" t="s">
        <v>30</v>
      </c>
      <c r="G394">
        <v>124855.93</v>
      </c>
      <c r="H394">
        <v>70567.75</v>
      </c>
      <c r="I394" t="s">
        <v>63</v>
      </c>
      <c r="J394" t="s">
        <v>54</v>
      </c>
      <c r="K394" t="s">
        <v>32</v>
      </c>
      <c r="L394" t="s">
        <v>88</v>
      </c>
      <c r="M394">
        <v>2</v>
      </c>
      <c r="N394" t="s">
        <v>24</v>
      </c>
      <c r="O394" t="s">
        <v>25</v>
      </c>
      <c r="P394" t="s">
        <v>34</v>
      </c>
    </row>
    <row r="395" spans="1:16" x14ac:dyDescent="0.25">
      <c r="A395" t="s">
        <v>1084</v>
      </c>
      <c r="B395" s="6">
        <v>44918</v>
      </c>
      <c r="C395">
        <v>3703</v>
      </c>
      <c r="D395" t="s">
        <v>1086</v>
      </c>
      <c r="E395" t="s">
        <v>38</v>
      </c>
      <c r="F395" t="s">
        <v>58</v>
      </c>
      <c r="G395">
        <v>20417.82</v>
      </c>
      <c r="H395">
        <v>11564.6</v>
      </c>
      <c r="I395" t="s">
        <v>53</v>
      </c>
      <c r="J395" t="s">
        <v>54</v>
      </c>
      <c r="K395" t="s">
        <v>32</v>
      </c>
      <c r="L395" t="s">
        <v>55</v>
      </c>
      <c r="M395">
        <v>5</v>
      </c>
      <c r="N395" t="s">
        <v>33</v>
      </c>
      <c r="O395" t="s">
        <v>25</v>
      </c>
      <c r="P395" t="s">
        <v>34</v>
      </c>
    </row>
    <row r="396" spans="1:16" x14ac:dyDescent="0.25">
      <c r="A396" t="s">
        <v>1087</v>
      </c>
      <c r="B396" s="6">
        <v>44164</v>
      </c>
      <c r="C396">
        <v>5648</v>
      </c>
      <c r="D396" t="s">
        <v>1088</v>
      </c>
      <c r="E396" t="s">
        <v>38</v>
      </c>
      <c r="F396" t="s">
        <v>58</v>
      </c>
      <c r="G396">
        <v>30293.67</v>
      </c>
      <c r="H396">
        <v>18432.13</v>
      </c>
      <c r="I396" t="s">
        <v>63</v>
      </c>
      <c r="J396" t="s">
        <v>54</v>
      </c>
      <c r="K396" t="s">
        <v>80</v>
      </c>
      <c r="L396" t="s">
        <v>48</v>
      </c>
      <c r="M396">
        <v>2</v>
      </c>
      <c r="N396" t="s">
        <v>33</v>
      </c>
      <c r="O396" t="s">
        <v>70</v>
      </c>
      <c r="P396" t="s">
        <v>49</v>
      </c>
    </row>
    <row r="397" spans="1:16" x14ac:dyDescent="0.25">
      <c r="A397" t="s">
        <v>1089</v>
      </c>
      <c r="B397" s="6">
        <v>44946</v>
      </c>
      <c r="C397">
        <v>3949</v>
      </c>
      <c r="D397" t="s">
        <v>1091</v>
      </c>
      <c r="E397" t="s">
        <v>38</v>
      </c>
      <c r="F397" t="s">
        <v>47</v>
      </c>
      <c r="G397">
        <v>11673.22</v>
      </c>
      <c r="H397">
        <v>5458.45</v>
      </c>
      <c r="I397" t="s">
        <v>20</v>
      </c>
      <c r="J397" t="s">
        <v>21</v>
      </c>
      <c r="K397" t="s">
        <v>42</v>
      </c>
      <c r="L397" t="s">
        <v>88</v>
      </c>
      <c r="M397">
        <v>4</v>
      </c>
      <c r="N397" t="s">
        <v>33</v>
      </c>
      <c r="O397" t="s">
        <v>25</v>
      </c>
      <c r="P397" t="s">
        <v>26</v>
      </c>
    </row>
    <row r="398" spans="1:16" x14ac:dyDescent="0.25">
      <c r="A398" t="s">
        <v>1092</v>
      </c>
      <c r="B398" s="6">
        <v>45568</v>
      </c>
      <c r="C398">
        <v>4592</v>
      </c>
      <c r="D398" t="s">
        <v>1094</v>
      </c>
      <c r="E398" t="s">
        <v>38</v>
      </c>
      <c r="F398" t="s">
        <v>30</v>
      </c>
      <c r="G398">
        <v>63969.55</v>
      </c>
      <c r="H398">
        <v>37221.67</v>
      </c>
      <c r="I398" t="s">
        <v>68</v>
      </c>
      <c r="J398" t="s">
        <v>41</v>
      </c>
      <c r="K398" t="s">
        <v>42</v>
      </c>
      <c r="L398" t="s">
        <v>55</v>
      </c>
      <c r="M398">
        <v>2</v>
      </c>
      <c r="N398" t="s">
        <v>33</v>
      </c>
      <c r="O398" t="s">
        <v>25</v>
      </c>
      <c r="P398" t="s">
        <v>34</v>
      </c>
    </row>
    <row r="399" spans="1:16" x14ac:dyDescent="0.25">
      <c r="A399" t="s">
        <v>1095</v>
      </c>
      <c r="B399" s="6">
        <v>44161</v>
      </c>
      <c r="C399">
        <v>5670</v>
      </c>
      <c r="D399" t="s">
        <v>1096</v>
      </c>
      <c r="E399" t="s">
        <v>18</v>
      </c>
      <c r="F399" t="s">
        <v>19</v>
      </c>
      <c r="G399">
        <v>7352.05</v>
      </c>
      <c r="H399">
        <v>3799.97</v>
      </c>
      <c r="I399" t="s">
        <v>20</v>
      </c>
      <c r="J399" t="s">
        <v>21</v>
      </c>
      <c r="K399" t="s">
        <v>80</v>
      </c>
      <c r="L399" t="s">
        <v>55</v>
      </c>
      <c r="M399">
        <v>1</v>
      </c>
      <c r="N399" t="s">
        <v>24</v>
      </c>
      <c r="O399" t="s">
        <v>70</v>
      </c>
      <c r="P399" t="s">
        <v>26</v>
      </c>
    </row>
    <row r="400" spans="1:16" x14ac:dyDescent="0.25">
      <c r="A400" t="s">
        <v>1097</v>
      </c>
      <c r="B400" s="6">
        <v>44317</v>
      </c>
      <c r="C400">
        <v>6340</v>
      </c>
      <c r="D400" t="s">
        <v>1098</v>
      </c>
      <c r="E400" t="s">
        <v>38</v>
      </c>
      <c r="F400" t="s">
        <v>30</v>
      </c>
      <c r="G400">
        <v>27039.03</v>
      </c>
      <c r="H400">
        <v>15827.85</v>
      </c>
      <c r="I400" t="s">
        <v>63</v>
      </c>
      <c r="J400" t="s">
        <v>54</v>
      </c>
      <c r="K400" t="s">
        <v>42</v>
      </c>
      <c r="L400" t="s">
        <v>23</v>
      </c>
      <c r="M400">
        <v>1</v>
      </c>
      <c r="N400" t="s">
        <v>33</v>
      </c>
      <c r="O400" t="s">
        <v>25</v>
      </c>
      <c r="P400" t="s">
        <v>49</v>
      </c>
    </row>
    <row r="401" spans="1:16" x14ac:dyDescent="0.25">
      <c r="A401" t="s">
        <v>1099</v>
      </c>
      <c r="B401" s="6">
        <v>44438</v>
      </c>
      <c r="C401">
        <v>8936</v>
      </c>
      <c r="D401" t="s">
        <v>1100</v>
      </c>
      <c r="E401" t="s">
        <v>18</v>
      </c>
      <c r="F401" t="s">
        <v>39</v>
      </c>
      <c r="G401">
        <v>37113.85</v>
      </c>
      <c r="H401">
        <v>17777.099999999999</v>
      </c>
      <c r="I401" t="s">
        <v>63</v>
      </c>
      <c r="J401" t="s">
        <v>54</v>
      </c>
      <c r="K401" t="s">
        <v>80</v>
      </c>
      <c r="L401" t="s">
        <v>23</v>
      </c>
      <c r="M401">
        <v>4</v>
      </c>
      <c r="N401" t="s">
        <v>33</v>
      </c>
      <c r="O401" t="s">
        <v>25</v>
      </c>
      <c r="P401" t="s">
        <v>26</v>
      </c>
    </row>
    <row r="402" spans="1:16" x14ac:dyDescent="0.25">
      <c r="A402" t="s">
        <v>1101</v>
      </c>
      <c r="B402" s="6">
        <v>44551</v>
      </c>
      <c r="C402">
        <v>1977</v>
      </c>
      <c r="D402" t="s">
        <v>1102</v>
      </c>
      <c r="E402" t="s">
        <v>38</v>
      </c>
      <c r="F402" t="s">
        <v>58</v>
      </c>
      <c r="G402">
        <v>11092.97</v>
      </c>
      <c r="H402">
        <v>6881.31</v>
      </c>
      <c r="I402" t="s">
        <v>120</v>
      </c>
      <c r="J402" t="s">
        <v>21</v>
      </c>
      <c r="K402" t="s">
        <v>80</v>
      </c>
      <c r="L402" t="s">
        <v>64</v>
      </c>
      <c r="M402">
        <v>2</v>
      </c>
      <c r="N402" t="s">
        <v>24</v>
      </c>
      <c r="O402" t="s">
        <v>25</v>
      </c>
      <c r="P402" t="s">
        <v>34</v>
      </c>
    </row>
    <row r="403" spans="1:16" x14ac:dyDescent="0.25">
      <c r="A403" t="s">
        <v>1103</v>
      </c>
      <c r="B403" s="6">
        <v>45587</v>
      </c>
      <c r="C403">
        <v>4763</v>
      </c>
      <c r="D403" t="s">
        <v>1105</v>
      </c>
      <c r="E403" t="s">
        <v>18</v>
      </c>
      <c r="F403" t="s">
        <v>47</v>
      </c>
      <c r="G403">
        <v>9557.75</v>
      </c>
      <c r="H403">
        <v>5298.37</v>
      </c>
      <c r="I403" t="s">
        <v>31</v>
      </c>
      <c r="J403" t="s">
        <v>21</v>
      </c>
      <c r="K403" t="s">
        <v>32</v>
      </c>
      <c r="L403" t="s">
        <v>43</v>
      </c>
      <c r="M403">
        <v>4</v>
      </c>
      <c r="N403" t="s">
        <v>69</v>
      </c>
      <c r="O403" t="s">
        <v>25</v>
      </c>
      <c r="P403" t="s">
        <v>49</v>
      </c>
    </row>
    <row r="404" spans="1:16" x14ac:dyDescent="0.25">
      <c r="A404" t="s">
        <v>1106</v>
      </c>
      <c r="B404" s="6">
        <v>44675</v>
      </c>
      <c r="C404">
        <v>3440</v>
      </c>
      <c r="D404" t="s">
        <v>1108</v>
      </c>
      <c r="E404" t="s">
        <v>18</v>
      </c>
      <c r="F404" t="s">
        <v>39</v>
      </c>
      <c r="G404">
        <v>24943.77</v>
      </c>
      <c r="H404">
        <v>11445.32</v>
      </c>
      <c r="I404" t="s">
        <v>63</v>
      </c>
      <c r="J404" t="s">
        <v>54</v>
      </c>
      <c r="K404" t="s">
        <v>80</v>
      </c>
      <c r="L404" t="s">
        <v>48</v>
      </c>
      <c r="M404">
        <v>5</v>
      </c>
      <c r="N404" t="s">
        <v>33</v>
      </c>
      <c r="O404" t="s">
        <v>25</v>
      </c>
      <c r="P404" t="s">
        <v>34</v>
      </c>
    </row>
    <row r="405" spans="1:16" x14ac:dyDescent="0.25">
      <c r="A405" t="s">
        <v>1109</v>
      </c>
      <c r="B405" s="6">
        <v>45050</v>
      </c>
      <c r="C405">
        <v>1203</v>
      </c>
      <c r="D405" t="s">
        <v>1111</v>
      </c>
      <c r="E405" t="s">
        <v>38</v>
      </c>
      <c r="F405" t="s">
        <v>47</v>
      </c>
      <c r="G405">
        <v>12397.72</v>
      </c>
      <c r="H405">
        <v>5908.04</v>
      </c>
      <c r="I405" t="s">
        <v>40</v>
      </c>
      <c r="J405" t="s">
        <v>41</v>
      </c>
      <c r="K405" t="s">
        <v>42</v>
      </c>
      <c r="L405" t="s">
        <v>23</v>
      </c>
      <c r="M405">
        <v>1</v>
      </c>
      <c r="N405" t="s">
        <v>33</v>
      </c>
      <c r="O405" t="s">
        <v>70</v>
      </c>
      <c r="P405" t="s">
        <v>26</v>
      </c>
    </row>
    <row r="406" spans="1:16" x14ac:dyDescent="0.25">
      <c r="A406" t="s">
        <v>1112</v>
      </c>
      <c r="B406" s="6">
        <v>44063</v>
      </c>
      <c r="C406">
        <v>3271</v>
      </c>
      <c r="D406" t="s">
        <v>1114</v>
      </c>
      <c r="E406" t="s">
        <v>38</v>
      </c>
      <c r="F406" t="s">
        <v>19</v>
      </c>
      <c r="G406">
        <v>4636.28</v>
      </c>
      <c r="H406">
        <v>2894.48</v>
      </c>
      <c r="I406" t="s">
        <v>31</v>
      </c>
      <c r="J406" t="s">
        <v>21</v>
      </c>
      <c r="K406" t="s">
        <v>80</v>
      </c>
      <c r="L406" t="s">
        <v>48</v>
      </c>
      <c r="M406">
        <v>1</v>
      </c>
      <c r="N406" t="s">
        <v>69</v>
      </c>
      <c r="O406" t="s">
        <v>25</v>
      </c>
      <c r="P406" t="s">
        <v>49</v>
      </c>
    </row>
    <row r="407" spans="1:16" x14ac:dyDescent="0.25">
      <c r="A407" t="s">
        <v>1115</v>
      </c>
      <c r="B407" s="6">
        <v>45649</v>
      </c>
      <c r="C407">
        <v>9887</v>
      </c>
      <c r="D407" t="s">
        <v>1117</v>
      </c>
      <c r="E407" t="s">
        <v>18</v>
      </c>
      <c r="F407" t="s">
        <v>39</v>
      </c>
      <c r="G407">
        <v>49490.75</v>
      </c>
      <c r="H407">
        <v>23072.18</v>
      </c>
      <c r="I407" t="s">
        <v>63</v>
      </c>
      <c r="J407" t="s">
        <v>54</v>
      </c>
      <c r="K407" t="s">
        <v>42</v>
      </c>
      <c r="L407" t="s">
        <v>48</v>
      </c>
      <c r="M407">
        <v>1</v>
      </c>
      <c r="N407" t="s">
        <v>24</v>
      </c>
      <c r="O407" t="s">
        <v>70</v>
      </c>
      <c r="P407" t="s">
        <v>34</v>
      </c>
    </row>
    <row r="408" spans="1:16" x14ac:dyDescent="0.25">
      <c r="A408" t="s">
        <v>1118</v>
      </c>
      <c r="B408" s="6">
        <v>44947</v>
      </c>
      <c r="C408">
        <v>7003</v>
      </c>
      <c r="D408" t="s">
        <v>1120</v>
      </c>
      <c r="E408" t="s">
        <v>18</v>
      </c>
      <c r="F408" t="s">
        <v>39</v>
      </c>
      <c r="G408">
        <v>24486.11</v>
      </c>
      <c r="H408">
        <v>14470.67</v>
      </c>
      <c r="I408" t="s">
        <v>68</v>
      </c>
      <c r="J408" t="s">
        <v>41</v>
      </c>
      <c r="K408" t="s">
        <v>32</v>
      </c>
      <c r="L408" t="s">
        <v>23</v>
      </c>
      <c r="M408">
        <v>3</v>
      </c>
      <c r="N408" t="s">
        <v>33</v>
      </c>
      <c r="O408" t="s">
        <v>25</v>
      </c>
      <c r="P408" t="s">
        <v>34</v>
      </c>
    </row>
    <row r="409" spans="1:16" x14ac:dyDescent="0.25">
      <c r="A409" t="s">
        <v>1121</v>
      </c>
      <c r="B409" s="6">
        <v>45407</v>
      </c>
      <c r="C409">
        <v>6778</v>
      </c>
      <c r="D409" t="s">
        <v>1123</v>
      </c>
      <c r="E409" t="s">
        <v>38</v>
      </c>
      <c r="F409" t="s">
        <v>47</v>
      </c>
      <c r="G409">
        <v>10993.22</v>
      </c>
      <c r="H409">
        <v>5876.82</v>
      </c>
      <c r="I409" t="s">
        <v>31</v>
      </c>
      <c r="J409" t="s">
        <v>21</v>
      </c>
      <c r="K409" t="s">
        <v>22</v>
      </c>
      <c r="L409" t="s">
        <v>55</v>
      </c>
      <c r="M409">
        <v>3</v>
      </c>
      <c r="N409" t="s">
        <v>33</v>
      </c>
      <c r="O409" t="s">
        <v>25</v>
      </c>
      <c r="P409" t="s">
        <v>49</v>
      </c>
    </row>
    <row r="410" spans="1:16" x14ac:dyDescent="0.25">
      <c r="A410" t="s">
        <v>1124</v>
      </c>
      <c r="B410" s="6">
        <v>45199</v>
      </c>
      <c r="C410">
        <v>8405</v>
      </c>
      <c r="D410" t="s">
        <v>1126</v>
      </c>
      <c r="E410" t="s">
        <v>38</v>
      </c>
      <c r="F410" t="s">
        <v>19</v>
      </c>
      <c r="G410">
        <v>13022.55</v>
      </c>
      <c r="H410">
        <v>8322.36</v>
      </c>
      <c r="I410" t="s">
        <v>59</v>
      </c>
      <c r="J410" t="s">
        <v>41</v>
      </c>
      <c r="K410" t="s">
        <v>22</v>
      </c>
      <c r="L410" t="s">
        <v>23</v>
      </c>
      <c r="M410">
        <v>4</v>
      </c>
      <c r="N410" t="s">
        <v>33</v>
      </c>
      <c r="O410" t="s">
        <v>25</v>
      </c>
      <c r="P410" t="s">
        <v>26</v>
      </c>
    </row>
    <row r="411" spans="1:16" x14ac:dyDescent="0.25">
      <c r="A411" t="s">
        <v>1127</v>
      </c>
      <c r="B411" s="6">
        <v>44918</v>
      </c>
      <c r="C411">
        <v>9131</v>
      </c>
      <c r="D411" t="s">
        <v>1128</v>
      </c>
      <c r="E411" t="s">
        <v>18</v>
      </c>
      <c r="F411" t="s">
        <v>58</v>
      </c>
      <c r="G411">
        <v>48449.7</v>
      </c>
      <c r="H411">
        <v>26847.8</v>
      </c>
      <c r="I411" t="s">
        <v>63</v>
      </c>
      <c r="J411" t="s">
        <v>54</v>
      </c>
      <c r="K411" t="s">
        <v>22</v>
      </c>
      <c r="L411" t="s">
        <v>88</v>
      </c>
      <c r="M411">
        <v>4</v>
      </c>
      <c r="N411" t="s">
        <v>69</v>
      </c>
      <c r="O411" t="s">
        <v>25</v>
      </c>
      <c r="P411" t="s">
        <v>26</v>
      </c>
    </row>
    <row r="412" spans="1:16" x14ac:dyDescent="0.25">
      <c r="A412" t="s">
        <v>1129</v>
      </c>
      <c r="B412" s="6">
        <v>45076</v>
      </c>
      <c r="C412">
        <v>2031</v>
      </c>
      <c r="D412" t="s">
        <v>1130</v>
      </c>
      <c r="E412" t="s">
        <v>18</v>
      </c>
      <c r="F412" t="s">
        <v>30</v>
      </c>
      <c r="G412">
        <v>86987.08</v>
      </c>
      <c r="H412">
        <v>43186.09</v>
      </c>
      <c r="I412" t="s">
        <v>120</v>
      </c>
      <c r="J412" t="s">
        <v>21</v>
      </c>
      <c r="K412" t="s">
        <v>42</v>
      </c>
      <c r="L412" t="s">
        <v>64</v>
      </c>
      <c r="M412">
        <v>5</v>
      </c>
      <c r="N412" t="s">
        <v>33</v>
      </c>
      <c r="O412" t="s">
        <v>70</v>
      </c>
      <c r="P412" t="s">
        <v>34</v>
      </c>
    </row>
    <row r="413" spans="1:16" x14ac:dyDescent="0.25">
      <c r="A413" t="s">
        <v>1131</v>
      </c>
      <c r="B413" s="6">
        <v>45519</v>
      </c>
      <c r="C413">
        <v>5982</v>
      </c>
      <c r="D413" t="s">
        <v>934</v>
      </c>
      <c r="E413" t="s">
        <v>18</v>
      </c>
      <c r="F413" t="s">
        <v>19</v>
      </c>
      <c r="G413">
        <v>20656.36</v>
      </c>
      <c r="H413">
        <v>10561.58</v>
      </c>
      <c r="I413" t="s">
        <v>31</v>
      </c>
      <c r="J413" t="s">
        <v>21</v>
      </c>
      <c r="K413" t="s">
        <v>42</v>
      </c>
      <c r="L413" t="s">
        <v>23</v>
      </c>
      <c r="M413">
        <v>4</v>
      </c>
      <c r="N413" t="s">
        <v>33</v>
      </c>
      <c r="O413" t="s">
        <v>25</v>
      </c>
      <c r="P413" t="s">
        <v>26</v>
      </c>
    </row>
    <row r="414" spans="1:16" x14ac:dyDescent="0.25">
      <c r="A414" t="s">
        <v>1133</v>
      </c>
      <c r="B414" s="6">
        <v>44279</v>
      </c>
      <c r="C414">
        <v>5673</v>
      </c>
      <c r="D414" t="s">
        <v>1134</v>
      </c>
      <c r="E414" t="s">
        <v>18</v>
      </c>
      <c r="F414" t="s">
        <v>30</v>
      </c>
      <c r="G414">
        <v>84704.93</v>
      </c>
      <c r="H414">
        <v>52336.32</v>
      </c>
      <c r="I414" t="s">
        <v>53</v>
      </c>
      <c r="J414" t="s">
        <v>54</v>
      </c>
      <c r="K414" t="s">
        <v>32</v>
      </c>
      <c r="L414" t="s">
        <v>23</v>
      </c>
      <c r="M414">
        <v>2</v>
      </c>
      <c r="N414" t="s">
        <v>33</v>
      </c>
      <c r="O414" t="s">
        <v>70</v>
      </c>
      <c r="P414" t="s">
        <v>49</v>
      </c>
    </row>
    <row r="415" spans="1:16" x14ac:dyDescent="0.25">
      <c r="A415" t="s">
        <v>1135</v>
      </c>
      <c r="B415" s="6">
        <v>44559</v>
      </c>
      <c r="C415">
        <v>6192</v>
      </c>
      <c r="D415" t="s">
        <v>1137</v>
      </c>
      <c r="E415" t="s">
        <v>38</v>
      </c>
      <c r="F415" t="s">
        <v>39</v>
      </c>
      <c r="G415">
        <v>12119.8</v>
      </c>
      <c r="H415">
        <v>6540.88</v>
      </c>
      <c r="I415" t="s">
        <v>53</v>
      </c>
      <c r="J415" t="s">
        <v>54</v>
      </c>
      <c r="K415" t="s">
        <v>32</v>
      </c>
      <c r="L415" t="s">
        <v>43</v>
      </c>
      <c r="M415">
        <v>3</v>
      </c>
      <c r="N415" t="s">
        <v>33</v>
      </c>
      <c r="O415" t="s">
        <v>25</v>
      </c>
      <c r="P415" t="s">
        <v>34</v>
      </c>
    </row>
    <row r="416" spans="1:16" x14ac:dyDescent="0.25">
      <c r="A416" t="s">
        <v>1138</v>
      </c>
      <c r="B416" s="6">
        <v>44476</v>
      </c>
      <c r="C416">
        <v>6427</v>
      </c>
      <c r="D416" t="s">
        <v>1139</v>
      </c>
      <c r="E416" t="s">
        <v>38</v>
      </c>
      <c r="F416" t="s">
        <v>47</v>
      </c>
      <c r="G416">
        <v>7160.3</v>
      </c>
      <c r="H416">
        <v>3637.18</v>
      </c>
      <c r="I416" t="s">
        <v>120</v>
      </c>
      <c r="J416" t="s">
        <v>21</v>
      </c>
      <c r="K416" t="s">
        <v>32</v>
      </c>
      <c r="L416" t="s">
        <v>43</v>
      </c>
      <c r="M416">
        <v>4</v>
      </c>
      <c r="N416" t="s">
        <v>33</v>
      </c>
      <c r="O416" t="s">
        <v>25</v>
      </c>
      <c r="P416" t="s">
        <v>34</v>
      </c>
    </row>
    <row r="417" spans="1:16" x14ac:dyDescent="0.25">
      <c r="A417" t="s">
        <v>1140</v>
      </c>
      <c r="B417" s="6">
        <v>44209</v>
      </c>
      <c r="C417">
        <v>4610</v>
      </c>
      <c r="D417" t="s">
        <v>1141</v>
      </c>
      <c r="E417" t="s">
        <v>38</v>
      </c>
      <c r="F417" t="s">
        <v>19</v>
      </c>
      <c r="G417">
        <v>5534.91</v>
      </c>
      <c r="H417">
        <v>2851.99</v>
      </c>
      <c r="I417" t="s">
        <v>68</v>
      </c>
      <c r="J417" t="s">
        <v>41</v>
      </c>
      <c r="K417" t="s">
        <v>32</v>
      </c>
      <c r="L417" t="s">
        <v>43</v>
      </c>
      <c r="M417">
        <v>5</v>
      </c>
      <c r="N417" t="s">
        <v>33</v>
      </c>
      <c r="O417" t="s">
        <v>70</v>
      </c>
      <c r="P417" t="s">
        <v>34</v>
      </c>
    </row>
    <row r="418" spans="1:16" x14ac:dyDescent="0.25">
      <c r="A418" t="s">
        <v>1142</v>
      </c>
      <c r="B418" s="6">
        <v>44905</v>
      </c>
      <c r="C418">
        <v>9385</v>
      </c>
      <c r="D418" t="s">
        <v>1143</v>
      </c>
      <c r="E418" t="s">
        <v>38</v>
      </c>
      <c r="F418" t="s">
        <v>30</v>
      </c>
      <c r="G418">
        <v>31433.82</v>
      </c>
      <c r="H418">
        <v>16142.89</v>
      </c>
      <c r="I418" t="s">
        <v>63</v>
      </c>
      <c r="J418" t="s">
        <v>54</v>
      </c>
      <c r="K418" t="s">
        <v>22</v>
      </c>
      <c r="L418" t="s">
        <v>48</v>
      </c>
      <c r="M418">
        <v>3</v>
      </c>
      <c r="N418" t="s">
        <v>33</v>
      </c>
      <c r="O418" t="s">
        <v>70</v>
      </c>
      <c r="P418" t="s">
        <v>34</v>
      </c>
    </row>
    <row r="419" spans="1:16" x14ac:dyDescent="0.25">
      <c r="A419" t="s">
        <v>1144</v>
      </c>
      <c r="B419" s="6">
        <v>44719</v>
      </c>
      <c r="C419">
        <v>2435</v>
      </c>
      <c r="D419" t="s">
        <v>1145</v>
      </c>
      <c r="E419" t="s">
        <v>18</v>
      </c>
      <c r="F419" t="s">
        <v>58</v>
      </c>
      <c r="G419">
        <v>41916.69</v>
      </c>
      <c r="H419">
        <v>22586.560000000001</v>
      </c>
      <c r="I419" t="s">
        <v>53</v>
      </c>
      <c r="J419" t="s">
        <v>54</v>
      </c>
      <c r="K419" t="s">
        <v>80</v>
      </c>
      <c r="L419" t="s">
        <v>64</v>
      </c>
      <c r="M419">
        <v>3</v>
      </c>
      <c r="N419" t="s">
        <v>33</v>
      </c>
      <c r="O419" t="s">
        <v>70</v>
      </c>
      <c r="P419" t="s">
        <v>34</v>
      </c>
    </row>
    <row r="420" spans="1:16" x14ac:dyDescent="0.25">
      <c r="A420" t="s">
        <v>1146</v>
      </c>
      <c r="B420" s="6">
        <v>44971</v>
      </c>
      <c r="C420">
        <v>4404</v>
      </c>
      <c r="D420" t="s">
        <v>1148</v>
      </c>
      <c r="E420" t="s">
        <v>38</v>
      </c>
      <c r="F420" t="s">
        <v>58</v>
      </c>
      <c r="G420">
        <v>29394.79</v>
      </c>
      <c r="H420">
        <v>18327.8</v>
      </c>
      <c r="I420" t="s">
        <v>120</v>
      </c>
      <c r="J420" t="s">
        <v>21</v>
      </c>
      <c r="K420" t="s">
        <v>42</v>
      </c>
      <c r="L420" t="s">
        <v>55</v>
      </c>
      <c r="M420">
        <v>5</v>
      </c>
      <c r="N420" t="s">
        <v>24</v>
      </c>
      <c r="O420" t="s">
        <v>25</v>
      </c>
      <c r="P420" t="s">
        <v>34</v>
      </c>
    </row>
    <row r="421" spans="1:16" x14ac:dyDescent="0.25">
      <c r="A421" t="s">
        <v>1149</v>
      </c>
      <c r="B421" s="6">
        <v>45290</v>
      </c>
      <c r="C421">
        <v>3243</v>
      </c>
      <c r="D421" t="s">
        <v>1151</v>
      </c>
      <c r="E421" t="s">
        <v>18</v>
      </c>
      <c r="F421" t="s">
        <v>39</v>
      </c>
      <c r="G421">
        <v>15108.94</v>
      </c>
      <c r="H421">
        <v>7952.65</v>
      </c>
      <c r="I421" t="s">
        <v>120</v>
      </c>
      <c r="J421" t="s">
        <v>21</v>
      </c>
      <c r="K421" t="s">
        <v>80</v>
      </c>
      <c r="L421" t="s">
        <v>55</v>
      </c>
      <c r="M421">
        <v>3</v>
      </c>
      <c r="N421" t="s">
        <v>69</v>
      </c>
      <c r="O421" t="s">
        <v>25</v>
      </c>
      <c r="P421" t="s">
        <v>49</v>
      </c>
    </row>
    <row r="422" spans="1:16" x14ac:dyDescent="0.25">
      <c r="A422" t="s">
        <v>1152</v>
      </c>
      <c r="B422" s="6">
        <v>43965</v>
      </c>
      <c r="C422">
        <v>8742</v>
      </c>
      <c r="D422" t="s">
        <v>1153</v>
      </c>
      <c r="E422" t="s">
        <v>18</v>
      </c>
      <c r="F422" t="s">
        <v>58</v>
      </c>
      <c r="G422">
        <v>24143.31</v>
      </c>
      <c r="H422">
        <v>15174.97</v>
      </c>
      <c r="I422" t="s">
        <v>20</v>
      </c>
      <c r="J422" t="s">
        <v>21</v>
      </c>
      <c r="K422" t="s">
        <v>80</v>
      </c>
      <c r="L422" t="s">
        <v>23</v>
      </c>
      <c r="M422">
        <v>4</v>
      </c>
      <c r="N422" t="s">
        <v>69</v>
      </c>
      <c r="O422" t="s">
        <v>70</v>
      </c>
      <c r="P422" t="s">
        <v>26</v>
      </c>
    </row>
    <row r="423" spans="1:16" x14ac:dyDescent="0.25">
      <c r="A423" t="s">
        <v>1154</v>
      </c>
      <c r="B423" s="6">
        <v>45598</v>
      </c>
      <c r="C423">
        <v>8872</v>
      </c>
      <c r="D423" t="s">
        <v>1156</v>
      </c>
      <c r="E423" t="s">
        <v>38</v>
      </c>
      <c r="F423" t="s">
        <v>30</v>
      </c>
      <c r="G423">
        <v>113083.88</v>
      </c>
      <c r="H423">
        <v>65090.99</v>
      </c>
      <c r="I423" t="s">
        <v>53</v>
      </c>
      <c r="J423" t="s">
        <v>54</v>
      </c>
      <c r="K423" t="s">
        <v>80</v>
      </c>
      <c r="L423" t="s">
        <v>48</v>
      </c>
      <c r="M423">
        <v>1</v>
      </c>
      <c r="N423" t="s">
        <v>33</v>
      </c>
      <c r="O423" t="s">
        <v>70</v>
      </c>
      <c r="P423" t="s">
        <v>26</v>
      </c>
    </row>
    <row r="424" spans="1:16" x14ac:dyDescent="0.25">
      <c r="A424" t="s">
        <v>1157</v>
      </c>
      <c r="B424" s="6">
        <v>44433</v>
      </c>
      <c r="C424">
        <v>6855</v>
      </c>
      <c r="D424" t="s">
        <v>1158</v>
      </c>
      <c r="E424" t="s">
        <v>18</v>
      </c>
      <c r="F424" t="s">
        <v>30</v>
      </c>
      <c r="G424">
        <v>10111.290000000001</v>
      </c>
      <c r="H424">
        <v>5280.45</v>
      </c>
      <c r="I424" t="s">
        <v>68</v>
      </c>
      <c r="J424" t="s">
        <v>41</v>
      </c>
      <c r="K424" t="s">
        <v>42</v>
      </c>
      <c r="L424" t="s">
        <v>55</v>
      </c>
      <c r="M424">
        <v>3</v>
      </c>
      <c r="N424" t="s">
        <v>33</v>
      </c>
      <c r="O424" t="s">
        <v>70</v>
      </c>
      <c r="P424" t="s">
        <v>26</v>
      </c>
    </row>
    <row r="425" spans="1:16" x14ac:dyDescent="0.25">
      <c r="A425" t="s">
        <v>1159</v>
      </c>
      <c r="B425" s="6">
        <v>43916</v>
      </c>
      <c r="C425">
        <v>6285</v>
      </c>
      <c r="D425" t="s">
        <v>1160</v>
      </c>
      <c r="E425" t="s">
        <v>38</v>
      </c>
      <c r="F425" t="s">
        <v>58</v>
      </c>
      <c r="G425">
        <v>28944.31</v>
      </c>
      <c r="H425">
        <v>16990.12</v>
      </c>
      <c r="I425" t="s">
        <v>31</v>
      </c>
      <c r="J425" t="s">
        <v>21</v>
      </c>
      <c r="K425" t="s">
        <v>42</v>
      </c>
      <c r="L425" t="s">
        <v>88</v>
      </c>
      <c r="M425">
        <v>3</v>
      </c>
      <c r="N425" t="s">
        <v>33</v>
      </c>
      <c r="O425" t="s">
        <v>25</v>
      </c>
      <c r="P425" t="s">
        <v>26</v>
      </c>
    </row>
    <row r="426" spans="1:16" x14ac:dyDescent="0.25">
      <c r="A426" t="s">
        <v>1161</v>
      </c>
      <c r="B426" s="6">
        <v>45502</v>
      </c>
      <c r="C426">
        <v>3671</v>
      </c>
      <c r="D426" t="s">
        <v>1163</v>
      </c>
      <c r="E426" t="s">
        <v>18</v>
      </c>
      <c r="F426" t="s">
        <v>39</v>
      </c>
      <c r="G426">
        <v>21284.87</v>
      </c>
      <c r="H426">
        <v>11721.08</v>
      </c>
      <c r="I426" t="s">
        <v>84</v>
      </c>
      <c r="J426" t="s">
        <v>54</v>
      </c>
      <c r="K426" t="s">
        <v>32</v>
      </c>
      <c r="L426" t="s">
        <v>43</v>
      </c>
      <c r="M426">
        <v>5</v>
      </c>
      <c r="N426" t="s">
        <v>24</v>
      </c>
      <c r="O426" t="s">
        <v>70</v>
      </c>
      <c r="P426" t="s">
        <v>49</v>
      </c>
    </row>
    <row r="427" spans="1:16" x14ac:dyDescent="0.25">
      <c r="A427" t="s">
        <v>1164</v>
      </c>
      <c r="B427" s="6">
        <v>44432</v>
      </c>
      <c r="C427">
        <v>2909</v>
      </c>
      <c r="D427" t="s">
        <v>1166</v>
      </c>
      <c r="E427" t="s">
        <v>18</v>
      </c>
      <c r="F427" t="s">
        <v>19</v>
      </c>
      <c r="G427">
        <v>14356.03</v>
      </c>
      <c r="H427">
        <v>7837.01</v>
      </c>
      <c r="I427" t="s">
        <v>31</v>
      </c>
      <c r="J427" t="s">
        <v>21</v>
      </c>
      <c r="K427" t="s">
        <v>42</v>
      </c>
      <c r="L427" t="s">
        <v>48</v>
      </c>
      <c r="M427">
        <v>3</v>
      </c>
      <c r="N427" t="s">
        <v>33</v>
      </c>
      <c r="O427" t="s">
        <v>25</v>
      </c>
      <c r="P427" t="s">
        <v>49</v>
      </c>
    </row>
    <row r="428" spans="1:16" x14ac:dyDescent="0.25">
      <c r="A428" t="s">
        <v>1167</v>
      </c>
      <c r="B428" s="6">
        <v>44622</v>
      </c>
      <c r="C428">
        <v>3108</v>
      </c>
      <c r="D428" t="s">
        <v>1168</v>
      </c>
      <c r="E428" t="s">
        <v>18</v>
      </c>
      <c r="F428" t="s">
        <v>58</v>
      </c>
      <c r="G428">
        <v>33457.74</v>
      </c>
      <c r="H428">
        <v>17113.150000000001</v>
      </c>
      <c r="I428" t="s">
        <v>120</v>
      </c>
      <c r="J428" t="s">
        <v>21</v>
      </c>
      <c r="K428" t="s">
        <v>32</v>
      </c>
      <c r="L428" t="s">
        <v>23</v>
      </c>
      <c r="M428">
        <v>1</v>
      </c>
      <c r="N428" t="s">
        <v>33</v>
      </c>
      <c r="O428" t="s">
        <v>70</v>
      </c>
      <c r="P428" t="s">
        <v>26</v>
      </c>
    </row>
    <row r="429" spans="1:16" x14ac:dyDescent="0.25">
      <c r="A429" t="s">
        <v>1169</v>
      </c>
      <c r="B429" s="6">
        <v>43886</v>
      </c>
      <c r="C429">
        <v>9412</v>
      </c>
      <c r="D429" t="s">
        <v>1170</v>
      </c>
      <c r="E429" t="s">
        <v>18</v>
      </c>
      <c r="F429" t="s">
        <v>19</v>
      </c>
      <c r="G429">
        <v>9271.52</v>
      </c>
      <c r="H429">
        <v>5856.87</v>
      </c>
      <c r="I429" t="s">
        <v>53</v>
      </c>
      <c r="J429" t="s">
        <v>54</v>
      </c>
      <c r="K429" t="s">
        <v>22</v>
      </c>
      <c r="L429" t="s">
        <v>55</v>
      </c>
      <c r="M429">
        <v>3</v>
      </c>
      <c r="N429" t="s">
        <v>24</v>
      </c>
      <c r="O429" t="s">
        <v>70</v>
      </c>
      <c r="P429" t="s">
        <v>26</v>
      </c>
    </row>
    <row r="430" spans="1:16" x14ac:dyDescent="0.25">
      <c r="A430" t="s">
        <v>1171</v>
      </c>
      <c r="B430" s="6">
        <v>44540</v>
      </c>
      <c r="C430">
        <v>1479</v>
      </c>
      <c r="D430" t="s">
        <v>1173</v>
      </c>
      <c r="E430" t="s">
        <v>18</v>
      </c>
      <c r="F430" t="s">
        <v>30</v>
      </c>
      <c r="G430">
        <v>14423.86</v>
      </c>
      <c r="H430">
        <v>8643.35</v>
      </c>
      <c r="I430" t="s">
        <v>68</v>
      </c>
      <c r="J430" t="s">
        <v>41</v>
      </c>
      <c r="K430" t="s">
        <v>42</v>
      </c>
      <c r="L430" t="s">
        <v>43</v>
      </c>
      <c r="M430">
        <v>3</v>
      </c>
      <c r="N430" t="s">
        <v>33</v>
      </c>
      <c r="O430" t="s">
        <v>70</v>
      </c>
      <c r="P430" t="s">
        <v>49</v>
      </c>
    </row>
    <row r="431" spans="1:16" x14ac:dyDescent="0.25">
      <c r="A431" t="s">
        <v>1174</v>
      </c>
      <c r="B431" s="6">
        <v>44127</v>
      </c>
      <c r="C431">
        <v>9664</v>
      </c>
      <c r="D431" t="s">
        <v>1175</v>
      </c>
      <c r="E431" t="s">
        <v>18</v>
      </c>
      <c r="F431" t="s">
        <v>30</v>
      </c>
      <c r="G431">
        <v>48190.69</v>
      </c>
      <c r="H431">
        <v>30979.52</v>
      </c>
      <c r="I431" t="s">
        <v>31</v>
      </c>
      <c r="J431" t="s">
        <v>21</v>
      </c>
      <c r="K431" t="s">
        <v>32</v>
      </c>
      <c r="L431" t="s">
        <v>43</v>
      </c>
      <c r="M431">
        <v>1</v>
      </c>
      <c r="N431" t="s">
        <v>69</v>
      </c>
      <c r="O431" t="s">
        <v>25</v>
      </c>
      <c r="P431" t="s">
        <v>26</v>
      </c>
    </row>
    <row r="432" spans="1:16" x14ac:dyDescent="0.25">
      <c r="A432" t="s">
        <v>1176</v>
      </c>
      <c r="B432" s="6">
        <v>45021</v>
      </c>
      <c r="C432">
        <v>2758</v>
      </c>
      <c r="D432" t="s">
        <v>1177</v>
      </c>
      <c r="E432" t="s">
        <v>18</v>
      </c>
      <c r="F432" t="s">
        <v>30</v>
      </c>
      <c r="G432">
        <v>62907.45</v>
      </c>
      <c r="H432">
        <v>40654.58</v>
      </c>
      <c r="I432" t="s">
        <v>40</v>
      </c>
      <c r="J432" t="s">
        <v>41</v>
      </c>
      <c r="K432" t="s">
        <v>80</v>
      </c>
      <c r="L432" t="s">
        <v>23</v>
      </c>
      <c r="M432">
        <v>5</v>
      </c>
      <c r="N432" t="s">
        <v>33</v>
      </c>
      <c r="O432" t="s">
        <v>25</v>
      </c>
      <c r="P432" t="s">
        <v>34</v>
      </c>
    </row>
    <row r="433" spans="1:16" x14ac:dyDescent="0.25">
      <c r="A433" t="s">
        <v>1178</v>
      </c>
      <c r="B433" s="6">
        <v>45111</v>
      </c>
      <c r="C433">
        <v>1665</v>
      </c>
      <c r="D433" t="s">
        <v>1180</v>
      </c>
      <c r="E433" t="s">
        <v>18</v>
      </c>
      <c r="F433" t="s">
        <v>30</v>
      </c>
      <c r="G433">
        <v>49614.35</v>
      </c>
      <c r="H433">
        <v>23474.76</v>
      </c>
      <c r="I433" t="s">
        <v>63</v>
      </c>
      <c r="J433" t="s">
        <v>54</v>
      </c>
      <c r="K433" t="s">
        <v>42</v>
      </c>
      <c r="L433" t="s">
        <v>64</v>
      </c>
      <c r="M433">
        <v>5</v>
      </c>
      <c r="N433" t="s">
        <v>24</v>
      </c>
      <c r="O433" t="s">
        <v>70</v>
      </c>
      <c r="P433" t="s">
        <v>34</v>
      </c>
    </row>
    <row r="434" spans="1:16" x14ac:dyDescent="0.25">
      <c r="A434" t="s">
        <v>1181</v>
      </c>
      <c r="B434" s="6">
        <v>45388</v>
      </c>
      <c r="C434">
        <v>8793</v>
      </c>
      <c r="D434" t="s">
        <v>1183</v>
      </c>
      <c r="E434" t="s">
        <v>38</v>
      </c>
      <c r="F434" t="s">
        <v>39</v>
      </c>
      <c r="G434">
        <v>19375.22</v>
      </c>
      <c r="H434">
        <v>12588.95</v>
      </c>
      <c r="I434" t="s">
        <v>53</v>
      </c>
      <c r="J434" t="s">
        <v>54</v>
      </c>
      <c r="K434" t="s">
        <v>80</v>
      </c>
      <c r="L434" t="s">
        <v>48</v>
      </c>
      <c r="M434">
        <v>1</v>
      </c>
      <c r="N434" t="s">
        <v>33</v>
      </c>
      <c r="O434" t="s">
        <v>25</v>
      </c>
      <c r="P434" t="s">
        <v>49</v>
      </c>
    </row>
    <row r="435" spans="1:16" x14ac:dyDescent="0.25">
      <c r="A435" t="s">
        <v>1184</v>
      </c>
      <c r="B435" s="6">
        <v>44979</v>
      </c>
      <c r="C435">
        <v>2060</v>
      </c>
      <c r="D435" t="s">
        <v>1186</v>
      </c>
      <c r="E435" t="s">
        <v>38</v>
      </c>
      <c r="F435" t="s">
        <v>39</v>
      </c>
      <c r="G435">
        <v>54070.95</v>
      </c>
      <c r="H435">
        <v>27993.95</v>
      </c>
      <c r="I435" t="s">
        <v>63</v>
      </c>
      <c r="J435" t="s">
        <v>54</v>
      </c>
      <c r="K435" t="s">
        <v>80</v>
      </c>
      <c r="L435" t="s">
        <v>55</v>
      </c>
      <c r="M435">
        <v>2</v>
      </c>
      <c r="N435" t="s">
        <v>69</v>
      </c>
      <c r="O435" t="s">
        <v>70</v>
      </c>
      <c r="P435" t="s">
        <v>34</v>
      </c>
    </row>
    <row r="436" spans="1:16" x14ac:dyDescent="0.25">
      <c r="A436" t="s">
        <v>1187</v>
      </c>
      <c r="B436" s="6">
        <v>45621</v>
      </c>
      <c r="C436">
        <v>6834</v>
      </c>
      <c r="D436" t="s">
        <v>1189</v>
      </c>
      <c r="E436" t="s">
        <v>38</v>
      </c>
      <c r="F436" t="s">
        <v>30</v>
      </c>
      <c r="G436">
        <v>75834.28</v>
      </c>
      <c r="H436">
        <v>48536.04</v>
      </c>
      <c r="I436" t="s">
        <v>31</v>
      </c>
      <c r="J436" t="s">
        <v>21</v>
      </c>
      <c r="K436" t="s">
        <v>80</v>
      </c>
      <c r="L436" t="s">
        <v>43</v>
      </c>
      <c r="M436">
        <v>3</v>
      </c>
      <c r="N436" t="s">
        <v>33</v>
      </c>
      <c r="O436" t="s">
        <v>25</v>
      </c>
      <c r="P436" t="s">
        <v>26</v>
      </c>
    </row>
    <row r="437" spans="1:16" x14ac:dyDescent="0.25">
      <c r="A437" t="s">
        <v>1190</v>
      </c>
      <c r="B437" s="6">
        <v>45307</v>
      </c>
      <c r="C437">
        <v>1865</v>
      </c>
      <c r="D437" t="s">
        <v>1192</v>
      </c>
      <c r="E437" t="s">
        <v>18</v>
      </c>
      <c r="F437" t="s">
        <v>39</v>
      </c>
      <c r="G437">
        <v>35157.68</v>
      </c>
      <c r="H437">
        <v>16009.04</v>
      </c>
      <c r="I437" t="s">
        <v>53</v>
      </c>
      <c r="J437" t="s">
        <v>54</v>
      </c>
      <c r="K437" t="s">
        <v>32</v>
      </c>
      <c r="L437" t="s">
        <v>64</v>
      </c>
      <c r="M437">
        <v>5</v>
      </c>
      <c r="N437" t="s">
        <v>24</v>
      </c>
      <c r="O437" t="s">
        <v>25</v>
      </c>
      <c r="P437" t="s">
        <v>49</v>
      </c>
    </row>
    <row r="438" spans="1:16" x14ac:dyDescent="0.25">
      <c r="A438" t="s">
        <v>1193</v>
      </c>
      <c r="B438" s="6">
        <v>45179</v>
      </c>
      <c r="C438">
        <v>4308</v>
      </c>
      <c r="D438" t="s">
        <v>584</v>
      </c>
      <c r="E438" t="s">
        <v>38</v>
      </c>
      <c r="F438" t="s">
        <v>19</v>
      </c>
      <c r="G438">
        <v>15065.4</v>
      </c>
      <c r="H438">
        <v>8256.59</v>
      </c>
      <c r="I438" t="s">
        <v>20</v>
      </c>
      <c r="J438" t="s">
        <v>21</v>
      </c>
      <c r="K438" t="s">
        <v>42</v>
      </c>
      <c r="L438" t="s">
        <v>43</v>
      </c>
      <c r="M438">
        <v>3</v>
      </c>
      <c r="N438" t="s">
        <v>69</v>
      </c>
      <c r="O438" t="s">
        <v>25</v>
      </c>
      <c r="P438" t="s">
        <v>26</v>
      </c>
    </row>
    <row r="439" spans="1:16" x14ac:dyDescent="0.25">
      <c r="A439" t="s">
        <v>1195</v>
      </c>
      <c r="B439" s="6">
        <v>45352</v>
      </c>
      <c r="C439">
        <v>8374</v>
      </c>
      <c r="D439" t="s">
        <v>1197</v>
      </c>
      <c r="E439" t="s">
        <v>38</v>
      </c>
      <c r="F439" t="s">
        <v>47</v>
      </c>
      <c r="G439">
        <v>12338.37</v>
      </c>
      <c r="H439">
        <v>6644.35</v>
      </c>
      <c r="I439" t="s">
        <v>68</v>
      </c>
      <c r="J439" t="s">
        <v>41</v>
      </c>
      <c r="K439" t="s">
        <v>22</v>
      </c>
      <c r="L439" t="s">
        <v>55</v>
      </c>
      <c r="M439">
        <v>2</v>
      </c>
      <c r="N439" t="s">
        <v>24</v>
      </c>
      <c r="O439" t="s">
        <v>70</v>
      </c>
      <c r="P439" t="s">
        <v>34</v>
      </c>
    </row>
    <row r="440" spans="1:16" x14ac:dyDescent="0.25">
      <c r="A440" t="s">
        <v>1198</v>
      </c>
      <c r="B440" s="6">
        <v>44396</v>
      </c>
      <c r="C440">
        <v>2792</v>
      </c>
      <c r="D440" t="s">
        <v>1200</v>
      </c>
      <c r="E440" t="s">
        <v>38</v>
      </c>
      <c r="F440" t="s">
        <v>30</v>
      </c>
      <c r="G440">
        <v>38368.410000000003</v>
      </c>
      <c r="H440">
        <v>22525.13</v>
      </c>
      <c r="I440" t="s">
        <v>68</v>
      </c>
      <c r="J440" t="s">
        <v>41</v>
      </c>
      <c r="K440" t="s">
        <v>80</v>
      </c>
      <c r="L440" t="s">
        <v>64</v>
      </c>
      <c r="M440">
        <v>5</v>
      </c>
      <c r="N440" t="s">
        <v>69</v>
      </c>
      <c r="O440" t="s">
        <v>25</v>
      </c>
      <c r="P440" t="s">
        <v>34</v>
      </c>
    </row>
    <row r="441" spans="1:16" x14ac:dyDescent="0.25">
      <c r="A441" t="s">
        <v>1201</v>
      </c>
      <c r="B441" s="6">
        <v>45107</v>
      </c>
      <c r="C441">
        <v>6250</v>
      </c>
      <c r="D441" t="s">
        <v>1203</v>
      </c>
      <c r="E441" t="s">
        <v>18</v>
      </c>
      <c r="F441" t="s">
        <v>47</v>
      </c>
      <c r="G441">
        <v>3935.54</v>
      </c>
      <c r="H441">
        <v>1806.51</v>
      </c>
      <c r="I441" t="s">
        <v>84</v>
      </c>
      <c r="J441" t="s">
        <v>54</v>
      </c>
      <c r="K441" t="s">
        <v>42</v>
      </c>
      <c r="L441" t="s">
        <v>88</v>
      </c>
      <c r="M441">
        <v>5</v>
      </c>
      <c r="N441" t="s">
        <v>33</v>
      </c>
      <c r="O441" t="s">
        <v>70</v>
      </c>
      <c r="P441" t="s">
        <v>34</v>
      </c>
    </row>
    <row r="442" spans="1:16" x14ac:dyDescent="0.25">
      <c r="A442" t="s">
        <v>1204</v>
      </c>
      <c r="B442" s="6">
        <v>44741</v>
      </c>
      <c r="C442">
        <v>5001</v>
      </c>
      <c r="D442" t="s">
        <v>1205</v>
      </c>
      <c r="E442" t="s">
        <v>18</v>
      </c>
      <c r="F442" t="s">
        <v>39</v>
      </c>
      <c r="G442">
        <v>17691.03</v>
      </c>
      <c r="H442">
        <v>9065.24</v>
      </c>
      <c r="I442" t="s">
        <v>53</v>
      </c>
      <c r="J442" t="s">
        <v>54</v>
      </c>
      <c r="K442" t="s">
        <v>22</v>
      </c>
      <c r="L442" t="s">
        <v>48</v>
      </c>
      <c r="M442">
        <v>1</v>
      </c>
      <c r="N442" t="s">
        <v>69</v>
      </c>
      <c r="O442" t="s">
        <v>25</v>
      </c>
      <c r="P442" t="s">
        <v>26</v>
      </c>
    </row>
    <row r="443" spans="1:16" x14ac:dyDescent="0.25">
      <c r="A443" t="s">
        <v>1206</v>
      </c>
      <c r="B443" s="6">
        <v>45143</v>
      </c>
      <c r="C443">
        <v>9433</v>
      </c>
      <c r="D443" t="s">
        <v>1208</v>
      </c>
      <c r="E443" t="s">
        <v>38</v>
      </c>
      <c r="F443" t="s">
        <v>58</v>
      </c>
      <c r="G443">
        <v>24653.56</v>
      </c>
      <c r="H443">
        <v>14525.67</v>
      </c>
      <c r="I443" t="s">
        <v>53</v>
      </c>
      <c r="J443" t="s">
        <v>54</v>
      </c>
      <c r="K443" t="s">
        <v>22</v>
      </c>
      <c r="L443" t="s">
        <v>88</v>
      </c>
      <c r="M443">
        <v>4</v>
      </c>
      <c r="N443" t="s">
        <v>24</v>
      </c>
      <c r="O443" t="s">
        <v>25</v>
      </c>
      <c r="P443" t="s">
        <v>26</v>
      </c>
    </row>
    <row r="444" spans="1:16" x14ac:dyDescent="0.25">
      <c r="A444" t="s">
        <v>1209</v>
      </c>
      <c r="B444" s="6">
        <v>44451</v>
      </c>
      <c r="C444">
        <v>6563</v>
      </c>
      <c r="D444" t="s">
        <v>1210</v>
      </c>
      <c r="E444" t="s">
        <v>18</v>
      </c>
      <c r="F444" t="s">
        <v>19</v>
      </c>
      <c r="G444">
        <v>7914.57</v>
      </c>
      <c r="H444">
        <v>4136.68</v>
      </c>
      <c r="I444" t="s">
        <v>68</v>
      </c>
      <c r="J444" t="s">
        <v>41</v>
      </c>
      <c r="K444" t="s">
        <v>80</v>
      </c>
      <c r="L444" t="s">
        <v>23</v>
      </c>
      <c r="M444">
        <v>4</v>
      </c>
      <c r="N444" t="s">
        <v>24</v>
      </c>
      <c r="O444" t="s">
        <v>70</v>
      </c>
      <c r="P444" t="s">
        <v>26</v>
      </c>
    </row>
    <row r="445" spans="1:16" x14ac:dyDescent="0.25">
      <c r="A445" t="s">
        <v>1211</v>
      </c>
      <c r="B445" s="6">
        <v>44714</v>
      </c>
      <c r="C445">
        <v>7586</v>
      </c>
      <c r="D445" t="s">
        <v>1213</v>
      </c>
      <c r="E445" t="s">
        <v>18</v>
      </c>
      <c r="F445" t="s">
        <v>58</v>
      </c>
      <c r="G445">
        <v>23331.88</v>
      </c>
      <c r="H445">
        <v>14969.46</v>
      </c>
      <c r="I445" t="s">
        <v>40</v>
      </c>
      <c r="J445" t="s">
        <v>41</v>
      </c>
      <c r="K445" t="s">
        <v>22</v>
      </c>
      <c r="L445" t="s">
        <v>43</v>
      </c>
      <c r="M445">
        <v>3</v>
      </c>
      <c r="N445" t="s">
        <v>33</v>
      </c>
      <c r="O445" t="s">
        <v>25</v>
      </c>
      <c r="P445" t="s">
        <v>49</v>
      </c>
    </row>
    <row r="446" spans="1:16" x14ac:dyDescent="0.25">
      <c r="A446" t="s">
        <v>1214</v>
      </c>
      <c r="B446" s="6">
        <v>43985</v>
      </c>
      <c r="C446">
        <v>5913</v>
      </c>
      <c r="D446" t="s">
        <v>1215</v>
      </c>
      <c r="E446" t="s">
        <v>38</v>
      </c>
      <c r="F446" t="s">
        <v>39</v>
      </c>
      <c r="G446">
        <v>21670.55</v>
      </c>
      <c r="H446">
        <v>11109.85</v>
      </c>
      <c r="I446" t="s">
        <v>20</v>
      </c>
      <c r="J446" t="s">
        <v>21</v>
      </c>
      <c r="K446" t="s">
        <v>80</v>
      </c>
      <c r="L446" t="s">
        <v>64</v>
      </c>
      <c r="M446">
        <v>3</v>
      </c>
      <c r="N446" t="s">
        <v>24</v>
      </c>
      <c r="O446" t="s">
        <v>25</v>
      </c>
      <c r="P446" t="s">
        <v>49</v>
      </c>
    </row>
    <row r="447" spans="1:16" x14ac:dyDescent="0.25">
      <c r="A447" t="s">
        <v>1216</v>
      </c>
      <c r="B447" s="6">
        <v>45022</v>
      </c>
      <c r="C447">
        <v>9178</v>
      </c>
      <c r="D447" t="s">
        <v>1218</v>
      </c>
      <c r="E447" t="s">
        <v>18</v>
      </c>
      <c r="F447" t="s">
        <v>19</v>
      </c>
      <c r="G447">
        <v>18052.73</v>
      </c>
      <c r="H447">
        <v>11098.49</v>
      </c>
      <c r="I447" t="s">
        <v>63</v>
      </c>
      <c r="J447" t="s">
        <v>54</v>
      </c>
      <c r="K447" t="s">
        <v>80</v>
      </c>
      <c r="L447" t="s">
        <v>88</v>
      </c>
      <c r="M447">
        <v>5</v>
      </c>
      <c r="N447" t="s">
        <v>69</v>
      </c>
      <c r="O447" t="s">
        <v>70</v>
      </c>
      <c r="P447" t="s">
        <v>34</v>
      </c>
    </row>
    <row r="448" spans="1:16" x14ac:dyDescent="0.25">
      <c r="A448" t="s">
        <v>1219</v>
      </c>
      <c r="B448" s="6">
        <v>45113</v>
      </c>
      <c r="C448">
        <v>3420</v>
      </c>
      <c r="D448" t="s">
        <v>1220</v>
      </c>
      <c r="E448" t="s">
        <v>18</v>
      </c>
      <c r="F448" t="s">
        <v>19</v>
      </c>
      <c r="G448">
        <v>4900.6000000000004</v>
      </c>
      <c r="H448">
        <v>2876.95</v>
      </c>
      <c r="I448" t="s">
        <v>40</v>
      </c>
      <c r="J448" t="s">
        <v>41</v>
      </c>
      <c r="K448" t="s">
        <v>42</v>
      </c>
      <c r="L448" t="s">
        <v>64</v>
      </c>
      <c r="M448">
        <v>4</v>
      </c>
      <c r="N448" t="s">
        <v>33</v>
      </c>
      <c r="O448" t="s">
        <v>70</v>
      </c>
      <c r="P448" t="s">
        <v>26</v>
      </c>
    </row>
    <row r="449" spans="1:16" x14ac:dyDescent="0.25">
      <c r="A449" t="s">
        <v>1221</v>
      </c>
      <c r="B449" s="6">
        <v>44644</v>
      </c>
      <c r="C449">
        <v>4868</v>
      </c>
      <c r="D449" t="s">
        <v>1223</v>
      </c>
      <c r="E449" t="s">
        <v>38</v>
      </c>
      <c r="F449" t="s">
        <v>39</v>
      </c>
      <c r="G449">
        <v>14869.95</v>
      </c>
      <c r="H449">
        <v>7137.46</v>
      </c>
      <c r="I449" t="s">
        <v>120</v>
      </c>
      <c r="J449" t="s">
        <v>21</v>
      </c>
      <c r="K449" t="s">
        <v>22</v>
      </c>
      <c r="L449" t="s">
        <v>23</v>
      </c>
      <c r="M449">
        <v>3</v>
      </c>
      <c r="N449" t="s">
        <v>24</v>
      </c>
      <c r="O449" t="s">
        <v>25</v>
      </c>
      <c r="P449" t="s">
        <v>34</v>
      </c>
    </row>
    <row r="450" spans="1:16" x14ac:dyDescent="0.25">
      <c r="A450" t="s">
        <v>1224</v>
      </c>
      <c r="B450" s="6">
        <v>44576</v>
      </c>
      <c r="C450">
        <v>5551</v>
      </c>
      <c r="D450" t="s">
        <v>1225</v>
      </c>
      <c r="E450" t="s">
        <v>18</v>
      </c>
      <c r="F450" t="s">
        <v>58</v>
      </c>
      <c r="G450">
        <v>38206.65</v>
      </c>
      <c r="H450">
        <v>17515.7</v>
      </c>
      <c r="I450" t="s">
        <v>63</v>
      </c>
      <c r="J450" t="s">
        <v>54</v>
      </c>
      <c r="K450" t="s">
        <v>80</v>
      </c>
      <c r="L450" t="s">
        <v>55</v>
      </c>
      <c r="M450">
        <v>1</v>
      </c>
      <c r="N450" t="s">
        <v>69</v>
      </c>
      <c r="O450" t="s">
        <v>25</v>
      </c>
      <c r="P450" t="s">
        <v>49</v>
      </c>
    </row>
    <row r="451" spans="1:16" x14ac:dyDescent="0.25">
      <c r="A451" t="s">
        <v>1226</v>
      </c>
      <c r="B451" s="6">
        <v>44748</v>
      </c>
      <c r="C451">
        <v>2479</v>
      </c>
      <c r="D451" t="s">
        <v>1227</v>
      </c>
      <c r="E451" t="s">
        <v>38</v>
      </c>
      <c r="F451" t="s">
        <v>47</v>
      </c>
      <c r="G451">
        <v>17147.43</v>
      </c>
      <c r="H451">
        <v>10200.1</v>
      </c>
      <c r="I451" t="s">
        <v>63</v>
      </c>
      <c r="J451" t="s">
        <v>54</v>
      </c>
      <c r="K451" t="s">
        <v>32</v>
      </c>
      <c r="L451" t="s">
        <v>23</v>
      </c>
      <c r="M451">
        <v>1</v>
      </c>
      <c r="N451" t="s">
        <v>24</v>
      </c>
      <c r="O451" t="s">
        <v>25</v>
      </c>
      <c r="P451" t="s">
        <v>26</v>
      </c>
    </row>
    <row r="452" spans="1:16" x14ac:dyDescent="0.25">
      <c r="A452" t="s">
        <v>1228</v>
      </c>
      <c r="B452" s="6">
        <v>45420</v>
      </c>
      <c r="C452">
        <v>2478</v>
      </c>
      <c r="D452" t="s">
        <v>1230</v>
      </c>
      <c r="E452" t="s">
        <v>18</v>
      </c>
      <c r="F452" t="s">
        <v>47</v>
      </c>
      <c r="G452">
        <v>12497.21</v>
      </c>
      <c r="H452">
        <v>7556.29</v>
      </c>
      <c r="I452" t="s">
        <v>31</v>
      </c>
      <c r="J452" t="s">
        <v>21</v>
      </c>
      <c r="K452" t="s">
        <v>42</v>
      </c>
      <c r="L452" t="s">
        <v>88</v>
      </c>
      <c r="M452">
        <v>5</v>
      </c>
      <c r="N452" t="s">
        <v>24</v>
      </c>
      <c r="O452" t="s">
        <v>70</v>
      </c>
      <c r="P452" t="s">
        <v>49</v>
      </c>
    </row>
    <row r="453" spans="1:16" x14ac:dyDescent="0.25">
      <c r="A453" t="s">
        <v>1231</v>
      </c>
      <c r="B453" s="6">
        <v>44306</v>
      </c>
      <c r="C453">
        <v>8200</v>
      </c>
      <c r="D453" t="s">
        <v>1233</v>
      </c>
      <c r="E453" t="s">
        <v>38</v>
      </c>
      <c r="F453" t="s">
        <v>58</v>
      </c>
      <c r="G453">
        <v>17757.509999999998</v>
      </c>
      <c r="H453">
        <v>10084.42</v>
      </c>
      <c r="I453" t="s">
        <v>53</v>
      </c>
      <c r="J453" t="s">
        <v>54</v>
      </c>
      <c r="K453" t="s">
        <v>80</v>
      </c>
      <c r="L453" t="s">
        <v>43</v>
      </c>
      <c r="M453">
        <v>3</v>
      </c>
      <c r="N453" t="s">
        <v>24</v>
      </c>
      <c r="O453" t="s">
        <v>25</v>
      </c>
      <c r="P453" t="s">
        <v>49</v>
      </c>
    </row>
    <row r="454" spans="1:16" x14ac:dyDescent="0.25">
      <c r="A454" t="s">
        <v>1234</v>
      </c>
      <c r="B454" s="6">
        <v>44636</v>
      </c>
      <c r="C454">
        <v>8786</v>
      </c>
      <c r="D454" t="s">
        <v>1235</v>
      </c>
      <c r="E454" t="s">
        <v>38</v>
      </c>
      <c r="F454" t="s">
        <v>39</v>
      </c>
      <c r="G454">
        <v>40926.07</v>
      </c>
      <c r="H454">
        <v>18589.23</v>
      </c>
      <c r="I454" t="s">
        <v>84</v>
      </c>
      <c r="J454" t="s">
        <v>54</v>
      </c>
      <c r="K454" t="s">
        <v>22</v>
      </c>
      <c r="L454" t="s">
        <v>48</v>
      </c>
      <c r="M454">
        <v>1</v>
      </c>
      <c r="N454" t="s">
        <v>24</v>
      </c>
      <c r="O454" t="s">
        <v>70</v>
      </c>
      <c r="P454" t="s">
        <v>26</v>
      </c>
    </row>
    <row r="455" spans="1:16" x14ac:dyDescent="0.25">
      <c r="A455" t="s">
        <v>1236</v>
      </c>
      <c r="B455" s="6">
        <v>45477</v>
      </c>
      <c r="C455">
        <v>2999</v>
      </c>
      <c r="D455" t="s">
        <v>1238</v>
      </c>
      <c r="E455" t="s">
        <v>18</v>
      </c>
      <c r="F455" t="s">
        <v>39</v>
      </c>
      <c r="G455">
        <v>52953.53</v>
      </c>
      <c r="H455">
        <v>27943.27</v>
      </c>
      <c r="I455" t="s">
        <v>53</v>
      </c>
      <c r="J455" t="s">
        <v>54</v>
      </c>
      <c r="K455" t="s">
        <v>80</v>
      </c>
      <c r="L455" t="s">
        <v>88</v>
      </c>
      <c r="M455">
        <v>3</v>
      </c>
      <c r="N455" t="s">
        <v>33</v>
      </c>
      <c r="O455" t="s">
        <v>70</v>
      </c>
      <c r="P455" t="s">
        <v>26</v>
      </c>
    </row>
    <row r="456" spans="1:16" x14ac:dyDescent="0.25">
      <c r="A456" t="s">
        <v>1239</v>
      </c>
      <c r="B456" s="6">
        <v>45256</v>
      </c>
      <c r="C456">
        <v>1555</v>
      </c>
      <c r="D456" t="s">
        <v>1240</v>
      </c>
      <c r="E456" t="s">
        <v>38</v>
      </c>
      <c r="F456" t="s">
        <v>47</v>
      </c>
      <c r="G456">
        <v>18396.169999999998</v>
      </c>
      <c r="H456">
        <v>11307.01</v>
      </c>
      <c r="I456" t="s">
        <v>63</v>
      </c>
      <c r="J456" t="s">
        <v>54</v>
      </c>
      <c r="K456" t="s">
        <v>80</v>
      </c>
      <c r="L456" t="s">
        <v>64</v>
      </c>
      <c r="M456">
        <v>4</v>
      </c>
      <c r="N456" t="s">
        <v>69</v>
      </c>
      <c r="O456" t="s">
        <v>25</v>
      </c>
      <c r="P456" t="s">
        <v>34</v>
      </c>
    </row>
    <row r="457" spans="1:16" x14ac:dyDescent="0.25">
      <c r="A457" t="s">
        <v>1241</v>
      </c>
      <c r="B457" s="6">
        <v>45186</v>
      </c>
      <c r="C457">
        <v>6764</v>
      </c>
      <c r="D457" t="s">
        <v>1243</v>
      </c>
      <c r="E457" t="s">
        <v>38</v>
      </c>
      <c r="F457" t="s">
        <v>47</v>
      </c>
      <c r="G457">
        <v>8647.81</v>
      </c>
      <c r="H457">
        <v>5298.39</v>
      </c>
      <c r="I457" t="s">
        <v>68</v>
      </c>
      <c r="J457" t="s">
        <v>41</v>
      </c>
      <c r="K457" t="s">
        <v>42</v>
      </c>
      <c r="L457" t="s">
        <v>64</v>
      </c>
      <c r="M457">
        <v>1</v>
      </c>
      <c r="N457" t="s">
        <v>24</v>
      </c>
      <c r="O457" t="s">
        <v>70</v>
      </c>
      <c r="P457" t="s">
        <v>26</v>
      </c>
    </row>
    <row r="458" spans="1:16" x14ac:dyDescent="0.25">
      <c r="A458" t="s">
        <v>1244</v>
      </c>
      <c r="B458" s="6">
        <v>44883</v>
      </c>
      <c r="C458">
        <v>6140</v>
      </c>
      <c r="D458" t="s">
        <v>1246</v>
      </c>
      <c r="E458" t="s">
        <v>18</v>
      </c>
      <c r="F458" t="s">
        <v>58</v>
      </c>
      <c r="G458">
        <v>12100.64</v>
      </c>
      <c r="H458">
        <v>6049.36</v>
      </c>
      <c r="I458" t="s">
        <v>31</v>
      </c>
      <c r="J458" t="s">
        <v>21</v>
      </c>
      <c r="K458" t="s">
        <v>32</v>
      </c>
      <c r="L458" t="s">
        <v>43</v>
      </c>
      <c r="M458">
        <v>4</v>
      </c>
      <c r="N458" t="s">
        <v>24</v>
      </c>
      <c r="O458" t="s">
        <v>25</v>
      </c>
      <c r="P458" t="s">
        <v>34</v>
      </c>
    </row>
    <row r="459" spans="1:16" x14ac:dyDescent="0.25">
      <c r="A459" t="s">
        <v>1247</v>
      </c>
      <c r="B459" s="6">
        <v>45094</v>
      </c>
      <c r="C459">
        <v>4254</v>
      </c>
      <c r="D459" t="s">
        <v>1249</v>
      </c>
      <c r="E459" t="s">
        <v>18</v>
      </c>
      <c r="F459" t="s">
        <v>39</v>
      </c>
      <c r="G459">
        <v>17835.099999999999</v>
      </c>
      <c r="H459">
        <v>8674.6</v>
      </c>
      <c r="I459" t="s">
        <v>68</v>
      </c>
      <c r="J459" t="s">
        <v>41</v>
      </c>
      <c r="K459" t="s">
        <v>80</v>
      </c>
      <c r="L459" t="s">
        <v>43</v>
      </c>
      <c r="M459">
        <v>2</v>
      </c>
      <c r="N459" t="s">
        <v>33</v>
      </c>
      <c r="O459" t="s">
        <v>25</v>
      </c>
      <c r="P459" t="s">
        <v>49</v>
      </c>
    </row>
    <row r="460" spans="1:16" x14ac:dyDescent="0.25">
      <c r="A460" t="s">
        <v>1250</v>
      </c>
      <c r="B460" s="6">
        <v>44067</v>
      </c>
      <c r="C460">
        <v>5289</v>
      </c>
      <c r="D460" t="s">
        <v>1251</v>
      </c>
      <c r="E460" t="s">
        <v>18</v>
      </c>
      <c r="F460" t="s">
        <v>39</v>
      </c>
      <c r="G460">
        <v>6482.13</v>
      </c>
      <c r="H460">
        <v>3718.16</v>
      </c>
      <c r="I460" t="s">
        <v>31</v>
      </c>
      <c r="J460" t="s">
        <v>21</v>
      </c>
      <c r="K460" t="s">
        <v>42</v>
      </c>
      <c r="L460" t="s">
        <v>23</v>
      </c>
      <c r="M460">
        <v>1</v>
      </c>
      <c r="N460" t="s">
        <v>69</v>
      </c>
      <c r="O460" t="s">
        <v>25</v>
      </c>
      <c r="P460" t="s">
        <v>49</v>
      </c>
    </row>
    <row r="461" spans="1:16" x14ac:dyDescent="0.25">
      <c r="A461" t="s">
        <v>1252</v>
      </c>
      <c r="B461" s="6">
        <v>45524</v>
      </c>
      <c r="C461">
        <v>9096</v>
      </c>
      <c r="D461" t="s">
        <v>1253</v>
      </c>
      <c r="E461" t="s">
        <v>18</v>
      </c>
      <c r="F461" t="s">
        <v>30</v>
      </c>
      <c r="G461">
        <v>42580.99</v>
      </c>
      <c r="H461">
        <v>20891.47</v>
      </c>
      <c r="I461" t="s">
        <v>84</v>
      </c>
      <c r="J461" t="s">
        <v>54</v>
      </c>
      <c r="K461" t="s">
        <v>42</v>
      </c>
      <c r="L461" t="s">
        <v>88</v>
      </c>
      <c r="M461">
        <v>4</v>
      </c>
      <c r="N461" t="s">
        <v>33</v>
      </c>
      <c r="O461" t="s">
        <v>25</v>
      </c>
      <c r="P461" t="s">
        <v>26</v>
      </c>
    </row>
    <row r="462" spans="1:16" x14ac:dyDescent="0.25">
      <c r="A462" t="s">
        <v>1254</v>
      </c>
      <c r="B462" s="6">
        <v>44289</v>
      </c>
      <c r="C462">
        <v>3391</v>
      </c>
      <c r="D462" t="s">
        <v>1255</v>
      </c>
      <c r="E462" t="s">
        <v>18</v>
      </c>
      <c r="F462" t="s">
        <v>19</v>
      </c>
      <c r="G462">
        <v>6551.63</v>
      </c>
      <c r="H462">
        <v>3291.28</v>
      </c>
      <c r="I462" t="s">
        <v>120</v>
      </c>
      <c r="J462" t="s">
        <v>21</v>
      </c>
      <c r="K462" t="s">
        <v>80</v>
      </c>
      <c r="L462" t="s">
        <v>23</v>
      </c>
      <c r="M462">
        <v>3</v>
      </c>
      <c r="N462" t="s">
        <v>24</v>
      </c>
      <c r="O462" t="s">
        <v>70</v>
      </c>
      <c r="P462" t="s">
        <v>26</v>
      </c>
    </row>
    <row r="463" spans="1:16" x14ac:dyDescent="0.25">
      <c r="A463" t="s">
        <v>1256</v>
      </c>
      <c r="B463" s="6">
        <v>45495</v>
      </c>
      <c r="C463">
        <v>4476</v>
      </c>
      <c r="D463" t="s">
        <v>1257</v>
      </c>
      <c r="E463" t="s">
        <v>38</v>
      </c>
      <c r="F463" t="s">
        <v>47</v>
      </c>
      <c r="G463">
        <v>17033.5</v>
      </c>
      <c r="H463">
        <v>10172.76</v>
      </c>
      <c r="I463" t="s">
        <v>63</v>
      </c>
      <c r="J463" t="s">
        <v>54</v>
      </c>
      <c r="K463" t="s">
        <v>42</v>
      </c>
      <c r="L463" t="s">
        <v>55</v>
      </c>
      <c r="M463">
        <v>1</v>
      </c>
      <c r="N463" t="s">
        <v>24</v>
      </c>
      <c r="O463" t="s">
        <v>25</v>
      </c>
      <c r="P463" t="s">
        <v>26</v>
      </c>
    </row>
    <row r="464" spans="1:16" x14ac:dyDescent="0.25">
      <c r="A464" t="s">
        <v>1258</v>
      </c>
      <c r="B464" s="6">
        <v>45598</v>
      </c>
      <c r="C464">
        <v>1087</v>
      </c>
      <c r="D464" t="s">
        <v>760</v>
      </c>
      <c r="E464" t="s">
        <v>38</v>
      </c>
      <c r="F464" t="s">
        <v>47</v>
      </c>
      <c r="G464">
        <v>11008.47</v>
      </c>
      <c r="H464">
        <v>5792.52</v>
      </c>
      <c r="I464" t="s">
        <v>120</v>
      </c>
      <c r="J464" t="s">
        <v>21</v>
      </c>
      <c r="K464" t="s">
        <v>80</v>
      </c>
      <c r="L464" t="s">
        <v>48</v>
      </c>
      <c r="M464">
        <v>3</v>
      </c>
      <c r="N464" t="s">
        <v>33</v>
      </c>
      <c r="O464" t="s">
        <v>70</v>
      </c>
      <c r="P464" t="s">
        <v>26</v>
      </c>
    </row>
    <row r="465" spans="1:16" x14ac:dyDescent="0.25">
      <c r="A465" t="s">
        <v>1259</v>
      </c>
      <c r="B465" s="6">
        <v>45100</v>
      </c>
      <c r="C465">
        <v>3161</v>
      </c>
      <c r="D465" t="s">
        <v>1261</v>
      </c>
      <c r="E465" t="s">
        <v>18</v>
      </c>
      <c r="F465" t="s">
        <v>58</v>
      </c>
      <c r="G465">
        <v>22701.85</v>
      </c>
      <c r="H465">
        <v>12624.15</v>
      </c>
      <c r="I465" t="s">
        <v>120</v>
      </c>
      <c r="J465" t="s">
        <v>21</v>
      </c>
      <c r="K465" t="s">
        <v>32</v>
      </c>
      <c r="L465" t="s">
        <v>88</v>
      </c>
      <c r="M465">
        <v>1</v>
      </c>
      <c r="N465" t="s">
        <v>33</v>
      </c>
      <c r="O465" t="s">
        <v>70</v>
      </c>
      <c r="P465" t="s">
        <v>34</v>
      </c>
    </row>
    <row r="466" spans="1:16" x14ac:dyDescent="0.25">
      <c r="A466" t="s">
        <v>1262</v>
      </c>
      <c r="B466" s="6">
        <v>45436</v>
      </c>
      <c r="C466">
        <v>5321</v>
      </c>
      <c r="D466" t="s">
        <v>1263</v>
      </c>
      <c r="E466" t="s">
        <v>38</v>
      </c>
      <c r="F466" t="s">
        <v>19</v>
      </c>
      <c r="G466">
        <v>9205.07</v>
      </c>
      <c r="H466">
        <v>4446.0200000000004</v>
      </c>
      <c r="I466" t="s">
        <v>59</v>
      </c>
      <c r="J466" t="s">
        <v>41</v>
      </c>
      <c r="K466" t="s">
        <v>80</v>
      </c>
      <c r="L466" t="s">
        <v>23</v>
      </c>
      <c r="M466">
        <v>5</v>
      </c>
      <c r="N466" t="s">
        <v>69</v>
      </c>
      <c r="O466" t="s">
        <v>70</v>
      </c>
      <c r="P466" t="s">
        <v>34</v>
      </c>
    </row>
    <row r="467" spans="1:16" x14ac:dyDescent="0.25">
      <c r="A467" t="s">
        <v>1264</v>
      </c>
      <c r="B467" s="6">
        <v>44437</v>
      </c>
      <c r="C467">
        <v>3679</v>
      </c>
      <c r="D467" t="s">
        <v>1266</v>
      </c>
      <c r="E467" t="s">
        <v>38</v>
      </c>
      <c r="F467" t="s">
        <v>58</v>
      </c>
      <c r="G467">
        <v>24630.86</v>
      </c>
      <c r="H467">
        <v>15986.42</v>
      </c>
      <c r="I467" t="s">
        <v>63</v>
      </c>
      <c r="J467" t="s">
        <v>54</v>
      </c>
      <c r="K467" t="s">
        <v>80</v>
      </c>
      <c r="L467" t="s">
        <v>55</v>
      </c>
      <c r="M467">
        <v>4</v>
      </c>
      <c r="N467" t="s">
        <v>33</v>
      </c>
      <c r="O467" t="s">
        <v>70</v>
      </c>
      <c r="P467" t="s">
        <v>34</v>
      </c>
    </row>
    <row r="468" spans="1:16" x14ac:dyDescent="0.25">
      <c r="A468" t="s">
        <v>1267</v>
      </c>
      <c r="B468" s="6">
        <v>45355</v>
      </c>
      <c r="C468">
        <v>2533</v>
      </c>
      <c r="D468" t="s">
        <v>1269</v>
      </c>
      <c r="E468" t="s">
        <v>18</v>
      </c>
      <c r="F468" t="s">
        <v>47</v>
      </c>
      <c r="G468">
        <v>16690.2</v>
      </c>
      <c r="H468">
        <v>8113.62</v>
      </c>
      <c r="I468" t="s">
        <v>20</v>
      </c>
      <c r="J468" t="s">
        <v>21</v>
      </c>
      <c r="K468" t="s">
        <v>32</v>
      </c>
      <c r="L468" t="s">
        <v>48</v>
      </c>
      <c r="M468">
        <v>5</v>
      </c>
      <c r="N468" t="s">
        <v>69</v>
      </c>
      <c r="O468" t="s">
        <v>25</v>
      </c>
      <c r="P468" t="s">
        <v>49</v>
      </c>
    </row>
    <row r="469" spans="1:16" x14ac:dyDescent="0.25">
      <c r="A469" t="s">
        <v>1270</v>
      </c>
      <c r="B469" s="6">
        <v>44123</v>
      </c>
      <c r="C469">
        <v>7822</v>
      </c>
      <c r="D469" t="s">
        <v>1272</v>
      </c>
      <c r="E469" t="s">
        <v>18</v>
      </c>
      <c r="F469" t="s">
        <v>47</v>
      </c>
      <c r="G469">
        <v>4182.7299999999996</v>
      </c>
      <c r="H469">
        <v>2298.92</v>
      </c>
      <c r="I469" t="s">
        <v>31</v>
      </c>
      <c r="J469" t="s">
        <v>21</v>
      </c>
      <c r="K469" t="s">
        <v>22</v>
      </c>
      <c r="L469" t="s">
        <v>88</v>
      </c>
      <c r="M469">
        <v>1</v>
      </c>
      <c r="N469" t="s">
        <v>33</v>
      </c>
      <c r="O469" t="s">
        <v>70</v>
      </c>
      <c r="P469" t="s">
        <v>26</v>
      </c>
    </row>
    <row r="470" spans="1:16" x14ac:dyDescent="0.25">
      <c r="A470" t="s">
        <v>1273</v>
      </c>
      <c r="B470" s="6">
        <v>44362</v>
      </c>
      <c r="C470">
        <v>1473</v>
      </c>
      <c r="D470" t="s">
        <v>1274</v>
      </c>
      <c r="E470" t="s">
        <v>18</v>
      </c>
      <c r="F470" t="s">
        <v>47</v>
      </c>
      <c r="G470">
        <v>8417.9699999999993</v>
      </c>
      <c r="H470">
        <v>4979.58</v>
      </c>
      <c r="I470" t="s">
        <v>84</v>
      </c>
      <c r="J470" t="s">
        <v>54</v>
      </c>
      <c r="K470" t="s">
        <v>80</v>
      </c>
      <c r="L470" t="s">
        <v>64</v>
      </c>
      <c r="M470">
        <v>3</v>
      </c>
      <c r="N470" t="s">
        <v>24</v>
      </c>
      <c r="O470" t="s">
        <v>25</v>
      </c>
      <c r="P470" t="s">
        <v>26</v>
      </c>
    </row>
    <row r="471" spans="1:16" x14ac:dyDescent="0.25">
      <c r="A471" t="s">
        <v>1275</v>
      </c>
      <c r="B471" s="6">
        <v>45583</v>
      </c>
      <c r="C471">
        <v>4463</v>
      </c>
      <c r="D471" t="s">
        <v>1277</v>
      </c>
      <c r="E471" t="s">
        <v>18</v>
      </c>
      <c r="F471" t="s">
        <v>39</v>
      </c>
      <c r="G471">
        <v>41814.269999999997</v>
      </c>
      <c r="H471">
        <v>21182.720000000001</v>
      </c>
      <c r="I471" t="s">
        <v>120</v>
      </c>
      <c r="J471" t="s">
        <v>21</v>
      </c>
      <c r="K471" t="s">
        <v>22</v>
      </c>
      <c r="L471" t="s">
        <v>48</v>
      </c>
      <c r="M471">
        <v>1</v>
      </c>
      <c r="N471" t="s">
        <v>24</v>
      </c>
      <c r="O471" t="s">
        <v>70</v>
      </c>
      <c r="P471" t="s">
        <v>26</v>
      </c>
    </row>
    <row r="472" spans="1:16" x14ac:dyDescent="0.25">
      <c r="A472" t="s">
        <v>1278</v>
      </c>
      <c r="B472" s="6">
        <v>45496</v>
      </c>
      <c r="C472">
        <v>1336</v>
      </c>
      <c r="D472" t="s">
        <v>1280</v>
      </c>
      <c r="E472" t="s">
        <v>18</v>
      </c>
      <c r="F472" t="s">
        <v>39</v>
      </c>
      <c r="G472">
        <v>18565.560000000001</v>
      </c>
      <c r="H472">
        <v>11248.85</v>
      </c>
      <c r="I472" t="s">
        <v>63</v>
      </c>
      <c r="J472" t="s">
        <v>54</v>
      </c>
      <c r="K472" t="s">
        <v>42</v>
      </c>
      <c r="L472" t="s">
        <v>48</v>
      </c>
      <c r="M472">
        <v>2</v>
      </c>
      <c r="N472" t="s">
        <v>33</v>
      </c>
      <c r="O472" t="s">
        <v>25</v>
      </c>
      <c r="P472" t="s">
        <v>34</v>
      </c>
    </row>
    <row r="473" spans="1:16" x14ac:dyDescent="0.25">
      <c r="A473" t="s">
        <v>1281</v>
      </c>
      <c r="B473" s="6">
        <v>45110</v>
      </c>
      <c r="C473">
        <v>2574</v>
      </c>
      <c r="D473" t="s">
        <v>1283</v>
      </c>
      <c r="E473" t="s">
        <v>38</v>
      </c>
      <c r="F473" t="s">
        <v>47</v>
      </c>
      <c r="G473">
        <v>10244.39</v>
      </c>
      <c r="H473">
        <v>5613.15</v>
      </c>
      <c r="I473" t="s">
        <v>120</v>
      </c>
      <c r="J473" t="s">
        <v>21</v>
      </c>
      <c r="K473" t="s">
        <v>80</v>
      </c>
      <c r="L473" t="s">
        <v>64</v>
      </c>
      <c r="M473">
        <v>3</v>
      </c>
      <c r="N473" t="s">
        <v>24</v>
      </c>
      <c r="O473" t="s">
        <v>25</v>
      </c>
      <c r="P473" t="s">
        <v>34</v>
      </c>
    </row>
    <row r="474" spans="1:16" x14ac:dyDescent="0.25">
      <c r="A474" t="s">
        <v>1284</v>
      </c>
      <c r="B474" s="6">
        <v>44974</v>
      </c>
      <c r="C474">
        <v>9410</v>
      </c>
      <c r="D474" t="s">
        <v>1285</v>
      </c>
      <c r="E474" t="s">
        <v>38</v>
      </c>
      <c r="F474" t="s">
        <v>58</v>
      </c>
      <c r="G474">
        <v>37959.54</v>
      </c>
      <c r="H474">
        <v>22217.26</v>
      </c>
      <c r="I474" t="s">
        <v>40</v>
      </c>
      <c r="J474" t="s">
        <v>41</v>
      </c>
      <c r="K474" t="s">
        <v>32</v>
      </c>
      <c r="L474" t="s">
        <v>64</v>
      </c>
      <c r="M474">
        <v>5</v>
      </c>
      <c r="N474" t="s">
        <v>24</v>
      </c>
      <c r="O474" t="s">
        <v>25</v>
      </c>
      <c r="P474" t="s">
        <v>34</v>
      </c>
    </row>
    <row r="475" spans="1:16" x14ac:dyDescent="0.25">
      <c r="A475" t="s">
        <v>1286</v>
      </c>
      <c r="B475" s="6">
        <v>45003</v>
      </c>
      <c r="C475">
        <v>5921</v>
      </c>
      <c r="D475" t="s">
        <v>1287</v>
      </c>
      <c r="E475" t="s">
        <v>18</v>
      </c>
      <c r="F475" t="s">
        <v>47</v>
      </c>
      <c r="G475">
        <v>10394.450000000001</v>
      </c>
      <c r="H475">
        <v>5291.78</v>
      </c>
      <c r="I475" t="s">
        <v>20</v>
      </c>
      <c r="J475" t="s">
        <v>21</v>
      </c>
      <c r="K475" t="s">
        <v>22</v>
      </c>
      <c r="L475" t="s">
        <v>43</v>
      </c>
      <c r="M475">
        <v>1</v>
      </c>
      <c r="N475" t="s">
        <v>69</v>
      </c>
      <c r="O475" t="s">
        <v>25</v>
      </c>
      <c r="P475" t="s">
        <v>49</v>
      </c>
    </row>
    <row r="476" spans="1:16" x14ac:dyDescent="0.25">
      <c r="A476" t="s">
        <v>1288</v>
      </c>
      <c r="B476" s="6">
        <v>45421</v>
      </c>
      <c r="C476">
        <v>5175</v>
      </c>
      <c r="D476" t="s">
        <v>1290</v>
      </c>
      <c r="E476" t="s">
        <v>18</v>
      </c>
      <c r="F476" t="s">
        <v>30</v>
      </c>
      <c r="G476">
        <v>102166.82</v>
      </c>
      <c r="H476">
        <v>46307.49</v>
      </c>
      <c r="I476" t="s">
        <v>63</v>
      </c>
      <c r="J476" t="s">
        <v>54</v>
      </c>
      <c r="K476" t="s">
        <v>80</v>
      </c>
      <c r="L476" t="s">
        <v>23</v>
      </c>
      <c r="M476">
        <v>2</v>
      </c>
      <c r="N476" t="s">
        <v>69</v>
      </c>
      <c r="O476" t="s">
        <v>25</v>
      </c>
      <c r="P476" t="s">
        <v>34</v>
      </c>
    </row>
    <row r="477" spans="1:16" x14ac:dyDescent="0.25">
      <c r="A477" t="s">
        <v>1291</v>
      </c>
      <c r="B477" s="6">
        <v>45635</v>
      </c>
      <c r="C477">
        <v>5342</v>
      </c>
      <c r="D477" t="s">
        <v>1293</v>
      </c>
      <c r="E477" t="s">
        <v>38</v>
      </c>
      <c r="F477" t="s">
        <v>39</v>
      </c>
      <c r="G477">
        <v>36470.39</v>
      </c>
      <c r="H477">
        <v>22767.33</v>
      </c>
      <c r="I477" t="s">
        <v>59</v>
      </c>
      <c r="J477" t="s">
        <v>41</v>
      </c>
      <c r="K477" t="s">
        <v>32</v>
      </c>
      <c r="L477" t="s">
        <v>23</v>
      </c>
      <c r="M477">
        <v>2</v>
      </c>
      <c r="N477" t="s">
        <v>33</v>
      </c>
      <c r="O477" t="s">
        <v>70</v>
      </c>
      <c r="P477" t="s">
        <v>34</v>
      </c>
    </row>
    <row r="478" spans="1:16" x14ac:dyDescent="0.25">
      <c r="A478" t="s">
        <v>1294</v>
      </c>
      <c r="B478" s="6">
        <v>44033</v>
      </c>
      <c r="C478">
        <v>1217</v>
      </c>
      <c r="D478" t="s">
        <v>1295</v>
      </c>
      <c r="E478" t="s">
        <v>18</v>
      </c>
      <c r="F478" t="s">
        <v>30</v>
      </c>
      <c r="G478">
        <v>33678.83</v>
      </c>
      <c r="H478">
        <v>18255.02</v>
      </c>
      <c r="I478" t="s">
        <v>68</v>
      </c>
      <c r="J478" t="s">
        <v>41</v>
      </c>
      <c r="K478" t="s">
        <v>80</v>
      </c>
      <c r="L478" t="s">
        <v>48</v>
      </c>
      <c r="M478">
        <v>5</v>
      </c>
      <c r="N478" t="s">
        <v>24</v>
      </c>
      <c r="O478" t="s">
        <v>25</v>
      </c>
      <c r="P478" t="s">
        <v>49</v>
      </c>
    </row>
    <row r="479" spans="1:16" x14ac:dyDescent="0.25">
      <c r="A479" t="s">
        <v>1296</v>
      </c>
      <c r="B479" s="6">
        <v>45081</v>
      </c>
      <c r="C479">
        <v>3049</v>
      </c>
      <c r="D479" t="s">
        <v>631</v>
      </c>
      <c r="E479" t="s">
        <v>18</v>
      </c>
      <c r="F479" t="s">
        <v>47</v>
      </c>
      <c r="G479">
        <v>3689.36</v>
      </c>
      <c r="H479">
        <v>1742.79</v>
      </c>
      <c r="I479" t="s">
        <v>84</v>
      </c>
      <c r="J479" t="s">
        <v>54</v>
      </c>
      <c r="K479" t="s">
        <v>22</v>
      </c>
      <c r="L479" t="s">
        <v>48</v>
      </c>
      <c r="M479">
        <v>2</v>
      </c>
      <c r="N479" t="s">
        <v>69</v>
      </c>
      <c r="O479" t="s">
        <v>25</v>
      </c>
      <c r="P479" t="s">
        <v>49</v>
      </c>
    </row>
    <row r="480" spans="1:16" x14ac:dyDescent="0.25">
      <c r="A480" t="s">
        <v>1297</v>
      </c>
      <c r="B480" s="6">
        <v>45202</v>
      </c>
      <c r="C480">
        <v>2410</v>
      </c>
      <c r="D480" t="s">
        <v>1298</v>
      </c>
      <c r="E480" t="s">
        <v>38</v>
      </c>
      <c r="F480" t="s">
        <v>30</v>
      </c>
      <c r="G480">
        <v>94101.71</v>
      </c>
      <c r="H480">
        <v>45134.3</v>
      </c>
      <c r="I480" t="s">
        <v>63</v>
      </c>
      <c r="J480" t="s">
        <v>54</v>
      </c>
      <c r="K480" t="s">
        <v>80</v>
      </c>
      <c r="L480" t="s">
        <v>55</v>
      </c>
      <c r="M480">
        <v>1</v>
      </c>
      <c r="N480" t="s">
        <v>33</v>
      </c>
      <c r="O480" t="s">
        <v>25</v>
      </c>
      <c r="P480" t="s">
        <v>49</v>
      </c>
    </row>
    <row r="481" spans="1:16" x14ac:dyDescent="0.25">
      <c r="A481" t="s">
        <v>1299</v>
      </c>
      <c r="B481" s="6">
        <v>45591</v>
      </c>
      <c r="C481">
        <v>4298</v>
      </c>
      <c r="D481" t="s">
        <v>1301</v>
      </c>
      <c r="E481" t="s">
        <v>38</v>
      </c>
      <c r="F481" t="s">
        <v>30</v>
      </c>
      <c r="G481">
        <v>80352.639999999999</v>
      </c>
      <c r="H481">
        <v>49558.91</v>
      </c>
      <c r="I481" t="s">
        <v>53</v>
      </c>
      <c r="J481" t="s">
        <v>54</v>
      </c>
      <c r="K481" t="s">
        <v>22</v>
      </c>
      <c r="L481" t="s">
        <v>88</v>
      </c>
      <c r="M481">
        <v>1</v>
      </c>
      <c r="N481" t="s">
        <v>33</v>
      </c>
      <c r="O481" t="s">
        <v>70</v>
      </c>
      <c r="P481" t="s">
        <v>34</v>
      </c>
    </row>
    <row r="482" spans="1:16" x14ac:dyDescent="0.25">
      <c r="A482" t="s">
        <v>1302</v>
      </c>
      <c r="B482" s="6">
        <v>45210</v>
      </c>
      <c r="C482">
        <v>1606</v>
      </c>
      <c r="D482" t="s">
        <v>1304</v>
      </c>
      <c r="E482" t="s">
        <v>38</v>
      </c>
      <c r="F482" t="s">
        <v>19</v>
      </c>
      <c r="G482">
        <v>8017.25</v>
      </c>
      <c r="H482">
        <v>4430.8999999999996</v>
      </c>
      <c r="I482" t="s">
        <v>59</v>
      </c>
      <c r="J482" t="s">
        <v>41</v>
      </c>
      <c r="K482" t="s">
        <v>80</v>
      </c>
      <c r="L482" t="s">
        <v>23</v>
      </c>
      <c r="M482">
        <v>1</v>
      </c>
      <c r="N482" t="s">
        <v>24</v>
      </c>
      <c r="O482" t="s">
        <v>25</v>
      </c>
      <c r="P482" t="s">
        <v>34</v>
      </c>
    </row>
    <row r="483" spans="1:16" x14ac:dyDescent="0.25">
      <c r="A483" t="s">
        <v>1305</v>
      </c>
      <c r="B483" s="6">
        <v>44804</v>
      </c>
      <c r="C483">
        <v>9106</v>
      </c>
      <c r="D483" t="s">
        <v>1307</v>
      </c>
      <c r="E483" t="s">
        <v>38</v>
      </c>
      <c r="F483" t="s">
        <v>47</v>
      </c>
      <c r="G483">
        <v>8104.07</v>
      </c>
      <c r="H483">
        <v>4353.88</v>
      </c>
      <c r="I483" t="s">
        <v>120</v>
      </c>
      <c r="J483" t="s">
        <v>21</v>
      </c>
      <c r="K483" t="s">
        <v>32</v>
      </c>
      <c r="L483" t="s">
        <v>88</v>
      </c>
      <c r="M483">
        <v>2</v>
      </c>
      <c r="N483" t="s">
        <v>24</v>
      </c>
      <c r="O483" t="s">
        <v>25</v>
      </c>
      <c r="P483" t="s">
        <v>49</v>
      </c>
    </row>
    <row r="484" spans="1:16" x14ac:dyDescent="0.25">
      <c r="A484" t="s">
        <v>1308</v>
      </c>
      <c r="B484" s="6">
        <v>45263</v>
      </c>
      <c r="C484">
        <v>3148</v>
      </c>
      <c r="D484" t="s">
        <v>1310</v>
      </c>
      <c r="E484" t="s">
        <v>38</v>
      </c>
      <c r="F484" t="s">
        <v>39</v>
      </c>
      <c r="G484">
        <v>42585.19</v>
      </c>
      <c r="H484">
        <v>22488.14</v>
      </c>
      <c r="I484" t="s">
        <v>84</v>
      </c>
      <c r="J484" t="s">
        <v>54</v>
      </c>
      <c r="K484" t="s">
        <v>80</v>
      </c>
      <c r="L484" t="s">
        <v>48</v>
      </c>
      <c r="M484">
        <v>3</v>
      </c>
      <c r="N484" t="s">
        <v>24</v>
      </c>
      <c r="O484" t="s">
        <v>70</v>
      </c>
      <c r="P484" t="s">
        <v>26</v>
      </c>
    </row>
    <row r="485" spans="1:16" x14ac:dyDescent="0.25">
      <c r="A485" t="s">
        <v>1311</v>
      </c>
      <c r="B485" s="6">
        <v>44078</v>
      </c>
      <c r="C485">
        <v>3839</v>
      </c>
      <c r="D485" t="s">
        <v>1312</v>
      </c>
      <c r="E485" t="s">
        <v>18</v>
      </c>
      <c r="F485" t="s">
        <v>19</v>
      </c>
      <c r="G485">
        <v>4324.92</v>
      </c>
      <c r="H485">
        <v>2371.9499999999998</v>
      </c>
      <c r="I485" t="s">
        <v>120</v>
      </c>
      <c r="J485" t="s">
        <v>21</v>
      </c>
      <c r="K485" t="s">
        <v>80</v>
      </c>
      <c r="L485" t="s">
        <v>64</v>
      </c>
      <c r="M485">
        <v>3</v>
      </c>
      <c r="N485" t="s">
        <v>33</v>
      </c>
      <c r="O485" t="s">
        <v>25</v>
      </c>
      <c r="P485" t="s">
        <v>26</v>
      </c>
    </row>
    <row r="486" spans="1:16" x14ac:dyDescent="0.25">
      <c r="A486" t="s">
        <v>1313</v>
      </c>
      <c r="B486" s="6">
        <v>44454</v>
      </c>
      <c r="C486">
        <v>2043</v>
      </c>
      <c r="D486" t="s">
        <v>1315</v>
      </c>
      <c r="E486" t="s">
        <v>38</v>
      </c>
      <c r="F486" t="s">
        <v>39</v>
      </c>
      <c r="G486">
        <v>21634.68</v>
      </c>
      <c r="H486">
        <v>12407.76</v>
      </c>
      <c r="I486" t="s">
        <v>53</v>
      </c>
      <c r="J486" t="s">
        <v>54</v>
      </c>
      <c r="K486" t="s">
        <v>22</v>
      </c>
      <c r="L486" t="s">
        <v>43</v>
      </c>
      <c r="M486">
        <v>2</v>
      </c>
      <c r="N486" t="s">
        <v>24</v>
      </c>
      <c r="O486" t="s">
        <v>70</v>
      </c>
      <c r="P486" t="s">
        <v>34</v>
      </c>
    </row>
    <row r="487" spans="1:16" x14ac:dyDescent="0.25">
      <c r="A487" t="s">
        <v>1316</v>
      </c>
      <c r="B487" s="6">
        <v>44550</v>
      </c>
      <c r="C487">
        <v>2706</v>
      </c>
      <c r="D487" t="s">
        <v>1318</v>
      </c>
      <c r="E487" t="s">
        <v>18</v>
      </c>
      <c r="F487" t="s">
        <v>39</v>
      </c>
      <c r="G487">
        <v>31942.03</v>
      </c>
      <c r="H487">
        <v>17170.93</v>
      </c>
      <c r="I487" t="s">
        <v>31</v>
      </c>
      <c r="J487" t="s">
        <v>21</v>
      </c>
      <c r="K487" t="s">
        <v>80</v>
      </c>
      <c r="L487" t="s">
        <v>55</v>
      </c>
      <c r="M487">
        <v>1</v>
      </c>
      <c r="N487" t="s">
        <v>24</v>
      </c>
      <c r="O487" t="s">
        <v>70</v>
      </c>
      <c r="P487" t="s">
        <v>26</v>
      </c>
    </row>
    <row r="488" spans="1:16" x14ac:dyDescent="0.25">
      <c r="A488" t="s">
        <v>1319</v>
      </c>
      <c r="B488" s="6">
        <v>44257</v>
      </c>
      <c r="C488">
        <v>6925</v>
      </c>
      <c r="D488" t="s">
        <v>1320</v>
      </c>
      <c r="E488" t="s">
        <v>18</v>
      </c>
      <c r="F488" t="s">
        <v>30</v>
      </c>
      <c r="G488">
        <v>41545.550000000003</v>
      </c>
      <c r="H488">
        <v>24579.7</v>
      </c>
      <c r="I488" t="s">
        <v>68</v>
      </c>
      <c r="J488" t="s">
        <v>41</v>
      </c>
      <c r="K488" t="s">
        <v>80</v>
      </c>
      <c r="L488" t="s">
        <v>48</v>
      </c>
      <c r="M488">
        <v>1</v>
      </c>
      <c r="N488" t="s">
        <v>33</v>
      </c>
      <c r="O488" t="s">
        <v>25</v>
      </c>
      <c r="P488" t="s">
        <v>26</v>
      </c>
    </row>
    <row r="489" spans="1:16" x14ac:dyDescent="0.25">
      <c r="A489" t="s">
        <v>1321</v>
      </c>
      <c r="B489" s="6">
        <v>44565</v>
      </c>
      <c r="C489">
        <v>8760</v>
      </c>
      <c r="D489" t="s">
        <v>1322</v>
      </c>
      <c r="E489" t="s">
        <v>38</v>
      </c>
      <c r="F489" t="s">
        <v>30</v>
      </c>
      <c r="G489">
        <v>39520.03</v>
      </c>
      <c r="H489">
        <v>19137.669999999998</v>
      </c>
      <c r="I489" t="s">
        <v>63</v>
      </c>
      <c r="J489" t="s">
        <v>54</v>
      </c>
      <c r="K489" t="s">
        <v>42</v>
      </c>
      <c r="L489" t="s">
        <v>88</v>
      </c>
      <c r="M489">
        <v>4</v>
      </c>
      <c r="N489" t="s">
        <v>33</v>
      </c>
      <c r="O489" t="s">
        <v>70</v>
      </c>
      <c r="P489" t="s">
        <v>26</v>
      </c>
    </row>
    <row r="490" spans="1:16" x14ac:dyDescent="0.25">
      <c r="A490" t="s">
        <v>1323</v>
      </c>
      <c r="B490" s="6">
        <v>44416</v>
      </c>
      <c r="C490">
        <v>7706</v>
      </c>
      <c r="D490" t="s">
        <v>1324</v>
      </c>
      <c r="E490" t="s">
        <v>38</v>
      </c>
      <c r="F490" t="s">
        <v>30</v>
      </c>
      <c r="G490">
        <v>69261.710000000006</v>
      </c>
      <c r="H490">
        <v>38317.730000000003</v>
      </c>
      <c r="I490" t="s">
        <v>31</v>
      </c>
      <c r="J490" t="s">
        <v>21</v>
      </c>
      <c r="K490" t="s">
        <v>42</v>
      </c>
      <c r="L490" t="s">
        <v>55</v>
      </c>
      <c r="M490">
        <v>4</v>
      </c>
      <c r="N490" t="s">
        <v>33</v>
      </c>
      <c r="O490" t="s">
        <v>25</v>
      </c>
      <c r="P490" t="s">
        <v>49</v>
      </c>
    </row>
    <row r="491" spans="1:16" x14ac:dyDescent="0.25">
      <c r="A491" t="s">
        <v>1325</v>
      </c>
      <c r="B491" s="6">
        <v>44646</v>
      </c>
      <c r="C491">
        <v>2007</v>
      </c>
      <c r="D491" t="s">
        <v>1327</v>
      </c>
      <c r="E491" t="s">
        <v>38</v>
      </c>
      <c r="F491" t="s">
        <v>39</v>
      </c>
      <c r="G491">
        <v>24040.01</v>
      </c>
      <c r="H491">
        <v>13992.13</v>
      </c>
      <c r="I491" t="s">
        <v>68</v>
      </c>
      <c r="J491" t="s">
        <v>41</v>
      </c>
      <c r="K491" t="s">
        <v>32</v>
      </c>
      <c r="L491" t="s">
        <v>43</v>
      </c>
      <c r="M491">
        <v>1</v>
      </c>
      <c r="N491" t="s">
        <v>69</v>
      </c>
      <c r="O491" t="s">
        <v>70</v>
      </c>
      <c r="P491" t="s">
        <v>49</v>
      </c>
    </row>
    <row r="492" spans="1:16" x14ac:dyDescent="0.25">
      <c r="A492" t="s">
        <v>1328</v>
      </c>
      <c r="B492" s="6">
        <v>45650</v>
      </c>
      <c r="C492">
        <v>5986</v>
      </c>
      <c r="D492" t="s">
        <v>1330</v>
      </c>
      <c r="E492" t="s">
        <v>38</v>
      </c>
      <c r="F492" t="s">
        <v>39</v>
      </c>
      <c r="G492">
        <v>34691.83</v>
      </c>
      <c r="H492">
        <v>15666.15</v>
      </c>
      <c r="I492" t="s">
        <v>59</v>
      </c>
      <c r="J492" t="s">
        <v>41</v>
      </c>
      <c r="K492" t="s">
        <v>42</v>
      </c>
      <c r="L492" t="s">
        <v>43</v>
      </c>
      <c r="M492">
        <v>5</v>
      </c>
      <c r="N492" t="s">
        <v>69</v>
      </c>
      <c r="O492" t="s">
        <v>70</v>
      </c>
      <c r="P492" t="s">
        <v>34</v>
      </c>
    </row>
    <row r="493" spans="1:16" x14ac:dyDescent="0.25">
      <c r="A493" t="s">
        <v>1331</v>
      </c>
      <c r="B493" s="6">
        <v>45153</v>
      </c>
      <c r="C493">
        <v>7627</v>
      </c>
      <c r="D493" t="s">
        <v>1332</v>
      </c>
      <c r="E493" t="s">
        <v>18</v>
      </c>
      <c r="F493" t="s">
        <v>19</v>
      </c>
      <c r="G493">
        <v>18715.25</v>
      </c>
      <c r="H493">
        <v>8737.33</v>
      </c>
      <c r="I493" t="s">
        <v>31</v>
      </c>
      <c r="J493" t="s">
        <v>21</v>
      </c>
      <c r="K493" t="s">
        <v>42</v>
      </c>
      <c r="L493" t="s">
        <v>64</v>
      </c>
      <c r="M493">
        <v>2</v>
      </c>
      <c r="N493" t="s">
        <v>24</v>
      </c>
      <c r="O493" t="s">
        <v>25</v>
      </c>
      <c r="P493" t="s">
        <v>26</v>
      </c>
    </row>
    <row r="494" spans="1:16" x14ac:dyDescent="0.25">
      <c r="A494" t="s">
        <v>1333</v>
      </c>
      <c r="B494" s="6">
        <v>44887</v>
      </c>
      <c r="C494">
        <v>1383</v>
      </c>
      <c r="D494" t="s">
        <v>1335</v>
      </c>
      <c r="E494" t="s">
        <v>18</v>
      </c>
      <c r="F494" t="s">
        <v>39</v>
      </c>
      <c r="G494">
        <v>43656.65</v>
      </c>
      <c r="H494">
        <v>24359.82</v>
      </c>
      <c r="I494" t="s">
        <v>84</v>
      </c>
      <c r="J494" t="s">
        <v>54</v>
      </c>
      <c r="K494" t="s">
        <v>42</v>
      </c>
      <c r="L494" t="s">
        <v>23</v>
      </c>
      <c r="M494">
        <v>3</v>
      </c>
      <c r="N494" t="s">
        <v>24</v>
      </c>
      <c r="O494" t="s">
        <v>70</v>
      </c>
      <c r="P494" t="s">
        <v>26</v>
      </c>
    </row>
    <row r="495" spans="1:16" x14ac:dyDescent="0.25">
      <c r="A495" t="s">
        <v>1336</v>
      </c>
      <c r="B495" s="6">
        <v>44990</v>
      </c>
      <c r="C495">
        <v>3043</v>
      </c>
      <c r="D495" t="s">
        <v>1337</v>
      </c>
      <c r="E495" t="s">
        <v>38</v>
      </c>
      <c r="F495" t="s">
        <v>39</v>
      </c>
      <c r="G495">
        <v>19357.62</v>
      </c>
      <c r="H495">
        <v>11563.7</v>
      </c>
      <c r="I495" t="s">
        <v>120</v>
      </c>
      <c r="J495" t="s">
        <v>21</v>
      </c>
      <c r="K495" t="s">
        <v>80</v>
      </c>
      <c r="L495" t="s">
        <v>88</v>
      </c>
      <c r="M495">
        <v>2</v>
      </c>
      <c r="N495" t="s">
        <v>69</v>
      </c>
      <c r="O495" t="s">
        <v>70</v>
      </c>
      <c r="P495" t="s">
        <v>49</v>
      </c>
    </row>
    <row r="496" spans="1:16" x14ac:dyDescent="0.25">
      <c r="A496" t="s">
        <v>1338</v>
      </c>
      <c r="B496" s="6">
        <v>45411</v>
      </c>
      <c r="C496">
        <v>5902</v>
      </c>
      <c r="D496" t="s">
        <v>1339</v>
      </c>
      <c r="E496" t="s">
        <v>38</v>
      </c>
      <c r="F496" t="s">
        <v>19</v>
      </c>
      <c r="G496">
        <v>16462.97</v>
      </c>
      <c r="H496">
        <v>10092.06</v>
      </c>
      <c r="I496" t="s">
        <v>31</v>
      </c>
      <c r="J496" t="s">
        <v>21</v>
      </c>
      <c r="K496" t="s">
        <v>32</v>
      </c>
      <c r="L496" t="s">
        <v>48</v>
      </c>
      <c r="M496">
        <v>4</v>
      </c>
      <c r="N496" t="s">
        <v>24</v>
      </c>
      <c r="O496" t="s">
        <v>25</v>
      </c>
      <c r="P496" t="s">
        <v>34</v>
      </c>
    </row>
    <row r="497" spans="1:16" x14ac:dyDescent="0.25">
      <c r="A497" t="s">
        <v>1340</v>
      </c>
      <c r="B497" s="6">
        <v>44612</v>
      </c>
      <c r="C497">
        <v>7974</v>
      </c>
      <c r="D497" t="s">
        <v>1341</v>
      </c>
      <c r="E497" t="s">
        <v>38</v>
      </c>
      <c r="F497" t="s">
        <v>47</v>
      </c>
      <c r="G497">
        <v>3524.34</v>
      </c>
      <c r="H497">
        <v>1629.79</v>
      </c>
      <c r="I497" t="s">
        <v>20</v>
      </c>
      <c r="J497" t="s">
        <v>21</v>
      </c>
      <c r="K497" t="s">
        <v>32</v>
      </c>
      <c r="L497" t="s">
        <v>64</v>
      </c>
      <c r="M497">
        <v>2</v>
      </c>
      <c r="N497" t="s">
        <v>33</v>
      </c>
      <c r="O497" t="s">
        <v>25</v>
      </c>
      <c r="P497" t="s">
        <v>49</v>
      </c>
    </row>
    <row r="498" spans="1:16" x14ac:dyDescent="0.25">
      <c r="A498" t="s">
        <v>1342</v>
      </c>
      <c r="B498" s="6">
        <v>44697</v>
      </c>
      <c r="C498">
        <v>9172</v>
      </c>
      <c r="D498" t="s">
        <v>1344</v>
      </c>
      <c r="E498" t="s">
        <v>38</v>
      </c>
      <c r="F498" t="s">
        <v>30</v>
      </c>
      <c r="G498">
        <v>101694.43</v>
      </c>
      <c r="H498">
        <v>59776.35</v>
      </c>
      <c r="I498" t="s">
        <v>84</v>
      </c>
      <c r="J498" t="s">
        <v>54</v>
      </c>
      <c r="K498" t="s">
        <v>80</v>
      </c>
      <c r="L498" t="s">
        <v>48</v>
      </c>
      <c r="M498">
        <v>4</v>
      </c>
      <c r="N498" t="s">
        <v>69</v>
      </c>
      <c r="O498" t="s">
        <v>25</v>
      </c>
      <c r="P498" t="s">
        <v>26</v>
      </c>
    </row>
    <row r="499" spans="1:16" x14ac:dyDescent="0.25">
      <c r="A499" t="s">
        <v>1345</v>
      </c>
      <c r="B499" s="6">
        <v>45562</v>
      </c>
      <c r="C499">
        <v>4483</v>
      </c>
      <c r="D499" t="s">
        <v>562</v>
      </c>
      <c r="E499" t="s">
        <v>38</v>
      </c>
      <c r="F499" t="s">
        <v>58</v>
      </c>
      <c r="G499">
        <v>31892.69</v>
      </c>
      <c r="H499">
        <v>19113.27</v>
      </c>
      <c r="I499" t="s">
        <v>120</v>
      </c>
      <c r="J499" t="s">
        <v>21</v>
      </c>
      <c r="K499" t="s">
        <v>42</v>
      </c>
      <c r="L499" t="s">
        <v>55</v>
      </c>
      <c r="M499">
        <v>5</v>
      </c>
      <c r="N499" t="s">
        <v>69</v>
      </c>
      <c r="O499" t="s">
        <v>25</v>
      </c>
      <c r="P499" t="s">
        <v>34</v>
      </c>
    </row>
    <row r="500" spans="1:16" x14ac:dyDescent="0.25">
      <c r="A500" t="s">
        <v>1346</v>
      </c>
      <c r="B500" s="6">
        <v>44353</v>
      </c>
      <c r="C500">
        <v>5968</v>
      </c>
      <c r="D500" t="s">
        <v>1348</v>
      </c>
      <c r="E500" t="s">
        <v>38</v>
      </c>
      <c r="F500" t="s">
        <v>30</v>
      </c>
      <c r="G500">
        <v>40351.68</v>
      </c>
      <c r="H500">
        <v>24543.54</v>
      </c>
      <c r="I500" t="s">
        <v>20</v>
      </c>
      <c r="J500" t="s">
        <v>21</v>
      </c>
      <c r="K500" t="s">
        <v>32</v>
      </c>
      <c r="L500" t="s">
        <v>43</v>
      </c>
      <c r="M500">
        <v>4</v>
      </c>
      <c r="N500" t="s">
        <v>33</v>
      </c>
      <c r="O500" t="s">
        <v>70</v>
      </c>
      <c r="P500" t="s">
        <v>34</v>
      </c>
    </row>
    <row r="501" spans="1:16" x14ac:dyDescent="0.25">
      <c r="A501" t="s">
        <v>1349</v>
      </c>
      <c r="B501" s="6">
        <v>44375</v>
      </c>
      <c r="C501">
        <v>1732</v>
      </c>
      <c r="D501" t="s">
        <v>1351</v>
      </c>
      <c r="E501" t="s">
        <v>38</v>
      </c>
      <c r="F501" t="s">
        <v>30</v>
      </c>
      <c r="G501">
        <v>48068.4</v>
      </c>
      <c r="H501">
        <v>24608.15</v>
      </c>
      <c r="I501" t="s">
        <v>84</v>
      </c>
      <c r="J501" t="s">
        <v>54</v>
      </c>
      <c r="K501" t="s">
        <v>80</v>
      </c>
      <c r="L501" t="s">
        <v>88</v>
      </c>
      <c r="M501">
        <v>4</v>
      </c>
      <c r="N501" t="s">
        <v>24</v>
      </c>
      <c r="O501" t="s">
        <v>70</v>
      </c>
      <c r="P501" t="s">
        <v>49</v>
      </c>
    </row>
    <row r="502" spans="1:16" x14ac:dyDescent="0.25">
      <c r="A502" t="s">
        <v>1352</v>
      </c>
      <c r="B502" s="6">
        <v>45157</v>
      </c>
      <c r="C502">
        <v>8357</v>
      </c>
      <c r="D502" t="s">
        <v>1353</v>
      </c>
      <c r="E502" t="s">
        <v>18</v>
      </c>
      <c r="F502" t="s">
        <v>30</v>
      </c>
      <c r="G502">
        <v>103835.65</v>
      </c>
      <c r="H502">
        <v>53479.85</v>
      </c>
      <c r="I502" t="s">
        <v>63</v>
      </c>
      <c r="J502" t="s">
        <v>54</v>
      </c>
      <c r="K502" t="s">
        <v>80</v>
      </c>
      <c r="L502" t="s">
        <v>64</v>
      </c>
      <c r="M502">
        <v>2</v>
      </c>
      <c r="N502" t="s">
        <v>69</v>
      </c>
      <c r="O502" t="s">
        <v>25</v>
      </c>
      <c r="P502" t="s">
        <v>26</v>
      </c>
    </row>
    <row r="503" spans="1:16" x14ac:dyDescent="0.25">
      <c r="A503" t="s">
        <v>1354</v>
      </c>
      <c r="B503" s="6">
        <v>45011</v>
      </c>
      <c r="C503">
        <v>6060</v>
      </c>
      <c r="D503" t="s">
        <v>1356</v>
      </c>
      <c r="E503" t="s">
        <v>18</v>
      </c>
      <c r="F503" t="s">
        <v>19</v>
      </c>
      <c r="G503">
        <v>11071.7</v>
      </c>
      <c r="H503">
        <v>5170.82</v>
      </c>
      <c r="I503" t="s">
        <v>59</v>
      </c>
      <c r="J503" t="s">
        <v>41</v>
      </c>
      <c r="K503" t="s">
        <v>22</v>
      </c>
      <c r="L503" t="s">
        <v>43</v>
      </c>
      <c r="M503">
        <v>5</v>
      </c>
      <c r="N503" t="s">
        <v>33</v>
      </c>
      <c r="O503" t="s">
        <v>25</v>
      </c>
      <c r="P503" t="s">
        <v>26</v>
      </c>
    </row>
    <row r="504" spans="1:16" x14ac:dyDescent="0.25">
      <c r="A504" t="s">
        <v>1357</v>
      </c>
      <c r="B504" s="6">
        <v>43936</v>
      </c>
      <c r="C504">
        <v>8278</v>
      </c>
      <c r="D504" t="s">
        <v>1358</v>
      </c>
      <c r="E504" t="s">
        <v>18</v>
      </c>
      <c r="F504" t="s">
        <v>58</v>
      </c>
      <c r="G504">
        <v>34070.47</v>
      </c>
      <c r="H504">
        <v>19466.88</v>
      </c>
      <c r="I504" t="s">
        <v>84</v>
      </c>
      <c r="J504" t="s">
        <v>54</v>
      </c>
      <c r="K504" t="s">
        <v>80</v>
      </c>
      <c r="L504" t="s">
        <v>43</v>
      </c>
      <c r="M504">
        <v>1</v>
      </c>
      <c r="N504" t="s">
        <v>24</v>
      </c>
      <c r="O504" t="s">
        <v>70</v>
      </c>
      <c r="P504" t="s">
        <v>34</v>
      </c>
    </row>
    <row r="505" spans="1:16" x14ac:dyDescent="0.25">
      <c r="A505" t="s">
        <v>1359</v>
      </c>
      <c r="B505" s="6">
        <v>45122</v>
      </c>
      <c r="C505">
        <v>2491</v>
      </c>
      <c r="D505" t="s">
        <v>1360</v>
      </c>
      <c r="E505" t="s">
        <v>18</v>
      </c>
      <c r="F505" t="s">
        <v>58</v>
      </c>
      <c r="G505">
        <v>61067.88</v>
      </c>
      <c r="H505">
        <v>34097.61</v>
      </c>
      <c r="I505" t="s">
        <v>53</v>
      </c>
      <c r="J505" t="s">
        <v>54</v>
      </c>
      <c r="K505" t="s">
        <v>42</v>
      </c>
      <c r="L505" t="s">
        <v>23</v>
      </c>
      <c r="M505">
        <v>2</v>
      </c>
      <c r="N505" t="s">
        <v>33</v>
      </c>
      <c r="O505" t="s">
        <v>25</v>
      </c>
      <c r="P505" t="s">
        <v>34</v>
      </c>
    </row>
    <row r="506" spans="1:16" x14ac:dyDescent="0.25">
      <c r="A506" t="s">
        <v>1361</v>
      </c>
      <c r="B506" s="6">
        <v>45093</v>
      </c>
      <c r="C506">
        <v>1445</v>
      </c>
      <c r="D506" t="s">
        <v>1362</v>
      </c>
      <c r="E506" t="s">
        <v>18</v>
      </c>
      <c r="F506" t="s">
        <v>58</v>
      </c>
      <c r="G506">
        <v>16410.7</v>
      </c>
      <c r="H506">
        <v>7708.91</v>
      </c>
      <c r="I506" t="s">
        <v>40</v>
      </c>
      <c r="J506" t="s">
        <v>41</v>
      </c>
      <c r="K506" t="s">
        <v>32</v>
      </c>
      <c r="L506" t="s">
        <v>64</v>
      </c>
      <c r="M506">
        <v>3</v>
      </c>
      <c r="N506" t="s">
        <v>33</v>
      </c>
      <c r="O506" t="s">
        <v>70</v>
      </c>
      <c r="P506" t="s">
        <v>26</v>
      </c>
    </row>
    <row r="507" spans="1:16" x14ac:dyDescent="0.25">
      <c r="A507" t="s">
        <v>1363</v>
      </c>
      <c r="B507" s="6">
        <v>45179</v>
      </c>
      <c r="C507">
        <v>9264</v>
      </c>
      <c r="D507" t="s">
        <v>1364</v>
      </c>
      <c r="E507" t="s">
        <v>38</v>
      </c>
      <c r="F507" t="s">
        <v>19</v>
      </c>
      <c r="G507">
        <v>23826.63</v>
      </c>
      <c r="H507">
        <v>12005.23</v>
      </c>
      <c r="I507" t="s">
        <v>63</v>
      </c>
      <c r="J507" t="s">
        <v>54</v>
      </c>
      <c r="K507" t="s">
        <v>42</v>
      </c>
      <c r="L507" t="s">
        <v>64</v>
      </c>
      <c r="M507">
        <v>5</v>
      </c>
      <c r="N507" t="s">
        <v>33</v>
      </c>
      <c r="O507" t="s">
        <v>25</v>
      </c>
      <c r="P507" t="s">
        <v>34</v>
      </c>
    </row>
    <row r="508" spans="1:16" x14ac:dyDescent="0.25">
      <c r="A508" t="s">
        <v>1365</v>
      </c>
      <c r="B508" s="6">
        <v>45637</v>
      </c>
      <c r="C508">
        <v>5035</v>
      </c>
      <c r="D508" t="s">
        <v>1366</v>
      </c>
      <c r="E508" t="s">
        <v>18</v>
      </c>
      <c r="F508" t="s">
        <v>39</v>
      </c>
      <c r="G508">
        <v>21315.279999999999</v>
      </c>
      <c r="H508">
        <v>11325.86</v>
      </c>
      <c r="I508" t="s">
        <v>20</v>
      </c>
      <c r="J508" t="s">
        <v>21</v>
      </c>
      <c r="K508" t="s">
        <v>22</v>
      </c>
      <c r="L508" t="s">
        <v>48</v>
      </c>
      <c r="M508">
        <v>5</v>
      </c>
      <c r="N508" t="s">
        <v>33</v>
      </c>
      <c r="O508" t="s">
        <v>70</v>
      </c>
      <c r="P508" t="s">
        <v>34</v>
      </c>
    </row>
    <row r="509" spans="1:16" x14ac:dyDescent="0.25">
      <c r="A509" t="s">
        <v>1367</v>
      </c>
      <c r="B509" s="6">
        <v>45143</v>
      </c>
      <c r="C509">
        <v>8401</v>
      </c>
      <c r="D509" t="s">
        <v>1368</v>
      </c>
      <c r="E509" t="s">
        <v>18</v>
      </c>
      <c r="F509" t="s">
        <v>19</v>
      </c>
      <c r="G509">
        <v>4041.69</v>
      </c>
      <c r="H509">
        <v>2194.36</v>
      </c>
      <c r="I509" t="s">
        <v>20</v>
      </c>
      <c r="J509" t="s">
        <v>21</v>
      </c>
      <c r="K509" t="s">
        <v>42</v>
      </c>
      <c r="L509" t="s">
        <v>48</v>
      </c>
      <c r="M509">
        <v>2</v>
      </c>
      <c r="N509" t="s">
        <v>33</v>
      </c>
      <c r="O509" t="s">
        <v>70</v>
      </c>
      <c r="P509" t="s">
        <v>34</v>
      </c>
    </row>
    <row r="510" spans="1:16" x14ac:dyDescent="0.25">
      <c r="A510" t="s">
        <v>1369</v>
      </c>
      <c r="B510" s="6">
        <v>44741</v>
      </c>
      <c r="C510">
        <v>4485</v>
      </c>
      <c r="D510" t="s">
        <v>1370</v>
      </c>
      <c r="E510" t="s">
        <v>38</v>
      </c>
      <c r="F510" t="s">
        <v>47</v>
      </c>
      <c r="G510">
        <v>3682.27</v>
      </c>
      <c r="H510">
        <v>2201.4</v>
      </c>
      <c r="I510" t="s">
        <v>53</v>
      </c>
      <c r="J510" t="s">
        <v>54</v>
      </c>
      <c r="K510" t="s">
        <v>22</v>
      </c>
      <c r="L510" t="s">
        <v>88</v>
      </c>
      <c r="M510">
        <v>1</v>
      </c>
      <c r="N510" t="s">
        <v>33</v>
      </c>
      <c r="O510" t="s">
        <v>25</v>
      </c>
      <c r="P510" t="s">
        <v>26</v>
      </c>
    </row>
    <row r="511" spans="1:16" x14ac:dyDescent="0.25">
      <c r="A511" t="s">
        <v>1371</v>
      </c>
      <c r="B511" s="6">
        <v>44455</v>
      </c>
      <c r="C511">
        <v>6613</v>
      </c>
      <c r="D511" t="s">
        <v>1373</v>
      </c>
      <c r="E511" t="s">
        <v>38</v>
      </c>
      <c r="F511" t="s">
        <v>47</v>
      </c>
      <c r="G511">
        <v>12533.68</v>
      </c>
      <c r="H511">
        <v>7414.31</v>
      </c>
      <c r="I511" t="s">
        <v>120</v>
      </c>
      <c r="J511" t="s">
        <v>21</v>
      </c>
      <c r="K511" t="s">
        <v>42</v>
      </c>
      <c r="L511" t="s">
        <v>23</v>
      </c>
      <c r="M511">
        <v>3</v>
      </c>
      <c r="N511" t="s">
        <v>33</v>
      </c>
      <c r="O511" t="s">
        <v>25</v>
      </c>
      <c r="P511" t="s">
        <v>49</v>
      </c>
    </row>
    <row r="512" spans="1:16" x14ac:dyDescent="0.25">
      <c r="A512" t="s">
        <v>1374</v>
      </c>
      <c r="B512" s="6">
        <v>45603</v>
      </c>
      <c r="C512">
        <v>1070</v>
      </c>
      <c r="D512" t="s">
        <v>1375</v>
      </c>
      <c r="E512" t="s">
        <v>18</v>
      </c>
      <c r="F512" t="s">
        <v>58</v>
      </c>
      <c r="G512">
        <v>49335.21</v>
      </c>
      <c r="H512">
        <v>26277.54</v>
      </c>
      <c r="I512" t="s">
        <v>84</v>
      </c>
      <c r="J512" t="s">
        <v>54</v>
      </c>
      <c r="K512" t="s">
        <v>80</v>
      </c>
      <c r="L512" t="s">
        <v>64</v>
      </c>
      <c r="M512">
        <v>5</v>
      </c>
      <c r="N512" t="s">
        <v>33</v>
      </c>
      <c r="O512" t="s">
        <v>70</v>
      </c>
      <c r="P512" t="s">
        <v>49</v>
      </c>
    </row>
    <row r="513" spans="1:16" x14ac:dyDescent="0.25">
      <c r="A513" t="s">
        <v>1376</v>
      </c>
      <c r="B513" s="6">
        <v>45519</v>
      </c>
      <c r="C513">
        <v>3022</v>
      </c>
      <c r="D513" t="s">
        <v>1377</v>
      </c>
      <c r="E513" t="s">
        <v>38</v>
      </c>
      <c r="F513" t="s">
        <v>47</v>
      </c>
      <c r="G513">
        <v>21975.73</v>
      </c>
      <c r="H513">
        <v>11543.31</v>
      </c>
      <c r="I513" t="s">
        <v>63</v>
      </c>
      <c r="J513" t="s">
        <v>54</v>
      </c>
      <c r="K513" t="s">
        <v>42</v>
      </c>
      <c r="L513" t="s">
        <v>64</v>
      </c>
      <c r="M513">
        <v>2</v>
      </c>
      <c r="N513" t="s">
        <v>69</v>
      </c>
      <c r="O513" t="s">
        <v>70</v>
      </c>
      <c r="P513" t="s">
        <v>26</v>
      </c>
    </row>
    <row r="514" spans="1:16" x14ac:dyDescent="0.25">
      <c r="A514" t="s">
        <v>1378</v>
      </c>
      <c r="B514" s="6">
        <v>44675</v>
      </c>
      <c r="C514">
        <v>5606</v>
      </c>
      <c r="D514" t="s">
        <v>1379</v>
      </c>
      <c r="E514" t="s">
        <v>38</v>
      </c>
      <c r="F514" t="s">
        <v>47</v>
      </c>
      <c r="G514">
        <v>5872.68</v>
      </c>
      <c r="H514">
        <v>3601.46</v>
      </c>
      <c r="I514" t="s">
        <v>53</v>
      </c>
      <c r="J514" t="s">
        <v>54</v>
      </c>
      <c r="K514" t="s">
        <v>42</v>
      </c>
      <c r="L514" t="s">
        <v>48</v>
      </c>
      <c r="M514">
        <v>2</v>
      </c>
      <c r="N514" t="s">
        <v>33</v>
      </c>
      <c r="O514" t="s">
        <v>25</v>
      </c>
      <c r="P514" t="s">
        <v>34</v>
      </c>
    </row>
    <row r="515" spans="1:16" x14ac:dyDescent="0.25">
      <c r="A515" t="s">
        <v>1380</v>
      </c>
      <c r="B515" s="6">
        <v>45399</v>
      </c>
      <c r="C515">
        <v>4212</v>
      </c>
      <c r="D515" t="s">
        <v>1382</v>
      </c>
      <c r="E515" t="s">
        <v>38</v>
      </c>
      <c r="F515" t="s">
        <v>47</v>
      </c>
      <c r="G515">
        <v>5830.25</v>
      </c>
      <c r="H515">
        <v>2947.01</v>
      </c>
      <c r="I515" t="s">
        <v>53</v>
      </c>
      <c r="J515" t="s">
        <v>54</v>
      </c>
      <c r="K515" t="s">
        <v>80</v>
      </c>
      <c r="L515" t="s">
        <v>23</v>
      </c>
      <c r="M515">
        <v>5</v>
      </c>
      <c r="N515" t="s">
        <v>33</v>
      </c>
      <c r="O515" t="s">
        <v>70</v>
      </c>
      <c r="P515" t="s">
        <v>49</v>
      </c>
    </row>
    <row r="516" spans="1:16" x14ac:dyDescent="0.25">
      <c r="A516" t="s">
        <v>1383</v>
      </c>
      <c r="B516" s="6">
        <v>44960</v>
      </c>
      <c r="C516">
        <v>5253</v>
      </c>
      <c r="D516" t="s">
        <v>1384</v>
      </c>
      <c r="E516" t="s">
        <v>18</v>
      </c>
      <c r="F516" t="s">
        <v>58</v>
      </c>
      <c r="G516">
        <v>46686.68</v>
      </c>
      <c r="H516">
        <v>27814.98</v>
      </c>
      <c r="I516" t="s">
        <v>31</v>
      </c>
      <c r="J516" t="s">
        <v>21</v>
      </c>
      <c r="K516" t="s">
        <v>42</v>
      </c>
      <c r="L516" t="s">
        <v>23</v>
      </c>
      <c r="M516">
        <v>1</v>
      </c>
      <c r="N516" t="s">
        <v>69</v>
      </c>
      <c r="O516" t="s">
        <v>70</v>
      </c>
      <c r="P516" t="s">
        <v>49</v>
      </c>
    </row>
    <row r="517" spans="1:16" x14ac:dyDescent="0.25">
      <c r="A517" t="s">
        <v>1385</v>
      </c>
      <c r="B517" s="6">
        <v>45145</v>
      </c>
      <c r="C517">
        <v>1849</v>
      </c>
      <c r="D517" t="s">
        <v>1387</v>
      </c>
      <c r="E517" t="s">
        <v>38</v>
      </c>
      <c r="F517" t="s">
        <v>30</v>
      </c>
      <c r="G517">
        <v>50112.42</v>
      </c>
      <c r="H517">
        <v>32524.03</v>
      </c>
      <c r="I517" t="s">
        <v>31</v>
      </c>
      <c r="J517" t="s">
        <v>21</v>
      </c>
      <c r="K517" t="s">
        <v>42</v>
      </c>
      <c r="L517" t="s">
        <v>55</v>
      </c>
      <c r="M517">
        <v>5</v>
      </c>
      <c r="N517" t="s">
        <v>24</v>
      </c>
      <c r="O517" t="s">
        <v>25</v>
      </c>
      <c r="P517" t="s">
        <v>26</v>
      </c>
    </row>
    <row r="518" spans="1:16" x14ac:dyDescent="0.25">
      <c r="A518" t="s">
        <v>1388</v>
      </c>
      <c r="B518" s="6">
        <v>45564</v>
      </c>
      <c r="C518">
        <v>6181</v>
      </c>
      <c r="D518" t="s">
        <v>1390</v>
      </c>
      <c r="E518" t="s">
        <v>18</v>
      </c>
      <c r="F518" t="s">
        <v>58</v>
      </c>
      <c r="G518">
        <v>21092.61</v>
      </c>
      <c r="H518">
        <v>10903.64</v>
      </c>
      <c r="I518" t="s">
        <v>68</v>
      </c>
      <c r="J518" t="s">
        <v>41</v>
      </c>
      <c r="K518" t="s">
        <v>22</v>
      </c>
      <c r="L518" t="s">
        <v>48</v>
      </c>
      <c r="M518">
        <v>2</v>
      </c>
      <c r="N518" t="s">
        <v>69</v>
      </c>
      <c r="O518" t="s">
        <v>25</v>
      </c>
      <c r="P518" t="s">
        <v>26</v>
      </c>
    </row>
    <row r="519" spans="1:16" x14ac:dyDescent="0.25">
      <c r="A519" t="s">
        <v>1391</v>
      </c>
      <c r="B519" s="6">
        <v>44882</v>
      </c>
      <c r="C519">
        <v>2584</v>
      </c>
      <c r="D519" t="s">
        <v>1393</v>
      </c>
      <c r="E519" t="s">
        <v>18</v>
      </c>
      <c r="F519" t="s">
        <v>58</v>
      </c>
      <c r="G519">
        <v>19319.07</v>
      </c>
      <c r="H519">
        <v>11815.77</v>
      </c>
      <c r="I519" t="s">
        <v>68</v>
      </c>
      <c r="J519" t="s">
        <v>41</v>
      </c>
      <c r="K519" t="s">
        <v>42</v>
      </c>
      <c r="L519" t="s">
        <v>88</v>
      </c>
      <c r="M519">
        <v>2</v>
      </c>
      <c r="N519" t="s">
        <v>33</v>
      </c>
      <c r="O519" t="s">
        <v>25</v>
      </c>
      <c r="P519" t="s">
        <v>34</v>
      </c>
    </row>
    <row r="520" spans="1:16" x14ac:dyDescent="0.25">
      <c r="A520" t="s">
        <v>1394</v>
      </c>
      <c r="B520" s="6">
        <v>44234</v>
      </c>
      <c r="C520">
        <v>8184</v>
      </c>
      <c r="D520" t="s">
        <v>1395</v>
      </c>
      <c r="E520" t="s">
        <v>18</v>
      </c>
      <c r="F520" t="s">
        <v>30</v>
      </c>
      <c r="G520">
        <v>36752.17</v>
      </c>
      <c r="H520">
        <v>20793.900000000001</v>
      </c>
      <c r="I520" t="s">
        <v>59</v>
      </c>
      <c r="J520" t="s">
        <v>41</v>
      </c>
      <c r="K520" t="s">
        <v>22</v>
      </c>
      <c r="L520" t="s">
        <v>55</v>
      </c>
      <c r="M520">
        <v>1</v>
      </c>
      <c r="N520" t="s">
        <v>33</v>
      </c>
      <c r="O520" t="s">
        <v>70</v>
      </c>
      <c r="P520" t="s">
        <v>49</v>
      </c>
    </row>
    <row r="521" spans="1:16" x14ac:dyDescent="0.25">
      <c r="A521" t="s">
        <v>1396</v>
      </c>
      <c r="B521" s="6">
        <v>45320</v>
      </c>
      <c r="C521">
        <v>8075</v>
      </c>
      <c r="D521" t="s">
        <v>1398</v>
      </c>
      <c r="E521" t="s">
        <v>18</v>
      </c>
      <c r="F521" t="s">
        <v>58</v>
      </c>
      <c r="G521">
        <v>17651.43</v>
      </c>
      <c r="H521">
        <v>8140.1</v>
      </c>
      <c r="I521" t="s">
        <v>63</v>
      </c>
      <c r="J521" t="s">
        <v>54</v>
      </c>
      <c r="K521" t="s">
        <v>22</v>
      </c>
      <c r="L521" t="s">
        <v>88</v>
      </c>
      <c r="M521">
        <v>4</v>
      </c>
      <c r="N521" t="s">
        <v>33</v>
      </c>
      <c r="O521" t="s">
        <v>70</v>
      </c>
      <c r="P521" t="s">
        <v>34</v>
      </c>
    </row>
    <row r="522" spans="1:16" x14ac:dyDescent="0.25">
      <c r="A522" t="s">
        <v>1399</v>
      </c>
      <c r="B522" s="6">
        <v>45159</v>
      </c>
      <c r="C522">
        <v>8605</v>
      </c>
      <c r="D522" t="s">
        <v>1400</v>
      </c>
      <c r="E522" t="s">
        <v>38</v>
      </c>
      <c r="F522" t="s">
        <v>19</v>
      </c>
      <c r="G522">
        <v>22437.56</v>
      </c>
      <c r="H522">
        <v>12875.71</v>
      </c>
      <c r="I522" t="s">
        <v>84</v>
      </c>
      <c r="J522" t="s">
        <v>54</v>
      </c>
      <c r="K522" t="s">
        <v>42</v>
      </c>
      <c r="L522" t="s">
        <v>48</v>
      </c>
      <c r="M522">
        <v>1</v>
      </c>
      <c r="N522" t="s">
        <v>24</v>
      </c>
      <c r="O522" t="s">
        <v>25</v>
      </c>
      <c r="P522" t="s">
        <v>26</v>
      </c>
    </row>
    <row r="523" spans="1:16" x14ac:dyDescent="0.25">
      <c r="A523" t="s">
        <v>1401</v>
      </c>
      <c r="B523" s="6">
        <v>43930</v>
      </c>
      <c r="C523">
        <v>3064</v>
      </c>
      <c r="D523" t="s">
        <v>1402</v>
      </c>
      <c r="E523" t="s">
        <v>38</v>
      </c>
      <c r="F523" t="s">
        <v>30</v>
      </c>
      <c r="G523">
        <v>34149.199999999997</v>
      </c>
      <c r="H523">
        <v>18655.02</v>
      </c>
      <c r="I523" t="s">
        <v>63</v>
      </c>
      <c r="J523" t="s">
        <v>54</v>
      </c>
      <c r="K523" t="s">
        <v>80</v>
      </c>
      <c r="L523" t="s">
        <v>23</v>
      </c>
      <c r="M523">
        <v>2</v>
      </c>
      <c r="N523" t="s">
        <v>33</v>
      </c>
      <c r="O523" t="s">
        <v>25</v>
      </c>
      <c r="P523" t="s">
        <v>26</v>
      </c>
    </row>
    <row r="524" spans="1:16" x14ac:dyDescent="0.25">
      <c r="A524" t="s">
        <v>1403</v>
      </c>
      <c r="B524" s="6">
        <v>45110</v>
      </c>
      <c r="C524">
        <v>9866</v>
      </c>
      <c r="D524" t="s">
        <v>1404</v>
      </c>
      <c r="E524" t="s">
        <v>18</v>
      </c>
      <c r="F524" t="s">
        <v>30</v>
      </c>
      <c r="G524">
        <v>31409.99</v>
      </c>
      <c r="H524">
        <v>16073.59</v>
      </c>
      <c r="I524" t="s">
        <v>53</v>
      </c>
      <c r="J524" t="s">
        <v>54</v>
      </c>
      <c r="K524" t="s">
        <v>42</v>
      </c>
      <c r="L524" t="s">
        <v>88</v>
      </c>
      <c r="M524">
        <v>3</v>
      </c>
      <c r="N524" t="s">
        <v>69</v>
      </c>
      <c r="O524" t="s">
        <v>25</v>
      </c>
      <c r="P524" t="s">
        <v>49</v>
      </c>
    </row>
    <row r="525" spans="1:16" x14ac:dyDescent="0.25">
      <c r="A525" t="s">
        <v>1405</v>
      </c>
      <c r="B525" s="6">
        <v>45578</v>
      </c>
      <c r="C525">
        <v>7915</v>
      </c>
      <c r="D525" t="s">
        <v>1407</v>
      </c>
      <c r="E525" t="s">
        <v>38</v>
      </c>
      <c r="F525" t="s">
        <v>39</v>
      </c>
      <c r="G525">
        <v>16810.54</v>
      </c>
      <c r="H525">
        <v>8238.41</v>
      </c>
      <c r="I525" t="s">
        <v>20</v>
      </c>
      <c r="J525" t="s">
        <v>21</v>
      </c>
      <c r="K525" t="s">
        <v>32</v>
      </c>
      <c r="L525" t="s">
        <v>55</v>
      </c>
      <c r="M525">
        <v>3</v>
      </c>
      <c r="N525" t="s">
        <v>33</v>
      </c>
      <c r="O525" t="s">
        <v>25</v>
      </c>
      <c r="P525" t="s">
        <v>49</v>
      </c>
    </row>
    <row r="526" spans="1:16" x14ac:dyDescent="0.25">
      <c r="A526" t="s">
        <v>1408</v>
      </c>
      <c r="B526" s="6">
        <v>45581</v>
      </c>
      <c r="C526">
        <v>5909</v>
      </c>
      <c r="D526" t="s">
        <v>1410</v>
      </c>
      <c r="E526" t="s">
        <v>38</v>
      </c>
      <c r="F526" t="s">
        <v>19</v>
      </c>
      <c r="G526">
        <v>7748.42</v>
      </c>
      <c r="H526">
        <v>3649.27</v>
      </c>
      <c r="I526" t="s">
        <v>40</v>
      </c>
      <c r="J526" t="s">
        <v>41</v>
      </c>
      <c r="K526" t="s">
        <v>22</v>
      </c>
      <c r="L526" t="s">
        <v>64</v>
      </c>
      <c r="M526">
        <v>2</v>
      </c>
      <c r="N526" t="s">
        <v>69</v>
      </c>
      <c r="O526" t="s">
        <v>70</v>
      </c>
      <c r="P526" t="s">
        <v>49</v>
      </c>
    </row>
    <row r="527" spans="1:16" x14ac:dyDescent="0.25">
      <c r="A527" t="s">
        <v>1411</v>
      </c>
      <c r="B527" s="6">
        <v>45096</v>
      </c>
      <c r="C527">
        <v>4363</v>
      </c>
      <c r="D527" t="s">
        <v>1412</v>
      </c>
      <c r="E527" t="s">
        <v>38</v>
      </c>
      <c r="F527" t="s">
        <v>58</v>
      </c>
      <c r="G527">
        <v>20447.52</v>
      </c>
      <c r="H527">
        <v>13249.49</v>
      </c>
      <c r="I527" t="s">
        <v>84</v>
      </c>
      <c r="J527" t="s">
        <v>54</v>
      </c>
      <c r="K527" t="s">
        <v>42</v>
      </c>
      <c r="L527" t="s">
        <v>55</v>
      </c>
      <c r="M527">
        <v>1</v>
      </c>
      <c r="N527" t="s">
        <v>33</v>
      </c>
      <c r="O527" t="s">
        <v>25</v>
      </c>
      <c r="P527" t="s">
        <v>26</v>
      </c>
    </row>
    <row r="528" spans="1:16" x14ac:dyDescent="0.25">
      <c r="A528" t="s">
        <v>1413</v>
      </c>
      <c r="B528" s="6">
        <v>45476</v>
      </c>
      <c r="C528">
        <v>1486</v>
      </c>
      <c r="D528" t="s">
        <v>1415</v>
      </c>
      <c r="E528" t="s">
        <v>18</v>
      </c>
      <c r="F528" t="s">
        <v>19</v>
      </c>
      <c r="G528">
        <v>9552.69</v>
      </c>
      <c r="H528">
        <v>4631.42</v>
      </c>
      <c r="I528" t="s">
        <v>63</v>
      </c>
      <c r="J528" t="s">
        <v>54</v>
      </c>
      <c r="K528" t="s">
        <v>42</v>
      </c>
      <c r="L528" t="s">
        <v>48</v>
      </c>
      <c r="M528">
        <v>2</v>
      </c>
      <c r="N528" t="s">
        <v>33</v>
      </c>
      <c r="O528" t="s">
        <v>25</v>
      </c>
      <c r="P528" t="s">
        <v>26</v>
      </c>
    </row>
    <row r="529" spans="1:16" x14ac:dyDescent="0.25">
      <c r="A529" t="s">
        <v>1416</v>
      </c>
      <c r="B529" s="6">
        <v>45302</v>
      </c>
      <c r="C529">
        <v>3248</v>
      </c>
      <c r="D529" t="s">
        <v>1418</v>
      </c>
      <c r="E529" t="s">
        <v>38</v>
      </c>
      <c r="F529" t="s">
        <v>47</v>
      </c>
      <c r="G529">
        <v>16028.8</v>
      </c>
      <c r="H529">
        <v>10050.09</v>
      </c>
      <c r="I529" t="s">
        <v>63</v>
      </c>
      <c r="J529" t="s">
        <v>54</v>
      </c>
      <c r="K529" t="s">
        <v>42</v>
      </c>
      <c r="L529" t="s">
        <v>23</v>
      </c>
      <c r="M529">
        <v>3</v>
      </c>
      <c r="N529" t="s">
        <v>24</v>
      </c>
      <c r="O529" t="s">
        <v>25</v>
      </c>
      <c r="P529" t="s">
        <v>34</v>
      </c>
    </row>
    <row r="530" spans="1:16" x14ac:dyDescent="0.25">
      <c r="A530" t="s">
        <v>1419</v>
      </c>
      <c r="B530" s="6">
        <v>45514</v>
      </c>
      <c r="C530">
        <v>2941</v>
      </c>
      <c r="D530" t="s">
        <v>1420</v>
      </c>
      <c r="E530" t="s">
        <v>18</v>
      </c>
      <c r="F530" t="s">
        <v>47</v>
      </c>
      <c r="G530">
        <v>16917.55</v>
      </c>
      <c r="H530">
        <v>8055.44</v>
      </c>
      <c r="I530" t="s">
        <v>31</v>
      </c>
      <c r="J530" t="s">
        <v>21</v>
      </c>
      <c r="K530" t="s">
        <v>32</v>
      </c>
      <c r="L530" t="s">
        <v>23</v>
      </c>
      <c r="M530">
        <v>5</v>
      </c>
      <c r="N530" t="s">
        <v>33</v>
      </c>
      <c r="O530" t="s">
        <v>25</v>
      </c>
      <c r="P530" t="s">
        <v>49</v>
      </c>
    </row>
    <row r="531" spans="1:16" x14ac:dyDescent="0.25">
      <c r="A531" t="s">
        <v>1421</v>
      </c>
      <c r="B531" s="6">
        <v>44146</v>
      </c>
      <c r="C531">
        <v>4098</v>
      </c>
      <c r="D531" t="s">
        <v>1423</v>
      </c>
      <c r="E531" t="s">
        <v>38</v>
      </c>
      <c r="F531" t="s">
        <v>39</v>
      </c>
      <c r="G531">
        <v>29750.76</v>
      </c>
      <c r="H531">
        <v>15337.59</v>
      </c>
      <c r="I531" t="s">
        <v>84</v>
      </c>
      <c r="J531" t="s">
        <v>54</v>
      </c>
      <c r="K531" t="s">
        <v>22</v>
      </c>
      <c r="L531" t="s">
        <v>48</v>
      </c>
      <c r="M531">
        <v>3</v>
      </c>
      <c r="N531" t="s">
        <v>69</v>
      </c>
      <c r="O531" t="s">
        <v>70</v>
      </c>
      <c r="P531" t="s">
        <v>49</v>
      </c>
    </row>
    <row r="532" spans="1:16" x14ac:dyDescent="0.25">
      <c r="A532" t="s">
        <v>1424</v>
      </c>
      <c r="B532" s="6">
        <v>45631</v>
      </c>
      <c r="C532">
        <v>2062</v>
      </c>
      <c r="D532" t="s">
        <v>1426</v>
      </c>
      <c r="E532" t="s">
        <v>18</v>
      </c>
      <c r="F532" t="s">
        <v>19</v>
      </c>
      <c r="G532">
        <v>10195.219999999999</v>
      </c>
      <c r="H532">
        <v>6119.8</v>
      </c>
      <c r="I532" t="s">
        <v>68</v>
      </c>
      <c r="J532" t="s">
        <v>41</v>
      </c>
      <c r="K532" t="s">
        <v>42</v>
      </c>
      <c r="L532" t="s">
        <v>64</v>
      </c>
      <c r="M532">
        <v>5</v>
      </c>
      <c r="N532" t="s">
        <v>24</v>
      </c>
      <c r="O532" t="s">
        <v>25</v>
      </c>
      <c r="P532" t="s">
        <v>34</v>
      </c>
    </row>
    <row r="533" spans="1:16" x14ac:dyDescent="0.25">
      <c r="A533" t="s">
        <v>1427</v>
      </c>
      <c r="B533" s="6">
        <v>45064</v>
      </c>
      <c r="C533">
        <v>7569</v>
      </c>
      <c r="D533" t="s">
        <v>1429</v>
      </c>
      <c r="E533" t="s">
        <v>18</v>
      </c>
      <c r="F533" t="s">
        <v>19</v>
      </c>
      <c r="G533">
        <v>7480.05</v>
      </c>
      <c r="H533">
        <v>4704.78</v>
      </c>
      <c r="I533" t="s">
        <v>120</v>
      </c>
      <c r="J533" t="s">
        <v>21</v>
      </c>
      <c r="K533" t="s">
        <v>80</v>
      </c>
      <c r="L533" t="s">
        <v>23</v>
      </c>
      <c r="M533">
        <v>4</v>
      </c>
      <c r="N533" t="s">
        <v>33</v>
      </c>
      <c r="O533" t="s">
        <v>25</v>
      </c>
      <c r="P533" t="s">
        <v>34</v>
      </c>
    </row>
    <row r="534" spans="1:16" x14ac:dyDescent="0.25">
      <c r="A534" t="s">
        <v>1430</v>
      </c>
      <c r="B534" s="6">
        <v>43874</v>
      </c>
      <c r="C534">
        <v>8282</v>
      </c>
      <c r="D534" t="s">
        <v>1432</v>
      </c>
      <c r="E534" t="s">
        <v>38</v>
      </c>
      <c r="F534" t="s">
        <v>39</v>
      </c>
      <c r="G534">
        <v>10946.9</v>
      </c>
      <c r="H534">
        <v>5016.18</v>
      </c>
      <c r="I534" t="s">
        <v>120</v>
      </c>
      <c r="J534" t="s">
        <v>21</v>
      </c>
      <c r="K534" t="s">
        <v>42</v>
      </c>
      <c r="L534" t="s">
        <v>64</v>
      </c>
      <c r="M534">
        <v>4</v>
      </c>
      <c r="N534" t="s">
        <v>24</v>
      </c>
      <c r="O534" t="s">
        <v>25</v>
      </c>
      <c r="P534" t="s">
        <v>34</v>
      </c>
    </row>
    <row r="535" spans="1:16" x14ac:dyDescent="0.25">
      <c r="A535" t="s">
        <v>1433</v>
      </c>
      <c r="B535" s="6">
        <v>44697</v>
      </c>
      <c r="C535">
        <v>2243</v>
      </c>
      <c r="D535" t="s">
        <v>1434</v>
      </c>
      <c r="E535" t="s">
        <v>38</v>
      </c>
      <c r="F535" t="s">
        <v>58</v>
      </c>
      <c r="G535">
        <v>49625.53</v>
      </c>
      <c r="H535">
        <v>25254.61</v>
      </c>
      <c r="I535" t="s">
        <v>53</v>
      </c>
      <c r="J535" t="s">
        <v>54</v>
      </c>
      <c r="K535" t="s">
        <v>22</v>
      </c>
      <c r="L535" t="s">
        <v>88</v>
      </c>
      <c r="M535">
        <v>2</v>
      </c>
      <c r="N535" t="s">
        <v>33</v>
      </c>
      <c r="O535" t="s">
        <v>25</v>
      </c>
      <c r="P535" t="s">
        <v>26</v>
      </c>
    </row>
    <row r="536" spans="1:16" x14ac:dyDescent="0.25">
      <c r="A536" t="s">
        <v>1435</v>
      </c>
      <c r="B536" s="6">
        <v>44716</v>
      </c>
      <c r="C536">
        <v>5496</v>
      </c>
      <c r="D536" t="s">
        <v>1436</v>
      </c>
      <c r="E536" t="s">
        <v>18</v>
      </c>
      <c r="F536" t="s">
        <v>58</v>
      </c>
      <c r="G536">
        <v>34108.78</v>
      </c>
      <c r="H536">
        <v>22157.03</v>
      </c>
      <c r="I536" t="s">
        <v>120</v>
      </c>
      <c r="J536" t="s">
        <v>21</v>
      </c>
      <c r="K536" t="s">
        <v>42</v>
      </c>
      <c r="L536" t="s">
        <v>55</v>
      </c>
      <c r="M536">
        <v>3</v>
      </c>
      <c r="N536" t="s">
        <v>33</v>
      </c>
      <c r="O536" t="s">
        <v>25</v>
      </c>
      <c r="P536" t="s">
        <v>34</v>
      </c>
    </row>
    <row r="537" spans="1:16" x14ac:dyDescent="0.25">
      <c r="A537" t="s">
        <v>1437</v>
      </c>
      <c r="B537" s="6">
        <v>44165</v>
      </c>
      <c r="C537">
        <v>3445</v>
      </c>
      <c r="D537" t="s">
        <v>1438</v>
      </c>
      <c r="E537" t="s">
        <v>38</v>
      </c>
      <c r="F537" t="s">
        <v>19</v>
      </c>
      <c r="G537">
        <v>3824.94</v>
      </c>
      <c r="H537">
        <v>2274.5700000000002</v>
      </c>
      <c r="I537" t="s">
        <v>40</v>
      </c>
      <c r="J537" t="s">
        <v>41</v>
      </c>
      <c r="K537" t="s">
        <v>32</v>
      </c>
      <c r="L537" t="s">
        <v>64</v>
      </c>
      <c r="M537">
        <v>2</v>
      </c>
      <c r="N537" t="s">
        <v>24</v>
      </c>
      <c r="O537" t="s">
        <v>70</v>
      </c>
      <c r="P537" t="s">
        <v>34</v>
      </c>
    </row>
    <row r="538" spans="1:16" x14ac:dyDescent="0.25">
      <c r="A538" t="s">
        <v>1439</v>
      </c>
      <c r="B538" s="6">
        <v>43927</v>
      </c>
      <c r="C538">
        <v>7843</v>
      </c>
      <c r="D538" t="s">
        <v>1440</v>
      </c>
      <c r="E538" t="s">
        <v>18</v>
      </c>
      <c r="F538" t="s">
        <v>39</v>
      </c>
      <c r="G538">
        <v>16107.35</v>
      </c>
      <c r="H538">
        <v>9996.0400000000009</v>
      </c>
      <c r="I538" t="s">
        <v>120</v>
      </c>
      <c r="J538" t="s">
        <v>21</v>
      </c>
      <c r="K538" t="s">
        <v>22</v>
      </c>
      <c r="L538" t="s">
        <v>88</v>
      </c>
      <c r="M538">
        <v>2</v>
      </c>
      <c r="N538" t="s">
        <v>24</v>
      </c>
      <c r="O538" t="s">
        <v>25</v>
      </c>
      <c r="P538" t="s">
        <v>49</v>
      </c>
    </row>
    <row r="539" spans="1:16" x14ac:dyDescent="0.25">
      <c r="A539" t="s">
        <v>1441</v>
      </c>
      <c r="B539" s="6">
        <v>44776</v>
      </c>
      <c r="C539">
        <v>7608</v>
      </c>
      <c r="D539" t="s">
        <v>1442</v>
      </c>
      <c r="E539" t="s">
        <v>38</v>
      </c>
      <c r="F539" t="s">
        <v>47</v>
      </c>
      <c r="G539">
        <v>7891.19</v>
      </c>
      <c r="H539">
        <v>3587.71</v>
      </c>
      <c r="I539" t="s">
        <v>84</v>
      </c>
      <c r="J539" t="s">
        <v>54</v>
      </c>
      <c r="K539" t="s">
        <v>22</v>
      </c>
      <c r="L539" t="s">
        <v>23</v>
      </c>
      <c r="M539">
        <v>2</v>
      </c>
      <c r="N539" t="s">
        <v>69</v>
      </c>
      <c r="O539" t="s">
        <v>70</v>
      </c>
      <c r="P539" t="s">
        <v>49</v>
      </c>
    </row>
    <row r="540" spans="1:16" x14ac:dyDescent="0.25">
      <c r="A540" t="s">
        <v>1443</v>
      </c>
      <c r="B540" s="6">
        <v>45127</v>
      </c>
      <c r="C540">
        <v>4345</v>
      </c>
      <c r="D540" t="s">
        <v>1444</v>
      </c>
      <c r="E540" t="s">
        <v>38</v>
      </c>
      <c r="F540" t="s">
        <v>47</v>
      </c>
      <c r="G540">
        <v>3790.82</v>
      </c>
      <c r="H540">
        <v>1998.85</v>
      </c>
      <c r="I540" t="s">
        <v>31</v>
      </c>
      <c r="J540" t="s">
        <v>21</v>
      </c>
      <c r="K540" t="s">
        <v>80</v>
      </c>
      <c r="L540" t="s">
        <v>55</v>
      </c>
      <c r="M540">
        <v>3</v>
      </c>
      <c r="N540" t="s">
        <v>24</v>
      </c>
      <c r="O540" t="s">
        <v>25</v>
      </c>
      <c r="P540" t="s">
        <v>34</v>
      </c>
    </row>
    <row r="541" spans="1:16" x14ac:dyDescent="0.25">
      <c r="A541" t="s">
        <v>1445</v>
      </c>
      <c r="B541" s="6">
        <v>44549</v>
      </c>
      <c r="C541">
        <v>9005</v>
      </c>
      <c r="D541" t="s">
        <v>1447</v>
      </c>
      <c r="E541" t="s">
        <v>18</v>
      </c>
      <c r="F541" t="s">
        <v>19</v>
      </c>
      <c r="G541">
        <v>6331.18</v>
      </c>
      <c r="H541">
        <v>2937.02</v>
      </c>
      <c r="I541" t="s">
        <v>63</v>
      </c>
      <c r="J541" t="s">
        <v>54</v>
      </c>
      <c r="K541" t="s">
        <v>80</v>
      </c>
      <c r="L541" t="s">
        <v>88</v>
      </c>
      <c r="M541">
        <v>2</v>
      </c>
      <c r="N541" t="s">
        <v>33</v>
      </c>
      <c r="O541" t="s">
        <v>70</v>
      </c>
      <c r="P541" t="s">
        <v>26</v>
      </c>
    </row>
    <row r="542" spans="1:16" x14ac:dyDescent="0.25">
      <c r="A542" t="s">
        <v>1448</v>
      </c>
      <c r="B542" s="6">
        <v>44407</v>
      </c>
      <c r="C542">
        <v>3572</v>
      </c>
      <c r="D542" t="s">
        <v>1449</v>
      </c>
      <c r="E542" t="s">
        <v>18</v>
      </c>
      <c r="F542" t="s">
        <v>30</v>
      </c>
      <c r="G542">
        <v>18212.990000000002</v>
      </c>
      <c r="H542">
        <v>9719.9599999999991</v>
      </c>
      <c r="I542" t="s">
        <v>120</v>
      </c>
      <c r="J542" t="s">
        <v>21</v>
      </c>
      <c r="K542" t="s">
        <v>22</v>
      </c>
      <c r="L542" t="s">
        <v>64</v>
      </c>
      <c r="M542">
        <v>2</v>
      </c>
      <c r="N542" t="s">
        <v>33</v>
      </c>
      <c r="O542" t="s">
        <v>25</v>
      </c>
      <c r="P542" t="s">
        <v>34</v>
      </c>
    </row>
    <row r="543" spans="1:16" x14ac:dyDescent="0.25">
      <c r="A543" t="s">
        <v>1450</v>
      </c>
      <c r="B543" s="6">
        <v>45085</v>
      </c>
      <c r="C543">
        <v>4325</v>
      </c>
      <c r="D543" t="s">
        <v>1452</v>
      </c>
      <c r="E543" t="s">
        <v>38</v>
      </c>
      <c r="F543" t="s">
        <v>30</v>
      </c>
      <c r="G543">
        <v>27692.45</v>
      </c>
      <c r="H543">
        <v>12502.83</v>
      </c>
      <c r="I543" t="s">
        <v>40</v>
      </c>
      <c r="J543" t="s">
        <v>41</v>
      </c>
      <c r="K543" t="s">
        <v>32</v>
      </c>
      <c r="L543" t="s">
        <v>64</v>
      </c>
      <c r="M543">
        <v>1</v>
      </c>
      <c r="N543" t="s">
        <v>69</v>
      </c>
      <c r="O543" t="s">
        <v>70</v>
      </c>
      <c r="P543" t="s">
        <v>26</v>
      </c>
    </row>
    <row r="544" spans="1:16" x14ac:dyDescent="0.25">
      <c r="A544" t="s">
        <v>1453</v>
      </c>
      <c r="B544" s="6">
        <v>45221</v>
      </c>
      <c r="C544">
        <v>2492</v>
      </c>
      <c r="D544" t="s">
        <v>1454</v>
      </c>
      <c r="E544" t="s">
        <v>38</v>
      </c>
      <c r="F544" t="s">
        <v>47</v>
      </c>
      <c r="G544">
        <v>12165.55</v>
      </c>
      <c r="H544">
        <v>7710.27</v>
      </c>
      <c r="I544" t="s">
        <v>31</v>
      </c>
      <c r="J544" t="s">
        <v>21</v>
      </c>
      <c r="K544" t="s">
        <v>42</v>
      </c>
      <c r="L544" t="s">
        <v>48</v>
      </c>
      <c r="M544">
        <v>3</v>
      </c>
      <c r="N544" t="s">
        <v>33</v>
      </c>
      <c r="O544" t="s">
        <v>70</v>
      </c>
      <c r="P544" t="s">
        <v>26</v>
      </c>
    </row>
    <row r="545" spans="1:16" x14ac:dyDescent="0.25">
      <c r="A545" t="s">
        <v>1455</v>
      </c>
      <c r="B545" s="6">
        <v>45526</v>
      </c>
      <c r="C545">
        <v>4005</v>
      </c>
      <c r="D545" t="s">
        <v>1457</v>
      </c>
      <c r="E545" t="s">
        <v>18</v>
      </c>
      <c r="F545" t="s">
        <v>47</v>
      </c>
      <c r="G545">
        <v>11129.09</v>
      </c>
      <c r="H545">
        <v>7113.02</v>
      </c>
      <c r="I545" t="s">
        <v>63</v>
      </c>
      <c r="J545" t="s">
        <v>54</v>
      </c>
      <c r="K545" t="s">
        <v>32</v>
      </c>
      <c r="L545" t="s">
        <v>23</v>
      </c>
      <c r="M545">
        <v>3</v>
      </c>
      <c r="N545" t="s">
        <v>69</v>
      </c>
      <c r="O545" t="s">
        <v>25</v>
      </c>
      <c r="P545" t="s">
        <v>49</v>
      </c>
    </row>
    <row r="546" spans="1:16" x14ac:dyDescent="0.25">
      <c r="A546" t="s">
        <v>1458</v>
      </c>
      <c r="B546" s="6">
        <v>45544</v>
      </c>
      <c r="C546">
        <v>2986</v>
      </c>
      <c r="D546" t="s">
        <v>1460</v>
      </c>
      <c r="E546" t="s">
        <v>38</v>
      </c>
      <c r="F546" t="s">
        <v>19</v>
      </c>
      <c r="G546">
        <v>4321.63</v>
      </c>
      <c r="H546">
        <v>2035.68</v>
      </c>
      <c r="I546" t="s">
        <v>40</v>
      </c>
      <c r="J546" t="s">
        <v>41</v>
      </c>
      <c r="K546" t="s">
        <v>42</v>
      </c>
      <c r="L546" t="s">
        <v>64</v>
      </c>
      <c r="M546">
        <v>4</v>
      </c>
      <c r="N546" t="s">
        <v>33</v>
      </c>
      <c r="O546" t="s">
        <v>25</v>
      </c>
      <c r="P546" t="s">
        <v>26</v>
      </c>
    </row>
    <row r="547" spans="1:16" x14ac:dyDescent="0.25">
      <c r="A547" t="s">
        <v>1461</v>
      </c>
      <c r="B547" s="6">
        <v>45163</v>
      </c>
      <c r="C547">
        <v>6630</v>
      </c>
      <c r="D547" t="s">
        <v>1463</v>
      </c>
      <c r="E547" t="s">
        <v>38</v>
      </c>
      <c r="F547" t="s">
        <v>19</v>
      </c>
      <c r="G547">
        <v>18295.02</v>
      </c>
      <c r="H547">
        <v>9684.19</v>
      </c>
      <c r="I547" t="s">
        <v>20</v>
      </c>
      <c r="J547" t="s">
        <v>21</v>
      </c>
      <c r="K547" t="s">
        <v>22</v>
      </c>
      <c r="L547" t="s">
        <v>88</v>
      </c>
      <c r="M547">
        <v>1</v>
      </c>
      <c r="N547" t="s">
        <v>24</v>
      </c>
      <c r="O547" t="s">
        <v>25</v>
      </c>
      <c r="P547" t="s">
        <v>49</v>
      </c>
    </row>
    <row r="548" spans="1:16" x14ac:dyDescent="0.25">
      <c r="A548" t="s">
        <v>1464</v>
      </c>
      <c r="B548" s="6">
        <v>44167</v>
      </c>
      <c r="C548">
        <v>8171</v>
      </c>
      <c r="D548" t="s">
        <v>1465</v>
      </c>
      <c r="E548" t="s">
        <v>18</v>
      </c>
      <c r="F548" t="s">
        <v>30</v>
      </c>
      <c r="G548">
        <v>34775.629999999997</v>
      </c>
      <c r="H548">
        <v>17590.5</v>
      </c>
      <c r="I548" t="s">
        <v>120</v>
      </c>
      <c r="J548" t="s">
        <v>21</v>
      </c>
      <c r="K548" t="s">
        <v>32</v>
      </c>
      <c r="L548" t="s">
        <v>23</v>
      </c>
      <c r="M548">
        <v>1</v>
      </c>
      <c r="N548" t="s">
        <v>24</v>
      </c>
      <c r="O548" t="s">
        <v>25</v>
      </c>
      <c r="P548" t="s">
        <v>26</v>
      </c>
    </row>
    <row r="549" spans="1:16" x14ac:dyDescent="0.25">
      <c r="A549" t="s">
        <v>1466</v>
      </c>
      <c r="B549" s="6">
        <v>44932</v>
      </c>
      <c r="C549">
        <v>5476</v>
      </c>
      <c r="D549" t="s">
        <v>1467</v>
      </c>
      <c r="E549" t="s">
        <v>18</v>
      </c>
      <c r="F549" t="s">
        <v>58</v>
      </c>
      <c r="G549">
        <v>27950</v>
      </c>
      <c r="H549">
        <v>13572.19</v>
      </c>
      <c r="I549" t="s">
        <v>120</v>
      </c>
      <c r="J549" t="s">
        <v>21</v>
      </c>
      <c r="K549" t="s">
        <v>22</v>
      </c>
      <c r="L549" t="s">
        <v>48</v>
      </c>
      <c r="M549">
        <v>5</v>
      </c>
      <c r="N549" t="s">
        <v>33</v>
      </c>
      <c r="O549" t="s">
        <v>70</v>
      </c>
      <c r="P549" t="s">
        <v>49</v>
      </c>
    </row>
    <row r="550" spans="1:16" x14ac:dyDescent="0.25">
      <c r="A550" t="s">
        <v>1468</v>
      </c>
      <c r="B550" s="6">
        <v>44979</v>
      </c>
      <c r="C550">
        <v>6051</v>
      </c>
      <c r="D550" t="s">
        <v>1469</v>
      </c>
      <c r="E550" t="s">
        <v>38</v>
      </c>
      <c r="F550" t="s">
        <v>19</v>
      </c>
      <c r="G550">
        <v>3674.27</v>
      </c>
      <c r="H550">
        <v>1656.85</v>
      </c>
      <c r="I550" t="s">
        <v>40</v>
      </c>
      <c r="J550" t="s">
        <v>41</v>
      </c>
      <c r="K550" t="s">
        <v>80</v>
      </c>
      <c r="L550" t="s">
        <v>23</v>
      </c>
      <c r="M550">
        <v>2</v>
      </c>
      <c r="N550" t="s">
        <v>33</v>
      </c>
      <c r="O550" t="s">
        <v>25</v>
      </c>
      <c r="P550" t="s">
        <v>26</v>
      </c>
    </row>
    <row r="551" spans="1:16" x14ac:dyDescent="0.25">
      <c r="A551" t="s">
        <v>1470</v>
      </c>
      <c r="B551" s="6">
        <v>44660</v>
      </c>
      <c r="C551">
        <v>2035</v>
      </c>
      <c r="D551" t="s">
        <v>1471</v>
      </c>
      <c r="E551" t="s">
        <v>18</v>
      </c>
      <c r="F551" t="s">
        <v>47</v>
      </c>
      <c r="G551">
        <v>17381.18</v>
      </c>
      <c r="H551">
        <v>8157.35</v>
      </c>
      <c r="I551" t="s">
        <v>63</v>
      </c>
      <c r="J551" t="s">
        <v>54</v>
      </c>
      <c r="K551" t="s">
        <v>32</v>
      </c>
      <c r="L551" t="s">
        <v>48</v>
      </c>
      <c r="M551">
        <v>2</v>
      </c>
      <c r="N551" t="s">
        <v>33</v>
      </c>
      <c r="O551" t="s">
        <v>25</v>
      </c>
      <c r="P551" t="s">
        <v>34</v>
      </c>
    </row>
    <row r="552" spans="1:16" x14ac:dyDescent="0.25">
      <c r="A552" t="s">
        <v>1472</v>
      </c>
      <c r="B552" s="6">
        <v>44474</v>
      </c>
      <c r="C552">
        <v>8010</v>
      </c>
      <c r="D552" t="s">
        <v>1473</v>
      </c>
      <c r="E552" t="s">
        <v>18</v>
      </c>
      <c r="F552" t="s">
        <v>58</v>
      </c>
      <c r="G552">
        <v>16931.080000000002</v>
      </c>
      <c r="H552">
        <v>7977.54</v>
      </c>
      <c r="I552" t="s">
        <v>84</v>
      </c>
      <c r="J552" t="s">
        <v>54</v>
      </c>
      <c r="K552" t="s">
        <v>42</v>
      </c>
      <c r="L552" t="s">
        <v>23</v>
      </c>
      <c r="M552">
        <v>1</v>
      </c>
      <c r="N552" t="s">
        <v>33</v>
      </c>
      <c r="O552" t="s">
        <v>25</v>
      </c>
      <c r="P552" t="s">
        <v>34</v>
      </c>
    </row>
    <row r="553" spans="1:16" x14ac:dyDescent="0.25">
      <c r="A553" t="s">
        <v>1474</v>
      </c>
      <c r="B553" s="6">
        <v>45624</v>
      </c>
      <c r="C553">
        <v>7045</v>
      </c>
      <c r="D553" t="s">
        <v>1475</v>
      </c>
      <c r="E553" t="s">
        <v>18</v>
      </c>
      <c r="F553" t="s">
        <v>58</v>
      </c>
      <c r="G553">
        <v>15736.89</v>
      </c>
      <c r="H553">
        <v>7769.49</v>
      </c>
      <c r="I553" t="s">
        <v>63</v>
      </c>
      <c r="J553" t="s">
        <v>54</v>
      </c>
      <c r="K553" t="s">
        <v>42</v>
      </c>
      <c r="L553" t="s">
        <v>43</v>
      </c>
      <c r="M553">
        <v>4</v>
      </c>
      <c r="N553" t="s">
        <v>69</v>
      </c>
      <c r="O553" t="s">
        <v>25</v>
      </c>
      <c r="P553" t="s">
        <v>49</v>
      </c>
    </row>
    <row r="554" spans="1:16" x14ac:dyDescent="0.25">
      <c r="A554" t="s">
        <v>1476</v>
      </c>
      <c r="B554" s="6">
        <v>45599</v>
      </c>
      <c r="C554">
        <v>7366</v>
      </c>
      <c r="D554" t="s">
        <v>1477</v>
      </c>
      <c r="E554" t="s">
        <v>18</v>
      </c>
      <c r="F554" t="s">
        <v>58</v>
      </c>
      <c r="G554">
        <v>25357.15</v>
      </c>
      <c r="H554">
        <v>14632.87</v>
      </c>
      <c r="I554" t="s">
        <v>31</v>
      </c>
      <c r="J554" t="s">
        <v>21</v>
      </c>
      <c r="K554" t="s">
        <v>42</v>
      </c>
      <c r="L554" t="s">
        <v>48</v>
      </c>
      <c r="M554">
        <v>4</v>
      </c>
      <c r="N554" t="s">
        <v>33</v>
      </c>
      <c r="O554" t="s">
        <v>25</v>
      </c>
      <c r="P554" t="s">
        <v>49</v>
      </c>
    </row>
    <row r="555" spans="1:16" x14ac:dyDescent="0.25">
      <c r="A555" t="s">
        <v>1478</v>
      </c>
      <c r="B555" s="6">
        <v>44497</v>
      </c>
      <c r="C555">
        <v>4811</v>
      </c>
      <c r="D555" t="s">
        <v>1480</v>
      </c>
      <c r="E555" t="s">
        <v>18</v>
      </c>
      <c r="F555" t="s">
        <v>19</v>
      </c>
      <c r="G555">
        <v>12685.8</v>
      </c>
      <c r="H555">
        <v>7983.88</v>
      </c>
      <c r="I555" t="s">
        <v>84</v>
      </c>
      <c r="J555" t="s">
        <v>54</v>
      </c>
      <c r="K555" t="s">
        <v>42</v>
      </c>
      <c r="L555" t="s">
        <v>23</v>
      </c>
      <c r="M555">
        <v>4</v>
      </c>
      <c r="N555" t="s">
        <v>24</v>
      </c>
      <c r="O555" t="s">
        <v>70</v>
      </c>
      <c r="P555" t="s">
        <v>26</v>
      </c>
    </row>
    <row r="556" spans="1:16" x14ac:dyDescent="0.25">
      <c r="A556" t="s">
        <v>1481</v>
      </c>
      <c r="B556" s="6">
        <v>44301</v>
      </c>
      <c r="C556">
        <v>1621</v>
      </c>
      <c r="D556" t="s">
        <v>1482</v>
      </c>
      <c r="E556" t="s">
        <v>18</v>
      </c>
      <c r="F556" t="s">
        <v>39</v>
      </c>
      <c r="G556">
        <v>38221.949999999997</v>
      </c>
      <c r="H556">
        <v>21771.8</v>
      </c>
      <c r="I556" t="s">
        <v>53</v>
      </c>
      <c r="J556" t="s">
        <v>54</v>
      </c>
      <c r="K556" t="s">
        <v>80</v>
      </c>
      <c r="L556" t="s">
        <v>48</v>
      </c>
      <c r="M556">
        <v>3</v>
      </c>
      <c r="N556" t="s">
        <v>33</v>
      </c>
      <c r="O556" t="s">
        <v>25</v>
      </c>
      <c r="P556" t="s">
        <v>26</v>
      </c>
    </row>
    <row r="557" spans="1:16" x14ac:dyDescent="0.25">
      <c r="A557" t="s">
        <v>1483</v>
      </c>
      <c r="B557" s="6">
        <v>44574</v>
      </c>
      <c r="C557">
        <v>6427</v>
      </c>
      <c r="D557" t="s">
        <v>1485</v>
      </c>
      <c r="E557" t="s">
        <v>38</v>
      </c>
      <c r="F557" t="s">
        <v>19</v>
      </c>
      <c r="G557">
        <v>7012.61</v>
      </c>
      <c r="H557">
        <v>3912.07</v>
      </c>
      <c r="I557" t="s">
        <v>120</v>
      </c>
      <c r="J557" t="s">
        <v>21</v>
      </c>
      <c r="K557" t="s">
        <v>32</v>
      </c>
      <c r="L557" t="s">
        <v>48</v>
      </c>
      <c r="M557">
        <v>2</v>
      </c>
      <c r="N557" t="s">
        <v>24</v>
      </c>
      <c r="O557" t="s">
        <v>25</v>
      </c>
      <c r="P557" t="s">
        <v>34</v>
      </c>
    </row>
    <row r="558" spans="1:16" x14ac:dyDescent="0.25">
      <c r="A558" t="s">
        <v>1486</v>
      </c>
      <c r="B558" s="6">
        <v>45327</v>
      </c>
      <c r="C558">
        <v>1853</v>
      </c>
      <c r="D558" t="s">
        <v>1488</v>
      </c>
      <c r="E558" t="s">
        <v>18</v>
      </c>
      <c r="F558" t="s">
        <v>58</v>
      </c>
      <c r="G558">
        <v>64074.239999999998</v>
      </c>
      <c r="H558">
        <v>30442.45</v>
      </c>
      <c r="I558" t="s">
        <v>84</v>
      </c>
      <c r="J558" t="s">
        <v>54</v>
      </c>
      <c r="K558" t="s">
        <v>32</v>
      </c>
      <c r="L558" t="s">
        <v>43</v>
      </c>
      <c r="M558">
        <v>5</v>
      </c>
      <c r="N558" t="s">
        <v>69</v>
      </c>
      <c r="O558" t="s">
        <v>70</v>
      </c>
      <c r="P558" t="s">
        <v>26</v>
      </c>
    </row>
    <row r="559" spans="1:16" x14ac:dyDescent="0.25">
      <c r="A559" t="s">
        <v>1489</v>
      </c>
      <c r="B559" s="6">
        <v>44663</v>
      </c>
      <c r="C559">
        <v>7947</v>
      </c>
      <c r="D559" t="s">
        <v>1490</v>
      </c>
      <c r="E559" t="s">
        <v>18</v>
      </c>
      <c r="F559" t="s">
        <v>19</v>
      </c>
      <c r="G559">
        <v>12284.84</v>
      </c>
      <c r="H559">
        <v>6272.89</v>
      </c>
      <c r="I559" t="s">
        <v>120</v>
      </c>
      <c r="J559" t="s">
        <v>21</v>
      </c>
      <c r="K559" t="s">
        <v>80</v>
      </c>
      <c r="L559" t="s">
        <v>48</v>
      </c>
      <c r="M559">
        <v>2</v>
      </c>
      <c r="N559" t="s">
        <v>33</v>
      </c>
      <c r="O559" t="s">
        <v>70</v>
      </c>
      <c r="P559" t="s">
        <v>26</v>
      </c>
    </row>
    <row r="560" spans="1:16" x14ac:dyDescent="0.25">
      <c r="A560" t="s">
        <v>1491</v>
      </c>
      <c r="B560" s="6">
        <v>44422</v>
      </c>
      <c r="C560">
        <v>9278</v>
      </c>
      <c r="D560" t="s">
        <v>1493</v>
      </c>
      <c r="E560" t="s">
        <v>38</v>
      </c>
      <c r="F560" t="s">
        <v>39</v>
      </c>
      <c r="G560">
        <v>20457.830000000002</v>
      </c>
      <c r="H560">
        <v>12559.49</v>
      </c>
      <c r="I560" t="s">
        <v>59</v>
      </c>
      <c r="J560" t="s">
        <v>41</v>
      </c>
      <c r="K560" t="s">
        <v>80</v>
      </c>
      <c r="L560" t="s">
        <v>55</v>
      </c>
      <c r="M560">
        <v>4</v>
      </c>
      <c r="N560" t="s">
        <v>33</v>
      </c>
      <c r="O560" t="s">
        <v>25</v>
      </c>
      <c r="P560" t="s">
        <v>34</v>
      </c>
    </row>
    <row r="561" spans="1:16" x14ac:dyDescent="0.25">
      <c r="A561" t="s">
        <v>1494</v>
      </c>
      <c r="B561" s="6">
        <v>44391</v>
      </c>
      <c r="C561">
        <v>6011</v>
      </c>
      <c r="D561" t="s">
        <v>1495</v>
      </c>
      <c r="E561" t="s">
        <v>38</v>
      </c>
      <c r="F561" t="s">
        <v>30</v>
      </c>
      <c r="G561">
        <v>27774.16</v>
      </c>
      <c r="H561">
        <v>15620.98</v>
      </c>
      <c r="I561" t="s">
        <v>20</v>
      </c>
      <c r="J561" t="s">
        <v>21</v>
      </c>
      <c r="K561" t="s">
        <v>80</v>
      </c>
      <c r="L561" t="s">
        <v>55</v>
      </c>
      <c r="M561">
        <v>3</v>
      </c>
      <c r="N561" t="s">
        <v>33</v>
      </c>
      <c r="O561" t="s">
        <v>25</v>
      </c>
      <c r="P561" t="s">
        <v>26</v>
      </c>
    </row>
    <row r="562" spans="1:16" x14ac:dyDescent="0.25">
      <c r="A562" t="s">
        <v>1496</v>
      </c>
      <c r="B562" s="6">
        <v>45118</v>
      </c>
      <c r="C562">
        <v>7628</v>
      </c>
      <c r="D562" t="s">
        <v>1497</v>
      </c>
      <c r="E562" t="s">
        <v>38</v>
      </c>
      <c r="F562" t="s">
        <v>58</v>
      </c>
      <c r="G562">
        <v>36906.839999999997</v>
      </c>
      <c r="H562">
        <v>23771.64</v>
      </c>
      <c r="I562" t="s">
        <v>68</v>
      </c>
      <c r="J562" t="s">
        <v>41</v>
      </c>
      <c r="K562" t="s">
        <v>42</v>
      </c>
      <c r="L562" t="s">
        <v>64</v>
      </c>
      <c r="M562">
        <v>4</v>
      </c>
      <c r="N562" t="s">
        <v>33</v>
      </c>
      <c r="O562" t="s">
        <v>70</v>
      </c>
      <c r="P562" t="s">
        <v>26</v>
      </c>
    </row>
    <row r="563" spans="1:16" x14ac:dyDescent="0.25">
      <c r="A563" t="s">
        <v>1498</v>
      </c>
      <c r="B563" s="6">
        <v>44486</v>
      </c>
      <c r="C563">
        <v>4182</v>
      </c>
      <c r="D563" t="s">
        <v>1499</v>
      </c>
      <c r="E563" t="s">
        <v>38</v>
      </c>
      <c r="F563" t="s">
        <v>47</v>
      </c>
      <c r="G563">
        <v>14752.99</v>
      </c>
      <c r="H563">
        <v>8914.5499999999993</v>
      </c>
      <c r="I563" t="s">
        <v>63</v>
      </c>
      <c r="J563" t="s">
        <v>54</v>
      </c>
      <c r="K563" t="s">
        <v>42</v>
      </c>
      <c r="L563" t="s">
        <v>43</v>
      </c>
      <c r="M563">
        <v>4</v>
      </c>
      <c r="N563" t="s">
        <v>24</v>
      </c>
      <c r="O563" t="s">
        <v>25</v>
      </c>
      <c r="P563" t="s">
        <v>26</v>
      </c>
    </row>
    <row r="564" spans="1:16" x14ac:dyDescent="0.25">
      <c r="A564" t="s">
        <v>1500</v>
      </c>
      <c r="B564" s="6">
        <v>44214</v>
      </c>
      <c r="C564">
        <v>1462</v>
      </c>
      <c r="D564" t="s">
        <v>1502</v>
      </c>
      <c r="E564" t="s">
        <v>18</v>
      </c>
      <c r="F564" t="s">
        <v>19</v>
      </c>
      <c r="G564">
        <v>6195.9</v>
      </c>
      <c r="H564">
        <v>3352.57</v>
      </c>
      <c r="I564" t="s">
        <v>120</v>
      </c>
      <c r="J564" t="s">
        <v>21</v>
      </c>
      <c r="K564" t="s">
        <v>32</v>
      </c>
      <c r="L564" t="s">
        <v>88</v>
      </c>
      <c r="M564">
        <v>2</v>
      </c>
      <c r="N564" t="s">
        <v>24</v>
      </c>
      <c r="O564" t="s">
        <v>70</v>
      </c>
      <c r="P564" t="s">
        <v>26</v>
      </c>
    </row>
    <row r="565" spans="1:16" x14ac:dyDescent="0.25">
      <c r="A565" t="s">
        <v>1503</v>
      </c>
      <c r="B565" s="6">
        <v>45495</v>
      </c>
      <c r="C565">
        <v>2316</v>
      </c>
      <c r="D565" t="s">
        <v>1504</v>
      </c>
      <c r="E565" t="s">
        <v>18</v>
      </c>
      <c r="F565" t="s">
        <v>19</v>
      </c>
      <c r="G565">
        <v>24303.13</v>
      </c>
      <c r="H565">
        <v>11742.42</v>
      </c>
      <c r="I565" t="s">
        <v>63</v>
      </c>
      <c r="J565" t="s">
        <v>54</v>
      </c>
      <c r="K565" t="s">
        <v>80</v>
      </c>
      <c r="L565" t="s">
        <v>88</v>
      </c>
      <c r="M565">
        <v>3</v>
      </c>
      <c r="N565" t="s">
        <v>24</v>
      </c>
      <c r="O565" t="s">
        <v>25</v>
      </c>
      <c r="P565" t="s">
        <v>34</v>
      </c>
    </row>
    <row r="566" spans="1:16" x14ac:dyDescent="0.25">
      <c r="A566" t="s">
        <v>1505</v>
      </c>
      <c r="B566" s="6">
        <v>45337</v>
      </c>
      <c r="C566">
        <v>6642</v>
      </c>
      <c r="D566" t="s">
        <v>90</v>
      </c>
      <c r="E566" t="s">
        <v>18</v>
      </c>
      <c r="F566" t="s">
        <v>39</v>
      </c>
      <c r="G566">
        <v>19847.13</v>
      </c>
      <c r="H566">
        <v>9762.9</v>
      </c>
      <c r="I566" t="s">
        <v>31</v>
      </c>
      <c r="J566" t="s">
        <v>21</v>
      </c>
      <c r="K566" t="s">
        <v>80</v>
      </c>
      <c r="L566" t="s">
        <v>48</v>
      </c>
      <c r="M566">
        <v>3</v>
      </c>
      <c r="N566" t="s">
        <v>33</v>
      </c>
      <c r="O566" t="s">
        <v>25</v>
      </c>
      <c r="P566" t="s">
        <v>34</v>
      </c>
    </row>
    <row r="567" spans="1:16" x14ac:dyDescent="0.25">
      <c r="A567" t="s">
        <v>1507</v>
      </c>
      <c r="B567" s="6">
        <v>44775</v>
      </c>
      <c r="C567">
        <v>5724</v>
      </c>
      <c r="D567" t="s">
        <v>1508</v>
      </c>
      <c r="E567" t="s">
        <v>38</v>
      </c>
      <c r="F567" t="s">
        <v>19</v>
      </c>
      <c r="G567">
        <v>7169.04</v>
      </c>
      <c r="H567">
        <v>3763.25</v>
      </c>
      <c r="I567" t="s">
        <v>63</v>
      </c>
      <c r="J567" t="s">
        <v>54</v>
      </c>
      <c r="K567" t="s">
        <v>32</v>
      </c>
      <c r="L567" t="s">
        <v>23</v>
      </c>
      <c r="M567">
        <v>4</v>
      </c>
      <c r="N567" t="s">
        <v>33</v>
      </c>
      <c r="O567" t="s">
        <v>70</v>
      </c>
      <c r="P567" t="s">
        <v>34</v>
      </c>
    </row>
    <row r="568" spans="1:16" x14ac:dyDescent="0.25">
      <c r="A568" t="s">
        <v>1509</v>
      </c>
      <c r="B568" s="6">
        <v>43924</v>
      </c>
      <c r="C568">
        <v>5249</v>
      </c>
      <c r="D568" t="s">
        <v>1510</v>
      </c>
      <c r="E568" t="s">
        <v>38</v>
      </c>
      <c r="F568" t="s">
        <v>58</v>
      </c>
      <c r="G568">
        <v>18230.27</v>
      </c>
      <c r="H568">
        <v>11532.36</v>
      </c>
      <c r="I568" t="s">
        <v>20</v>
      </c>
      <c r="J568" t="s">
        <v>21</v>
      </c>
      <c r="K568" t="s">
        <v>22</v>
      </c>
      <c r="L568" t="s">
        <v>48</v>
      </c>
      <c r="M568">
        <v>2</v>
      </c>
      <c r="N568" t="s">
        <v>33</v>
      </c>
      <c r="O568" t="s">
        <v>25</v>
      </c>
      <c r="P568" t="s">
        <v>26</v>
      </c>
    </row>
    <row r="569" spans="1:16" x14ac:dyDescent="0.25">
      <c r="A569" t="s">
        <v>1511</v>
      </c>
      <c r="B569" s="6">
        <v>44445</v>
      </c>
      <c r="C569">
        <v>2651</v>
      </c>
      <c r="D569" t="s">
        <v>1512</v>
      </c>
      <c r="E569" t="s">
        <v>18</v>
      </c>
      <c r="F569" t="s">
        <v>58</v>
      </c>
      <c r="G569">
        <v>10464.27</v>
      </c>
      <c r="H569">
        <v>6282.33</v>
      </c>
      <c r="I569" t="s">
        <v>53</v>
      </c>
      <c r="J569" t="s">
        <v>54</v>
      </c>
      <c r="K569" t="s">
        <v>22</v>
      </c>
      <c r="L569" t="s">
        <v>48</v>
      </c>
      <c r="M569">
        <v>5</v>
      </c>
      <c r="N569" t="s">
        <v>24</v>
      </c>
      <c r="O569" t="s">
        <v>25</v>
      </c>
      <c r="P569" t="s">
        <v>26</v>
      </c>
    </row>
    <row r="570" spans="1:16" x14ac:dyDescent="0.25">
      <c r="A570" t="s">
        <v>1513</v>
      </c>
      <c r="B570" s="6">
        <v>45063</v>
      </c>
      <c r="C570">
        <v>8753</v>
      </c>
      <c r="D570" t="s">
        <v>1515</v>
      </c>
      <c r="E570" t="s">
        <v>38</v>
      </c>
      <c r="F570" t="s">
        <v>39</v>
      </c>
      <c r="G570">
        <v>30985.9</v>
      </c>
      <c r="H570">
        <v>16029.32</v>
      </c>
      <c r="I570" t="s">
        <v>20</v>
      </c>
      <c r="J570" t="s">
        <v>21</v>
      </c>
      <c r="K570" t="s">
        <v>42</v>
      </c>
      <c r="L570" t="s">
        <v>88</v>
      </c>
      <c r="M570">
        <v>2</v>
      </c>
      <c r="N570" t="s">
        <v>69</v>
      </c>
      <c r="O570" t="s">
        <v>70</v>
      </c>
      <c r="P570" t="s">
        <v>34</v>
      </c>
    </row>
    <row r="571" spans="1:16" x14ac:dyDescent="0.25">
      <c r="A571" t="s">
        <v>1516</v>
      </c>
      <c r="B571" s="6">
        <v>45293</v>
      </c>
      <c r="C571">
        <v>7583</v>
      </c>
      <c r="D571" t="s">
        <v>1518</v>
      </c>
      <c r="E571" t="s">
        <v>18</v>
      </c>
      <c r="F571" t="s">
        <v>47</v>
      </c>
      <c r="G571">
        <v>3526.26</v>
      </c>
      <c r="H571">
        <v>1673.49</v>
      </c>
      <c r="I571" t="s">
        <v>120</v>
      </c>
      <c r="J571" t="s">
        <v>21</v>
      </c>
      <c r="K571" t="s">
        <v>42</v>
      </c>
      <c r="L571" t="s">
        <v>48</v>
      </c>
      <c r="M571">
        <v>2</v>
      </c>
      <c r="N571" t="s">
        <v>33</v>
      </c>
      <c r="O571" t="s">
        <v>70</v>
      </c>
      <c r="P571" t="s">
        <v>49</v>
      </c>
    </row>
    <row r="572" spans="1:16" x14ac:dyDescent="0.25">
      <c r="A572" t="s">
        <v>1519</v>
      </c>
      <c r="B572" s="6">
        <v>44523</v>
      </c>
      <c r="C572">
        <v>1272</v>
      </c>
      <c r="D572" t="s">
        <v>1520</v>
      </c>
      <c r="E572" t="s">
        <v>38</v>
      </c>
      <c r="F572" t="s">
        <v>39</v>
      </c>
      <c r="G572">
        <v>22837.38</v>
      </c>
      <c r="H572">
        <v>14705.43</v>
      </c>
      <c r="I572" t="s">
        <v>40</v>
      </c>
      <c r="J572" t="s">
        <v>41</v>
      </c>
      <c r="K572" t="s">
        <v>42</v>
      </c>
      <c r="L572" t="s">
        <v>48</v>
      </c>
      <c r="M572">
        <v>4</v>
      </c>
      <c r="N572" t="s">
        <v>33</v>
      </c>
      <c r="O572" t="s">
        <v>25</v>
      </c>
      <c r="P572" t="s">
        <v>49</v>
      </c>
    </row>
    <row r="573" spans="1:16" x14ac:dyDescent="0.25">
      <c r="A573" t="s">
        <v>1521</v>
      </c>
      <c r="B573" s="6">
        <v>45535</v>
      </c>
      <c r="C573">
        <v>2645</v>
      </c>
      <c r="D573" t="s">
        <v>1522</v>
      </c>
      <c r="E573" t="s">
        <v>38</v>
      </c>
      <c r="F573" t="s">
        <v>39</v>
      </c>
      <c r="G573">
        <v>20871.849999999999</v>
      </c>
      <c r="H573">
        <v>10206.66</v>
      </c>
      <c r="I573" t="s">
        <v>20</v>
      </c>
      <c r="J573" t="s">
        <v>21</v>
      </c>
      <c r="K573" t="s">
        <v>32</v>
      </c>
      <c r="L573" t="s">
        <v>43</v>
      </c>
      <c r="M573">
        <v>5</v>
      </c>
      <c r="N573" t="s">
        <v>24</v>
      </c>
      <c r="O573" t="s">
        <v>70</v>
      </c>
      <c r="P573" t="s">
        <v>26</v>
      </c>
    </row>
    <row r="574" spans="1:16" x14ac:dyDescent="0.25">
      <c r="A574" t="s">
        <v>1523</v>
      </c>
      <c r="B574" s="6">
        <v>45207</v>
      </c>
      <c r="C574">
        <v>3753</v>
      </c>
      <c r="D574" t="s">
        <v>1525</v>
      </c>
      <c r="E574" t="s">
        <v>38</v>
      </c>
      <c r="F574" t="s">
        <v>39</v>
      </c>
      <c r="G574">
        <v>53153.03</v>
      </c>
      <c r="H574">
        <v>29044.61</v>
      </c>
      <c r="I574" t="s">
        <v>63</v>
      </c>
      <c r="J574" t="s">
        <v>54</v>
      </c>
      <c r="K574" t="s">
        <v>32</v>
      </c>
      <c r="L574" t="s">
        <v>23</v>
      </c>
      <c r="M574">
        <v>2</v>
      </c>
      <c r="N574" t="s">
        <v>33</v>
      </c>
      <c r="O574" t="s">
        <v>70</v>
      </c>
      <c r="P574" t="s">
        <v>49</v>
      </c>
    </row>
    <row r="575" spans="1:16" x14ac:dyDescent="0.25">
      <c r="A575" t="s">
        <v>1526</v>
      </c>
      <c r="B575" s="6">
        <v>43998</v>
      </c>
      <c r="C575">
        <v>5593</v>
      </c>
      <c r="D575" t="s">
        <v>1527</v>
      </c>
      <c r="E575" t="s">
        <v>18</v>
      </c>
      <c r="F575" t="s">
        <v>47</v>
      </c>
      <c r="G575">
        <v>10340.719999999999</v>
      </c>
      <c r="H575">
        <v>6030.57</v>
      </c>
      <c r="I575" t="s">
        <v>53</v>
      </c>
      <c r="J575" t="s">
        <v>54</v>
      </c>
      <c r="K575" t="s">
        <v>22</v>
      </c>
      <c r="L575" t="s">
        <v>48</v>
      </c>
      <c r="M575">
        <v>2</v>
      </c>
      <c r="N575" t="s">
        <v>69</v>
      </c>
      <c r="O575" t="s">
        <v>70</v>
      </c>
      <c r="P575" t="s">
        <v>34</v>
      </c>
    </row>
    <row r="576" spans="1:16" x14ac:dyDescent="0.25">
      <c r="A576" t="s">
        <v>1528</v>
      </c>
      <c r="B576" s="6">
        <v>44491</v>
      </c>
      <c r="C576">
        <v>2059</v>
      </c>
      <c r="D576" t="s">
        <v>1530</v>
      </c>
      <c r="E576" t="s">
        <v>38</v>
      </c>
      <c r="F576" t="s">
        <v>39</v>
      </c>
      <c r="G576">
        <v>19830.169999999998</v>
      </c>
      <c r="H576">
        <v>11768.98</v>
      </c>
      <c r="I576" t="s">
        <v>84</v>
      </c>
      <c r="J576" t="s">
        <v>54</v>
      </c>
      <c r="K576" t="s">
        <v>80</v>
      </c>
      <c r="L576" t="s">
        <v>48</v>
      </c>
      <c r="M576">
        <v>5</v>
      </c>
      <c r="N576" t="s">
        <v>69</v>
      </c>
      <c r="O576" t="s">
        <v>25</v>
      </c>
      <c r="P576" t="s">
        <v>26</v>
      </c>
    </row>
    <row r="577" spans="1:16" x14ac:dyDescent="0.25">
      <c r="A577" t="s">
        <v>1531</v>
      </c>
      <c r="B577" s="6">
        <v>44371</v>
      </c>
      <c r="C577">
        <v>4082</v>
      </c>
      <c r="D577" t="s">
        <v>1533</v>
      </c>
      <c r="E577" t="s">
        <v>18</v>
      </c>
      <c r="F577" t="s">
        <v>39</v>
      </c>
      <c r="G577">
        <v>26421.759999999998</v>
      </c>
      <c r="H577">
        <v>12563.11</v>
      </c>
      <c r="I577" t="s">
        <v>63</v>
      </c>
      <c r="J577" t="s">
        <v>54</v>
      </c>
      <c r="K577" t="s">
        <v>42</v>
      </c>
      <c r="L577" t="s">
        <v>64</v>
      </c>
      <c r="M577">
        <v>5</v>
      </c>
      <c r="N577" t="s">
        <v>24</v>
      </c>
      <c r="O577" t="s">
        <v>25</v>
      </c>
      <c r="P577" t="s">
        <v>49</v>
      </c>
    </row>
    <row r="578" spans="1:16" x14ac:dyDescent="0.25">
      <c r="A578" t="s">
        <v>1534</v>
      </c>
      <c r="B578" s="6">
        <v>44748</v>
      </c>
      <c r="C578">
        <v>3069</v>
      </c>
      <c r="D578" t="s">
        <v>1535</v>
      </c>
      <c r="E578" t="s">
        <v>18</v>
      </c>
      <c r="F578" t="s">
        <v>47</v>
      </c>
      <c r="G578">
        <v>3832.32</v>
      </c>
      <c r="H578">
        <v>1731.59</v>
      </c>
      <c r="I578" t="s">
        <v>120</v>
      </c>
      <c r="J578" t="s">
        <v>21</v>
      </c>
      <c r="K578" t="s">
        <v>80</v>
      </c>
      <c r="L578" t="s">
        <v>88</v>
      </c>
      <c r="M578">
        <v>2</v>
      </c>
      <c r="N578" t="s">
        <v>69</v>
      </c>
      <c r="O578" t="s">
        <v>25</v>
      </c>
      <c r="P578" t="s">
        <v>26</v>
      </c>
    </row>
    <row r="579" spans="1:16" x14ac:dyDescent="0.25">
      <c r="A579" t="s">
        <v>1536</v>
      </c>
      <c r="B579" s="6">
        <v>44902</v>
      </c>
      <c r="C579">
        <v>6245</v>
      </c>
      <c r="D579" t="s">
        <v>1538</v>
      </c>
      <c r="E579" t="s">
        <v>38</v>
      </c>
      <c r="F579" t="s">
        <v>58</v>
      </c>
      <c r="G579">
        <v>26587.99</v>
      </c>
      <c r="H579">
        <v>15626.29</v>
      </c>
      <c r="I579" t="s">
        <v>120</v>
      </c>
      <c r="J579" t="s">
        <v>21</v>
      </c>
      <c r="K579" t="s">
        <v>42</v>
      </c>
      <c r="L579" t="s">
        <v>48</v>
      </c>
      <c r="M579">
        <v>5</v>
      </c>
      <c r="N579" t="s">
        <v>24</v>
      </c>
      <c r="O579" t="s">
        <v>70</v>
      </c>
      <c r="P579" t="s">
        <v>34</v>
      </c>
    </row>
    <row r="580" spans="1:16" x14ac:dyDescent="0.25">
      <c r="A580" t="s">
        <v>1539</v>
      </c>
      <c r="B580" s="6">
        <v>45370</v>
      </c>
      <c r="C580">
        <v>4687</v>
      </c>
      <c r="D580" t="s">
        <v>1540</v>
      </c>
      <c r="E580" t="s">
        <v>18</v>
      </c>
      <c r="F580" t="s">
        <v>58</v>
      </c>
      <c r="G580">
        <v>63235.26</v>
      </c>
      <c r="H580">
        <v>38270.47</v>
      </c>
      <c r="I580" t="s">
        <v>53</v>
      </c>
      <c r="J580" t="s">
        <v>54</v>
      </c>
      <c r="K580" t="s">
        <v>80</v>
      </c>
      <c r="L580" t="s">
        <v>48</v>
      </c>
      <c r="M580">
        <v>4</v>
      </c>
      <c r="N580" t="s">
        <v>33</v>
      </c>
      <c r="O580" t="s">
        <v>70</v>
      </c>
      <c r="P580" t="s">
        <v>26</v>
      </c>
    </row>
    <row r="581" spans="1:16" x14ac:dyDescent="0.25">
      <c r="A581" t="s">
        <v>1541</v>
      </c>
      <c r="B581" s="6">
        <v>44804</v>
      </c>
      <c r="C581">
        <v>7412</v>
      </c>
      <c r="D581" t="s">
        <v>1542</v>
      </c>
      <c r="E581" t="s">
        <v>38</v>
      </c>
      <c r="F581" t="s">
        <v>39</v>
      </c>
      <c r="G581">
        <v>7027.62</v>
      </c>
      <c r="H581">
        <v>4183.8999999999996</v>
      </c>
      <c r="I581" t="s">
        <v>40</v>
      </c>
      <c r="J581" t="s">
        <v>41</v>
      </c>
      <c r="K581" t="s">
        <v>42</v>
      </c>
      <c r="L581" t="s">
        <v>48</v>
      </c>
      <c r="M581">
        <v>2</v>
      </c>
      <c r="N581" t="s">
        <v>24</v>
      </c>
      <c r="O581" t="s">
        <v>25</v>
      </c>
      <c r="P581" t="s">
        <v>26</v>
      </c>
    </row>
    <row r="582" spans="1:16" x14ac:dyDescent="0.25">
      <c r="A582" t="s">
        <v>1543</v>
      </c>
      <c r="B582" s="6">
        <v>44194</v>
      </c>
      <c r="C582">
        <v>8496</v>
      </c>
      <c r="D582" t="s">
        <v>1544</v>
      </c>
      <c r="E582" t="s">
        <v>18</v>
      </c>
      <c r="F582" t="s">
        <v>47</v>
      </c>
      <c r="G582">
        <v>8743.02</v>
      </c>
      <c r="H582">
        <v>4707.04</v>
      </c>
      <c r="I582" t="s">
        <v>84</v>
      </c>
      <c r="J582" t="s">
        <v>54</v>
      </c>
      <c r="K582" t="s">
        <v>80</v>
      </c>
      <c r="L582" t="s">
        <v>88</v>
      </c>
      <c r="M582">
        <v>2</v>
      </c>
      <c r="N582" t="s">
        <v>33</v>
      </c>
      <c r="O582" t="s">
        <v>70</v>
      </c>
      <c r="P582" t="s">
        <v>26</v>
      </c>
    </row>
    <row r="583" spans="1:16" x14ac:dyDescent="0.25">
      <c r="A583" t="s">
        <v>1545</v>
      </c>
      <c r="B583" s="6">
        <v>45344</v>
      </c>
      <c r="C583">
        <v>3418</v>
      </c>
      <c r="D583" t="s">
        <v>1547</v>
      </c>
      <c r="E583" t="s">
        <v>38</v>
      </c>
      <c r="F583" t="s">
        <v>39</v>
      </c>
      <c r="G583">
        <v>47953.919999999998</v>
      </c>
      <c r="H583">
        <v>25675.59</v>
      </c>
      <c r="I583" t="s">
        <v>20</v>
      </c>
      <c r="J583" t="s">
        <v>21</v>
      </c>
      <c r="K583" t="s">
        <v>32</v>
      </c>
      <c r="L583" t="s">
        <v>55</v>
      </c>
      <c r="M583">
        <v>1</v>
      </c>
      <c r="N583" t="s">
        <v>33</v>
      </c>
      <c r="O583" t="s">
        <v>25</v>
      </c>
      <c r="P583" t="s">
        <v>26</v>
      </c>
    </row>
    <row r="584" spans="1:16" x14ac:dyDescent="0.25">
      <c r="A584" t="s">
        <v>1548</v>
      </c>
      <c r="B584" s="6">
        <v>45003</v>
      </c>
      <c r="C584">
        <v>7619</v>
      </c>
      <c r="D584" t="s">
        <v>1549</v>
      </c>
      <c r="E584" t="s">
        <v>18</v>
      </c>
      <c r="F584" t="s">
        <v>19</v>
      </c>
      <c r="G584">
        <v>5510.2</v>
      </c>
      <c r="H584">
        <v>2745.02</v>
      </c>
      <c r="I584" t="s">
        <v>84</v>
      </c>
      <c r="J584" t="s">
        <v>54</v>
      </c>
      <c r="K584" t="s">
        <v>80</v>
      </c>
      <c r="L584" t="s">
        <v>88</v>
      </c>
      <c r="M584">
        <v>5</v>
      </c>
      <c r="N584" t="s">
        <v>69</v>
      </c>
      <c r="O584" t="s">
        <v>70</v>
      </c>
      <c r="P584" t="s">
        <v>34</v>
      </c>
    </row>
    <row r="585" spans="1:16" x14ac:dyDescent="0.25">
      <c r="A585" t="s">
        <v>1550</v>
      </c>
      <c r="B585" s="6">
        <v>45624</v>
      </c>
      <c r="C585">
        <v>5509</v>
      </c>
      <c r="D585" t="s">
        <v>1551</v>
      </c>
      <c r="E585" t="s">
        <v>38</v>
      </c>
      <c r="F585" t="s">
        <v>19</v>
      </c>
      <c r="G585">
        <v>11032.73</v>
      </c>
      <c r="H585">
        <v>5229.51</v>
      </c>
      <c r="I585" t="s">
        <v>31</v>
      </c>
      <c r="J585" t="s">
        <v>21</v>
      </c>
      <c r="K585" t="s">
        <v>22</v>
      </c>
      <c r="L585" t="s">
        <v>55</v>
      </c>
      <c r="M585">
        <v>4</v>
      </c>
      <c r="N585" t="s">
        <v>24</v>
      </c>
      <c r="O585" t="s">
        <v>70</v>
      </c>
      <c r="P585" t="s">
        <v>26</v>
      </c>
    </row>
    <row r="586" spans="1:16" x14ac:dyDescent="0.25">
      <c r="A586" t="s">
        <v>1552</v>
      </c>
      <c r="B586" s="6">
        <v>45282</v>
      </c>
      <c r="C586">
        <v>3967</v>
      </c>
      <c r="D586" t="s">
        <v>1553</v>
      </c>
      <c r="E586" t="s">
        <v>38</v>
      </c>
      <c r="F586" t="s">
        <v>47</v>
      </c>
      <c r="G586">
        <v>11802.3</v>
      </c>
      <c r="H586">
        <v>6832.58</v>
      </c>
      <c r="I586" t="s">
        <v>84</v>
      </c>
      <c r="J586" t="s">
        <v>54</v>
      </c>
      <c r="K586" t="s">
        <v>80</v>
      </c>
      <c r="L586" t="s">
        <v>88</v>
      </c>
      <c r="M586">
        <v>5</v>
      </c>
      <c r="N586" t="s">
        <v>33</v>
      </c>
      <c r="O586" t="s">
        <v>25</v>
      </c>
      <c r="P586" t="s">
        <v>49</v>
      </c>
    </row>
    <row r="587" spans="1:16" x14ac:dyDescent="0.25">
      <c r="A587" t="s">
        <v>1554</v>
      </c>
      <c r="B587" s="6">
        <v>45302</v>
      </c>
      <c r="C587">
        <v>9788</v>
      </c>
      <c r="D587" t="s">
        <v>1555</v>
      </c>
      <c r="E587" t="s">
        <v>38</v>
      </c>
      <c r="F587" t="s">
        <v>58</v>
      </c>
      <c r="G587">
        <v>9717.6299999999992</v>
      </c>
      <c r="H587">
        <v>5999.94</v>
      </c>
      <c r="I587" t="s">
        <v>40</v>
      </c>
      <c r="J587" t="s">
        <v>41</v>
      </c>
      <c r="K587" t="s">
        <v>22</v>
      </c>
      <c r="L587" t="s">
        <v>23</v>
      </c>
      <c r="M587">
        <v>1</v>
      </c>
      <c r="N587" t="s">
        <v>33</v>
      </c>
      <c r="O587" t="s">
        <v>25</v>
      </c>
      <c r="P587" t="s">
        <v>26</v>
      </c>
    </row>
    <row r="588" spans="1:16" x14ac:dyDescent="0.25">
      <c r="A588" t="s">
        <v>1556</v>
      </c>
      <c r="B588" s="6">
        <v>44262</v>
      </c>
      <c r="C588">
        <v>4378</v>
      </c>
      <c r="D588" t="s">
        <v>1558</v>
      </c>
      <c r="E588" t="s">
        <v>18</v>
      </c>
      <c r="F588" t="s">
        <v>47</v>
      </c>
      <c r="G588">
        <v>3669.72</v>
      </c>
      <c r="H588">
        <v>1839.82</v>
      </c>
      <c r="I588" t="s">
        <v>53</v>
      </c>
      <c r="J588" t="s">
        <v>54</v>
      </c>
      <c r="K588" t="s">
        <v>22</v>
      </c>
      <c r="L588" t="s">
        <v>55</v>
      </c>
      <c r="M588">
        <v>1</v>
      </c>
      <c r="N588" t="s">
        <v>24</v>
      </c>
      <c r="O588" t="s">
        <v>25</v>
      </c>
      <c r="P588" t="s">
        <v>49</v>
      </c>
    </row>
    <row r="589" spans="1:16" x14ac:dyDescent="0.25">
      <c r="A589" t="s">
        <v>1559</v>
      </c>
      <c r="B589" s="6">
        <v>44827</v>
      </c>
      <c r="C589">
        <v>9750</v>
      </c>
      <c r="D589" t="s">
        <v>1561</v>
      </c>
      <c r="E589" t="s">
        <v>38</v>
      </c>
      <c r="F589" t="s">
        <v>58</v>
      </c>
      <c r="G589">
        <v>15809.56</v>
      </c>
      <c r="H589">
        <v>8665.0400000000009</v>
      </c>
      <c r="I589" t="s">
        <v>84</v>
      </c>
      <c r="J589" t="s">
        <v>54</v>
      </c>
      <c r="K589" t="s">
        <v>42</v>
      </c>
      <c r="L589" t="s">
        <v>43</v>
      </c>
      <c r="M589">
        <v>3</v>
      </c>
      <c r="N589" t="s">
        <v>24</v>
      </c>
      <c r="O589" t="s">
        <v>25</v>
      </c>
      <c r="P589" t="s">
        <v>49</v>
      </c>
    </row>
    <row r="590" spans="1:16" x14ac:dyDescent="0.25">
      <c r="A590" t="s">
        <v>1562</v>
      </c>
      <c r="B590" s="6">
        <v>44350</v>
      </c>
      <c r="C590">
        <v>3198</v>
      </c>
      <c r="D590" t="s">
        <v>1564</v>
      </c>
      <c r="E590" t="s">
        <v>18</v>
      </c>
      <c r="F590" t="s">
        <v>39</v>
      </c>
      <c r="G590">
        <v>27059.42</v>
      </c>
      <c r="H590">
        <v>13677.97</v>
      </c>
      <c r="I590" t="s">
        <v>63</v>
      </c>
      <c r="J590" t="s">
        <v>54</v>
      </c>
      <c r="K590" t="s">
        <v>80</v>
      </c>
      <c r="L590" t="s">
        <v>55</v>
      </c>
      <c r="M590">
        <v>5</v>
      </c>
      <c r="N590" t="s">
        <v>33</v>
      </c>
      <c r="O590" t="s">
        <v>25</v>
      </c>
      <c r="P590" t="s">
        <v>26</v>
      </c>
    </row>
    <row r="591" spans="1:16" x14ac:dyDescent="0.25">
      <c r="A591" t="s">
        <v>1565</v>
      </c>
      <c r="B591" s="6">
        <v>45282</v>
      </c>
      <c r="C591">
        <v>9780</v>
      </c>
      <c r="D591" t="s">
        <v>1566</v>
      </c>
      <c r="E591" t="s">
        <v>18</v>
      </c>
      <c r="F591" t="s">
        <v>47</v>
      </c>
      <c r="G591">
        <v>4667.13</v>
      </c>
      <c r="H591">
        <v>2784.11</v>
      </c>
      <c r="I591" t="s">
        <v>63</v>
      </c>
      <c r="J591" t="s">
        <v>54</v>
      </c>
      <c r="K591" t="s">
        <v>32</v>
      </c>
      <c r="L591" t="s">
        <v>48</v>
      </c>
      <c r="M591">
        <v>3</v>
      </c>
      <c r="N591" t="s">
        <v>24</v>
      </c>
      <c r="O591" t="s">
        <v>70</v>
      </c>
      <c r="P591" t="s">
        <v>49</v>
      </c>
    </row>
    <row r="592" spans="1:16" x14ac:dyDescent="0.25">
      <c r="A592" t="s">
        <v>1567</v>
      </c>
      <c r="B592" s="6">
        <v>44784</v>
      </c>
      <c r="C592">
        <v>1424</v>
      </c>
      <c r="D592" t="s">
        <v>1568</v>
      </c>
      <c r="E592" t="s">
        <v>18</v>
      </c>
      <c r="F592" t="s">
        <v>47</v>
      </c>
      <c r="G592">
        <v>3469.06</v>
      </c>
      <c r="H592">
        <v>1647.54</v>
      </c>
      <c r="I592" t="s">
        <v>120</v>
      </c>
      <c r="J592" t="s">
        <v>21</v>
      </c>
      <c r="K592" t="s">
        <v>22</v>
      </c>
      <c r="L592" t="s">
        <v>48</v>
      </c>
      <c r="M592">
        <v>5</v>
      </c>
      <c r="N592" t="s">
        <v>33</v>
      </c>
      <c r="O592" t="s">
        <v>25</v>
      </c>
      <c r="P592" t="s">
        <v>26</v>
      </c>
    </row>
    <row r="593" spans="1:16" x14ac:dyDescent="0.25">
      <c r="A593" t="s">
        <v>1569</v>
      </c>
      <c r="B593" s="6">
        <v>44312</v>
      </c>
      <c r="C593">
        <v>1161</v>
      </c>
      <c r="D593" t="s">
        <v>1570</v>
      </c>
      <c r="E593" t="s">
        <v>18</v>
      </c>
      <c r="F593" t="s">
        <v>19</v>
      </c>
      <c r="G593">
        <v>9148.14</v>
      </c>
      <c r="H593">
        <v>5889.16</v>
      </c>
      <c r="I593" t="s">
        <v>53</v>
      </c>
      <c r="J593" t="s">
        <v>54</v>
      </c>
      <c r="K593" t="s">
        <v>80</v>
      </c>
      <c r="L593" t="s">
        <v>55</v>
      </c>
      <c r="M593">
        <v>1</v>
      </c>
      <c r="N593" t="s">
        <v>33</v>
      </c>
      <c r="O593" t="s">
        <v>70</v>
      </c>
      <c r="P593" t="s">
        <v>34</v>
      </c>
    </row>
    <row r="594" spans="1:16" x14ac:dyDescent="0.25">
      <c r="A594" t="s">
        <v>1571</v>
      </c>
      <c r="B594" s="6">
        <v>44854</v>
      </c>
      <c r="C594">
        <v>5440</v>
      </c>
      <c r="D594" t="s">
        <v>1573</v>
      </c>
      <c r="E594" t="s">
        <v>18</v>
      </c>
      <c r="F594" t="s">
        <v>58</v>
      </c>
      <c r="G594">
        <v>41173.1</v>
      </c>
      <c r="H594">
        <v>19933.939999999999</v>
      </c>
      <c r="I594" t="s">
        <v>120</v>
      </c>
      <c r="J594" t="s">
        <v>21</v>
      </c>
      <c r="K594" t="s">
        <v>80</v>
      </c>
      <c r="L594" t="s">
        <v>23</v>
      </c>
      <c r="M594">
        <v>3</v>
      </c>
      <c r="N594" t="s">
        <v>69</v>
      </c>
      <c r="O594" t="s">
        <v>70</v>
      </c>
      <c r="P594" t="s">
        <v>49</v>
      </c>
    </row>
    <row r="595" spans="1:16" x14ac:dyDescent="0.25">
      <c r="A595" t="s">
        <v>1574</v>
      </c>
      <c r="B595" s="6">
        <v>44201</v>
      </c>
      <c r="C595">
        <v>9414</v>
      </c>
      <c r="D595" t="s">
        <v>1576</v>
      </c>
      <c r="E595" t="s">
        <v>18</v>
      </c>
      <c r="F595" t="s">
        <v>30</v>
      </c>
      <c r="G595">
        <v>51001.78</v>
      </c>
      <c r="H595">
        <v>24406.09</v>
      </c>
      <c r="I595" t="s">
        <v>120</v>
      </c>
      <c r="J595" t="s">
        <v>21</v>
      </c>
      <c r="K595" t="s">
        <v>42</v>
      </c>
      <c r="L595" t="s">
        <v>55</v>
      </c>
      <c r="M595">
        <v>3</v>
      </c>
      <c r="N595" t="s">
        <v>24</v>
      </c>
      <c r="O595" t="s">
        <v>25</v>
      </c>
      <c r="P595" t="s">
        <v>49</v>
      </c>
    </row>
    <row r="596" spans="1:16" x14ac:dyDescent="0.25">
      <c r="A596" t="s">
        <v>1577</v>
      </c>
      <c r="B596" s="6">
        <v>45531</v>
      </c>
      <c r="C596">
        <v>5699</v>
      </c>
      <c r="D596" t="s">
        <v>1578</v>
      </c>
      <c r="E596" t="s">
        <v>38</v>
      </c>
      <c r="F596" t="s">
        <v>58</v>
      </c>
      <c r="G596">
        <v>64870.21</v>
      </c>
      <c r="H596">
        <v>35945.81</v>
      </c>
      <c r="I596" t="s">
        <v>53</v>
      </c>
      <c r="J596" t="s">
        <v>54</v>
      </c>
      <c r="K596" t="s">
        <v>32</v>
      </c>
      <c r="L596" t="s">
        <v>88</v>
      </c>
      <c r="M596">
        <v>1</v>
      </c>
      <c r="N596" t="s">
        <v>69</v>
      </c>
      <c r="O596" t="s">
        <v>25</v>
      </c>
      <c r="P596" t="s">
        <v>34</v>
      </c>
    </row>
    <row r="597" spans="1:16" x14ac:dyDescent="0.25">
      <c r="A597" t="s">
        <v>1579</v>
      </c>
      <c r="B597" s="6">
        <v>45339</v>
      </c>
      <c r="C597">
        <v>1940</v>
      </c>
      <c r="D597" t="s">
        <v>1581</v>
      </c>
      <c r="E597" t="s">
        <v>18</v>
      </c>
      <c r="F597" t="s">
        <v>58</v>
      </c>
      <c r="G597">
        <v>33287.019999999997</v>
      </c>
      <c r="H597">
        <v>18668.419999999998</v>
      </c>
      <c r="I597" t="s">
        <v>40</v>
      </c>
      <c r="J597" t="s">
        <v>41</v>
      </c>
      <c r="K597" t="s">
        <v>80</v>
      </c>
      <c r="L597" t="s">
        <v>55</v>
      </c>
      <c r="M597">
        <v>4</v>
      </c>
      <c r="N597" t="s">
        <v>24</v>
      </c>
      <c r="O597" t="s">
        <v>70</v>
      </c>
      <c r="P597" t="s">
        <v>26</v>
      </c>
    </row>
    <row r="598" spans="1:16" x14ac:dyDescent="0.25">
      <c r="A598" t="s">
        <v>1582</v>
      </c>
      <c r="B598" s="6">
        <v>45199</v>
      </c>
      <c r="C598">
        <v>7643</v>
      </c>
      <c r="D598" t="s">
        <v>1583</v>
      </c>
      <c r="E598" t="s">
        <v>18</v>
      </c>
      <c r="F598" t="s">
        <v>19</v>
      </c>
      <c r="G598">
        <v>14301.58</v>
      </c>
      <c r="H598">
        <v>9041.1299999999992</v>
      </c>
      <c r="I598" t="s">
        <v>31</v>
      </c>
      <c r="J598" t="s">
        <v>21</v>
      </c>
      <c r="K598" t="s">
        <v>22</v>
      </c>
      <c r="L598" t="s">
        <v>48</v>
      </c>
      <c r="M598">
        <v>4</v>
      </c>
      <c r="N598" t="s">
        <v>24</v>
      </c>
      <c r="O598" t="s">
        <v>70</v>
      </c>
      <c r="P598" t="s">
        <v>26</v>
      </c>
    </row>
    <row r="599" spans="1:16" x14ac:dyDescent="0.25">
      <c r="A599" t="s">
        <v>1584</v>
      </c>
      <c r="B599" s="6">
        <v>45562</v>
      </c>
      <c r="C599">
        <v>1693</v>
      </c>
      <c r="D599" t="s">
        <v>1585</v>
      </c>
      <c r="E599" t="s">
        <v>38</v>
      </c>
      <c r="F599" t="s">
        <v>47</v>
      </c>
      <c r="G599">
        <v>13648.21</v>
      </c>
      <c r="H599">
        <v>7982.9</v>
      </c>
      <c r="I599" t="s">
        <v>40</v>
      </c>
      <c r="J599" t="s">
        <v>41</v>
      </c>
      <c r="K599" t="s">
        <v>32</v>
      </c>
      <c r="L599" t="s">
        <v>23</v>
      </c>
      <c r="M599">
        <v>1</v>
      </c>
      <c r="N599" t="s">
        <v>33</v>
      </c>
      <c r="O599" t="s">
        <v>25</v>
      </c>
      <c r="P599" t="s">
        <v>34</v>
      </c>
    </row>
    <row r="600" spans="1:16" x14ac:dyDescent="0.25">
      <c r="A600" t="s">
        <v>1586</v>
      </c>
      <c r="B600" s="6">
        <v>44254</v>
      </c>
      <c r="C600">
        <v>5092</v>
      </c>
      <c r="D600" t="s">
        <v>1588</v>
      </c>
      <c r="E600" t="s">
        <v>18</v>
      </c>
      <c r="F600" t="s">
        <v>30</v>
      </c>
      <c r="G600">
        <v>21148.89</v>
      </c>
      <c r="H600">
        <v>11560.51</v>
      </c>
      <c r="I600" t="s">
        <v>59</v>
      </c>
      <c r="J600" t="s">
        <v>41</v>
      </c>
      <c r="K600" t="s">
        <v>42</v>
      </c>
      <c r="L600" t="s">
        <v>23</v>
      </c>
      <c r="M600">
        <v>1</v>
      </c>
      <c r="N600" t="s">
        <v>24</v>
      </c>
      <c r="O600" t="s">
        <v>25</v>
      </c>
      <c r="P600" t="s">
        <v>26</v>
      </c>
    </row>
    <row r="601" spans="1:16" x14ac:dyDescent="0.25">
      <c r="A601" t="s">
        <v>1589</v>
      </c>
      <c r="B601" s="6">
        <v>45529</v>
      </c>
      <c r="C601">
        <v>8999</v>
      </c>
      <c r="D601" t="s">
        <v>1590</v>
      </c>
      <c r="E601" t="s">
        <v>18</v>
      </c>
      <c r="F601" t="s">
        <v>30</v>
      </c>
      <c r="G601">
        <v>35596.230000000003</v>
      </c>
      <c r="H601">
        <v>20400.41</v>
      </c>
      <c r="I601" t="s">
        <v>40</v>
      </c>
      <c r="J601" t="s">
        <v>41</v>
      </c>
      <c r="K601" t="s">
        <v>42</v>
      </c>
      <c r="L601" t="s">
        <v>88</v>
      </c>
      <c r="M601">
        <v>3</v>
      </c>
      <c r="N601" t="s">
        <v>33</v>
      </c>
      <c r="O601" t="s">
        <v>25</v>
      </c>
      <c r="P601" t="s">
        <v>49</v>
      </c>
    </row>
    <row r="602" spans="1:16" x14ac:dyDescent="0.25">
      <c r="A602" t="s">
        <v>1591</v>
      </c>
      <c r="B602" s="6">
        <v>44663</v>
      </c>
      <c r="C602">
        <v>9668</v>
      </c>
      <c r="D602" t="s">
        <v>1592</v>
      </c>
      <c r="E602" t="s">
        <v>18</v>
      </c>
      <c r="F602" t="s">
        <v>58</v>
      </c>
      <c r="G602">
        <v>27835.93</v>
      </c>
      <c r="H602">
        <v>17609.62</v>
      </c>
      <c r="I602" t="s">
        <v>53</v>
      </c>
      <c r="J602" t="s">
        <v>54</v>
      </c>
      <c r="K602" t="s">
        <v>22</v>
      </c>
      <c r="L602" t="s">
        <v>23</v>
      </c>
      <c r="M602">
        <v>3</v>
      </c>
      <c r="N602" t="s">
        <v>33</v>
      </c>
      <c r="O602" t="s">
        <v>25</v>
      </c>
      <c r="P602" t="s">
        <v>34</v>
      </c>
    </row>
    <row r="603" spans="1:16" x14ac:dyDescent="0.25">
      <c r="A603" t="s">
        <v>1593</v>
      </c>
      <c r="B603" s="6">
        <v>44786</v>
      </c>
      <c r="C603">
        <v>8198</v>
      </c>
      <c r="D603" t="s">
        <v>1595</v>
      </c>
      <c r="E603" t="s">
        <v>18</v>
      </c>
      <c r="F603" t="s">
        <v>30</v>
      </c>
      <c r="G603">
        <v>26653</v>
      </c>
      <c r="H603">
        <v>15976.29</v>
      </c>
      <c r="I603" t="s">
        <v>63</v>
      </c>
      <c r="J603" t="s">
        <v>54</v>
      </c>
      <c r="K603" t="s">
        <v>22</v>
      </c>
      <c r="L603" t="s">
        <v>88</v>
      </c>
      <c r="M603">
        <v>2</v>
      </c>
      <c r="N603" t="s">
        <v>33</v>
      </c>
      <c r="O603" t="s">
        <v>25</v>
      </c>
      <c r="P603" t="s">
        <v>26</v>
      </c>
    </row>
    <row r="604" spans="1:16" x14ac:dyDescent="0.25">
      <c r="A604" t="s">
        <v>1596</v>
      </c>
      <c r="B604" s="6">
        <v>44172</v>
      </c>
      <c r="C604">
        <v>8852</v>
      </c>
      <c r="D604" t="s">
        <v>1598</v>
      </c>
      <c r="E604" t="s">
        <v>38</v>
      </c>
      <c r="F604" t="s">
        <v>39</v>
      </c>
      <c r="G604">
        <v>9828.1299999999992</v>
      </c>
      <c r="H604">
        <v>5383.98</v>
      </c>
      <c r="I604" t="s">
        <v>84</v>
      </c>
      <c r="J604" t="s">
        <v>54</v>
      </c>
      <c r="K604" t="s">
        <v>80</v>
      </c>
      <c r="L604" t="s">
        <v>48</v>
      </c>
      <c r="M604">
        <v>2</v>
      </c>
      <c r="N604" t="s">
        <v>33</v>
      </c>
      <c r="O604" t="s">
        <v>70</v>
      </c>
      <c r="P604" t="s">
        <v>34</v>
      </c>
    </row>
    <row r="605" spans="1:16" x14ac:dyDescent="0.25">
      <c r="A605" t="s">
        <v>1599</v>
      </c>
      <c r="B605" s="6">
        <v>44618</v>
      </c>
      <c r="C605">
        <v>1346</v>
      </c>
      <c r="D605" t="s">
        <v>1601</v>
      </c>
      <c r="E605" t="s">
        <v>18</v>
      </c>
      <c r="F605" t="s">
        <v>47</v>
      </c>
      <c r="G605">
        <v>4444.2700000000004</v>
      </c>
      <c r="H605">
        <v>2444.35</v>
      </c>
      <c r="I605" t="s">
        <v>31</v>
      </c>
      <c r="J605" t="s">
        <v>21</v>
      </c>
      <c r="K605" t="s">
        <v>32</v>
      </c>
      <c r="L605" t="s">
        <v>55</v>
      </c>
      <c r="M605">
        <v>3</v>
      </c>
      <c r="N605" t="s">
        <v>33</v>
      </c>
      <c r="O605" t="s">
        <v>25</v>
      </c>
      <c r="P605" t="s">
        <v>26</v>
      </c>
    </row>
    <row r="606" spans="1:16" x14ac:dyDescent="0.25">
      <c r="A606" t="s">
        <v>1602</v>
      </c>
      <c r="B606" s="6">
        <v>44050</v>
      </c>
      <c r="C606">
        <v>3498</v>
      </c>
      <c r="D606" t="s">
        <v>1603</v>
      </c>
      <c r="E606" t="s">
        <v>18</v>
      </c>
      <c r="F606" t="s">
        <v>39</v>
      </c>
      <c r="G606">
        <v>13709.16</v>
      </c>
      <c r="H606">
        <v>8271.36</v>
      </c>
      <c r="I606" t="s">
        <v>53</v>
      </c>
      <c r="J606" t="s">
        <v>54</v>
      </c>
      <c r="K606" t="s">
        <v>42</v>
      </c>
      <c r="L606" t="s">
        <v>48</v>
      </c>
      <c r="M606">
        <v>2</v>
      </c>
      <c r="N606" t="s">
        <v>24</v>
      </c>
      <c r="O606" t="s">
        <v>25</v>
      </c>
      <c r="P606" t="s">
        <v>34</v>
      </c>
    </row>
    <row r="607" spans="1:16" x14ac:dyDescent="0.25">
      <c r="A607" t="s">
        <v>1604</v>
      </c>
      <c r="B607" s="6">
        <v>45019</v>
      </c>
      <c r="C607">
        <v>3436</v>
      </c>
      <c r="D607" t="s">
        <v>1605</v>
      </c>
      <c r="E607" t="s">
        <v>18</v>
      </c>
      <c r="F607" t="s">
        <v>19</v>
      </c>
      <c r="G607">
        <v>6033.69</v>
      </c>
      <c r="H607">
        <v>3199.4</v>
      </c>
      <c r="I607" t="s">
        <v>20</v>
      </c>
      <c r="J607" t="s">
        <v>21</v>
      </c>
      <c r="K607" t="s">
        <v>42</v>
      </c>
      <c r="L607" t="s">
        <v>23</v>
      </c>
      <c r="M607">
        <v>2</v>
      </c>
      <c r="N607" t="s">
        <v>33</v>
      </c>
      <c r="O607" t="s">
        <v>70</v>
      </c>
      <c r="P607" t="s">
        <v>26</v>
      </c>
    </row>
    <row r="608" spans="1:16" x14ac:dyDescent="0.25">
      <c r="A608" t="s">
        <v>1606</v>
      </c>
      <c r="B608" s="6">
        <v>44886</v>
      </c>
      <c r="C608">
        <v>4633</v>
      </c>
      <c r="D608" t="s">
        <v>1608</v>
      </c>
      <c r="E608" t="s">
        <v>38</v>
      </c>
      <c r="F608" t="s">
        <v>39</v>
      </c>
      <c r="G608">
        <v>15795.38</v>
      </c>
      <c r="H608">
        <v>7301.73</v>
      </c>
      <c r="I608" t="s">
        <v>59</v>
      </c>
      <c r="J608" t="s">
        <v>41</v>
      </c>
      <c r="K608" t="s">
        <v>80</v>
      </c>
      <c r="L608" t="s">
        <v>48</v>
      </c>
      <c r="M608">
        <v>1</v>
      </c>
      <c r="N608" t="s">
        <v>33</v>
      </c>
      <c r="O608" t="s">
        <v>25</v>
      </c>
      <c r="P608" t="s">
        <v>34</v>
      </c>
    </row>
    <row r="609" spans="1:16" x14ac:dyDescent="0.25">
      <c r="A609" t="s">
        <v>1609</v>
      </c>
      <c r="B609" s="6">
        <v>44586</v>
      </c>
      <c r="C609">
        <v>1669</v>
      </c>
      <c r="D609" t="s">
        <v>154</v>
      </c>
      <c r="E609" t="s">
        <v>18</v>
      </c>
      <c r="F609" t="s">
        <v>39</v>
      </c>
      <c r="G609">
        <v>6540.23</v>
      </c>
      <c r="H609">
        <v>3917.28</v>
      </c>
      <c r="I609" t="s">
        <v>40</v>
      </c>
      <c r="J609" t="s">
        <v>41</v>
      </c>
      <c r="K609" t="s">
        <v>32</v>
      </c>
      <c r="L609" t="s">
        <v>88</v>
      </c>
      <c r="M609">
        <v>4</v>
      </c>
      <c r="N609" t="s">
        <v>33</v>
      </c>
      <c r="O609" t="s">
        <v>70</v>
      </c>
      <c r="P609" t="s">
        <v>34</v>
      </c>
    </row>
    <row r="610" spans="1:16" x14ac:dyDescent="0.25">
      <c r="A610" t="s">
        <v>1611</v>
      </c>
      <c r="B610" s="6">
        <v>44611</v>
      </c>
      <c r="C610">
        <v>1223</v>
      </c>
      <c r="D610" t="s">
        <v>1612</v>
      </c>
      <c r="E610" t="s">
        <v>18</v>
      </c>
      <c r="F610" t="s">
        <v>39</v>
      </c>
      <c r="G610">
        <v>21515.98</v>
      </c>
      <c r="H610">
        <v>12872.12</v>
      </c>
      <c r="I610" t="s">
        <v>53</v>
      </c>
      <c r="J610" t="s">
        <v>54</v>
      </c>
      <c r="K610" t="s">
        <v>42</v>
      </c>
      <c r="L610" t="s">
        <v>48</v>
      </c>
      <c r="M610">
        <v>5</v>
      </c>
      <c r="N610" t="s">
        <v>24</v>
      </c>
      <c r="O610" t="s">
        <v>25</v>
      </c>
      <c r="P610" t="s">
        <v>49</v>
      </c>
    </row>
    <row r="611" spans="1:16" x14ac:dyDescent="0.25">
      <c r="A611" t="s">
        <v>1613</v>
      </c>
      <c r="B611" s="6">
        <v>45358</v>
      </c>
      <c r="C611">
        <v>2971</v>
      </c>
      <c r="D611" t="s">
        <v>1615</v>
      </c>
      <c r="E611" t="s">
        <v>18</v>
      </c>
      <c r="F611" t="s">
        <v>39</v>
      </c>
      <c r="G611">
        <v>39534.79</v>
      </c>
      <c r="H611">
        <v>25003.200000000001</v>
      </c>
      <c r="I611" t="s">
        <v>84</v>
      </c>
      <c r="J611" t="s">
        <v>54</v>
      </c>
      <c r="K611" t="s">
        <v>32</v>
      </c>
      <c r="L611" t="s">
        <v>23</v>
      </c>
      <c r="M611">
        <v>4</v>
      </c>
      <c r="N611" t="s">
        <v>69</v>
      </c>
      <c r="O611" t="s">
        <v>25</v>
      </c>
      <c r="P611" t="s">
        <v>49</v>
      </c>
    </row>
    <row r="612" spans="1:16" x14ac:dyDescent="0.25">
      <c r="A612" t="s">
        <v>1616</v>
      </c>
      <c r="B612" s="6">
        <v>45395</v>
      </c>
      <c r="C612">
        <v>3517</v>
      </c>
      <c r="D612" t="s">
        <v>1618</v>
      </c>
      <c r="E612" t="s">
        <v>18</v>
      </c>
      <c r="F612" t="s">
        <v>19</v>
      </c>
      <c r="G612">
        <v>6691.95</v>
      </c>
      <c r="H612">
        <v>3571.11</v>
      </c>
      <c r="I612" t="s">
        <v>120</v>
      </c>
      <c r="J612" t="s">
        <v>21</v>
      </c>
      <c r="K612" t="s">
        <v>42</v>
      </c>
      <c r="L612" t="s">
        <v>43</v>
      </c>
      <c r="M612">
        <v>3</v>
      </c>
      <c r="N612" t="s">
        <v>69</v>
      </c>
      <c r="O612" t="s">
        <v>25</v>
      </c>
      <c r="P612" t="s">
        <v>49</v>
      </c>
    </row>
    <row r="613" spans="1:16" x14ac:dyDescent="0.25">
      <c r="A613" t="s">
        <v>1619</v>
      </c>
      <c r="B613" s="6">
        <v>44819</v>
      </c>
      <c r="C613">
        <v>3735</v>
      </c>
      <c r="D613" t="s">
        <v>1621</v>
      </c>
      <c r="E613" t="s">
        <v>38</v>
      </c>
      <c r="F613" t="s">
        <v>58</v>
      </c>
      <c r="G613">
        <v>40533.760000000002</v>
      </c>
      <c r="H613">
        <v>19285.43</v>
      </c>
      <c r="I613" t="s">
        <v>53</v>
      </c>
      <c r="J613" t="s">
        <v>54</v>
      </c>
      <c r="K613" t="s">
        <v>22</v>
      </c>
      <c r="L613" t="s">
        <v>43</v>
      </c>
      <c r="M613">
        <v>1</v>
      </c>
      <c r="N613" t="s">
        <v>24</v>
      </c>
      <c r="O613" t="s">
        <v>70</v>
      </c>
      <c r="P613" t="s">
        <v>49</v>
      </c>
    </row>
    <row r="614" spans="1:16" x14ac:dyDescent="0.25">
      <c r="A614" t="s">
        <v>1622</v>
      </c>
      <c r="B614" s="6">
        <v>45330</v>
      </c>
      <c r="C614">
        <v>8172</v>
      </c>
      <c r="D614" t="s">
        <v>539</v>
      </c>
      <c r="E614" t="s">
        <v>38</v>
      </c>
      <c r="F614" t="s">
        <v>19</v>
      </c>
      <c r="G614">
        <v>10927.72</v>
      </c>
      <c r="H614">
        <v>5770.38</v>
      </c>
      <c r="I614" t="s">
        <v>59</v>
      </c>
      <c r="J614" t="s">
        <v>41</v>
      </c>
      <c r="K614" t="s">
        <v>42</v>
      </c>
      <c r="L614" t="s">
        <v>23</v>
      </c>
      <c r="M614">
        <v>2</v>
      </c>
      <c r="N614" t="s">
        <v>33</v>
      </c>
      <c r="O614" t="s">
        <v>25</v>
      </c>
      <c r="P614" t="s">
        <v>49</v>
      </c>
    </row>
    <row r="615" spans="1:16" x14ac:dyDescent="0.25">
      <c r="A615" t="s">
        <v>1623</v>
      </c>
      <c r="B615" s="6">
        <v>45560</v>
      </c>
      <c r="C615">
        <v>5971</v>
      </c>
      <c r="D615" t="s">
        <v>1624</v>
      </c>
      <c r="E615" t="s">
        <v>18</v>
      </c>
      <c r="F615" t="s">
        <v>30</v>
      </c>
      <c r="G615">
        <v>42043.19</v>
      </c>
      <c r="H615">
        <v>21177.279999999999</v>
      </c>
      <c r="I615" t="s">
        <v>31</v>
      </c>
      <c r="J615" t="s">
        <v>21</v>
      </c>
      <c r="K615" t="s">
        <v>22</v>
      </c>
      <c r="L615" t="s">
        <v>23</v>
      </c>
      <c r="M615">
        <v>2</v>
      </c>
      <c r="N615" t="s">
        <v>33</v>
      </c>
      <c r="O615" t="s">
        <v>25</v>
      </c>
      <c r="P615" t="s">
        <v>26</v>
      </c>
    </row>
    <row r="616" spans="1:16" x14ac:dyDescent="0.25">
      <c r="A616" t="s">
        <v>1625</v>
      </c>
      <c r="B616" s="6">
        <v>44588</v>
      </c>
      <c r="C616">
        <v>5079</v>
      </c>
      <c r="D616" t="s">
        <v>1627</v>
      </c>
      <c r="E616" t="s">
        <v>18</v>
      </c>
      <c r="F616" t="s">
        <v>47</v>
      </c>
      <c r="G616">
        <v>9182.44</v>
      </c>
      <c r="H616">
        <v>4134.67</v>
      </c>
      <c r="I616" t="s">
        <v>120</v>
      </c>
      <c r="J616" t="s">
        <v>21</v>
      </c>
      <c r="K616" t="s">
        <v>42</v>
      </c>
      <c r="L616" t="s">
        <v>48</v>
      </c>
      <c r="M616">
        <v>5</v>
      </c>
      <c r="N616" t="s">
        <v>69</v>
      </c>
      <c r="O616" t="s">
        <v>25</v>
      </c>
      <c r="P616" t="s">
        <v>49</v>
      </c>
    </row>
    <row r="617" spans="1:16" x14ac:dyDescent="0.25">
      <c r="A617" t="s">
        <v>1628</v>
      </c>
      <c r="B617" s="6">
        <v>44875</v>
      </c>
      <c r="C617">
        <v>6318</v>
      </c>
      <c r="D617" t="s">
        <v>1629</v>
      </c>
      <c r="E617" t="s">
        <v>18</v>
      </c>
      <c r="F617" t="s">
        <v>19</v>
      </c>
      <c r="G617">
        <v>9432.26</v>
      </c>
      <c r="H617">
        <v>4264.1499999999996</v>
      </c>
      <c r="I617" t="s">
        <v>59</v>
      </c>
      <c r="J617" t="s">
        <v>41</v>
      </c>
      <c r="K617" t="s">
        <v>42</v>
      </c>
      <c r="L617" t="s">
        <v>23</v>
      </c>
      <c r="M617">
        <v>3</v>
      </c>
      <c r="N617" t="s">
        <v>33</v>
      </c>
      <c r="O617" t="s">
        <v>70</v>
      </c>
      <c r="P617" t="s">
        <v>49</v>
      </c>
    </row>
    <row r="618" spans="1:16" x14ac:dyDescent="0.25">
      <c r="A618" t="s">
        <v>1630</v>
      </c>
      <c r="B618" s="6">
        <v>45487</v>
      </c>
      <c r="C618">
        <v>5216</v>
      </c>
      <c r="D618" t="s">
        <v>1631</v>
      </c>
      <c r="E618" t="s">
        <v>18</v>
      </c>
      <c r="F618" t="s">
        <v>58</v>
      </c>
      <c r="G618">
        <v>47779.18</v>
      </c>
      <c r="H618">
        <v>23609.02</v>
      </c>
      <c r="I618" t="s">
        <v>31</v>
      </c>
      <c r="J618" t="s">
        <v>21</v>
      </c>
      <c r="K618" t="s">
        <v>42</v>
      </c>
      <c r="L618" t="s">
        <v>23</v>
      </c>
      <c r="M618">
        <v>5</v>
      </c>
      <c r="N618" t="s">
        <v>24</v>
      </c>
      <c r="O618" t="s">
        <v>70</v>
      </c>
      <c r="P618" t="s">
        <v>34</v>
      </c>
    </row>
    <row r="619" spans="1:16" x14ac:dyDescent="0.25">
      <c r="A619" t="s">
        <v>1632</v>
      </c>
      <c r="B619" s="6">
        <v>44637</v>
      </c>
      <c r="C619">
        <v>2535</v>
      </c>
      <c r="D619" t="s">
        <v>1634</v>
      </c>
      <c r="E619" t="s">
        <v>38</v>
      </c>
      <c r="F619" t="s">
        <v>19</v>
      </c>
      <c r="G619">
        <v>7358.34</v>
      </c>
      <c r="H619">
        <v>3583.55</v>
      </c>
      <c r="I619" t="s">
        <v>63</v>
      </c>
      <c r="J619" t="s">
        <v>54</v>
      </c>
      <c r="K619" t="s">
        <v>32</v>
      </c>
      <c r="L619" t="s">
        <v>23</v>
      </c>
      <c r="M619">
        <v>5</v>
      </c>
      <c r="N619" t="s">
        <v>24</v>
      </c>
      <c r="O619" t="s">
        <v>70</v>
      </c>
      <c r="P619" t="s">
        <v>49</v>
      </c>
    </row>
    <row r="620" spans="1:16" x14ac:dyDescent="0.25">
      <c r="A620" t="s">
        <v>1635</v>
      </c>
      <c r="B620" s="6">
        <v>44398</v>
      </c>
      <c r="C620">
        <v>4077</v>
      </c>
      <c r="D620" t="s">
        <v>1636</v>
      </c>
      <c r="E620" t="s">
        <v>18</v>
      </c>
      <c r="F620" t="s">
        <v>58</v>
      </c>
      <c r="G620">
        <v>13576.53</v>
      </c>
      <c r="H620">
        <v>7267.23</v>
      </c>
      <c r="I620" t="s">
        <v>53</v>
      </c>
      <c r="J620" t="s">
        <v>54</v>
      </c>
      <c r="K620" t="s">
        <v>80</v>
      </c>
      <c r="L620" t="s">
        <v>48</v>
      </c>
      <c r="M620">
        <v>4</v>
      </c>
      <c r="N620" t="s">
        <v>33</v>
      </c>
      <c r="O620" t="s">
        <v>25</v>
      </c>
      <c r="P620" t="s">
        <v>49</v>
      </c>
    </row>
    <row r="621" spans="1:16" x14ac:dyDescent="0.25">
      <c r="A621" t="s">
        <v>1637</v>
      </c>
      <c r="B621" s="6">
        <v>44572</v>
      </c>
      <c r="C621">
        <v>1222</v>
      </c>
      <c r="D621" t="s">
        <v>1639</v>
      </c>
      <c r="E621" t="s">
        <v>18</v>
      </c>
      <c r="F621" t="s">
        <v>30</v>
      </c>
      <c r="G621">
        <v>21649.07</v>
      </c>
      <c r="H621">
        <v>13076.55</v>
      </c>
      <c r="I621" t="s">
        <v>20</v>
      </c>
      <c r="J621" t="s">
        <v>21</v>
      </c>
      <c r="K621" t="s">
        <v>42</v>
      </c>
      <c r="L621" t="s">
        <v>23</v>
      </c>
      <c r="M621">
        <v>5</v>
      </c>
      <c r="N621" t="s">
        <v>33</v>
      </c>
      <c r="O621" t="s">
        <v>70</v>
      </c>
      <c r="P621" t="s">
        <v>26</v>
      </c>
    </row>
    <row r="622" spans="1:16" x14ac:dyDescent="0.25">
      <c r="A622" t="s">
        <v>1640</v>
      </c>
      <c r="B622" s="6">
        <v>43902</v>
      </c>
      <c r="C622">
        <v>8279</v>
      </c>
      <c r="D622" t="s">
        <v>1642</v>
      </c>
      <c r="E622" t="s">
        <v>18</v>
      </c>
      <c r="F622" t="s">
        <v>47</v>
      </c>
      <c r="G622">
        <v>4756.7299999999996</v>
      </c>
      <c r="H622">
        <v>2596.14</v>
      </c>
      <c r="I622" t="s">
        <v>120</v>
      </c>
      <c r="J622" t="s">
        <v>21</v>
      </c>
      <c r="K622" t="s">
        <v>32</v>
      </c>
      <c r="L622" t="s">
        <v>55</v>
      </c>
      <c r="M622">
        <v>5</v>
      </c>
      <c r="N622" t="s">
        <v>24</v>
      </c>
      <c r="O622" t="s">
        <v>70</v>
      </c>
      <c r="P622" t="s">
        <v>26</v>
      </c>
    </row>
    <row r="623" spans="1:16" x14ac:dyDescent="0.25">
      <c r="A623" t="s">
        <v>1643</v>
      </c>
      <c r="B623" s="6">
        <v>44823</v>
      </c>
      <c r="C623">
        <v>3323</v>
      </c>
      <c r="D623" t="s">
        <v>1644</v>
      </c>
      <c r="E623" t="s">
        <v>18</v>
      </c>
      <c r="F623" t="s">
        <v>58</v>
      </c>
      <c r="G623">
        <v>50100.21</v>
      </c>
      <c r="H623">
        <v>22785.58</v>
      </c>
      <c r="I623" t="s">
        <v>63</v>
      </c>
      <c r="J623" t="s">
        <v>54</v>
      </c>
      <c r="K623" t="s">
        <v>80</v>
      </c>
      <c r="L623" t="s">
        <v>64</v>
      </c>
      <c r="M623">
        <v>2</v>
      </c>
      <c r="N623" t="s">
        <v>33</v>
      </c>
      <c r="O623" t="s">
        <v>25</v>
      </c>
      <c r="P623" t="s">
        <v>49</v>
      </c>
    </row>
    <row r="624" spans="1:16" x14ac:dyDescent="0.25">
      <c r="A624" t="s">
        <v>1645</v>
      </c>
      <c r="B624" s="6">
        <v>44283</v>
      </c>
      <c r="C624">
        <v>4678</v>
      </c>
      <c r="D624" t="s">
        <v>1647</v>
      </c>
      <c r="E624" t="s">
        <v>18</v>
      </c>
      <c r="F624" t="s">
        <v>47</v>
      </c>
      <c r="G624">
        <v>14744.95</v>
      </c>
      <c r="H624">
        <v>7466.29</v>
      </c>
      <c r="I624" t="s">
        <v>84</v>
      </c>
      <c r="J624" t="s">
        <v>54</v>
      </c>
      <c r="K624" t="s">
        <v>22</v>
      </c>
      <c r="L624" t="s">
        <v>43</v>
      </c>
      <c r="M624">
        <v>3</v>
      </c>
      <c r="N624" t="s">
        <v>33</v>
      </c>
      <c r="O624" t="s">
        <v>70</v>
      </c>
      <c r="P624" t="s">
        <v>26</v>
      </c>
    </row>
    <row r="625" spans="1:16" x14ac:dyDescent="0.25">
      <c r="A625" t="s">
        <v>1648</v>
      </c>
      <c r="B625" s="6">
        <v>44733</v>
      </c>
      <c r="C625">
        <v>3971</v>
      </c>
      <c r="D625" t="s">
        <v>1649</v>
      </c>
      <c r="E625" t="s">
        <v>38</v>
      </c>
      <c r="F625" t="s">
        <v>58</v>
      </c>
      <c r="G625">
        <v>10168.61</v>
      </c>
      <c r="H625">
        <v>5932.92</v>
      </c>
      <c r="I625" t="s">
        <v>40</v>
      </c>
      <c r="J625" t="s">
        <v>41</v>
      </c>
      <c r="K625" t="s">
        <v>42</v>
      </c>
      <c r="L625" t="s">
        <v>43</v>
      </c>
      <c r="M625">
        <v>3</v>
      </c>
      <c r="N625" t="s">
        <v>33</v>
      </c>
      <c r="O625" t="s">
        <v>25</v>
      </c>
      <c r="P625" t="s">
        <v>34</v>
      </c>
    </row>
    <row r="626" spans="1:16" x14ac:dyDescent="0.25">
      <c r="A626" t="s">
        <v>1650</v>
      </c>
      <c r="B626" s="6">
        <v>45331</v>
      </c>
      <c r="C626">
        <v>3435</v>
      </c>
      <c r="D626" t="s">
        <v>1651</v>
      </c>
      <c r="E626" t="s">
        <v>18</v>
      </c>
      <c r="F626" t="s">
        <v>47</v>
      </c>
      <c r="G626">
        <v>8129</v>
      </c>
      <c r="H626">
        <v>4293.09</v>
      </c>
      <c r="I626" t="s">
        <v>120</v>
      </c>
      <c r="J626" t="s">
        <v>21</v>
      </c>
      <c r="K626" t="s">
        <v>80</v>
      </c>
      <c r="L626" t="s">
        <v>55</v>
      </c>
      <c r="M626">
        <v>1</v>
      </c>
      <c r="N626" t="s">
        <v>24</v>
      </c>
      <c r="O626" t="s">
        <v>70</v>
      </c>
      <c r="P626" t="s">
        <v>34</v>
      </c>
    </row>
    <row r="627" spans="1:16" x14ac:dyDescent="0.25">
      <c r="A627" t="s">
        <v>1652</v>
      </c>
      <c r="B627" s="6">
        <v>44394</v>
      </c>
      <c r="C627">
        <v>6231</v>
      </c>
      <c r="D627" t="s">
        <v>1653</v>
      </c>
      <c r="E627" t="s">
        <v>38</v>
      </c>
      <c r="F627" t="s">
        <v>47</v>
      </c>
      <c r="G627">
        <v>7953.86</v>
      </c>
      <c r="H627">
        <v>4682.3100000000004</v>
      </c>
      <c r="I627" t="s">
        <v>53</v>
      </c>
      <c r="J627" t="s">
        <v>54</v>
      </c>
      <c r="K627" t="s">
        <v>80</v>
      </c>
      <c r="L627" t="s">
        <v>43</v>
      </c>
      <c r="M627">
        <v>3</v>
      </c>
      <c r="N627" t="s">
        <v>33</v>
      </c>
      <c r="O627" t="s">
        <v>70</v>
      </c>
      <c r="P627" t="s">
        <v>26</v>
      </c>
    </row>
    <row r="628" spans="1:16" x14ac:dyDescent="0.25">
      <c r="A628" t="s">
        <v>1654</v>
      </c>
      <c r="B628" s="6">
        <v>45199</v>
      </c>
      <c r="C628">
        <v>4770</v>
      </c>
      <c r="D628" t="s">
        <v>37</v>
      </c>
      <c r="E628" t="s">
        <v>38</v>
      </c>
      <c r="F628" t="s">
        <v>30</v>
      </c>
      <c r="G628">
        <v>24983.65</v>
      </c>
      <c r="H628">
        <v>14814.91</v>
      </c>
      <c r="I628" t="s">
        <v>84</v>
      </c>
      <c r="J628" t="s">
        <v>54</v>
      </c>
      <c r="K628" t="s">
        <v>32</v>
      </c>
      <c r="L628" t="s">
        <v>48</v>
      </c>
      <c r="M628">
        <v>1</v>
      </c>
      <c r="N628" t="s">
        <v>33</v>
      </c>
      <c r="O628" t="s">
        <v>25</v>
      </c>
      <c r="P628" t="s">
        <v>26</v>
      </c>
    </row>
    <row r="629" spans="1:16" x14ac:dyDescent="0.25">
      <c r="A629" t="s">
        <v>1655</v>
      </c>
      <c r="B629" s="6">
        <v>45322</v>
      </c>
      <c r="C629">
        <v>6912</v>
      </c>
      <c r="D629" t="s">
        <v>1657</v>
      </c>
      <c r="E629" t="s">
        <v>18</v>
      </c>
      <c r="F629" t="s">
        <v>47</v>
      </c>
      <c r="G629">
        <v>9275.57</v>
      </c>
      <c r="H629">
        <v>4441.3999999999996</v>
      </c>
      <c r="I629" t="s">
        <v>53</v>
      </c>
      <c r="J629" t="s">
        <v>54</v>
      </c>
      <c r="K629" t="s">
        <v>80</v>
      </c>
      <c r="L629" t="s">
        <v>23</v>
      </c>
      <c r="M629">
        <v>2</v>
      </c>
      <c r="N629" t="s">
        <v>69</v>
      </c>
      <c r="O629" t="s">
        <v>25</v>
      </c>
      <c r="P629" t="s">
        <v>26</v>
      </c>
    </row>
    <row r="630" spans="1:16" x14ac:dyDescent="0.25">
      <c r="A630" t="s">
        <v>1658</v>
      </c>
      <c r="B630" s="6">
        <v>44575</v>
      </c>
      <c r="C630">
        <v>7089</v>
      </c>
      <c r="D630" t="s">
        <v>1660</v>
      </c>
      <c r="E630" t="s">
        <v>18</v>
      </c>
      <c r="F630" t="s">
        <v>19</v>
      </c>
      <c r="G630">
        <v>16404.39</v>
      </c>
      <c r="H630">
        <v>9556.3700000000008</v>
      </c>
      <c r="I630" t="s">
        <v>84</v>
      </c>
      <c r="J630" t="s">
        <v>54</v>
      </c>
      <c r="K630" t="s">
        <v>22</v>
      </c>
      <c r="L630" t="s">
        <v>64</v>
      </c>
      <c r="M630">
        <v>5</v>
      </c>
      <c r="N630" t="s">
        <v>69</v>
      </c>
      <c r="O630" t="s">
        <v>25</v>
      </c>
      <c r="P630" t="s">
        <v>34</v>
      </c>
    </row>
    <row r="631" spans="1:16" x14ac:dyDescent="0.25">
      <c r="A631" t="s">
        <v>1661</v>
      </c>
      <c r="B631" s="6">
        <v>45140</v>
      </c>
      <c r="C631">
        <v>3988</v>
      </c>
      <c r="D631" t="s">
        <v>1662</v>
      </c>
      <c r="E631" t="s">
        <v>38</v>
      </c>
      <c r="F631" t="s">
        <v>58</v>
      </c>
      <c r="G631">
        <v>49006.07</v>
      </c>
      <c r="H631">
        <v>29385.09</v>
      </c>
      <c r="I631" t="s">
        <v>63</v>
      </c>
      <c r="J631" t="s">
        <v>54</v>
      </c>
      <c r="K631" t="s">
        <v>42</v>
      </c>
      <c r="L631" t="s">
        <v>64</v>
      </c>
      <c r="M631">
        <v>4</v>
      </c>
      <c r="N631" t="s">
        <v>24</v>
      </c>
      <c r="O631" t="s">
        <v>25</v>
      </c>
      <c r="P631" t="s">
        <v>49</v>
      </c>
    </row>
    <row r="632" spans="1:16" x14ac:dyDescent="0.25">
      <c r="A632" t="s">
        <v>1663</v>
      </c>
      <c r="B632" s="6">
        <v>44159</v>
      </c>
      <c r="C632">
        <v>3843</v>
      </c>
      <c r="D632" t="s">
        <v>1664</v>
      </c>
      <c r="E632" t="s">
        <v>18</v>
      </c>
      <c r="F632" t="s">
        <v>58</v>
      </c>
      <c r="G632">
        <v>6301.58</v>
      </c>
      <c r="H632">
        <v>3885.15</v>
      </c>
      <c r="I632" t="s">
        <v>120</v>
      </c>
      <c r="J632" t="s">
        <v>21</v>
      </c>
      <c r="K632" t="s">
        <v>80</v>
      </c>
      <c r="L632" t="s">
        <v>43</v>
      </c>
      <c r="M632">
        <v>3</v>
      </c>
      <c r="N632" t="s">
        <v>69</v>
      </c>
      <c r="O632" t="s">
        <v>25</v>
      </c>
      <c r="P632" t="s">
        <v>49</v>
      </c>
    </row>
    <row r="633" spans="1:16" x14ac:dyDescent="0.25">
      <c r="A633" t="s">
        <v>1665</v>
      </c>
      <c r="B633" s="6">
        <v>44024</v>
      </c>
      <c r="C633">
        <v>4471</v>
      </c>
      <c r="D633" t="s">
        <v>1667</v>
      </c>
      <c r="E633" t="s">
        <v>38</v>
      </c>
      <c r="F633" t="s">
        <v>39</v>
      </c>
      <c r="G633">
        <v>24685.599999999999</v>
      </c>
      <c r="H633">
        <v>12189.29</v>
      </c>
      <c r="I633" t="s">
        <v>63</v>
      </c>
      <c r="J633" t="s">
        <v>54</v>
      </c>
      <c r="K633" t="s">
        <v>32</v>
      </c>
      <c r="L633" t="s">
        <v>48</v>
      </c>
      <c r="M633">
        <v>5</v>
      </c>
      <c r="N633" t="s">
        <v>24</v>
      </c>
      <c r="O633" t="s">
        <v>25</v>
      </c>
      <c r="P633" t="s">
        <v>49</v>
      </c>
    </row>
    <row r="634" spans="1:16" x14ac:dyDescent="0.25">
      <c r="A634" t="s">
        <v>1668</v>
      </c>
      <c r="B634" s="6">
        <v>44756</v>
      </c>
      <c r="C634">
        <v>1895</v>
      </c>
      <c r="D634" t="s">
        <v>1670</v>
      </c>
      <c r="E634" t="s">
        <v>38</v>
      </c>
      <c r="F634" t="s">
        <v>19</v>
      </c>
      <c r="G634">
        <v>12876.38</v>
      </c>
      <c r="H634">
        <v>6295.86</v>
      </c>
      <c r="I634" t="s">
        <v>120</v>
      </c>
      <c r="J634" t="s">
        <v>21</v>
      </c>
      <c r="K634" t="s">
        <v>22</v>
      </c>
      <c r="L634" t="s">
        <v>55</v>
      </c>
      <c r="M634">
        <v>1</v>
      </c>
      <c r="N634" t="s">
        <v>33</v>
      </c>
      <c r="O634" t="s">
        <v>70</v>
      </c>
      <c r="P634" t="s">
        <v>34</v>
      </c>
    </row>
    <row r="635" spans="1:16" x14ac:dyDescent="0.25">
      <c r="A635" t="s">
        <v>1671</v>
      </c>
      <c r="B635" s="6">
        <v>44305</v>
      </c>
      <c r="C635">
        <v>1179</v>
      </c>
      <c r="D635" t="s">
        <v>1673</v>
      </c>
      <c r="E635" t="s">
        <v>38</v>
      </c>
      <c r="F635" t="s">
        <v>58</v>
      </c>
      <c r="G635">
        <v>15245.45</v>
      </c>
      <c r="H635">
        <v>7475.53</v>
      </c>
      <c r="I635" t="s">
        <v>53</v>
      </c>
      <c r="J635" t="s">
        <v>54</v>
      </c>
      <c r="K635" t="s">
        <v>22</v>
      </c>
      <c r="L635" t="s">
        <v>23</v>
      </c>
      <c r="M635">
        <v>3</v>
      </c>
      <c r="N635" t="s">
        <v>33</v>
      </c>
      <c r="O635" t="s">
        <v>25</v>
      </c>
      <c r="P635" t="s">
        <v>26</v>
      </c>
    </row>
    <row r="636" spans="1:16" x14ac:dyDescent="0.25">
      <c r="A636" t="s">
        <v>1674</v>
      </c>
      <c r="B636" s="6">
        <v>44720</v>
      </c>
      <c r="C636">
        <v>6843</v>
      </c>
      <c r="D636" t="s">
        <v>1676</v>
      </c>
      <c r="E636" t="s">
        <v>38</v>
      </c>
      <c r="F636" t="s">
        <v>58</v>
      </c>
      <c r="G636">
        <v>43473.34</v>
      </c>
      <c r="H636">
        <v>23912.22</v>
      </c>
      <c r="I636" t="s">
        <v>120</v>
      </c>
      <c r="J636" t="s">
        <v>21</v>
      </c>
      <c r="K636" t="s">
        <v>42</v>
      </c>
      <c r="L636" t="s">
        <v>64</v>
      </c>
      <c r="M636">
        <v>3</v>
      </c>
      <c r="N636" t="s">
        <v>69</v>
      </c>
      <c r="O636" t="s">
        <v>70</v>
      </c>
      <c r="P636" t="s">
        <v>26</v>
      </c>
    </row>
    <row r="637" spans="1:16" x14ac:dyDescent="0.25">
      <c r="A637" t="s">
        <v>1677</v>
      </c>
      <c r="B637" s="6">
        <v>45003</v>
      </c>
      <c r="C637">
        <v>7260</v>
      </c>
      <c r="D637" t="s">
        <v>1678</v>
      </c>
      <c r="E637" t="s">
        <v>38</v>
      </c>
      <c r="F637" t="s">
        <v>30</v>
      </c>
      <c r="G637">
        <v>75629.73</v>
      </c>
      <c r="H637">
        <v>46921.09</v>
      </c>
      <c r="I637" t="s">
        <v>84</v>
      </c>
      <c r="J637" t="s">
        <v>54</v>
      </c>
      <c r="K637" t="s">
        <v>42</v>
      </c>
      <c r="L637" t="s">
        <v>23</v>
      </c>
      <c r="M637">
        <v>2</v>
      </c>
      <c r="N637" t="s">
        <v>24</v>
      </c>
      <c r="O637" t="s">
        <v>25</v>
      </c>
      <c r="P637" t="s">
        <v>49</v>
      </c>
    </row>
    <row r="638" spans="1:16" x14ac:dyDescent="0.25">
      <c r="A638" t="s">
        <v>1679</v>
      </c>
      <c r="B638" s="6">
        <v>44545</v>
      </c>
      <c r="C638">
        <v>3307</v>
      </c>
      <c r="D638" t="s">
        <v>1680</v>
      </c>
      <c r="E638" t="s">
        <v>18</v>
      </c>
      <c r="F638" t="s">
        <v>39</v>
      </c>
      <c r="G638">
        <v>40578.400000000001</v>
      </c>
      <c r="H638">
        <v>22331.27</v>
      </c>
      <c r="I638" t="s">
        <v>84</v>
      </c>
      <c r="J638" t="s">
        <v>54</v>
      </c>
      <c r="K638" t="s">
        <v>42</v>
      </c>
      <c r="L638" t="s">
        <v>64</v>
      </c>
      <c r="M638">
        <v>2</v>
      </c>
      <c r="N638" t="s">
        <v>33</v>
      </c>
      <c r="O638" t="s">
        <v>25</v>
      </c>
      <c r="P638" t="s">
        <v>34</v>
      </c>
    </row>
    <row r="639" spans="1:16" x14ac:dyDescent="0.25">
      <c r="A639" t="s">
        <v>1681</v>
      </c>
      <c r="B639" s="6">
        <v>44668</v>
      </c>
      <c r="C639">
        <v>2228</v>
      </c>
      <c r="D639" t="s">
        <v>1683</v>
      </c>
      <c r="E639" t="s">
        <v>18</v>
      </c>
      <c r="F639" t="s">
        <v>19</v>
      </c>
      <c r="G639">
        <v>14064.07</v>
      </c>
      <c r="H639">
        <v>9125.91</v>
      </c>
      <c r="I639" t="s">
        <v>84</v>
      </c>
      <c r="J639" t="s">
        <v>54</v>
      </c>
      <c r="K639" t="s">
        <v>22</v>
      </c>
      <c r="L639" t="s">
        <v>55</v>
      </c>
      <c r="M639">
        <v>2</v>
      </c>
      <c r="N639" t="s">
        <v>24</v>
      </c>
      <c r="O639" t="s">
        <v>25</v>
      </c>
      <c r="P639" t="s">
        <v>26</v>
      </c>
    </row>
    <row r="640" spans="1:16" x14ac:dyDescent="0.25">
      <c r="A640" t="s">
        <v>1684</v>
      </c>
      <c r="B640" s="6">
        <v>45374</v>
      </c>
      <c r="C640">
        <v>5589</v>
      </c>
      <c r="D640" t="s">
        <v>1686</v>
      </c>
      <c r="E640" t="s">
        <v>38</v>
      </c>
      <c r="F640" t="s">
        <v>39</v>
      </c>
      <c r="G640">
        <v>23326.45</v>
      </c>
      <c r="H640">
        <v>10828.76</v>
      </c>
      <c r="I640" t="s">
        <v>120</v>
      </c>
      <c r="J640" t="s">
        <v>21</v>
      </c>
      <c r="K640" t="s">
        <v>80</v>
      </c>
      <c r="L640" t="s">
        <v>88</v>
      </c>
      <c r="M640">
        <v>4</v>
      </c>
      <c r="N640" t="s">
        <v>69</v>
      </c>
      <c r="O640" t="s">
        <v>70</v>
      </c>
      <c r="P640" t="s">
        <v>34</v>
      </c>
    </row>
    <row r="641" spans="1:16" x14ac:dyDescent="0.25">
      <c r="A641" t="s">
        <v>1687</v>
      </c>
      <c r="B641" s="6">
        <v>45541</v>
      </c>
      <c r="C641">
        <v>6955</v>
      </c>
      <c r="D641" t="s">
        <v>1689</v>
      </c>
      <c r="E641" t="s">
        <v>38</v>
      </c>
      <c r="F641" t="s">
        <v>47</v>
      </c>
      <c r="G641">
        <v>9389.68</v>
      </c>
      <c r="H641">
        <v>5834.75</v>
      </c>
      <c r="I641" t="s">
        <v>20</v>
      </c>
      <c r="J641" t="s">
        <v>21</v>
      </c>
      <c r="K641" t="s">
        <v>32</v>
      </c>
      <c r="L641" t="s">
        <v>64</v>
      </c>
      <c r="M641">
        <v>3</v>
      </c>
      <c r="N641" t="s">
        <v>24</v>
      </c>
      <c r="O641" t="s">
        <v>70</v>
      </c>
      <c r="P641" t="s">
        <v>34</v>
      </c>
    </row>
    <row r="642" spans="1:16" x14ac:dyDescent="0.25">
      <c r="A642" t="s">
        <v>1690</v>
      </c>
      <c r="B642" s="6">
        <v>45276</v>
      </c>
      <c r="C642">
        <v>1934</v>
      </c>
      <c r="D642" t="s">
        <v>1692</v>
      </c>
      <c r="E642" t="s">
        <v>18</v>
      </c>
      <c r="F642" t="s">
        <v>39</v>
      </c>
      <c r="G642">
        <v>41526.400000000001</v>
      </c>
      <c r="H642">
        <v>23344.48</v>
      </c>
      <c r="I642" t="s">
        <v>84</v>
      </c>
      <c r="J642" t="s">
        <v>54</v>
      </c>
      <c r="K642" t="s">
        <v>32</v>
      </c>
      <c r="L642" t="s">
        <v>55</v>
      </c>
      <c r="M642">
        <v>3</v>
      </c>
      <c r="N642" t="s">
        <v>33</v>
      </c>
      <c r="O642" t="s">
        <v>25</v>
      </c>
      <c r="P642" t="s">
        <v>26</v>
      </c>
    </row>
    <row r="643" spans="1:16" x14ac:dyDescent="0.25">
      <c r="A643" t="s">
        <v>1693</v>
      </c>
      <c r="B643" s="6">
        <v>44801</v>
      </c>
      <c r="C643">
        <v>9767</v>
      </c>
      <c r="D643" t="s">
        <v>1695</v>
      </c>
      <c r="E643" t="s">
        <v>38</v>
      </c>
      <c r="F643" t="s">
        <v>19</v>
      </c>
      <c r="G643">
        <v>6098.67</v>
      </c>
      <c r="H643">
        <v>2964.29</v>
      </c>
      <c r="I643" t="s">
        <v>53</v>
      </c>
      <c r="J643" t="s">
        <v>54</v>
      </c>
      <c r="K643" t="s">
        <v>22</v>
      </c>
      <c r="L643" t="s">
        <v>64</v>
      </c>
      <c r="M643">
        <v>4</v>
      </c>
      <c r="N643" t="s">
        <v>33</v>
      </c>
      <c r="O643" t="s">
        <v>25</v>
      </c>
      <c r="P643" t="s">
        <v>34</v>
      </c>
    </row>
    <row r="644" spans="1:16" x14ac:dyDescent="0.25">
      <c r="A644" t="s">
        <v>1696</v>
      </c>
      <c r="B644" s="6">
        <v>45535</v>
      </c>
      <c r="C644">
        <v>5560</v>
      </c>
      <c r="D644" t="s">
        <v>1697</v>
      </c>
      <c r="E644" t="s">
        <v>38</v>
      </c>
      <c r="F644" t="s">
        <v>30</v>
      </c>
      <c r="G644">
        <v>22191.919999999998</v>
      </c>
      <c r="H644">
        <v>10677.6</v>
      </c>
      <c r="I644" t="s">
        <v>84</v>
      </c>
      <c r="J644" t="s">
        <v>54</v>
      </c>
      <c r="K644" t="s">
        <v>80</v>
      </c>
      <c r="L644" t="s">
        <v>23</v>
      </c>
      <c r="M644">
        <v>2</v>
      </c>
      <c r="N644" t="s">
        <v>33</v>
      </c>
      <c r="O644" t="s">
        <v>25</v>
      </c>
      <c r="P644" t="s">
        <v>49</v>
      </c>
    </row>
    <row r="645" spans="1:16" x14ac:dyDescent="0.25">
      <c r="A645" t="s">
        <v>1698</v>
      </c>
      <c r="B645" s="6">
        <v>44782</v>
      </c>
      <c r="C645">
        <v>4496</v>
      </c>
      <c r="D645" t="s">
        <v>1700</v>
      </c>
      <c r="E645" t="s">
        <v>18</v>
      </c>
      <c r="F645" t="s">
        <v>47</v>
      </c>
      <c r="G645">
        <v>5143.66</v>
      </c>
      <c r="H645">
        <v>2338.25</v>
      </c>
      <c r="I645" t="s">
        <v>20</v>
      </c>
      <c r="J645" t="s">
        <v>21</v>
      </c>
      <c r="K645" t="s">
        <v>80</v>
      </c>
      <c r="L645" t="s">
        <v>88</v>
      </c>
      <c r="M645">
        <v>3</v>
      </c>
      <c r="N645" t="s">
        <v>24</v>
      </c>
      <c r="O645" t="s">
        <v>25</v>
      </c>
      <c r="P645" t="s">
        <v>26</v>
      </c>
    </row>
    <row r="646" spans="1:16" x14ac:dyDescent="0.25">
      <c r="A646" t="s">
        <v>1701</v>
      </c>
      <c r="B646" s="6">
        <v>45506</v>
      </c>
      <c r="C646">
        <v>4507</v>
      </c>
      <c r="D646" t="s">
        <v>1703</v>
      </c>
      <c r="E646" t="s">
        <v>38</v>
      </c>
      <c r="F646" t="s">
        <v>39</v>
      </c>
      <c r="G646">
        <v>19611.88</v>
      </c>
      <c r="H646">
        <v>9036.14</v>
      </c>
      <c r="I646" t="s">
        <v>63</v>
      </c>
      <c r="J646" t="s">
        <v>54</v>
      </c>
      <c r="K646" t="s">
        <v>80</v>
      </c>
      <c r="L646" t="s">
        <v>88</v>
      </c>
      <c r="M646">
        <v>3</v>
      </c>
      <c r="N646" t="s">
        <v>33</v>
      </c>
      <c r="O646" t="s">
        <v>25</v>
      </c>
      <c r="P646" t="s">
        <v>34</v>
      </c>
    </row>
    <row r="647" spans="1:16" x14ac:dyDescent="0.25">
      <c r="A647" t="s">
        <v>1704</v>
      </c>
      <c r="B647" s="6">
        <v>44553</v>
      </c>
      <c r="C647">
        <v>6811</v>
      </c>
      <c r="D647" t="s">
        <v>1705</v>
      </c>
      <c r="E647" t="s">
        <v>38</v>
      </c>
      <c r="F647" t="s">
        <v>19</v>
      </c>
      <c r="G647">
        <v>13118.67</v>
      </c>
      <c r="H647">
        <v>7375.08</v>
      </c>
      <c r="I647" t="s">
        <v>31</v>
      </c>
      <c r="J647" t="s">
        <v>21</v>
      </c>
      <c r="K647" t="s">
        <v>32</v>
      </c>
      <c r="L647" t="s">
        <v>55</v>
      </c>
      <c r="M647">
        <v>5</v>
      </c>
      <c r="N647" t="s">
        <v>24</v>
      </c>
      <c r="O647" t="s">
        <v>25</v>
      </c>
      <c r="P647" t="s">
        <v>49</v>
      </c>
    </row>
    <row r="648" spans="1:16" x14ac:dyDescent="0.25">
      <c r="A648" t="s">
        <v>1706</v>
      </c>
      <c r="B648" s="6">
        <v>44065</v>
      </c>
      <c r="C648">
        <v>9182</v>
      </c>
      <c r="D648" t="s">
        <v>1708</v>
      </c>
      <c r="E648" t="s">
        <v>38</v>
      </c>
      <c r="F648" t="s">
        <v>19</v>
      </c>
      <c r="G648">
        <v>3860.47</v>
      </c>
      <c r="H648">
        <v>2486.12</v>
      </c>
      <c r="I648" t="s">
        <v>31</v>
      </c>
      <c r="J648" t="s">
        <v>21</v>
      </c>
      <c r="K648" t="s">
        <v>80</v>
      </c>
      <c r="L648" t="s">
        <v>88</v>
      </c>
      <c r="M648">
        <v>5</v>
      </c>
      <c r="N648" t="s">
        <v>24</v>
      </c>
      <c r="O648" t="s">
        <v>70</v>
      </c>
      <c r="P648" t="s">
        <v>26</v>
      </c>
    </row>
    <row r="649" spans="1:16" x14ac:dyDescent="0.25">
      <c r="A649" t="s">
        <v>1709</v>
      </c>
      <c r="B649" s="6">
        <v>43942</v>
      </c>
      <c r="C649">
        <v>7884</v>
      </c>
      <c r="D649" t="s">
        <v>1710</v>
      </c>
      <c r="E649" t="s">
        <v>18</v>
      </c>
      <c r="F649" t="s">
        <v>47</v>
      </c>
      <c r="G649">
        <v>7508.84</v>
      </c>
      <c r="H649">
        <v>3703.57</v>
      </c>
      <c r="I649" t="s">
        <v>31</v>
      </c>
      <c r="J649" t="s">
        <v>21</v>
      </c>
      <c r="K649" t="s">
        <v>32</v>
      </c>
      <c r="L649" t="s">
        <v>23</v>
      </c>
      <c r="M649">
        <v>5</v>
      </c>
      <c r="N649" t="s">
        <v>69</v>
      </c>
      <c r="O649" t="s">
        <v>25</v>
      </c>
      <c r="P649" t="s">
        <v>34</v>
      </c>
    </row>
    <row r="650" spans="1:16" x14ac:dyDescent="0.25">
      <c r="A650" t="s">
        <v>1711</v>
      </c>
      <c r="B650" s="6">
        <v>45650</v>
      </c>
      <c r="C650">
        <v>8471</v>
      </c>
      <c r="D650" t="s">
        <v>1712</v>
      </c>
      <c r="E650" t="s">
        <v>38</v>
      </c>
      <c r="F650" t="s">
        <v>30</v>
      </c>
      <c r="G650">
        <v>62937.36</v>
      </c>
      <c r="H650">
        <v>32755.26</v>
      </c>
      <c r="I650" t="s">
        <v>53</v>
      </c>
      <c r="J650" t="s">
        <v>54</v>
      </c>
      <c r="K650" t="s">
        <v>80</v>
      </c>
      <c r="L650" t="s">
        <v>43</v>
      </c>
      <c r="M650">
        <v>3</v>
      </c>
      <c r="N650" t="s">
        <v>33</v>
      </c>
      <c r="O650" t="s">
        <v>25</v>
      </c>
      <c r="P650" t="s">
        <v>34</v>
      </c>
    </row>
    <row r="651" spans="1:16" x14ac:dyDescent="0.25">
      <c r="A651" t="s">
        <v>1713</v>
      </c>
      <c r="B651" s="6">
        <v>45122</v>
      </c>
      <c r="C651">
        <v>8167</v>
      </c>
      <c r="D651" t="s">
        <v>1714</v>
      </c>
      <c r="E651" t="s">
        <v>38</v>
      </c>
      <c r="F651" t="s">
        <v>30</v>
      </c>
      <c r="G651">
        <v>87288.81</v>
      </c>
      <c r="H651">
        <v>55653.63</v>
      </c>
      <c r="I651" t="s">
        <v>84</v>
      </c>
      <c r="J651" t="s">
        <v>54</v>
      </c>
      <c r="K651" t="s">
        <v>22</v>
      </c>
      <c r="L651" t="s">
        <v>55</v>
      </c>
      <c r="M651">
        <v>1</v>
      </c>
      <c r="N651" t="s">
        <v>33</v>
      </c>
      <c r="O651" t="s">
        <v>25</v>
      </c>
      <c r="P651" t="s">
        <v>34</v>
      </c>
    </row>
    <row r="652" spans="1:16" x14ac:dyDescent="0.25">
      <c r="A652" t="s">
        <v>1715</v>
      </c>
      <c r="B652" s="6">
        <v>45343</v>
      </c>
      <c r="C652">
        <v>8276</v>
      </c>
      <c r="D652" t="s">
        <v>1716</v>
      </c>
      <c r="E652" t="s">
        <v>18</v>
      </c>
      <c r="F652" t="s">
        <v>19</v>
      </c>
      <c r="G652">
        <v>19772.7</v>
      </c>
      <c r="H652">
        <v>12265.82</v>
      </c>
      <c r="I652" t="s">
        <v>84</v>
      </c>
      <c r="J652" t="s">
        <v>54</v>
      </c>
      <c r="K652" t="s">
        <v>32</v>
      </c>
      <c r="L652" t="s">
        <v>23</v>
      </c>
      <c r="M652">
        <v>4</v>
      </c>
      <c r="N652" t="s">
        <v>24</v>
      </c>
      <c r="O652" t="s">
        <v>25</v>
      </c>
      <c r="P652" t="s">
        <v>34</v>
      </c>
    </row>
    <row r="653" spans="1:16" x14ac:dyDescent="0.25">
      <c r="A653" t="s">
        <v>1717</v>
      </c>
      <c r="B653" s="6">
        <v>45503</v>
      </c>
      <c r="C653">
        <v>7484</v>
      </c>
      <c r="D653" t="s">
        <v>1718</v>
      </c>
      <c r="E653" t="s">
        <v>18</v>
      </c>
      <c r="F653" t="s">
        <v>47</v>
      </c>
      <c r="G653">
        <v>13354.88</v>
      </c>
      <c r="H653">
        <v>8098.92</v>
      </c>
      <c r="I653" t="s">
        <v>59</v>
      </c>
      <c r="J653" t="s">
        <v>41</v>
      </c>
      <c r="K653" t="s">
        <v>42</v>
      </c>
      <c r="L653" t="s">
        <v>88</v>
      </c>
      <c r="M653">
        <v>3</v>
      </c>
      <c r="N653" t="s">
        <v>33</v>
      </c>
      <c r="O653" t="s">
        <v>70</v>
      </c>
      <c r="P653" t="s">
        <v>34</v>
      </c>
    </row>
    <row r="654" spans="1:16" x14ac:dyDescent="0.25">
      <c r="A654" t="s">
        <v>1719</v>
      </c>
      <c r="B654" s="6">
        <v>44569</v>
      </c>
      <c r="C654">
        <v>3512</v>
      </c>
      <c r="D654" t="s">
        <v>1720</v>
      </c>
      <c r="E654" t="s">
        <v>38</v>
      </c>
      <c r="F654" t="s">
        <v>47</v>
      </c>
      <c r="G654">
        <v>13009.62</v>
      </c>
      <c r="H654">
        <v>7204.63</v>
      </c>
      <c r="I654" t="s">
        <v>20</v>
      </c>
      <c r="J654" t="s">
        <v>21</v>
      </c>
      <c r="K654" t="s">
        <v>42</v>
      </c>
      <c r="L654" t="s">
        <v>88</v>
      </c>
      <c r="M654">
        <v>2</v>
      </c>
      <c r="N654" t="s">
        <v>69</v>
      </c>
      <c r="O654" t="s">
        <v>70</v>
      </c>
      <c r="P654" t="s">
        <v>26</v>
      </c>
    </row>
    <row r="655" spans="1:16" x14ac:dyDescent="0.25">
      <c r="A655" t="s">
        <v>1721</v>
      </c>
      <c r="B655" s="6">
        <v>44953</v>
      </c>
      <c r="C655">
        <v>8030</v>
      </c>
      <c r="D655" t="s">
        <v>1723</v>
      </c>
      <c r="E655" t="s">
        <v>18</v>
      </c>
      <c r="F655" t="s">
        <v>58</v>
      </c>
      <c r="G655">
        <v>49171.12</v>
      </c>
      <c r="H655">
        <v>25966.400000000001</v>
      </c>
      <c r="I655" t="s">
        <v>120</v>
      </c>
      <c r="J655" t="s">
        <v>21</v>
      </c>
      <c r="K655" t="s">
        <v>32</v>
      </c>
      <c r="L655" t="s">
        <v>64</v>
      </c>
      <c r="M655">
        <v>3</v>
      </c>
      <c r="N655" t="s">
        <v>24</v>
      </c>
      <c r="O655" t="s">
        <v>25</v>
      </c>
      <c r="P655" t="s">
        <v>26</v>
      </c>
    </row>
    <row r="656" spans="1:16" x14ac:dyDescent="0.25">
      <c r="A656" t="s">
        <v>1724</v>
      </c>
      <c r="B656" s="6">
        <v>45127</v>
      </c>
      <c r="C656">
        <v>5263</v>
      </c>
      <c r="D656" t="s">
        <v>1725</v>
      </c>
      <c r="E656" t="s">
        <v>18</v>
      </c>
      <c r="F656" t="s">
        <v>30</v>
      </c>
      <c r="G656">
        <v>93443.39</v>
      </c>
      <c r="H656">
        <v>45857.58</v>
      </c>
      <c r="I656" t="s">
        <v>20</v>
      </c>
      <c r="J656" t="s">
        <v>21</v>
      </c>
      <c r="K656" t="s">
        <v>22</v>
      </c>
      <c r="L656" t="s">
        <v>55</v>
      </c>
      <c r="M656">
        <v>4</v>
      </c>
      <c r="N656" t="s">
        <v>33</v>
      </c>
      <c r="O656" t="s">
        <v>70</v>
      </c>
      <c r="P656" t="s">
        <v>26</v>
      </c>
    </row>
    <row r="657" spans="1:16" x14ac:dyDescent="0.25">
      <c r="A657" t="s">
        <v>1726</v>
      </c>
      <c r="B657" s="6">
        <v>45584</v>
      </c>
      <c r="C657">
        <v>1414</v>
      </c>
      <c r="D657" t="s">
        <v>1727</v>
      </c>
      <c r="E657" t="s">
        <v>18</v>
      </c>
      <c r="F657" t="s">
        <v>30</v>
      </c>
      <c r="G657">
        <v>125683.85</v>
      </c>
      <c r="H657">
        <v>72506.09</v>
      </c>
      <c r="I657" t="s">
        <v>84</v>
      </c>
      <c r="J657" t="s">
        <v>54</v>
      </c>
      <c r="K657" t="s">
        <v>42</v>
      </c>
      <c r="L657" t="s">
        <v>23</v>
      </c>
      <c r="M657">
        <v>2</v>
      </c>
      <c r="N657" t="s">
        <v>24</v>
      </c>
      <c r="O657" t="s">
        <v>25</v>
      </c>
      <c r="P657" t="s">
        <v>26</v>
      </c>
    </row>
    <row r="658" spans="1:16" x14ac:dyDescent="0.25">
      <c r="A658" t="s">
        <v>1728</v>
      </c>
      <c r="B658" s="6">
        <v>45485</v>
      </c>
      <c r="C658">
        <v>1847</v>
      </c>
      <c r="D658" t="s">
        <v>1730</v>
      </c>
      <c r="E658" t="s">
        <v>38</v>
      </c>
      <c r="F658" t="s">
        <v>19</v>
      </c>
      <c r="G658">
        <v>5878.71</v>
      </c>
      <c r="H658">
        <v>2814.46</v>
      </c>
      <c r="I658" t="s">
        <v>20</v>
      </c>
      <c r="J658" t="s">
        <v>21</v>
      </c>
      <c r="K658" t="s">
        <v>22</v>
      </c>
      <c r="L658" t="s">
        <v>48</v>
      </c>
      <c r="M658">
        <v>5</v>
      </c>
      <c r="N658" t="s">
        <v>69</v>
      </c>
      <c r="O658" t="s">
        <v>25</v>
      </c>
      <c r="P658" t="s">
        <v>49</v>
      </c>
    </row>
    <row r="659" spans="1:16" x14ac:dyDescent="0.25">
      <c r="A659" t="s">
        <v>1731</v>
      </c>
      <c r="B659" s="6">
        <v>45339</v>
      </c>
      <c r="C659">
        <v>9097</v>
      </c>
      <c r="D659" t="s">
        <v>1732</v>
      </c>
      <c r="E659" t="s">
        <v>38</v>
      </c>
      <c r="F659" t="s">
        <v>39</v>
      </c>
      <c r="G659">
        <v>55679.6</v>
      </c>
      <c r="H659">
        <v>27371.78</v>
      </c>
      <c r="I659" t="s">
        <v>63</v>
      </c>
      <c r="J659" t="s">
        <v>54</v>
      </c>
      <c r="K659" t="s">
        <v>22</v>
      </c>
      <c r="L659" t="s">
        <v>64</v>
      </c>
      <c r="M659">
        <v>1</v>
      </c>
      <c r="N659" t="s">
        <v>33</v>
      </c>
      <c r="O659" t="s">
        <v>25</v>
      </c>
      <c r="P659" t="s">
        <v>49</v>
      </c>
    </row>
    <row r="660" spans="1:16" x14ac:dyDescent="0.25">
      <c r="A660" t="s">
        <v>1733</v>
      </c>
      <c r="B660" s="6">
        <v>45616</v>
      </c>
      <c r="C660">
        <v>3639</v>
      </c>
      <c r="D660" t="s">
        <v>961</v>
      </c>
      <c r="E660" t="s">
        <v>18</v>
      </c>
      <c r="F660" t="s">
        <v>39</v>
      </c>
      <c r="G660">
        <v>25288.37</v>
      </c>
      <c r="H660">
        <v>15950.07</v>
      </c>
      <c r="I660" t="s">
        <v>84</v>
      </c>
      <c r="J660" t="s">
        <v>54</v>
      </c>
      <c r="K660" t="s">
        <v>22</v>
      </c>
      <c r="L660" t="s">
        <v>55</v>
      </c>
      <c r="M660">
        <v>3</v>
      </c>
      <c r="N660" t="s">
        <v>69</v>
      </c>
      <c r="O660" t="s">
        <v>25</v>
      </c>
      <c r="P660" t="s">
        <v>49</v>
      </c>
    </row>
    <row r="661" spans="1:16" x14ac:dyDescent="0.25">
      <c r="A661" t="s">
        <v>1735</v>
      </c>
      <c r="B661" s="6">
        <v>45354</v>
      </c>
      <c r="C661">
        <v>1484</v>
      </c>
      <c r="D661" t="s">
        <v>1737</v>
      </c>
      <c r="E661" t="s">
        <v>18</v>
      </c>
      <c r="F661" t="s">
        <v>58</v>
      </c>
      <c r="G661">
        <v>33957.269999999997</v>
      </c>
      <c r="H661">
        <v>20448.8</v>
      </c>
      <c r="I661" t="s">
        <v>20</v>
      </c>
      <c r="J661" t="s">
        <v>21</v>
      </c>
      <c r="K661" t="s">
        <v>32</v>
      </c>
      <c r="L661" t="s">
        <v>88</v>
      </c>
      <c r="M661">
        <v>1</v>
      </c>
      <c r="N661" t="s">
        <v>69</v>
      </c>
      <c r="O661" t="s">
        <v>25</v>
      </c>
      <c r="P661" t="s">
        <v>26</v>
      </c>
    </row>
    <row r="662" spans="1:16" x14ac:dyDescent="0.25">
      <c r="A662" t="s">
        <v>1738</v>
      </c>
      <c r="B662" s="6">
        <v>44337</v>
      </c>
      <c r="C662">
        <v>4264</v>
      </c>
      <c r="D662" t="s">
        <v>1740</v>
      </c>
      <c r="E662" t="s">
        <v>18</v>
      </c>
      <c r="F662" t="s">
        <v>19</v>
      </c>
      <c r="G662">
        <v>8725.1</v>
      </c>
      <c r="H662">
        <v>4888.67</v>
      </c>
      <c r="I662" t="s">
        <v>84</v>
      </c>
      <c r="J662" t="s">
        <v>54</v>
      </c>
      <c r="K662" t="s">
        <v>42</v>
      </c>
      <c r="L662" t="s">
        <v>64</v>
      </c>
      <c r="M662">
        <v>4</v>
      </c>
      <c r="N662" t="s">
        <v>33</v>
      </c>
      <c r="O662" t="s">
        <v>70</v>
      </c>
      <c r="P662" t="s">
        <v>26</v>
      </c>
    </row>
    <row r="663" spans="1:16" x14ac:dyDescent="0.25">
      <c r="A663" t="s">
        <v>1741</v>
      </c>
      <c r="B663" s="6">
        <v>45435</v>
      </c>
      <c r="C663">
        <v>2685</v>
      </c>
      <c r="D663" t="s">
        <v>1742</v>
      </c>
      <c r="E663" t="s">
        <v>38</v>
      </c>
      <c r="F663" t="s">
        <v>19</v>
      </c>
      <c r="G663">
        <v>8852.9599999999991</v>
      </c>
      <c r="H663">
        <v>4348.28</v>
      </c>
      <c r="I663" t="s">
        <v>63</v>
      </c>
      <c r="J663" t="s">
        <v>54</v>
      </c>
      <c r="K663" t="s">
        <v>80</v>
      </c>
      <c r="L663" t="s">
        <v>64</v>
      </c>
      <c r="M663">
        <v>4</v>
      </c>
      <c r="N663" t="s">
        <v>33</v>
      </c>
      <c r="O663" t="s">
        <v>70</v>
      </c>
      <c r="P663" t="s">
        <v>34</v>
      </c>
    </row>
    <row r="664" spans="1:16" x14ac:dyDescent="0.25">
      <c r="A664" t="s">
        <v>1743</v>
      </c>
      <c r="B664" s="6">
        <v>44377</v>
      </c>
      <c r="C664">
        <v>2052</v>
      </c>
      <c r="D664" t="s">
        <v>1745</v>
      </c>
      <c r="E664" t="s">
        <v>38</v>
      </c>
      <c r="F664" t="s">
        <v>39</v>
      </c>
      <c r="G664">
        <v>10641.34</v>
      </c>
      <c r="H664">
        <v>4860.45</v>
      </c>
      <c r="I664" t="s">
        <v>31</v>
      </c>
      <c r="J664" t="s">
        <v>21</v>
      </c>
      <c r="K664" t="s">
        <v>42</v>
      </c>
      <c r="L664" t="s">
        <v>43</v>
      </c>
      <c r="M664">
        <v>4</v>
      </c>
      <c r="N664" t="s">
        <v>33</v>
      </c>
      <c r="O664" t="s">
        <v>70</v>
      </c>
      <c r="P664" t="s">
        <v>49</v>
      </c>
    </row>
    <row r="665" spans="1:16" x14ac:dyDescent="0.25">
      <c r="A665" t="s">
        <v>1746</v>
      </c>
      <c r="B665" s="6">
        <v>43923</v>
      </c>
      <c r="C665">
        <v>8035</v>
      </c>
      <c r="D665" t="s">
        <v>1747</v>
      </c>
      <c r="E665" t="s">
        <v>18</v>
      </c>
      <c r="F665" t="s">
        <v>39</v>
      </c>
      <c r="G665">
        <v>10578.13</v>
      </c>
      <c r="H665">
        <v>4913.84</v>
      </c>
      <c r="I665" t="s">
        <v>40</v>
      </c>
      <c r="J665" t="s">
        <v>41</v>
      </c>
      <c r="K665" t="s">
        <v>42</v>
      </c>
      <c r="L665" t="s">
        <v>88</v>
      </c>
      <c r="M665">
        <v>2</v>
      </c>
      <c r="N665" t="s">
        <v>24</v>
      </c>
      <c r="O665" t="s">
        <v>25</v>
      </c>
      <c r="P665" t="s">
        <v>34</v>
      </c>
    </row>
    <row r="666" spans="1:16" x14ac:dyDescent="0.25">
      <c r="A666" t="s">
        <v>1748</v>
      </c>
      <c r="B666" s="6">
        <v>45091</v>
      </c>
      <c r="C666">
        <v>2085</v>
      </c>
      <c r="D666" t="s">
        <v>1749</v>
      </c>
      <c r="E666" t="s">
        <v>38</v>
      </c>
      <c r="F666" t="s">
        <v>39</v>
      </c>
      <c r="G666">
        <v>18813.16</v>
      </c>
      <c r="H666">
        <v>9264.26</v>
      </c>
      <c r="I666" t="s">
        <v>31</v>
      </c>
      <c r="J666" t="s">
        <v>21</v>
      </c>
      <c r="K666" t="s">
        <v>32</v>
      </c>
      <c r="L666" t="s">
        <v>55</v>
      </c>
      <c r="M666">
        <v>5</v>
      </c>
      <c r="N666" t="s">
        <v>33</v>
      </c>
      <c r="O666" t="s">
        <v>70</v>
      </c>
      <c r="P666" t="s">
        <v>49</v>
      </c>
    </row>
    <row r="667" spans="1:16" x14ac:dyDescent="0.25">
      <c r="A667" t="s">
        <v>1750</v>
      </c>
      <c r="B667" s="6">
        <v>45454</v>
      </c>
      <c r="C667">
        <v>4246</v>
      </c>
      <c r="D667" t="s">
        <v>1751</v>
      </c>
      <c r="E667" t="s">
        <v>18</v>
      </c>
      <c r="F667" t="s">
        <v>30</v>
      </c>
      <c r="G667">
        <v>23437.74</v>
      </c>
      <c r="H667">
        <v>12862.32</v>
      </c>
      <c r="I667" t="s">
        <v>84</v>
      </c>
      <c r="J667" t="s">
        <v>54</v>
      </c>
      <c r="K667" t="s">
        <v>22</v>
      </c>
      <c r="L667" t="s">
        <v>88</v>
      </c>
      <c r="M667">
        <v>4</v>
      </c>
      <c r="N667" t="s">
        <v>33</v>
      </c>
      <c r="O667" t="s">
        <v>25</v>
      </c>
      <c r="P667" t="s">
        <v>49</v>
      </c>
    </row>
    <row r="668" spans="1:16" x14ac:dyDescent="0.25">
      <c r="A668" t="s">
        <v>1752</v>
      </c>
      <c r="B668" s="6">
        <v>43840</v>
      </c>
      <c r="C668">
        <v>1076</v>
      </c>
      <c r="D668" t="s">
        <v>1754</v>
      </c>
      <c r="E668" t="s">
        <v>38</v>
      </c>
      <c r="F668" t="s">
        <v>39</v>
      </c>
      <c r="G668">
        <v>14745.66</v>
      </c>
      <c r="H668">
        <v>9117.66</v>
      </c>
      <c r="I668" t="s">
        <v>53</v>
      </c>
      <c r="J668" t="s">
        <v>54</v>
      </c>
      <c r="K668" t="s">
        <v>80</v>
      </c>
      <c r="L668" t="s">
        <v>55</v>
      </c>
      <c r="M668">
        <v>5</v>
      </c>
      <c r="N668" t="s">
        <v>69</v>
      </c>
      <c r="O668" t="s">
        <v>25</v>
      </c>
      <c r="P668" t="s">
        <v>49</v>
      </c>
    </row>
    <row r="669" spans="1:16" x14ac:dyDescent="0.25">
      <c r="A669" t="s">
        <v>1755</v>
      </c>
      <c r="B669" s="6">
        <v>45446</v>
      </c>
      <c r="C669">
        <v>6196</v>
      </c>
      <c r="D669" t="s">
        <v>1756</v>
      </c>
      <c r="E669" t="s">
        <v>38</v>
      </c>
      <c r="F669" t="s">
        <v>58</v>
      </c>
      <c r="G669">
        <v>34219.11</v>
      </c>
      <c r="H669">
        <v>19206.849999999999</v>
      </c>
      <c r="I669" t="s">
        <v>53</v>
      </c>
      <c r="J669" t="s">
        <v>54</v>
      </c>
      <c r="K669" t="s">
        <v>42</v>
      </c>
      <c r="L669" t="s">
        <v>64</v>
      </c>
      <c r="M669">
        <v>5</v>
      </c>
      <c r="N669" t="s">
        <v>33</v>
      </c>
      <c r="O669" t="s">
        <v>25</v>
      </c>
      <c r="P669" t="s">
        <v>34</v>
      </c>
    </row>
    <row r="670" spans="1:16" x14ac:dyDescent="0.25">
      <c r="A670" t="s">
        <v>1757</v>
      </c>
      <c r="B670" s="6">
        <v>44388</v>
      </c>
      <c r="C670">
        <v>2683</v>
      </c>
      <c r="D670" t="s">
        <v>1759</v>
      </c>
      <c r="E670" t="s">
        <v>18</v>
      </c>
      <c r="F670" t="s">
        <v>47</v>
      </c>
      <c r="G670">
        <v>4505.1499999999996</v>
      </c>
      <c r="H670">
        <v>2771.08</v>
      </c>
      <c r="I670" t="s">
        <v>31</v>
      </c>
      <c r="J670" t="s">
        <v>21</v>
      </c>
      <c r="K670" t="s">
        <v>32</v>
      </c>
      <c r="L670" t="s">
        <v>55</v>
      </c>
      <c r="M670">
        <v>3</v>
      </c>
      <c r="N670" t="s">
        <v>69</v>
      </c>
      <c r="O670" t="s">
        <v>70</v>
      </c>
      <c r="P670" t="s">
        <v>26</v>
      </c>
    </row>
    <row r="671" spans="1:16" x14ac:dyDescent="0.25">
      <c r="A671" t="s">
        <v>1760</v>
      </c>
      <c r="B671" s="6">
        <v>45567</v>
      </c>
      <c r="C671">
        <v>1860</v>
      </c>
      <c r="D671" t="s">
        <v>1761</v>
      </c>
      <c r="E671" t="s">
        <v>38</v>
      </c>
      <c r="F671" t="s">
        <v>19</v>
      </c>
      <c r="G671">
        <v>24462.2</v>
      </c>
      <c r="H671">
        <v>11218.74</v>
      </c>
      <c r="I671" t="s">
        <v>63</v>
      </c>
      <c r="J671" t="s">
        <v>54</v>
      </c>
      <c r="K671" t="s">
        <v>22</v>
      </c>
      <c r="L671" t="s">
        <v>88</v>
      </c>
      <c r="M671">
        <v>1</v>
      </c>
      <c r="N671" t="s">
        <v>33</v>
      </c>
      <c r="O671" t="s">
        <v>70</v>
      </c>
      <c r="P671" t="s">
        <v>34</v>
      </c>
    </row>
    <row r="672" spans="1:16" x14ac:dyDescent="0.25">
      <c r="A672" t="s">
        <v>1762</v>
      </c>
      <c r="B672" s="6">
        <v>44988</v>
      </c>
      <c r="C672">
        <v>6231</v>
      </c>
      <c r="D672" t="s">
        <v>1764</v>
      </c>
      <c r="E672" t="s">
        <v>18</v>
      </c>
      <c r="F672" t="s">
        <v>47</v>
      </c>
      <c r="G672">
        <v>16439.849999999999</v>
      </c>
      <c r="H672">
        <v>10316.99</v>
      </c>
      <c r="I672" t="s">
        <v>63</v>
      </c>
      <c r="J672" t="s">
        <v>54</v>
      </c>
      <c r="K672" t="s">
        <v>80</v>
      </c>
      <c r="L672" t="s">
        <v>48</v>
      </c>
      <c r="M672">
        <v>4</v>
      </c>
      <c r="N672" t="s">
        <v>24</v>
      </c>
      <c r="O672" t="s">
        <v>25</v>
      </c>
      <c r="P672" t="s">
        <v>26</v>
      </c>
    </row>
    <row r="673" spans="1:16" x14ac:dyDescent="0.25">
      <c r="A673" t="s">
        <v>1765</v>
      </c>
      <c r="B673" s="6">
        <v>44809</v>
      </c>
      <c r="C673">
        <v>2504</v>
      </c>
      <c r="D673" t="s">
        <v>1767</v>
      </c>
      <c r="E673" t="s">
        <v>38</v>
      </c>
      <c r="F673" t="s">
        <v>30</v>
      </c>
      <c r="G673">
        <v>67932.740000000005</v>
      </c>
      <c r="H673">
        <v>40234.949999999997</v>
      </c>
      <c r="I673" t="s">
        <v>31</v>
      </c>
      <c r="J673" t="s">
        <v>21</v>
      </c>
      <c r="K673" t="s">
        <v>42</v>
      </c>
      <c r="L673" t="s">
        <v>43</v>
      </c>
      <c r="M673">
        <v>2</v>
      </c>
      <c r="N673" t="s">
        <v>24</v>
      </c>
      <c r="O673" t="s">
        <v>70</v>
      </c>
      <c r="P673" t="s">
        <v>26</v>
      </c>
    </row>
    <row r="674" spans="1:16" x14ac:dyDescent="0.25">
      <c r="A674" t="s">
        <v>1768</v>
      </c>
      <c r="B674" s="6">
        <v>43837</v>
      </c>
      <c r="C674">
        <v>4541</v>
      </c>
      <c r="D674" t="s">
        <v>1770</v>
      </c>
      <c r="E674" t="s">
        <v>38</v>
      </c>
      <c r="F674" t="s">
        <v>47</v>
      </c>
      <c r="G674">
        <v>9548.5400000000009</v>
      </c>
      <c r="H674">
        <v>4655.71</v>
      </c>
      <c r="I674" t="s">
        <v>20</v>
      </c>
      <c r="J674" t="s">
        <v>21</v>
      </c>
      <c r="K674" t="s">
        <v>22</v>
      </c>
      <c r="L674" t="s">
        <v>88</v>
      </c>
      <c r="M674">
        <v>2</v>
      </c>
      <c r="N674" t="s">
        <v>69</v>
      </c>
      <c r="O674" t="s">
        <v>70</v>
      </c>
      <c r="P674" t="s">
        <v>49</v>
      </c>
    </row>
    <row r="675" spans="1:16" x14ac:dyDescent="0.25">
      <c r="A675" t="s">
        <v>1771</v>
      </c>
      <c r="B675" s="6">
        <v>45185</v>
      </c>
      <c r="C675">
        <v>3130</v>
      </c>
      <c r="D675" t="s">
        <v>1772</v>
      </c>
      <c r="E675" t="s">
        <v>18</v>
      </c>
      <c r="F675" t="s">
        <v>19</v>
      </c>
      <c r="G675">
        <v>14483.19</v>
      </c>
      <c r="H675">
        <v>7634.31</v>
      </c>
      <c r="I675" t="s">
        <v>59</v>
      </c>
      <c r="J675" t="s">
        <v>41</v>
      </c>
      <c r="K675" t="s">
        <v>80</v>
      </c>
      <c r="L675" t="s">
        <v>43</v>
      </c>
      <c r="M675">
        <v>5</v>
      </c>
      <c r="N675" t="s">
        <v>33</v>
      </c>
      <c r="O675" t="s">
        <v>25</v>
      </c>
      <c r="P675" t="s">
        <v>26</v>
      </c>
    </row>
    <row r="676" spans="1:16" x14ac:dyDescent="0.25">
      <c r="A676" t="s">
        <v>1773</v>
      </c>
      <c r="B676" s="6">
        <v>45587</v>
      </c>
      <c r="C676">
        <v>2672</v>
      </c>
      <c r="D676" t="s">
        <v>1774</v>
      </c>
      <c r="E676" t="s">
        <v>18</v>
      </c>
      <c r="F676" t="s">
        <v>19</v>
      </c>
      <c r="G676">
        <v>15275.75</v>
      </c>
      <c r="H676">
        <v>7201.52</v>
      </c>
      <c r="I676" t="s">
        <v>63</v>
      </c>
      <c r="J676" t="s">
        <v>54</v>
      </c>
      <c r="K676" t="s">
        <v>22</v>
      </c>
      <c r="L676" t="s">
        <v>23</v>
      </c>
      <c r="M676">
        <v>1</v>
      </c>
      <c r="N676" t="s">
        <v>69</v>
      </c>
      <c r="O676" t="s">
        <v>25</v>
      </c>
      <c r="P676" t="s">
        <v>26</v>
      </c>
    </row>
    <row r="677" spans="1:16" x14ac:dyDescent="0.25">
      <c r="A677" t="s">
        <v>1775</v>
      </c>
      <c r="B677" s="6">
        <v>44843</v>
      </c>
      <c r="C677">
        <v>6806</v>
      </c>
      <c r="D677" t="s">
        <v>1777</v>
      </c>
      <c r="E677" t="s">
        <v>38</v>
      </c>
      <c r="F677" t="s">
        <v>30</v>
      </c>
      <c r="G677">
        <v>27480.82</v>
      </c>
      <c r="H677">
        <v>14547.95</v>
      </c>
      <c r="I677" t="s">
        <v>31</v>
      </c>
      <c r="J677" t="s">
        <v>21</v>
      </c>
      <c r="K677" t="s">
        <v>80</v>
      </c>
      <c r="L677" t="s">
        <v>43</v>
      </c>
      <c r="M677">
        <v>3</v>
      </c>
      <c r="N677" t="s">
        <v>33</v>
      </c>
      <c r="O677" t="s">
        <v>25</v>
      </c>
      <c r="P677" t="s">
        <v>26</v>
      </c>
    </row>
    <row r="678" spans="1:16" x14ac:dyDescent="0.25">
      <c r="A678" t="s">
        <v>1778</v>
      </c>
      <c r="B678" s="6">
        <v>44712</v>
      </c>
      <c r="C678">
        <v>7597</v>
      </c>
      <c r="D678" t="s">
        <v>1779</v>
      </c>
      <c r="E678" t="s">
        <v>18</v>
      </c>
      <c r="F678" t="s">
        <v>19</v>
      </c>
      <c r="G678">
        <v>14536.46</v>
      </c>
      <c r="H678">
        <v>8081</v>
      </c>
      <c r="I678" t="s">
        <v>53</v>
      </c>
      <c r="J678" t="s">
        <v>54</v>
      </c>
      <c r="K678" t="s">
        <v>80</v>
      </c>
      <c r="L678" t="s">
        <v>43</v>
      </c>
      <c r="M678">
        <v>4</v>
      </c>
      <c r="N678" t="s">
        <v>33</v>
      </c>
      <c r="O678" t="s">
        <v>25</v>
      </c>
      <c r="P678" t="s">
        <v>26</v>
      </c>
    </row>
    <row r="679" spans="1:16" x14ac:dyDescent="0.25">
      <c r="A679" t="s">
        <v>1780</v>
      </c>
      <c r="B679" s="6">
        <v>45586</v>
      </c>
      <c r="C679">
        <v>4911</v>
      </c>
      <c r="D679" t="s">
        <v>1782</v>
      </c>
      <c r="E679" t="s">
        <v>18</v>
      </c>
      <c r="F679" t="s">
        <v>58</v>
      </c>
      <c r="G679">
        <v>25958.32</v>
      </c>
      <c r="H679">
        <v>13111.34</v>
      </c>
      <c r="I679" t="s">
        <v>68</v>
      </c>
      <c r="J679" t="s">
        <v>41</v>
      </c>
      <c r="K679" t="s">
        <v>80</v>
      </c>
      <c r="L679" t="s">
        <v>64</v>
      </c>
      <c r="M679">
        <v>4</v>
      </c>
      <c r="N679" t="s">
        <v>33</v>
      </c>
      <c r="O679" t="s">
        <v>70</v>
      </c>
      <c r="P679" t="s">
        <v>49</v>
      </c>
    </row>
    <row r="680" spans="1:16" x14ac:dyDescent="0.25">
      <c r="A680" t="s">
        <v>1783</v>
      </c>
      <c r="B680" s="6">
        <v>44523</v>
      </c>
      <c r="C680">
        <v>5718</v>
      </c>
      <c r="D680" t="s">
        <v>1784</v>
      </c>
      <c r="E680" t="s">
        <v>18</v>
      </c>
      <c r="F680" t="s">
        <v>58</v>
      </c>
      <c r="G680">
        <v>11716.71</v>
      </c>
      <c r="H680">
        <v>6451.78</v>
      </c>
      <c r="I680" t="s">
        <v>63</v>
      </c>
      <c r="J680" t="s">
        <v>54</v>
      </c>
      <c r="K680" t="s">
        <v>80</v>
      </c>
      <c r="L680" t="s">
        <v>48</v>
      </c>
      <c r="M680">
        <v>3</v>
      </c>
      <c r="N680" t="s">
        <v>69</v>
      </c>
      <c r="O680" t="s">
        <v>70</v>
      </c>
      <c r="P680" t="s">
        <v>26</v>
      </c>
    </row>
    <row r="681" spans="1:16" x14ac:dyDescent="0.25">
      <c r="A681" t="s">
        <v>1785</v>
      </c>
      <c r="B681" s="6">
        <v>44795</v>
      </c>
      <c r="C681">
        <v>1208</v>
      </c>
      <c r="D681" t="s">
        <v>1786</v>
      </c>
      <c r="E681" t="s">
        <v>38</v>
      </c>
      <c r="F681" t="s">
        <v>58</v>
      </c>
      <c r="G681">
        <v>28599.759999999998</v>
      </c>
      <c r="H681">
        <v>12989.02</v>
      </c>
      <c r="I681" t="s">
        <v>63</v>
      </c>
      <c r="J681" t="s">
        <v>54</v>
      </c>
      <c r="K681" t="s">
        <v>42</v>
      </c>
      <c r="L681" t="s">
        <v>55</v>
      </c>
      <c r="M681">
        <v>2</v>
      </c>
      <c r="N681" t="s">
        <v>24</v>
      </c>
      <c r="O681" t="s">
        <v>70</v>
      </c>
      <c r="P681" t="s">
        <v>49</v>
      </c>
    </row>
    <row r="682" spans="1:16" x14ac:dyDescent="0.25">
      <c r="A682" t="s">
        <v>1787</v>
      </c>
      <c r="B682" s="6">
        <v>45053</v>
      </c>
      <c r="C682">
        <v>2792</v>
      </c>
      <c r="D682" t="s">
        <v>1788</v>
      </c>
      <c r="E682" t="s">
        <v>18</v>
      </c>
      <c r="F682" t="s">
        <v>30</v>
      </c>
      <c r="G682">
        <v>99058.65</v>
      </c>
      <c r="H682">
        <v>55814.93</v>
      </c>
      <c r="I682" t="s">
        <v>53</v>
      </c>
      <c r="J682" t="s">
        <v>54</v>
      </c>
      <c r="K682" t="s">
        <v>42</v>
      </c>
      <c r="L682" t="s">
        <v>23</v>
      </c>
      <c r="M682">
        <v>5</v>
      </c>
      <c r="N682" t="s">
        <v>24</v>
      </c>
      <c r="O682" t="s">
        <v>70</v>
      </c>
      <c r="P682" t="s">
        <v>26</v>
      </c>
    </row>
    <row r="683" spans="1:16" x14ac:dyDescent="0.25">
      <c r="A683" t="s">
        <v>1789</v>
      </c>
      <c r="B683" s="6">
        <v>45106</v>
      </c>
      <c r="C683">
        <v>5216</v>
      </c>
      <c r="D683" t="s">
        <v>1791</v>
      </c>
      <c r="E683" t="s">
        <v>38</v>
      </c>
      <c r="F683" t="s">
        <v>39</v>
      </c>
      <c r="G683">
        <v>21206.07</v>
      </c>
      <c r="H683">
        <v>11488.39</v>
      </c>
      <c r="I683" t="s">
        <v>84</v>
      </c>
      <c r="J683" t="s">
        <v>54</v>
      </c>
      <c r="K683" t="s">
        <v>42</v>
      </c>
      <c r="L683" t="s">
        <v>88</v>
      </c>
      <c r="M683">
        <v>3</v>
      </c>
      <c r="N683" t="s">
        <v>69</v>
      </c>
      <c r="O683" t="s">
        <v>70</v>
      </c>
      <c r="P683" t="s">
        <v>49</v>
      </c>
    </row>
    <row r="684" spans="1:16" x14ac:dyDescent="0.25">
      <c r="A684" t="s">
        <v>1792</v>
      </c>
      <c r="B684" s="6">
        <v>45302</v>
      </c>
      <c r="C684">
        <v>7722</v>
      </c>
      <c r="D684" t="s">
        <v>1793</v>
      </c>
      <c r="E684" t="s">
        <v>18</v>
      </c>
      <c r="F684" t="s">
        <v>19</v>
      </c>
      <c r="G684">
        <v>16326.03</v>
      </c>
      <c r="H684">
        <v>7809.17</v>
      </c>
      <c r="I684" t="s">
        <v>120</v>
      </c>
      <c r="J684" t="s">
        <v>21</v>
      </c>
      <c r="K684" t="s">
        <v>80</v>
      </c>
      <c r="L684" t="s">
        <v>55</v>
      </c>
      <c r="M684">
        <v>2</v>
      </c>
      <c r="N684" t="s">
        <v>24</v>
      </c>
      <c r="O684" t="s">
        <v>70</v>
      </c>
      <c r="P684" t="s">
        <v>34</v>
      </c>
    </row>
    <row r="685" spans="1:16" x14ac:dyDescent="0.25">
      <c r="A685" t="s">
        <v>1794</v>
      </c>
      <c r="B685" s="6">
        <v>45485</v>
      </c>
      <c r="C685">
        <v>2768</v>
      </c>
      <c r="D685" t="s">
        <v>1795</v>
      </c>
      <c r="E685" t="s">
        <v>38</v>
      </c>
      <c r="F685" t="s">
        <v>58</v>
      </c>
      <c r="G685">
        <v>60681.49</v>
      </c>
      <c r="H685">
        <v>35544.81</v>
      </c>
      <c r="I685" t="s">
        <v>84</v>
      </c>
      <c r="J685" t="s">
        <v>54</v>
      </c>
      <c r="K685" t="s">
        <v>80</v>
      </c>
      <c r="L685" t="s">
        <v>43</v>
      </c>
      <c r="M685">
        <v>2</v>
      </c>
      <c r="N685" t="s">
        <v>33</v>
      </c>
      <c r="O685" t="s">
        <v>70</v>
      </c>
      <c r="P685" t="s">
        <v>34</v>
      </c>
    </row>
    <row r="686" spans="1:16" x14ac:dyDescent="0.25">
      <c r="A686" t="s">
        <v>1796</v>
      </c>
      <c r="B686" s="6">
        <v>44659</v>
      </c>
      <c r="C686">
        <v>9520</v>
      </c>
      <c r="D686" t="s">
        <v>1798</v>
      </c>
      <c r="E686" t="s">
        <v>38</v>
      </c>
      <c r="F686" t="s">
        <v>47</v>
      </c>
      <c r="G686">
        <v>15512.57</v>
      </c>
      <c r="H686">
        <v>7362.15</v>
      </c>
      <c r="I686" t="s">
        <v>53</v>
      </c>
      <c r="J686" t="s">
        <v>54</v>
      </c>
      <c r="K686" t="s">
        <v>80</v>
      </c>
      <c r="L686" t="s">
        <v>43</v>
      </c>
      <c r="M686">
        <v>3</v>
      </c>
      <c r="N686" t="s">
        <v>33</v>
      </c>
      <c r="O686" t="s">
        <v>70</v>
      </c>
      <c r="P686" t="s">
        <v>34</v>
      </c>
    </row>
    <row r="687" spans="1:16" x14ac:dyDescent="0.25">
      <c r="A687" t="s">
        <v>1799</v>
      </c>
      <c r="B687" s="6">
        <v>44345</v>
      </c>
      <c r="C687">
        <v>3664</v>
      </c>
      <c r="D687" t="s">
        <v>1800</v>
      </c>
      <c r="E687" t="s">
        <v>38</v>
      </c>
      <c r="F687" t="s">
        <v>30</v>
      </c>
      <c r="G687">
        <v>30305.61</v>
      </c>
      <c r="H687">
        <v>14029.17</v>
      </c>
      <c r="I687" t="s">
        <v>68</v>
      </c>
      <c r="J687" t="s">
        <v>41</v>
      </c>
      <c r="K687" t="s">
        <v>42</v>
      </c>
      <c r="L687" t="s">
        <v>55</v>
      </c>
      <c r="M687">
        <v>4</v>
      </c>
      <c r="N687" t="s">
        <v>33</v>
      </c>
      <c r="O687" t="s">
        <v>25</v>
      </c>
      <c r="P687" t="s">
        <v>49</v>
      </c>
    </row>
    <row r="688" spans="1:16" x14ac:dyDescent="0.25">
      <c r="A688" t="s">
        <v>1801</v>
      </c>
      <c r="B688" s="6">
        <v>44900</v>
      </c>
      <c r="C688">
        <v>1817</v>
      </c>
      <c r="D688" t="s">
        <v>1803</v>
      </c>
      <c r="E688" t="s">
        <v>38</v>
      </c>
      <c r="F688" t="s">
        <v>39</v>
      </c>
      <c r="G688">
        <v>13853.66</v>
      </c>
      <c r="H688">
        <v>8668.85</v>
      </c>
      <c r="I688" t="s">
        <v>53</v>
      </c>
      <c r="J688" t="s">
        <v>54</v>
      </c>
      <c r="K688" t="s">
        <v>32</v>
      </c>
      <c r="L688" t="s">
        <v>55</v>
      </c>
      <c r="M688">
        <v>3</v>
      </c>
      <c r="N688" t="s">
        <v>33</v>
      </c>
      <c r="O688" t="s">
        <v>70</v>
      </c>
      <c r="P688" t="s">
        <v>34</v>
      </c>
    </row>
    <row r="689" spans="1:16" x14ac:dyDescent="0.25">
      <c r="A689" t="s">
        <v>1804</v>
      </c>
      <c r="B689" s="6">
        <v>44012</v>
      </c>
      <c r="C689">
        <v>7328</v>
      </c>
      <c r="D689" t="s">
        <v>1805</v>
      </c>
      <c r="E689" t="s">
        <v>38</v>
      </c>
      <c r="F689" t="s">
        <v>39</v>
      </c>
      <c r="G689">
        <v>15128.06</v>
      </c>
      <c r="H689">
        <v>9543.27</v>
      </c>
      <c r="I689" t="s">
        <v>20</v>
      </c>
      <c r="J689" t="s">
        <v>21</v>
      </c>
      <c r="K689" t="s">
        <v>42</v>
      </c>
      <c r="L689" t="s">
        <v>88</v>
      </c>
      <c r="M689">
        <v>5</v>
      </c>
      <c r="N689" t="s">
        <v>33</v>
      </c>
      <c r="O689" t="s">
        <v>25</v>
      </c>
      <c r="P689" t="s">
        <v>49</v>
      </c>
    </row>
    <row r="690" spans="1:16" x14ac:dyDescent="0.25">
      <c r="A690" t="s">
        <v>1806</v>
      </c>
      <c r="B690" s="6">
        <v>45420</v>
      </c>
      <c r="C690">
        <v>7820</v>
      </c>
      <c r="D690" t="s">
        <v>1807</v>
      </c>
      <c r="E690" t="s">
        <v>18</v>
      </c>
      <c r="F690" t="s">
        <v>58</v>
      </c>
      <c r="G690">
        <v>17943.099999999999</v>
      </c>
      <c r="H690">
        <v>8381.57</v>
      </c>
      <c r="I690" t="s">
        <v>40</v>
      </c>
      <c r="J690" t="s">
        <v>41</v>
      </c>
      <c r="K690" t="s">
        <v>80</v>
      </c>
      <c r="L690" t="s">
        <v>43</v>
      </c>
      <c r="M690">
        <v>2</v>
      </c>
      <c r="N690" t="s">
        <v>33</v>
      </c>
      <c r="O690" t="s">
        <v>70</v>
      </c>
      <c r="P690" t="s">
        <v>34</v>
      </c>
    </row>
    <row r="691" spans="1:16" x14ac:dyDescent="0.25">
      <c r="A691" t="s">
        <v>1808</v>
      </c>
      <c r="B691" s="6">
        <v>44912</v>
      </c>
      <c r="C691">
        <v>8673</v>
      </c>
      <c r="D691" t="s">
        <v>1810</v>
      </c>
      <c r="E691" t="s">
        <v>38</v>
      </c>
      <c r="F691" t="s">
        <v>30</v>
      </c>
      <c r="G691">
        <v>51863.82</v>
      </c>
      <c r="H691">
        <v>27700.53</v>
      </c>
      <c r="I691" t="s">
        <v>84</v>
      </c>
      <c r="J691" t="s">
        <v>54</v>
      </c>
      <c r="K691" t="s">
        <v>80</v>
      </c>
      <c r="L691" t="s">
        <v>64</v>
      </c>
      <c r="M691">
        <v>1</v>
      </c>
      <c r="N691" t="s">
        <v>69</v>
      </c>
      <c r="O691" t="s">
        <v>25</v>
      </c>
      <c r="P691" t="s">
        <v>34</v>
      </c>
    </row>
    <row r="692" spans="1:16" x14ac:dyDescent="0.25">
      <c r="A692" t="s">
        <v>1811</v>
      </c>
      <c r="B692" s="6">
        <v>44686</v>
      </c>
      <c r="C692">
        <v>9391</v>
      </c>
      <c r="D692" t="s">
        <v>1812</v>
      </c>
      <c r="E692" t="s">
        <v>38</v>
      </c>
      <c r="F692" t="s">
        <v>30</v>
      </c>
      <c r="G692">
        <v>25549.279999999999</v>
      </c>
      <c r="H692">
        <v>14273.21</v>
      </c>
      <c r="I692" t="s">
        <v>63</v>
      </c>
      <c r="J692" t="s">
        <v>54</v>
      </c>
      <c r="K692" t="s">
        <v>42</v>
      </c>
      <c r="L692" t="s">
        <v>55</v>
      </c>
      <c r="M692">
        <v>4</v>
      </c>
      <c r="N692" t="s">
        <v>33</v>
      </c>
      <c r="O692" t="s">
        <v>70</v>
      </c>
      <c r="P692" t="s">
        <v>34</v>
      </c>
    </row>
    <row r="693" spans="1:16" x14ac:dyDescent="0.25">
      <c r="A693" t="s">
        <v>1813</v>
      </c>
      <c r="B693" s="6">
        <v>43859</v>
      </c>
      <c r="C693">
        <v>2753</v>
      </c>
      <c r="D693" t="s">
        <v>1814</v>
      </c>
      <c r="E693" t="s">
        <v>38</v>
      </c>
      <c r="F693" t="s">
        <v>30</v>
      </c>
      <c r="G693">
        <v>31155.07</v>
      </c>
      <c r="H693">
        <v>19141.3</v>
      </c>
      <c r="I693" t="s">
        <v>40</v>
      </c>
      <c r="J693" t="s">
        <v>41</v>
      </c>
      <c r="K693" t="s">
        <v>80</v>
      </c>
      <c r="L693" t="s">
        <v>48</v>
      </c>
      <c r="M693">
        <v>3</v>
      </c>
      <c r="N693" t="s">
        <v>69</v>
      </c>
      <c r="O693" t="s">
        <v>25</v>
      </c>
      <c r="P693" t="s">
        <v>49</v>
      </c>
    </row>
    <row r="694" spans="1:16" x14ac:dyDescent="0.25">
      <c r="A694" t="s">
        <v>1815</v>
      </c>
      <c r="B694" s="6">
        <v>45556</v>
      </c>
      <c r="C694">
        <v>9115</v>
      </c>
      <c r="D694" t="s">
        <v>218</v>
      </c>
      <c r="E694" t="s">
        <v>18</v>
      </c>
      <c r="F694" t="s">
        <v>19</v>
      </c>
      <c r="G694">
        <v>8426.73</v>
      </c>
      <c r="H694">
        <v>4930.78</v>
      </c>
      <c r="I694" t="s">
        <v>31</v>
      </c>
      <c r="J694" t="s">
        <v>21</v>
      </c>
      <c r="K694" t="s">
        <v>32</v>
      </c>
      <c r="L694" t="s">
        <v>88</v>
      </c>
      <c r="M694">
        <v>3</v>
      </c>
      <c r="N694" t="s">
        <v>24</v>
      </c>
      <c r="O694" t="s">
        <v>70</v>
      </c>
      <c r="P694" t="s">
        <v>34</v>
      </c>
    </row>
    <row r="695" spans="1:16" x14ac:dyDescent="0.25">
      <c r="A695" t="s">
        <v>1817</v>
      </c>
      <c r="B695" s="6">
        <v>44140</v>
      </c>
      <c r="C695">
        <v>9516</v>
      </c>
      <c r="D695" t="s">
        <v>1819</v>
      </c>
      <c r="E695" t="s">
        <v>18</v>
      </c>
      <c r="F695" t="s">
        <v>58</v>
      </c>
      <c r="G695">
        <v>12859.97</v>
      </c>
      <c r="H695">
        <v>6053.46</v>
      </c>
      <c r="I695" t="s">
        <v>20</v>
      </c>
      <c r="J695" t="s">
        <v>21</v>
      </c>
      <c r="K695" t="s">
        <v>22</v>
      </c>
      <c r="L695" t="s">
        <v>43</v>
      </c>
      <c r="M695">
        <v>4</v>
      </c>
      <c r="N695" t="s">
        <v>33</v>
      </c>
      <c r="O695" t="s">
        <v>70</v>
      </c>
      <c r="P695" t="s">
        <v>34</v>
      </c>
    </row>
    <row r="696" spans="1:16" x14ac:dyDescent="0.25">
      <c r="A696" t="s">
        <v>1820</v>
      </c>
      <c r="B696" s="6">
        <v>45571</v>
      </c>
      <c r="C696">
        <v>8194</v>
      </c>
      <c r="D696" t="s">
        <v>1822</v>
      </c>
      <c r="E696" t="s">
        <v>18</v>
      </c>
      <c r="F696" t="s">
        <v>47</v>
      </c>
      <c r="G696">
        <v>11856.63</v>
      </c>
      <c r="H696">
        <v>6844.11</v>
      </c>
      <c r="I696" t="s">
        <v>63</v>
      </c>
      <c r="J696" t="s">
        <v>54</v>
      </c>
      <c r="K696" t="s">
        <v>32</v>
      </c>
      <c r="L696" t="s">
        <v>23</v>
      </c>
      <c r="M696">
        <v>2</v>
      </c>
      <c r="N696" t="s">
        <v>33</v>
      </c>
      <c r="O696" t="s">
        <v>70</v>
      </c>
      <c r="P696" t="s">
        <v>49</v>
      </c>
    </row>
    <row r="697" spans="1:16" x14ac:dyDescent="0.25">
      <c r="A697" t="s">
        <v>1823</v>
      </c>
      <c r="B697" s="6">
        <v>45228</v>
      </c>
      <c r="C697">
        <v>7018</v>
      </c>
      <c r="D697" t="s">
        <v>1824</v>
      </c>
      <c r="E697" t="s">
        <v>38</v>
      </c>
      <c r="F697" t="s">
        <v>39</v>
      </c>
      <c r="G697">
        <v>27474.76</v>
      </c>
      <c r="H697">
        <v>16197.21</v>
      </c>
      <c r="I697" t="s">
        <v>53</v>
      </c>
      <c r="J697" t="s">
        <v>54</v>
      </c>
      <c r="K697" t="s">
        <v>22</v>
      </c>
      <c r="L697" t="s">
        <v>64</v>
      </c>
      <c r="M697">
        <v>4</v>
      </c>
      <c r="N697" t="s">
        <v>69</v>
      </c>
      <c r="O697" t="s">
        <v>25</v>
      </c>
      <c r="P697" t="s">
        <v>34</v>
      </c>
    </row>
    <row r="698" spans="1:16" x14ac:dyDescent="0.25">
      <c r="A698" t="s">
        <v>1825</v>
      </c>
      <c r="B698" s="6">
        <v>44944</v>
      </c>
      <c r="C698">
        <v>8282</v>
      </c>
      <c r="D698" t="s">
        <v>1827</v>
      </c>
      <c r="E698" t="s">
        <v>18</v>
      </c>
      <c r="F698" t="s">
        <v>39</v>
      </c>
      <c r="G698">
        <v>42512.71</v>
      </c>
      <c r="H698">
        <v>22146.799999999999</v>
      </c>
      <c r="I698" t="s">
        <v>31</v>
      </c>
      <c r="J698" t="s">
        <v>21</v>
      </c>
      <c r="K698" t="s">
        <v>32</v>
      </c>
      <c r="L698" t="s">
        <v>64</v>
      </c>
      <c r="M698">
        <v>4</v>
      </c>
      <c r="N698" t="s">
        <v>33</v>
      </c>
      <c r="O698" t="s">
        <v>70</v>
      </c>
      <c r="P698" t="s">
        <v>34</v>
      </c>
    </row>
    <row r="699" spans="1:16" x14ac:dyDescent="0.25">
      <c r="A699" t="s">
        <v>1828</v>
      </c>
      <c r="B699" s="6">
        <v>45560</v>
      </c>
      <c r="C699">
        <v>9405</v>
      </c>
      <c r="D699" t="s">
        <v>1469</v>
      </c>
      <c r="E699" t="s">
        <v>18</v>
      </c>
      <c r="F699" t="s">
        <v>58</v>
      </c>
      <c r="G699">
        <v>18070.48</v>
      </c>
      <c r="H699">
        <v>8678.9</v>
      </c>
      <c r="I699" t="s">
        <v>31</v>
      </c>
      <c r="J699" t="s">
        <v>21</v>
      </c>
      <c r="K699" t="s">
        <v>42</v>
      </c>
      <c r="L699" t="s">
        <v>64</v>
      </c>
      <c r="M699">
        <v>2</v>
      </c>
      <c r="N699" t="s">
        <v>33</v>
      </c>
      <c r="O699" t="s">
        <v>70</v>
      </c>
      <c r="P699" t="s">
        <v>34</v>
      </c>
    </row>
    <row r="700" spans="1:16" x14ac:dyDescent="0.25">
      <c r="A700" t="s">
        <v>1829</v>
      </c>
      <c r="B700" s="6">
        <v>45119</v>
      </c>
      <c r="C700">
        <v>3955</v>
      </c>
      <c r="D700" t="s">
        <v>1830</v>
      </c>
      <c r="E700" t="s">
        <v>38</v>
      </c>
      <c r="F700" t="s">
        <v>47</v>
      </c>
      <c r="G700">
        <v>3551.58</v>
      </c>
      <c r="H700">
        <v>1828.41</v>
      </c>
      <c r="I700" t="s">
        <v>68</v>
      </c>
      <c r="J700" t="s">
        <v>41</v>
      </c>
      <c r="K700" t="s">
        <v>42</v>
      </c>
      <c r="L700" t="s">
        <v>43</v>
      </c>
      <c r="M700">
        <v>5</v>
      </c>
      <c r="N700" t="s">
        <v>69</v>
      </c>
      <c r="O700" t="s">
        <v>25</v>
      </c>
      <c r="P700" t="s">
        <v>26</v>
      </c>
    </row>
    <row r="701" spans="1:16" x14ac:dyDescent="0.25">
      <c r="A701" t="s">
        <v>1831</v>
      </c>
      <c r="B701" s="6">
        <v>45182</v>
      </c>
      <c r="C701">
        <v>8805</v>
      </c>
      <c r="D701" t="s">
        <v>1832</v>
      </c>
      <c r="E701" t="s">
        <v>38</v>
      </c>
      <c r="F701" t="s">
        <v>39</v>
      </c>
      <c r="G701">
        <v>27666.42</v>
      </c>
      <c r="H701">
        <v>17879.86</v>
      </c>
      <c r="I701" t="s">
        <v>68</v>
      </c>
      <c r="J701" t="s">
        <v>41</v>
      </c>
      <c r="K701" t="s">
        <v>32</v>
      </c>
      <c r="L701" t="s">
        <v>55</v>
      </c>
      <c r="M701">
        <v>2</v>
      </c>
      <c r="N701" t="s">
        <v>24</v>
      </c>
      <c r="O701" t="s">
        <v>25</v>
      </c>
      <c r="P701" t="s">
        <v>34</v>
      </c>
    </row>
    <row r="702" spans="1:16" x14ac:dyDescent="0.25">
      <c r="A702" t="s">
        <v>1833</v>
      </c>
      <c r="B702" s="6">
        <v>44234</v>
      </c>
      <c r="C702">
        <v>7132</v>
      </c>
      <c r="D702" t="s">
        <v>1834</v>
      </c>
      <c r="E702" t="s">
        <v>18</v>
      </c>
      <c r="F702" t="s">
        <v>30</v>
      </c>
      <c r="G702">
        <v>50629.75</v>
      </c>
      <c r="H702">
        <v>26035.43</v>
      </c>
      <c r="I702" t="s">
        <v>68</v>
      </c>
      <c r="J702" t="s">
        <v>41</v>
      </c>
      <c r="K702" t="s">
        <v>80</v>
      </c>
      <c r="L702" t="s">
        <v>64</v>
      </c>
      <c r="M702">
        <v>2</v>
      </c>
      <c r="N702" t="s">
        <v>69</v>
      </c>
      <c r="O702" t="s">
        <v>25</v>
      </c>
      <c r="P702" t="s">
        <v>26</v>
      </c>
    </row>
    <row r="703" spans="1:16" x14ac:dyDescent="0.25">
      <c r="A703" t="s">
        <v>1835</v>
      </c>
      <c r="B703" s="6">
        <v>44665</v>
      </c>
      <c r="C703">
        <v>8111</v>
      </c>
      <c r="D703" t="s">
        <v>1836</v>
      </c>
      <c r="E703" t="s">
        <v>18</v>
      </c>
      <c r="F703" t="s">
        <v>30</v>
      </c>
      <c r="G703">
        <v>21935.200000000001</v>
      </c>
      <c r="H703">
        <v>9977.2000000000007</v>
      </c>
      <c r="I703" t="s">
        <v>53</v>
      </c>
      <c r="J703" t="s">
        <v>54</v>
      </c>
      <c r="K703" t="s">
        <v>22</v>
      </c>
      <c r="L703" t="s">
        <v>23</v>
      </c>
      <c r="M703">
        <v>1</v>
      </c>
      <c r="N703" t="s">
        <v>69</v>
      </c>
      <c r="O703" t="s">
        <v>70</v>
      </c>
      <c r="P703" t="s">
        <v>34</v>
      </c>
    </row>
    <row r="704" spans="1:16" x14ac:dyDescent="0.25">
      <c r="A704" t="s">
        <v>1837</v>
      </c>
      <c r="B704" s="6">
        <v>43925</v>
      </c>
      <c r="C704">
        <v>9653</v>
      </c>
      <c r="D704" t="s">
        <v>1838</v>
      </c>
      <c r="E704" t="s">
        <v>38</v>
      </c>
      <c r="F704" t="s">
        <v>30</v>
      </c>
      <c r="G704">
        <v>19410</v>
      </c>
      <c r="H704">
        <v>9539.92</v>
      </c>
      <c r="I704" t="s">
        <v>31</v>
      </c>
      <c r="J704" t="s">
        <v>21</v>
      </c>
      <c r="K704" t="s">
        <v>80</v>
      </c>
      <c r="L704" t="s">
        <v>43</v>
      </c>
      <c r="M704">
        <v>3</v>
      </c>
      <c r="N704" t="s">
        <v>33</v>
      </c>
      <c r="O704" t="s">
        <v>70</v>
      </c>
      <c r="P704" t="s">
        <v>26</v>
      </c>
    </row>
    <row r="705" spans="1:16" x14ac:dyDescent="0.25">
      <c r="A705" t="s">
        <v>1839</v>
      </c>
      <c r="B705" s="6">
        <v>44598</v>
      </c>
      <c r="C705">
        <v>2280</v>
      </c>
      <c r="D705" t="s">
        <v>1840</v>
      </c>
      <c r="E705" t="s">
        <v>18</v>
      </c>
      <c r="F705" t="s">
        <v>30</v>
      </c>
      <c r="G705">
        <v>51835.71</v>
      </c>
      <c r="H705">
        <v>26417.83</v>
      </c>
      <c r="I705" t="s">
        <v>59</v>
      </c>
      <c r="J705" t="s">
        <v>41</v>
      </c>
      <c r="K705" t="s">
        <v>22</v>
      </c>
      <c r="L705" t="s">
        <v>64</v>
      </c>
      <c r="M705">
        <v>2</v>
      </c>
      <c r="N705" t="s">
        <v>33</v>
      </c>
      <c r="O705" t="s">
        <v>25</v>
      </c>
      <c r="P705" t="s">
        <v>26</v>
      </c>
    </row>
    <row r="706" spans="1:16" x14ac:dyDescent="0.25">
      <c r="A706" t="s">
        <v>1841</v>
      </c>
      <c r="B706" s="6">
        <v>44922</v>
      </c>
      <c r="C706">
        <v>2113</v>
      </c>
      <c r="D706" t="s">
        <v>1842</v>
      </c>
      <c r="E706" t="s">
        <v>18</v>
      </c>
      <c r="F706" t="s">
        <v>47</v>
      </c>
      <c r="G706">
        <v>17521.72</v>
      </c>
      <c r="H706">
        <v>8146.82</v>
      </c>
      <c r="I706" t="s">
        <v>53</v>
      </c>
      <c r="J706" t="s">
        <v>54</v>
      </c>
      <c r="K706" t="s">
        <v>32</v>
      </c>
      <c r="L706" t="s">
        <v>43</v>
      </c>
      <c r="M706">
        <v>5</v>
      </c>
      <c r="N706" t="s">
        <v>24</v>
      </c>
      <c r="O706" t="s">
        <v>25</v>
      </c>
      <c r="P706" t="s">
        <v>26</v>
      </c>
    </row>
    <row r="707" spans="1:16" x14ac:dyDescent="0.25">
      <c r="A707" t="s">
        <v>1843</v>
      </c>
      <c r="B707" s="6">
        <v>45426</v>
      </c>
      <c r="C707">
        <v>1491</v>
      </c>
      <c r="D707" t="s">
        <v>1845</v>
      </c>
      <c r="E707" t="s">
        <v>18</v>
      </c>
      <c r="F707" t="s">
        <v>30</v>
      </c>
      <c r="G707">
        <v>45846.63</v>
      </c>
      <c r="H707">
        <v>23023.09</v>
      </c>
      <c r="I707" t="s">
        <v>20</v>
      </c>
      <c r="J707" t="s">
        <v>21</v>
      </c>
      <c r="K707" t="s">
        <v>42</v>
      </c>
      <c r="L707" t="s">
        <v>55</v>
      </c>
      <c r="M707">
        <v>2</v>
      </c>
      <c r="N707" t="s">
        <v>33</v>
      </c>
      <c r="O707" t="s">
        <v>70</v>
      </c>
      <c r="P707" t="s">
        <v>34</v>
      </c>
    </row>
    <row r="708" spans="1:16" x14ac:dyDescent="0.25">
      <c r="A708" t="s">
        <v>1846</v>
      </c>
      <c r="B708" s="6">
        <v>44083</v>
      </c>
      <c r="C708">
        <v>1579</v>
      </c>
      <c r="D708" t="s">
        <v>1847</v>
      </c>
      <c r="E708" t="s">
        <v>38</v>
      </c>
      <c r="F708" t="s">
        <v>47</v>
      </c>
      <c r="G708">
        <v>8304.2999999999993</v>
      </c>
      <c r="H708">
        <v>5314.6</v>
      </c>
      <c r="I708" t="s">
        <v>40</v>
      </c>
      <c r="J708" t="s">
        <v>41</v>
      </c>
      <c r="K708" t="s">
        <v>22</v>
      </c>
      <c r="L708" t="s">
        <v>43</v>
      </c>
      <c r="M708">
        <v>4</v>
      </c>
      <c r="N708" t="s">
        <v>69</v>
      </c>
      <c r="O708" t="s">
        <v>25</v>
      </c>
      <c r="P708" t="s">
        <v>26</v>
      </c>
    </row>
    <row r="709" spans="1:16" x14ac:dyDescent="0.25">
      <c r="A709" t="s">
        <v>1848</v>
      </c>
      <c r="B709" s="6">
        <v>45147</v>
      </c>
      <c r="C709">
        <v>5971</v>
      </c>
      <c r="D709" t="s">
        <v>1850</v>
      </c>
      <c r="E709" t="s">
        <v>18</v>
      </c>
      <c r="F709" t="s">
        <v>30</v>
      </c>
      <c r="G709">
        <v>18720.189999999999</v>
      </c>
      <c r="H709">
        <v>8631.34</v>
      </c>
      <c r="I709" t="s">
        <v>53</v>
      </c>
      <c r="J709" t="s">
        <v>54</v>
      </c>
      <c r="K709" t="s">
        <v>32</v>
      </c>
      <c r="L709" t="s">
        <v>43</v>
      </c>
      <c r="M709">
        <v>5</v>
      </c>
      <c r="N709" t="s">
        <v>69</v>
      </c>
      <c r="O709" t="s">
        <v>70</v>
      </c>
      <c r="P709" t="s">
        <v>49</v>
      </c>
    </row>
    <row r="710" spans="1:16" x14ac:dyDescent="0.25">
      <c r="A710" t="s">
        <v>1851</v>
      </c>
      <c r="B710" s="6">
        <v>45648</v>
      </c>
      <c r="C710">
        <v>8040</v>
      </c>
      <c r="D710" t="s">
        <v>1852</v>
      </c>
      <c r="E710" t="s">
        <v>38</v>
      </c>
      <c r="F710" t="s">
        <v>58</v>
      </c>
      <c r="G710">
        <v>42499.74</v>
      </c>
      <c r="H710">
        <v>20107.330000000002</v>
      </c>
      <c r="I710" t="s">
        <v>53</v>
      </c>
      <c r="J710" t="s">
        <v>54</v>
      </c>
      <c r="K710" t="s">
        <v>22</v>
      </c>
      <c r="L710" t="s">
        <v>43</v>
      </c>
      <c r="M710">
        <v>3</v>
      </c>
      <c r="N710" t="s">
        <v>33</v>
      </c>
      <c r="O710" t="s">
        <v>25</v>
      </c>
      <c r="P710" t="s">
        <v>26</v>
      </c>
    </row>
    <row r="711" spans="1:16" x14ac:dyDescent="0.25">
      <c r="A711" t="s">
        <v>1853</v>
      </c>
      <c r="B711" s="6">
        <v>44471</v>
      </c>
      <c r="C711">
        <v>1750</v>
      </c>
      <c r="D711" t="s">
        <v>1208</v>
      </c>
      <c r="E711" t="s">
        <v>18</v>
      </c>
      <c r="F711" t="s">
        <v>30</v>
      </c>
      <c r="G711">
        <v>77262.63</v>
      </c>
      <c r="H711">
        <v>38630.120000000003</v>
      </c>
      <c r="I711" t="s">
        <v>63</v>
      </c>
      <c r="J711" t="s">
        <v>54</v>
      </c>
      <c r="K711" t="s">
        <v>22</v>
      </c>
      <c r="L711" t="s">
        <v>55</v>
      </c>
      <c r="M711">
        <v>1</v>
      </c>
      <c r="N711" t="s">
        <v>33</v>
      </c>
      <c r="O711" t="s">
        <v>25</v>
      </c>
      <c r="P711" t="s">
        <v>26</v>
      </c>
    </row>
    <row r="712" spans="1:16" x14ac:dyDescent="0.25">
      <c r="A712" t="s">
        <v>1854</v>
      </c>
      <c r="B712" s="6">
        <v>44346</v>
      </c>
      <c r="C712">
        <v>7517</v>
      </c>
      <c r="D712" t="s">
        <v>1855</v>
      </c>
      <c r="E712" t="s">
        <v>38</v>
      </c>
      <c r="F712" t="s">
        <v>19</v>
      </c>
      <c r="G712">
        <v>13295.65</v>
      </c>
      <c r="H712">
        <v>7729</v>
      </c>
      <c r="I712" t="s">
        <v>84</v>
      </c>
      <c r="J712" t="s">
        <v>54</v>
      </c>
      <c r="K712" t="s">
        <v>22</v>
      </c>
      <c r="L712" t="s">
        <v>88</v>
      </c>
      <c r="M712">
        <v>5</v>
      </c>
      <c r="N712" t="s">
        <v>33</v>
      </c>
      <c r="O712" t="s">
        <v>70</v>
      </c>
      <c r="P712" t="s">
        <v>34</v>
      </c>
    </row>
    <row r="713" spans="1:16" x14ac:dyDescent="0.25">
      <c r="A713" t="s">
        <v>1856</v>
      </c>
      <c r="B713" s="6">
        <v>44749</v>
      </c>
      <c r="C713">
        <v>5795</v>
      </c>
      <c r="D713" t="s">
        <v>1857</v>
      </c>
      <c r="E713" t="s">
        <v>18</v>
      </c>
      <c r="F713" t="s">
        <v>30</v>
      </c>
      <c r="G713">
        <v>37844.720000000001</v>
      </c>
      <c r="H713">
        <v>19055.080000000002</v>
      </c>
      <c r="I713" t="s">
        <v>68</v>
      </c>
      <c r="J713" t="s">
        <v>41</v>
      </c>
      <c r="K713" t="s">
        <v>22</v>
      </c>
      <c r="L713" t="s">
        <v>55</v>
      </c>
      <c r="M713">
        <v>3</v>
      </c>
      <c r="N713" t="s">
        <v>69</v>
      </c>
      <c r="O713" t="s">
        <v>70</v>
      </c>
      <c r="P713" t="s">
        <v>49</v>
      </c>
    </row>
    <row r="714" spans="1:16" x14ac:dyDescent="0.25">
      <c r="A714" t="s">
        <v>1858</v>
      </c>
      <c r="B714" s="6">
        <v>44463</v>
      </c>
      <c r="C714">
        <v>5996</v>
      </c>
      <c r="D714" t="s">
        <v>176</v>
      </c>
      <c r="E714" t="s">
        <v>18</v>
      </c>
      <c r="F714" t="s">
        <v>58</v>
      </c>
      <c r="G714">
        <v>10660.43</v>
      </c>
      <c r="H714">
        <v>6342.77</v>
      </c>
      <c r="I714" t="s">
        <v>20</v>
      </c>
      <c r="J714" t="s">
        <v>21</v>
      </c>
      <c r="K714" t="s">
        <v>32</v>
      </c>
      <c r="L714" t="s">
        <v>55</v>
      </c>
      <c r="M714">
        <v>2</v>
      </c>
      <c r="N714" t="s">
        <v>24</v>
      </c>
      <c r="O714" t="s">
        <v>70</v>
      </c>
      <c r="P714" t="s">
        <v>34</v>
      </c>
    </row>
    <row r="715" spans="1:16" x14ac:dyDescent="0.25">
      <c r="A715" t="s">
        <v>1859</v>
      </c>
      <c r="B715" s="6">
        <v>43973</v>
      </c>
      <c r="C715">
        <v>7294</v>
      </c>
      <c r="D715" t="s">
        <v>1860</v>
      </c>
      <c r="E715" t="s">
        <v>38</v>
      </c>
      <c r="F715" t="s">
        <v>30</v>
      </c>
      <c r="G715">
        <v>40716.03</v>
      </c>
      <c r="H715">
        <v>19010.259999999998</v>
      </c>
      <c r="I715" t="s">
        <v>68</v>
      </c>
      <c r="J715" t="s">
        <v>41</v>
      </c>
      <c r="K715" t="s">
        <v>42</v>
      </c>
      <c r="L715" t="s">
        <v>43</v>
      </c>
      <c r="M715">
        <v>4</v>
      </c>
      <c r="N715" t="s">
        <v>24</v>
      </c>
      <c r="O715" t="s">
        <v>70</v>
      </c>
      <c r="P715" t="s">
        <v>34</v>
      </c>
    </row>
    <row r="716" spans="1:16" x14ac:dyDescent="0.25">
      <c r="A716" t="s">
        <v>1861</v>
      </c>
      <c r="B716" s="6">
        <v>44417</v>
      </c>
      <c r="C716">
        <v>1856</v>
      </c>
      <c r="D716" t="s">
        <v>1862</v>
      </c>
      <c r="E716" t="s">
        <v>38</v>
      </c>
      <c r="F716" t="s">
        <v>58</v>
      </c>
      <c r="G716">
        <v>9341.49</v>
      </c>
      <c r="H716">
        <v>5629.17</v>
      </c>
      <c r="I716" t="s">
        <v>63</v>
      </c>
      <c r="J716" t="s">
        <v>54</v>
      </c>
      <c r="K716" t="s">
        <v>22</v>
      </c>
      <c r="L716" t="s">
        <v>43</v>
      </c>
      <c r="M716">
        <v>3</v>
      </c>
      <c r="N716" t="s">
        <v>69</v>
      </c>
      <c r="O716" t="s">
        <v>70</v>
      </c>
      <c r="P716" t="s">
        <v>49</v>
      </c>
    </row>
    <row r="717" spans="1:16" x14ac:dyDescent="0.25">
      <c r="A717" t="s">
        <v>1863</v>
      </c>
      <c r="B717" s="6">
        <v>45514</v>
      </c>
      <c r="C717">
        <v>1935</v>
      </c>
      <c r="D717" t="s">
        <v>1864</v>
      </c>
      <c r="E717" t="s">
        <v>18</v>
      </c>
      <c r="F717" t="s">
        <v>39</v>
      </c>
      <c r="G717">
        <v>37888.06</v>
      </c>
      <c r="H717">
        <v>24267.1</v>
      </c>
      <c r="I717" t="s">
        <v>63</v>
      </c>
      <c r="J717" t="s">
        <v>54</v>
      </c>
      <c r="K717" t="s">
        <v>42</v>
      </c>
      <c r="L717" t="s">
        <v>43</v>
      </c>
      <c r="M717">
        <v>4</v>
      </c>
      <c r="N717" t="s">
        <v>33</v>
      </c>
      <c r="O717" t="s">
        <v>70</v>
      </c>
      <c r="P717" t="s">
        <v>49</v>
      </c>
    </row>
    <row r="718" spans="1:16" x14ac:dyDescent="0.25">
      <c r="A718" t="s">
        <v>1865</v>
      </c>
      <c r="B718" s="6">
        <v>45413</v>
      </c>
      <c r="C718">
        <v>1248</v>
      </c>
      <c r="D718" t="s">
        <v>1867</v>
      </c>
      <c r="E718" t="s">
        <v>38</v>
      </c>
      <c r="F718" t="s">
        <v>30</v>
      </c>
      <c r="G718">
        <v>105554.99</v>
      </c>
      <c r="H718">
        <v>67575.61</v>
      </c>
      <c r="I718" t="s">
        <v>53</v>
      </c>
      <c r="J718" t="s">
        <v>54</v>
      </c>
      <c r="K718" t="s">
        <v>22</v>
      </c>
      <c r="L718" t="s">
        <v>23</v>
      </c>
      <c r="M718">
        <v>5</v>
      </c>
      <c r="N718" t="s">
        <v>33</v>
      </c>
      <c r="O718" t="s">
        <v>25</v>
      </c>
      <c r="P718" t="s">
        <v>26</v>
      </c>
    </row>
    <row r="719" spans="1:16" x14ac:dyDescent="0.25">
      <c r="A719" t="s">
        <v>1868</v>
      </c>
      <c r="B719" s="6">
        <v>44896</v>
      </c>
      <c r="C719">
        <v>1202</v>
      </c>
      <c r="D719" t="s">
        <v>1870</v>
      </c>
      <c r="E719" t="s">
        <v>18</v>
      </c>
      <c r="F719" t="s">
        <v>39</v>
      </c>
      <c r="G719">
        <v>17127.54</v>
      </c>
      <c r="H719">
        <v>9970.89</v>
      </c>
      <c r="I719" t="s">
        <v>120</v>
      </c>
      <c r="J719" t="s">
        <v>21</v>
      </c>
      <c r="K719" t="s">
        <v>42</v>
      </c>
      <c r="L719" t="s">
        <v>23</v>
      </c>
      <c r="M719">
        <v>4</v>
      </c>
      <c r="N719" t="s">
        <v>24</v>
      </c>
      <c r="O719" t="s">
        <v>25</v>
      </c>
      <c r="P719" t="s">
        <v>34</v>
      </c>
    </row>
    <row r="720" spans="1:16" x14ac:dyDescent="0.25">
      <c r="A720" t="s">
        <v>1871</v>
      </c>
      <c r="B720" s="6">
        <v>45403</v>
      </c>
      <c r="C720">
        <v>1959</v>
      </c>
      <c r="D720" t="s">
        <v>1872</v>
      </c>
      <c r="E720" t="s">
        <v>18</v>
      </c>
      <c r="F720" t="s">
        <v>30</v>
      </c>
      <c r="G720">
        <v>48270.8</v>
      </c>
      <c r="H720">
        <v>27614.07</v>
      </c>
      <c r="I720" t="s">
        <v>53</v>
      </c>
      <c r="J720" t="s">
        <v>54</v>
      </c>
      <c r="K720" t="s">
        <v>42</v>
      </c>
      <c r="L720" t="s">
        <v>55</v>
      </c>
      <c r="M720">
        <v>4</v>
      </c>
      <c r="N720" t="s">
        <v>33</v>
      </c>
      <c r="O720" t="s">
        <v>70</v>
      </c>
      <c r="P720" t="s">
        <v>34</v>
      </c>
    </row>
    <row r="721" spans="1:16" x14ac:dyDescent="0.25">
      <c r="A721" t="s">
        <v>1873</v>
      </c>
      <c r="B721" s="6">
        <v>45002</v>
      </c>
      <c r="C721">
        <v>1812</v>
      </c>
      <c r="D721" t="s">
        <v>1759</v>
      </c>
      <c r="E721" t="s">
        <v>18</v>
      </c>
      <c r="F721" t="s">
        <v>58</v>
      </c>
      <c r="G721">
        <v>16883.64</v>
      </c>
      <c r="H721">
        <v>7727.65</v>
      </c>
      <c r="I721" t="s">
        <v>53</v>
      </c>
      <c r="J721" t="s">
        <v>54</v>
      </c>
      <c r="K721" t="s">
        <v>80</v>
      </c>
      <c r="L721" t="s">
        <v>43</v>
      </c>
      <c r="M721">
        <v>3</v>
      </c>
      <c r="N721" t="s">
        <v>33</v>
      </c>
      <c r="O721" t="s">
        <v>70</v>
      </c>
      <c r="P721" t="s">
        <v>26</v>
      </c>
    </row>
    <row r="722" spans="1:16" x14ac:dyDescent="0.25">
      <c r="A722" t="s">
        <v>1874</v>
      </c>
      <c r="B722" s="6">
        <v>44011</v>
      </c>
      <c r="C722">
        <v>1732</v>
      </c>
      <c r="D722" t="s">
        <v>1875</v>
      </c>
      <c r="E722" t="s">
        <v>18</v>
      </c>
      <c r="F722" t="s">
        <v>47</v>
      </c>
      <c r="G722">
        <v>3865.29</v>
      </c>
      <c r="H722">
        <v>1799.28</v>
      </c>
      <c r="I722" t="s">
        <v>59</v>
      </c>
      <c r="J722" t="s">
        <v>41</v>
      </c>
      <c r="K722" t="s">
        <v>80</v>
      </c>
      <c r="L722" t="s">
        <v>55</v>
      </c>
      <c r="M722">
        <v>5</v>
      </c>
      <c r="N722" t="s">
        <v>33</v>
      </c>
      <c r="O722" t="s">
        <v>25</v>
      </c>
      <c r="P722" t="s">
        <v>49</v>
      </c>
    </row>
    <row r="723" spans="1:16" x14ac:dyDescent="0.25">
      <c r="A723" t="s">
        <v>1876</v>
      </c>
      <c r="B723" s="6">
        <v>45071</v>
      </c>
      <c r="C723">
        <v>1404</v>
      </c>
      <c r="D723" t="s">
        <v>1878</v>
      </c>
      <c r="E723" t="s">
        <v>38</v>
      </c>
      <c r="F723" t="s">
        <v>39</v>
      </c>
      <c r="G723">
        <v>37301.269999999997</v>
      </c>
      <c r="H723">
        <v>19473.400000000001</v>
      </c>
      <c r="I723" t="s">
        <v>84</v>
      </c>
      <c r="J723" t="s">
        <v>54</v>
      </c>
      <c r="K723" t="s">
        <v>80</v>
      </c>
      <c r="L723" t="s">
        <v>48</v>
      </c>
      <c r="M723">
        <v>3</v>
      </c>
      <c r="N723" t="s">
        <v>24</v>
      </c>
      <c r="O723" t="s">
        <v>70</v>
      </c>
      <c r="P723" t="s">
        <v>49</v>
      </c>
    </row>
    <row r="724" spans="1:16" x14ac:dyDescent="0.25">
      <c r="A724" t="s">
        <v>1879</v>
      </c>
      <c r="B724" s="6">
        <v>45594</v>
      </c>
      <c r="C724">
        <v>2740</v>
      </c>
      <c r="D724" t="s">
        <v>1881</v>
      </c>
      <c r="E724" t="s">
        <v>18</v>
      </c>
      <c r="F724" t="s">
        <v>58</v>
      </c>
      <c r="G724">
        <v>56845.9</v>
      </c>
      <c r="H724">
        <v>31387.99</v>
      </c>
      <c r="I724" t="s">
        <v>53</v>
      </c>
      <c r="J724" t="s">
        <v>54</v>
      </c>
      <c r="K724" t="s">
        <v>42</v>
      </c>
      <c r="L724" t="s">
        <v>23</v>
      </c>
      <c r="M724">
        <v>4</v>
      </c>
      <c r="N724" t="s">
        <v>69</v>
      </c>
      <c r="O724" t="s">
        <v>25</v>
      </c>
      <c r="P724" t="s">
        <v>49</v>
      </c>
    </row>
    <row r="725" spans="1:16" x14ac:dyDescent="0.25">
      <c r="A725" t="s">
        <v>1882</v>
      </c>
      <c r="B725" s="6">
        <v>43945</v>
      </c>
      <c r="C725">
        <v>9249</v>
      </c>
      <c r="D725" t="s">
        <v>1884</v>
      </c>
      <c r="E725" t="s">
        <v>38</v>
      </c>
      <c r="F725" t="s">
        <v>58</v>
      </c>
      <c r="G725">
        <v>25147.61</v>
      </c>
      <c r="H725">
        <v>11926.22</v>
      </c>
      <c r="I725" t="s">
        <v>84</v>
      </c>
      <c r="J725" t="s">
        <v>54</v>
      </c>
      <c r="K725" t="s">
        <v>22</v>
      </c>
      <c r="L725" t="s">
        <v>43</v>
      </c>
      <c r="M725">
        <v>4</v>
      </c>
      <c r="N725" t="s">
        <v>24</v>
      </c>
      <c r="O725" t="s">
        <v>25</v>
      </c>
      <c r="P725" t="s">
        <v>34</v>
      </c>
    </row>
    <row r="726" spans="1:16" x14ac:dyDescent="0.25">
      <c r="A726" t="s">
        <v>1885</v>
      </c>
      <c r="B726" s="6">
        <v>44321</v>
      </c>
      <c r="C726">
        <v>4782</v>
      </c>
      <c r="D726" t="s">
        <v>1886</v>
      </c>
      <c r="E726" t="s">
        <v>38</v>
      </c>
      <c r="F726" t="s">
        <v>39</v>
      </c>
      <c r="G726">
        <v>17736.72</v>
      </c>
      <c r="H726">
        <v>11430.95</v>
      </c>
      <c r="I726" t="s">
        <v>84</v>
      </c>
      <c r="J726" t="s">
        <v>54</v>
      </c>
      <c r="K726" t="s">
        <v>32</v>
      </c>
      <c r="L726" t="s">
        <v>64</v>
      </c>
      <c r="M726">
        <v>4</v>
      </c>
      <c r="N726" t="s">
        <v>33</v>
      </c>
      <c r="O726" t="s">
        <v>25</v>
      </c>
      <c r="P726" t="s">
        <v>49</v>
      </c>
    </row>
    <row r="727" spans="1:16" x14ac:dyDescent="0.25">
      <c r="A727" t="s">
        <v>1887</v>
      </c>
      <c r="B727" s="6">
        <v>45156</v>
      </c>
      <c r="C727">
        <v>4764</v>
      </c>
      <c r="D727" t="s">
        <v>1888</v>
      </c>
      <c r="E727" t="s">
        <v>18</v>
      </c>
      <c r="F727" t="s">
        <v>19</v>
      </c>
      <c r="G727">
        <v>23353.599999999999</v>
      </c>
      <c r="H727">
        <v>11653.18</v>
      </c>
      <c r="I727" t="s">
        <v>53</v>
      </c>
      <c r="J727" t="s">
        <v>54</v>
      </c>
      <c r="K727" t="s">
        <v>80</v>
      </c>
      <c r="L727" t="s">
        <v>48</v>
      </c>
      <c r="M727">
        <v>5</v>
      </c>
      <c r="N727" t="s">
        <v>24</v>
      </c>
      <c r="O727" t="s">
        <v>70</v>
      </c>
      <c r="P727" t="s">
        <v>34</v>
      </c>
    </row>
    <row r="728" spans="1:16" x14ac:dyDescent="0.25">
      <c r="A728" t="s">
        <v>1889</v>
      </c>
      <c r="B728" s="6">
        <v>44637</v>
      </c>
      <c r="C728">
        <v>9096</v>
      </c>
      <c r="D728" t="s">
        <v>1890</v>
      </c>
      <c r="E728" t="s">
        <v>18</v>
      </c>
      <c r="F728" t="s">
        <v>58</v>
      </c>
      <c r="G728">
        <v>49554.34</v>
      </c>
      <c r="H728">
        <v>30985.39</v>
      </c>
      <c r="I728" t="s">
        <v>63</v>
      </c>
      <c r="J728" t="s">
        <v>54</v>
      </c>
      <c r="K728" t="s">
        <v>22</v>
      </c>
      <c r="L728" t="s">
        <v>23</v>
      </c>
      <c r="M728">
        <v>1</v>
      </c>
      <c r="N728" t="s">
        <v>33</v>
      </c>
      <c r="O728" t="s">
        <v>70</v>
      </c>
      <c r="P728" t="s">
        <v>49</v>
      </c>
    </row>
    <row r="729" spans="1:16" x14ac:dyDescent="0.25">
      <c r="A729" t="s">
        <v>1891</v>
      </c>
      <c r="B729" s="6">
        <v>45512</v>
      </c>
      <c r="C729">
        <v>3735</v>
      </c>
      <c r="D729" t="s">
        <v>1893</v>
      </c>
      <c r="E729" t="s">
        <v>18</v>
      </c>
      <c r="F729" t="s">
        <v>58</v>
      </c>
      <c r="G729">
        <v>12091.85</v>
      </c>
      <c r="H729">
        <v>7537.77</v>
      </c>
      <c r="I729" t="s">
        <v>40</v>
      </c>
      <c r="J729" t="s">
        <v>41</v>
      </c>
      <c r="K729" t="s">
        <v>80</v>
      </c>
      <c r="L729" t="s">
        <v>64</v>
      </c>
      <c r="M729">
        <v>3</v>
      </c>
      <c r="N729" t="s">
        <v>33</v>
      </c>
      <c r="O729" t="s">
        <v>70</v>
      </c>
      <c r="P729" t="s">
        <v>26</v>
      </c>
    </row>
    <row r="730" spans="1:16" x14ac:dyDescent="0.25">
      <c r="A730" t="s">
        <v>1894</v>
      </c>
      <c r="B730" s="6">
        <v>45464</v>
      </c>
      <c r="C730">
        <v>2765</v>
      </c>
      <c r="D730" t="s">
        <v>1896</v>
      </c>
      <c r="E730" t="s">
        <v>18</v>
      </c>
      <c r="F730" t="s">
        <v>39</v>
      </c>
      <c r="G730">
        <v>11792.29</v>
      </c>
      <c r="H730">
        <v>7478.02</v>
      </c>
      <c r="I730" t="s">
        <v>20</v>
      </c>
      <c r="J730" t="s">
        <v>21</v>
      </c>
      <c r="K730" t="s">
        <v>80</v>
      </c>
      <c r="L730" t="s">
        <v>64</v>
      </c>
      <c r="M730">
        <v>4</v>
      </c>
      <c r="N730" t="s">
        <v>24</v>
      </c>
      <c r="O730" t="s">
        <v>25</v>
      </c>
      <c r="P730" t="s">
        <v>34</v>
      </c>
    </row>
    <row r="731" spans="1:16" x14ac:dyDescent="0.25">
      <c r="A731" t="s">
        <v>1897</v>
      </c>
      <c r="B731" s="6">
        <v>45552</v>
      </c>
      <c r="C731">
        <v>3494</v>
      </c>
      <c r="D731" t="s">
        <v>1898</v>
      </c>
      <c r="E731" t="s">
        <v>18</v>
      </c>
      <c r="F731" t="s">
        <v>58</v>
      </c>
      <c r="G731">
        <v>37451.839999999997</v>
      </c>
      <c r="H731">
        <v>19623.82</v>
      </c>
      <c r="I731" t="s">
        <v>31</v>
      </c>
      <c r="J731" t="s">
        <v>21</v>
      </c>
      <c r="K731" t="s">
        <v>80</v>
      </c>
      <c r="L731" t="s">
        <v>64</v>
      </c>
      <c r="M731">
        <v>3</v>
      </c>
      <c r="N731" t="s">
        <v>33</v>
      </c>
      <c r="O731" t="s">
        <v>25</v>
      </c>
      <c r="P731" t="s">
        <v>49</v>
      </c>
    </row>
    <row r="732" spans="1:16" x14ac:dyDescent="0.25">
      <c r="A732" t="s">
        <v>1899</v>
      </c>
      <c r="B732" s="6">
        <v>44951</v>
      </c>
      <c r="C732">
        <v>9481</v>
      </c>
      <c r="D732" t="s">
        <v>1901</v>
      </c>
      <c r="E732" t="s">
        <v>38</v>
      </c>
      <c r="F732" t="s">
        <v>39</v>
      </c>
      <c r="G732">
        <v>22650.61</v>
      </c>
      <c r="H732">
        <v>11932.65</v>
      </c>
      <c r="I732" t="s">
        <v>63</v>
      </c>
      <c r="J732" t="s">
        <v>54</v>
      </c>
      <c r="K732" t="s">
        <v>32</v>
      </c>
      <c r="L732" t="s">
        <v>23</v>
      </c>
      <c r="M732">
        <v>1</v>
      </c>
      <c r="N732" t="s">
        <v>69</v>
      </c>
      <c r="O732" t="s">
        <v>70</v>
      </c>
      <c r="P732" t="s">
        <v>49</v>
      </c>
    </row>
    <row r="733" spans="1:16" x14ac:dyDescent="0.25">
      <c r="A733" t="s">
        <v>1902</v>
      </c>
      <c r="B733" s="6">
        <v>45452</v>
      </c>
      <c r="C733">
        <v>6690</v>
      </c>
      <c r="D733" t="s">
        <v>1904</v>
      </c>
      <c r="E733" t="s">
        <v>38</v>
      </c>
      <c r="F733" t="s">
        <v>39</v>
      </c>
      <c r="G733">
        <v>18696.830000000002</v>
      </c>
      <c r="H733">
        <v>9489.92</v>
      </c>
      <c r="I733" t="s">
        <v>84</v>
      </c>
      <c r="J733" t="s">
        <v>54</v>
      </c>
      <c r="K733" t="s">
        <v>80</v>
      </c>
      <c r="L733" t="s">
        <v>64</v>
      </c>
      <c r="M733">
        <v>2</v>
      </c>
      <c r="N733" t="s">
        <v>69</v>
      </c>
      <c r="O733" t="s">
        <v>25</v>
      </c>
      <c r="P733" t="s">
        <v>34</v>
      </c>
    </row>
    <row r="734" spans="1:16" x14ac:dyDescent="0.25">
      <c r="A734" t="s">
        <v>1905</v>
      </c>
      <c r="B734" s="6">
        <v>44999</v>
      </c>
      <c r="C734">
        <v>4388</v>
      </c>
      <c r="D734" t="s">
        <v>1907</v>
      </c>
      <c r="E734" t="s">
        <v>18</v>
      </c>
      <c r="F734" t="s">
        <v>47</v>
      </c>
      <c r="G734">
        <v>2451.12</v>
      </c>
      <c r="H734">
        <v>1545.45</v>
      </c>
      <c r="I734" t="s">
        <v>68</v>
      </c>
      <c r="J734" t="s">
        <v>41</v>
      </c>
      <c r="K734" t="s">
        <v>32</v>
      </c>
      <c r="L734" t="s">
        <v>55</v>
      </c>
      <c r="M734">
        <v>4</v>
      </c>
      <c r="N734" t="s">
        <v>69</v>
      </c>
      <c r="O734" t="s">
        <v>25</v>
      </c>
      <c r="P734" t="s">
        <v>26</v>
      </c>
    </row>
    <row r="735" spans="1:16" x14ac:dyDescent="0.25">
      <c r="A735" t="s">
        <v>1908</v>
      </c>
      <c r="B735" s="6">
        <v>44626</v>
      </c>
      <c r="C735">
        <v>5832</v>
      </c>
      <c r="D735" t="s">
        <v>1909</v>
      </c>
      <c r="E735" t="s">
        <v>18</v>
      </c>
      <c r="F735" t="s">
        <v>30</v>
      </c>
      <c r="G735">
        <v>77143.58</v>
      </c>
      <c r="H735">
        <v>48896.43</v>
      </c>
      <c r="I735" t="s">
        <v>84</v>
      </c>
      <c r="J735" t="s">
        <v>54</v>
      </c>
      <c r="K735" t="s">
        <v>22</v>
      </c>
      <c r="L735" t="s">
        <v>64</v>
      </c>
      <c r="M735">
        <v>4</v>
      </c>
      <c r="N735" t="s">
        <v>24</v>
      </c>
      <c r="O735" t="s">
        <v>25</v>
      </c>
      <c r="P735" t="s">
        <v>26</v>
      </c>
    </row>
    <row r="736" spans="1:16" x14ac:dyDescent="0.25">
      <c r="A736" t="s">
        <v>1910</v>
      </c>
      <c r="B736" s="6">
        <v>45332</v>
      </c>
      <c r="C736">
        <v>2218</v>
      </c>
      <c r="D736" t="s">
        <v>1912</v>
      </c>
      <c r="E736" t="s">
        <v>38</v>
      </c>
      <c r="F736" t="s">
        <v>19</v>
      </c>
      <c r="G736">
        <v>5411.76</v>
      </c>
      <c r="H736">
        <v>2798.24</v>
      </c>
      <c r="I736" t="s">
        <v>40</v>
      </c>
      <c r="J736" t="s">
        <v>41</v>
      </c>
      <c r="K736" t="s">
        <v>80</v>
      </c>
      <c r="L736" t="s">
        <v>48</v>
      </c>
      <c r="M736">
        <v>5</v>
      </c>
      <c r="N736" t="s">
        <v>24</v>
      </c>
      <c r="O736" t="s">
        <v>25</v>
      </c>
      <c r="P736" t="s">
        <v>49</v>
      </c>
    </row>
    <row r="737" spans="1:16" x14ac:dyDescent="0.25">
      <c r="A737" t="s">
        <v>1913</v>
      </c>
      <c r="B737" s="6">
        <v>45558</v>
      </c>
      <c r="C737">
        <v>4119</v>
      </c>
      <c r="D737" t="s">
        <v>1915</v>
      </c>
      <c r="E737" t="s">
        <v>18</v>
      </c>
      <c r="F737" t="s">
        <v>30</v>
      </c>
      <c r="G737">
        <v>121935.49</v>
      </c>
      <c r="H737">
        <v>70168.63</v>
      </c>
      <c r="I737" t="s">
        <v>63</v>
      </c>
      <c r="J737" t="s">
        <v>54</v>
      </c>
      <c r="K737" t="s">
        <v>32</v>
      </c>
      <c r="L737" t="s">
        <v>23</v>
      </c>
      <c r="M737">
        <v>5</v>
      </c>
      <c r="N737" t="s">
        <v>33</v>
      </c>
      <c r="O737" t="s">
        <v>70</v>
      </c>
      <c r="P737" t="s">
        <v>49</v>
      </c>
    </row>
    <row r="738" spans="1:16" x14ac:dyDescent="0.25">
      <c r="A738" t="s">
        <v>1916</v>
      </c>
      <c r="B738" s="6">
        <v>45546</v>
      </c>
      <c r="C738">
        <v>3159</v>
      </c>
      <c r="D738" t="s">
        <v>1918</v>
      </c>
      <c r="E738" t="s">
        <v>18</v>
      </c>
      <c r="F738" t="s">
        <v>58</v>
      </c>
      <c r="G738">
        <v>47229.89</v>
      </c>
      <c r="H738">
        <v>22091.42</v>
      </c>
      <c r="I738" t="s">
        <v>53</v>
      </c>
      <c r="J738" t="s">
        <v>54</v>
      </c>
      <c r="K738" t="s">
        <v>32</v>
      </c>
      <c r="L738" t="s">
        <v>55</v>
      </c>
      <c r="M738">
        <v>4</v>
      </c>
      <c r="N738" t="s">
        <v>33</v>
      </c>
      <c r="O738" t="s">
        <v>25</v>
      </c>
      <c r="P738" t="s">
        <v>26</v>
      </c>
    </row>
    <row r="739" spans="1:16" x14ac:dyDescent="0.25">
      <c r="A739" t="s">
        <v>1919</v>
      </c>
      <c r="B739" s="6">
        <v>44756</v>
      </c>
      <c r="C739">
        <v>4845</v>
      </c>
      <c r="D739" t="s">
        <v>677</v>
      </c>
      <c r="E739" t="s">
        <v>38</v>
      </c>
      <c r="F739" t="s">
        <v>39</v>
      </c>
      <c r="G739">
        <v>22979.69</v>
      </c>
      <c r="H739">
        <v>13360.12</v>
      </c>
      <c r="I739" t="s">
        <v>20</v>
      </c>
      <c r="J739" t="s">
        <v>21</v>
      </c>
      <c r="K739" t="s">
        <v>32</v>
      </c>
      <c r="L739" t="s">
        <v>88</v>
      </c>
      <c r="M739">
        <v>2</v>
      </c>
      <c r="N739" t="s">
        <v>69</v>
      </c>
      <c r="O739" t="s">
        <v>70</v>
      </c>
      <c r="P739" t="s">
        <v>34</v>
      </c>
    </row>
    <row r="740" spans="1:16" x14ac:dyDescent="0.25">
      <c r="A740" t="s">
        <v>1920</v>
      </c>
      <c r="B740" s="6">
        <v>45078</v>
      </c>
      <c r="C740">
        <v>4586</v>
      </c>
      <c r="D740" t="s">
        <v>1922</v>
      </c>
      <c r="E740" t="s">
        <v>18</v>
      </c>
      <c r="F740" t="s">
        <v>30</v>
      </c>
      <c r="G740">
        <v>94637.05</v>
      </c>
      <c r="H740">
        <v>59561.120000000003</v>
      </c>
      <c r="I740" t="s">
        <v>120</v>
      </c>
      <c r="J740" t="s">
        <v>21</v>
      </c>
      <c r="K740" t="s">
        <v>42</v>
      </c>
      <c r="L740" t="s">
        <v>64</v>
      </c>
      <c r="M740">
        <v>4</v>
      </c>
      <c r="N740" t="s">
        <v>33</v>
      </c>
      <c r="O740" t="s">
        <v>70</v>
      </c>
      <c r="P740" t="s">
        <v>26</v>
      </c>
    </row>
    <row r="741" spans="1:16" x14ac:dyDescent="0.25">
      <c r="A741" t="s">
        <v>1923</v>
      </c>
      <c r="B741" s="6">
        <v>44765</v>
      </c>
      <c r="C741">
        <v>8925</v>
      </c>
      <c r="D741" t="s">
        <v>1925</v>
      </c>
      <c r="E741" t="s">
        <v>38</v>
      </c>
      <c r="F741" t="s">
        <v>19</v>
      </c>
      <c r="G741">
        <v>14658.42</v>
      </c>
      <c r="H741">
        <v>8611.01</v>
      </c>
      <c r="I741" t="s">
        <v>53</v>
      </c>
      <c r="J741" t="s">
        <v>54</v>
      </c>
      <c r="K741" t="s">
        <v>22</v>
      </c>
      <c r="L741" t="s">
        <v>88</v>
      </c>
      <c r="M741">
        <v>3</v>
      </c>
      <c r="N741" t="s">
        <v>24</v>
      </c>
      <c r="O741" t="s">
        <v>70</v>
      </c>
      <c r="P741" t="s">
        <v>34</v>
      </c>
    </row>
    <row r="742" spans="1:16" x14ac:dyDescent="0.25">
      <c r="A742" t="s">
        <v>1926</v>
      </c>
      <c r="B742" s="6">
        <v>44762</v>
      </c>
      <c r="C742">
        <v>7966</v>
      </c>
      <c r="D742" t="s">
        <v>1928</v>
      </c>
      <c r="E742" t="s">
        <v>38</v>
      </c>
      <c r="F742" t="s">
        <v>39</v>
      </c>
      <c r="G742">
        <v>18723.7</v>
      </c>
      <c r="H742">
        <v>8630.25</v>
      </c>
      <c r="I742" t="s">
        <v>53</v>
      </c>
      <c r="J742" t="s">
        <v>54</v>
      </c>
      <c r="K742" t="s">
        <v>80</v>
      </c>
      <c r="L742" t="s">
        <v>48</v>
      </c>
      <c r="M742">
        <v>2</v>
      </c>
      <c r="N742" t="s">
        <v>33</v>
      </c>
      <c r="O742" t="s">
        <v>70</v>
      </c>
      <c r="P742" t="s">
        <v>34</v>
      </c>
    </row>
    <row r="743" spans="1:16" x14ac:dyDescent="0.25">
      <c r="A743" t="s">
        <v>1929</v>
      </c>
      <c r="B743" s="6">
        <v>44302</v>
      </c>
      <c r="C743">
        <v>2807</v>
      </c>
      <c r="D743" t="s">
        <v>1393</v>
      </c>
      <c r="E743" t="s">
        <v>38</v>
      </c>
      <c r="F743" t="s">
        <v>30</v>
      </c>
      <c r="G743">
        <v>21861.37</v>
      </c>
      <c r="H743">
        <v>12197.63</v>
      </c>
      <c r="I743" t="s">
        <v>63</v>
      </c>
      <c r="J743" t="s">
        <v>54</v>
      </c>
      <c r="K743" t="s">
        <v>22</v>
      </c>
      <c r="L743" t="s">
        <v>64</v>
      </c>
      <c r="M743">
        <v>1</v>
      </c>
      <c r="N743" t="s">
        <v>24</v>
      </c>
      <c r="O743" t="s">
        <v>25</v>
      </c>
      <c r="P743" t="s">
        <v>34</v>
      </c>
    </row>
    <row r="744" spans="1:16" x14ac:dyDescent="0.25">
      <c r="A744" t="s">
        <v>1931</v>
      </c>
      <c r="B744" s="6">
        <v>43938</v>
      </c>
      <c r="C744">
        <v>9773</v>
      </c>
      <c r="D744" t="s">
        <v>1932</v>
      </c>
      <c r="E744" t="s">
        <v>18</v>
      </c>
      <c r="F744" t="s">
        <v>58</v>
      </c>
      <c r="G744">
        <v>33339.78</v>
      </c>
      <c r="H744">
        <v>20591.64</v>
      </c>
      <c r="I744" t="s">
        <v>31</v>
      </c>
      <c r="J744" t="s">
        <v>21</v>
      </c>
      <c r="K744" t="s">
        <v>80</v>
      </c>
      <c r="L744" t="s">
        <v>48</v>
      </c>
      <c r="M744">
        <v>2</v>
      </c>
      <c r="N744" t="s">
        <v>33</v>
      </c>
      <c r="O744" t="s">
        <v>25</v>
      </c>
      <c r="P744" t="s">
        <v>34</v>
      </c>
    </row>
    <row r="745" spans="1:16" x14ac:dyDescent="0.25">
      <c r="A745" t="s">
        <v>1933</v>
      </c>
      <c r="B745" s="6">
        <v>44203</v>
      </c>
      <c r="C745">
        <v>1328</v>
      </c>
      <c r="D745" t="s">
        <v>1934</v>
      </c>
      <c r="E745" t="s">
        <v>18</v>
      </c>
      <c r="F745" t="s">
        <v>30</v>
      </c>
      <c r="G745">
        <v>49581.64</v>
      </c>
      <c r="H745">
        <v>30158.959999999999</v>
      </c>
      <c r="I745" t="s">
        <v>63</v>
      </c>
      <c r="J745" t="s">
        <v>54</v>
      </c>
      <c r="K745" t="s">
        <v>22</v>
      </c>
      <c r="L745" t="s">
        <v>23</v>
      </c>
      <c r="M745">
        <v>3</v>
      </c>
      <c r="N745" t="s">
        <v>33</v>
      </c>
      <c r="O745" t="s">
        <v>25</v>
      </c>
      <c r="P745" t="s">
        <v>49</v>
      </c>
    </row>
    <row r="746" spans="1:16" x14ac:dyDescent="0.25">
      <c r="A746" t="s">
        <v>1935</v>
      </c>
      <c r="B746" s="6">
        <v>45485</v>
      </c>
      <c r="C746">
        <v>7565</v>
      </c>
      <c r="D746" t="s">
        <v>1936</v>
      </c>
      <c r="E746" t="s">
        <v>18</v>
      </c>
      <c r="F746" t="s">
        <v>19</v>
      </c>
      <c r="G746">
        <v>23047.94</v>
      </c>
      <c r="H746">
        <v>14412.44</v>
      </c>
      <c r="I746" t="s">
        <v>53</v>
      </c>
      <c r="J746" t="s">
        <v>54</v>
      </c>
      <c r="K746" t="s">
        <v>22</v>
      </c>
      <c r="L746" t="s">
        <v>55</v>
      </c>
      <c r="M746">
        <v>1</v>
      </c>
      <c r="N746" t="s">
        <v>24</v>
      </c>
      <c r="O746" t="s">
        <v>70</v>
      </c>
      <c r="P746" t="s">
        <v>49</v>
      </c>
    </row>
    <row r="747" spans="1:16" x14ac:dyDescent="0.25">
      <c r="A747" t="s">
        <v>1937</v>
      </c>
      <c r="B747" s="6">
        <v>45004</v>
      </c>
      <c r="C747">
        <v>7408</v>
      </c>
      <c r="D747" t="s">
        <v>1938</v>
      </c>
      <c r="E747" t="s">
        <v>18</v>
      </c>
      <c r="F747" t="s">
        <v>19</v>
      </c>
      <c r="G747">
        <v>21467.75</v>
      </c>
      <c r="H747">
        <v>13349.95</v>
      </c>
      <c r="I747" t="s">
        <v>63</v>
      </c>
      <c r="J747" t="s">
        <v>54</v>
      </c>
      <c r="K747" t="s">
        <v>42</v>
      </c>
      <c r="L747" t="s">
        <v>64</v>
      </c>
      <c r="M747">
        <v>5</v>
      </c>
      <c r="N747" t="s">
        <v>24</v>
      </c>
      <c r="O747" t="s">
        <v>25</v>
      </c>
      <c r="P747" t="s">
        <v>34</v>
      </c>
    </row>
    <row r="748" spans="1:16" x14ac:dyDescent="0.25">
      <c r="A748" t="s">
        <v>1939</v>
      </c>
      <c r="B748" s="6">
        <v>45119</v>
      </c>
      <c r="C748">
        <v>8037</v>
      </c>
      <c r="D748" t="s">
        <v>1940</v>
      </c>
      <c r="E748" t="s">
        <v>18</v>
      </c>
      <c r="F748" t="s">
        <v>47</v>
      </c>
      <c r="G748">
        <v>7283.86</v>
      </c>
      <c r="H748">
        <v>3869.67</v>
      </c>
      <c r="I748" t="s">
        <v>53</v>
      </c>
      <c r="J748" t="s">
        <v>54</v>
      </c>
      <c r="K748" t="s">
        <v>42</v>
      </c>
      <c r="L748" t="s">
        <v>64</v>
      </c>
      <c r="M748">
        <v>3</v>
      </c>
      <c r="N748" t="s">
        <v>69</v>
      </c>
      <c r="O748" t="s">
        <v>25</v>
      </c>
      <c r="P748" t="s">
        <v>26</v>
      </c>
    </row>
    <row r="749" spans="1:16" x14ac:dyDescent="0.25">
      <c r="A749" t="s">
        <v>1941</v>
      </c>
      <c r="B749" s="6">
        <v>45571</v>
      </c>
      <c r="C749">
        <v>8409</v>
      </c>
      <c r="D749" t="s">
        <v>1942</v>
      </c>
      <c r="E749" t="s">
        <v>18</v>
      </c>
      <c r="F749" t="s">
        <v>19</v>
      </c>
      <c r="G749">
        <v>17818.88</v>
      </c>
      <c r="H749">
        <v>8107.21</v>
      </c>
      <c r="I749" t="s">
        <v>53</v>
      </c>
      <c r="J749" t="s">
        <v>54</v>
      </c>
      <c r="K749" t="s">
        <v>32</v>
      </c>
      <c r="L749" t="s">
        <v>64</v>
      </c>
      <c r="M749">
        <v>3</v>
      </c>
      <c r="N749" t="s">
        <v>24</v>
      </c>
      <c r="O749" t="s">
        <v>25</v>
      </c>
      <c r="P749" t="s">
        <v>34</v>
      </c>
    </row>
    <row r="750" spans="1:16" x14ac:dyDescent="0.25">
      <c r="A750" t="s">
        <v>1943</v>
      </c>
      <c r="B750" s="6">
        <v>43917</v>
      </c>
      <c r="C750">
        <v>9025</v>
      </c>
      <c r="D750" t="s">
        <v>696</v>
      </c>
      <c r="E750" t="s">
        <v>18</v>
      </c>
      <c r="F750" t="s">
        <v>47</v>
      </c>
      <c r="G750">
        <v>3193.75</v>
      </c>
      <c r="H750">
        <v>1694.73</v>
      </c>
      <c r="I750" t="s">
        <v>84</v>
      </c>
      <c r="J750" t="s">
        <v>54</v>
      </c>
      <c r="K750" t="s">
        <v>80</v>
      </c>
      <c r="L750" t="s">
        <v>43</v>
      </c>
      <c r="M750">
        <v>5</v>
      </c>
      <c r="N750" t="s">
        <v>24</v>
      </c>
      <c r="O750" t="s">
        <v>25</v>
      </c>
      <c r="P750" t="s">
        <v>34</v>
      </c>
    </row>
    <row r="751" spans="1:16" x14ac:dyDescent="0.25">
      <c r="A751" t="s">
        <v>1944</v>
      </c>
      <c r="B751" s="6">
        <v>45310</v>
      </c>
      <c r="C751">
        <v>7660</v>
      </c>
      <c r="D751" t="s">
        <v>1946</v>
      </c>
      <c r="E751" t="s">
        <v>18</v>
      </c>
      <c r="F751" t="s">
        <v>19</v>
      </c>
      <c r="G751">
        <v>11082.15</v>
      </c>
      <c r="H751">
        <v>5450.7</v>
      </c>
      <c r="I751" t="s">
        <v>53</v>
      </c>
      <c r="J751" t="s">
        <v>54</v>
      </c>
      <c r="K751" t="s">
        <v>80</v>
      </c>
      <c r="L751" t="s">
        <v>43</v>
      </c>
      <c r="M751">
        <v>4</v>
      </c>
      <c r="N751" t="s">
        <v>33</v>
      </c>
      <c r="O751" t="s">
        <v>70</v>
      </c>
      <c r="P751" t="s">
        <v>34</v>
      </c>
    </row>
    <row r="752" spans="1:16" x14ac:dyDescent="0.25">
      <c r="A752" t="s">
        <v>1947</v>
      </c>
      <c r="B752" s="6">
        <v>45333</v>
      </c>
      <c r="C752">
        <v>7974</v>
      </c>
      <c r="D752" t="s">
        <v>1949</v>
      </c>
      <c r="E752" t="s">
        <v>18</v>
      </c>
      <c r="F752" t="s">
        <v>30</v>
      </c>
      <c r="G752">
        <v>49281.35</v>
      </c>
      <c r="H752">
        <v>29636.69</v>
      </c>
      <c r="I752" t="s">
        <v>120</v>
      </c>
      <c r="J752" t="s">
        <v>21</v>
      </c>
      <c r="K752" t="s">
        <v>32</v>
      </c>
      <c r="L752" t="s">
        <v>43</v>
      </c>
      <c r="M752">
        <v>1</v>
      </c>
      <c r="N752" t="s">
        <v>33</v>
      </c>
      <c r="O752" t="s">
        <v>25</v>
      </c>
      <c r="P752" t="s">
        <v>26</v>
      </c>
    </row>
    <row r="753" spans="1:16" x14ac:dyDescent="0.25">
      <c r="A753" t="s">
        <v>1950</v>
      </c>
      <c r="B753" s="6">
        <v>45195</v>
      </c>
      <c r="C753">
        <v>3291</v>
      </c>
      <c r="D753" t="s">
        <v>1951</v>
      </c>
      <c r="E753" t="s">
        <v>38</v>
      </c>
      <c r="F753" t="s">
        <v>30</v>
      </c>
      <c r="G753">
        <v>56796.13</v>
      </c>
      <c r="H753">
        <v>28929.119999999999</v>
      </c>
      <c r="I753" t="s">
        <v>53</v>
      </c>
      <c r="J753" t="s">
        <v>54</v>
      </c>
      <c r="K753" t="s">
        <v>80</v>
      </c>
      <c r="L753" t="s">
        <v>88</v>
      </c>
      <c r="M753">
        <v>3</v>
      </c>
      <c r="N753" t="s">
        <v>24</v>
      </c>
      <c r="O753" t="s">
        <v>70</v>
      </c>
      <c r="P753" t="s">
        <v>34</v>
      </c>
    </row>
    <row r="754" spans="1:16" x14ac:dyDescent="0.25">
      <c r="A754" t="s">
        <v>1952</v>
      </c>
      <c r="B754" s="6">
        <v>45031</v>
      </c>
      <c r="C754">
        <v>7082</v>
      </c>
      <c r="D754" t="s">
        <v>1953</v>
      </c>
      <c r="E754" t="s">
        <v>38</v>
      </c>
      <c r="F754" t="s">
        <v>58</v>
      </c>
      <c r="G754">
        <v>29288.28</v>
      </c>
      <c r="H754">
        <v>14413.45</v>
      </c>
      <c r="I754" t="s">
        <v>20</v>
      </c>
      <c r="J754" t="s">
        <v>21</v>
      </c>
      <c r="K754" t="s">
        <v>42</v>
      </c>
      <c r="L754" t="s">
        <v>48</v>
      </c>
      <c r="M754">
        <v>2</v>
      </c>
      <c r="N754" t="s">
        <v>33</v>
      </c>
      <c r="O754" t="s">
        <v>70</v>
      </c>
      <c r="P754" t="s">
        <v>34</v>
      </c>
    </row>
    <row r="755" spans="1:16" x14ac:dyDescent="0.25">
      <c r="A755" t="s">
        <v>1954</v>
      </c>
      <c r="B755" s="6">
        <v>44929</v>
      </c>
      <c r="C755">
        <v>4074</v>
      </c>
      <c r="D755" t="s">
        <v>1956</v>
      </c>
      <c r="E755" t="s">
        <v>18</v>
      </c>
      <c r="F755" t="s">
        <v>58</v>
      </c>
      <c r="G755">
        <v>46477.95</v>
      </c>
      <c r="H755">
        <v>25913.61</v>
      </c>
      <c r="I755" t="s">
        <v>53</v>
      </c>
      <c r="J755" t="s">
        <v>54</v>
      </c>
      <c r="K755" t="s">
        <v>42</v>
      </c>
      <c r="L755" t="s">
        <v>55</v>
      </c>
      <c r="M755">
        <v>1</v>
      </c>
      <c r="N755" t="s">
        <v>24</v>
      </c>
      <c r="O755" t="s">
        <v>25</v>
      </c>
      <c r="P755" t="s">
        <v>26</v>
      </c>
    </row>
    <row r="756" spans="1:16" x14ac:dyDescent="0.25">
      <c r="A756" t="s">
        <v>1957</v>
      </c>
      <c r="B756" s="6">
        <v>44569</v>
      </c>
      <c r="C756">
        <v>5498</v>
      </c>
      <c r="D756" t="s">
        <v>1958</v>
      </c>
      <c r="E756" t="s">
        <v>38</v>
      </c>
      <c r="F756" t="s">
        <v>47</v>
      </c>
      <c r="G756">
        <v>15311.32</v>
      </c>
      <c r="H756">
        <v>9548.42</v>
      </c>
      <c r="I756" t="s">
        <v>84</v>
      </c>
      <c r="J756" t="s">
        <v>54</v>
      </c>
      <c r="K756" t="s">
        <v>42</v>
      </c>
      <c r="L756" t="s">
        <v>88</v>
      </c>
      <c r="M756">
        <v>5</v>
      </c>
      <c r="N756" t="s">
        <v>24</v>
      </c>
      <c r="O756" t="s">
        <v>70</v>
      </c>
      <c r="P756" t="s">
        <v>49</v>
      </c>
    </row>
    <row r="757" spans="1:16" x14ac:dyDescent="0.25">
      <c r="A757" t="s">
        <v>1959</v>
      </c>
      <c r="B757" s="6">
        <v>44979</v>
      </c>
      <c r="C757">
        <v>5587</v>
      </c>
      <c r="D757" t="s">
        <v>1960</v>
      </c>
      <c r="E757" t="s">
        <v>18</v>
      </c>
      <c r="F757" t="s">
        <v>58</v>
      </c>
      <c r="G757">
        <v>20388</v>
      </c>
      <c r="H757">
        <v>9591.83</v>
      </c>
      <c r="I757" t="s">
        <v>31</v>
      </c>
      <c r="J757" t="s">
        <v>21</v>
      </c>
      <c r="K757" t="s">
        <v>80</v>
      </c>
      <c r="L757" t="s">
        <v>88</v>
      </c>
      <c r="M757">
        <v>5</v>
      </c>
      <c r="N757" t="s">
        <v>24</v>
      </c>
      <c r="O757" t="s">
        <v>25</v>
      </c>
      <c r="P757" t="s">
        <v>34</v>
      </c>
    </row>
    <row r="758" spans="1:16" x14ac:dyDescent="0.25">
      <c r="A758" t="s">
        <v>1961</v>
      </c>
      <c r="B758" s="6">
        <v>45169</v>
      </c>
      <c r="C758">
        <v>3754</v>
      </c>
      <c r="D758" t="s">
        <v>1962</v>
      </c>
      <c r="E758" t="s">
        <v>18</v>
      </c>
      <c r="F758" t="s">
        <v>47</v>
      </c>
      <c r="G758">
        <v>10601.9</v>
      </c>
      <c r="H758">
        <v>6868.1</v>
      </c>
      <c r="I758" t="s">
        <v>40</v>
      </c>
      <c r="J758" t="s">
        <v>41</v>
      </c>
      <c r="K758" t="s">
        <v>22</v>
      </c>
      <c r="L758" t="s">
        <v>43</v>
      </c>
      <c r="M758">
        <v>2</v>
      </c>
      <c r="N758" t="s">
        <v>33</v>
      </c>
      <c r="O758" t="s">
        <v>25</v>
      </c>
      <c r="P758" t="s">
        <v>26</v>
      </c>
    </row>
    <row r="759" spans="1:16" x14ac:dyDescent="0.25">
      <c r="A759" t="s">
        <v>1963</v>
      </c>
      <c r="B759" s="6">
        <v>45509</v>
      </c>
      <c r="C759">
        <v>8728</v>
      </c>
      <c r="D759" t="s">
        <v>1965</v>
      </c>
      <c r="E759" t="s">
        <v>38</v>
      </c>
      <c r="F759" t="s">
        <v>58</v>
      </c>
      <c r="G759">
        <v>28791.99</v>
      </c>
      <c r="H759">
        <v>17332.82</v>
      </c>
      <c r="I759" t="s">
        <v>63</v>
      </c>
      <c r="J759" t="s">
        <v>54</v>
      </c>
      <c r="K759" t="s">
        <v>32</v>
      </c>
      <c r="L759" t="s">
        <v>43</v>
      </c>
      <c r="M759">
        <v>4</v>
      </c>
      <c r="N759" t="s">
        <v>33</v>
      </c>
      <c r="O759" t="s">
        <v>25</v>
      </c>
      <c r="P759" t="s">
        <v>34</v>
      </c>
    </row>
    <row r="760" spans="1:16" x14ac:dyDescent="0.25">
      <c r="A760" t="s">
        <v>1966</v>
      </c>
      <c r="B760" s="6">
        <v>44140</v>
      </c>
      <c r="C760">
        <v>3721</v>
      </c>
      <c r="D760" t="s">
        <v>1967</v>
      </c>
      <c r="E760" t="s">
        <v>38</v>
      </c>
      <c r="F760" t="s">
        <v>39</v>
      </c>
      <c r="G760">
        <v>27427.03</v>
      </c>
      <c r="H760">
        <v>16949.22</v>
      </c>
      <c r="I760" t="s">
        <v>84</v>
      </c>
      <c r="J760" t="s">
        <v>54</v>
      </c>
      <c r="K760" t="s">
        <v>80</v>
      </c>
      <c r="L760" t="s">
        <v>64</v>
      </c>
      <c r="M760">
        <v>3</v>
      </c>
      <c r="N760" t="s">
        <v>24</v>
      </c>
      <c r="O760" t="s">
        <v>25</v>
      </c>
      <c r="P760" t="s">
        <v>34</v>
      </c>
    </row>
    <row r="761" spans="1:16" x14ac:dyDescent="0.25">
      <c r="A761" t="s">
        <v>1968</v>
      </c>
      <c r="B761" s="6">
        <v>44800</v>
      </c>
      <c r="C761">
        <v>6668</v>
      </c>
      <c r="D761" t="s">
        <v>1969</v>
      </c>
      <c r="E761" t="s">
        <v>38</v>
      </c>
      <c r="F761" t="s">
        <v>58</v>
      </c>
      <c r="G761">
        <v>15909.86</v>
      </c>
      <c r="H761">
        <v>8940.69</v>
      </c>
      <c r="I761" t="s">
        <v>20</v>
      </c>
      <c r="J761" t="s">
        <v>21</v>
      </c>
      <c r="K761" t="s">
        <v>32</v>
      </c>
      <c r="L761" t="s">
        <v>64</v>
      </c>
      <c r="M761">
        <v>3</v>
      </c>
      <c r="N761" t="s">
        <v>33</v>
      </c>
      <c r="O761" t="s">
        <v>70</v>
      </c>
      <c r="P761" t="s">
        <v>26</v>
      </c>
    </row>
    <row r="762" spans="1:16" x14ac:dyDescent="0.25">
      <c r="A762" t="s">
        <v>1970</v>
      </c>
      <c r="B762" s="6">
        <v>43989</v>
      </c>
      <c r="C762">
        <v>2541</v>
      </c>
      <c r="D762" t="s">
        <v>1971</v>
      </c>
      <c r="E762" t="s">
        <v>38</v>
      </c>
      <c r="F762" t="s">
        <v>30</v>
      </c>
      <c r="G762">
        <v>70968.53</v>
      </c>
      <c r="H762">
        <v>39072.339999999997</v>
      </c>
      <c r="I762" t="s">
        <v>53</v>
      </c>
      <c r="J762" t="s">
        <v>54</v>
      </c>
      <c r="K762" t="s">
        <v>22</v>
      </c>
      <c r="L762" t="s">
        <v>43</v>
      </c>
      <c r="M762">
        <v>3</v>
      </c>
      <c r="N762" t="s">
        <v>33</v>
      </c>
      <c r="O762" t="s">
        <v>25</v>
      </c>
      <c r="P762" t="s">
        <v>34</v>
      </c>
    </row>
    <row r="763" spans="1:16" x14ac:dyDescent="0.25">
      <c r="A763" t="s">
        <v>1972</v>
      </c>
      <c r="B763" s="6">
        <v>44591</v>
      </c>
      <c r="C763">
        <v>1498</v>
      </c>
      <c r="D763" t="s">
        <v>1974</v>
      </c>
      <c r="E763" t="s">
        <v>38</v>
      </c>
      <c r="F763" t="s">
        <v>19</v>
      </c>
      <c r="G763">
        <v>21551.83</v>
      </c>
      <c r="H763">
        <v>12423.51</v>
      </c>
      <c r="I763" t="s">
        <v>84</v>
      </c>
      <c r="J763" t="s">
        <v>54</v>
      </c>
      <c r="K763" t="s">
        <v>80</v>
      </c>
      <c r="L763" t="s">
        <v>23</v>
      </c>
      <c r="M763">
        <v>4</v>
      </c>
      <c r="N763" t="s">
        <v>24</v>
      </c>
      <c r="O763" t="s">
        <v>70</v>
      </c>
      <c r="P763" t="s">
        <v>49</v>
      </c>
    </row>
    <row r="764" spans="1:16" x14ac:dyDescent="0.25">
      <c r="A764" t="s">
        <v>1975</v>
      </c>
      <c r="B764" s="6">
        <v>45005</v>
      </c>
      <c r="C764">
        <v>3156</v>
      </c>
      <c r="D764" t="s">
        <v>1976</v>
      </c>
      <c r="E764" t="s">
        <v>18</v>
      </c>
      <c r="F764" t="s">
        <v>39</v>
      </c>
      <c r="G764">
        <v>17979.580000000002</v>
      </c>
      <c r="H764">
        <v>11132.25</v>
      </c>
      <c r="I764" t="s">
        <v>68</v>
      </c>
      <c r="J764" t="s">
        <v>41</v>
      </c>
      <c r="K764" t="s">
        <v>22</v>
      </c>
      <c r="L764" t="s">
        <v>64</v>
      </c>
      <c r="M764">
        <v>1</v>
      </c>
      <c r="N764" t="s">
        <v>33</v>
      </c>
      <c r="O764" t="s">
        <v>70</v>
      </c>
      <c r="P764" t="s">
        <v>34</v>
      </c>
    </row>
    <row r="765" spans="1:16" x14ac:dyDescent="0.25">
      <c r="A765" t="s">
        <v>1977</v>
      </c>
      <c r="B765" s="6">
        <v>45462</v>
      </c>
      <c r="C765">
        <v>6185</v>
      </c>
      <c r="D765" t="s">
        <v>1979</v>
      </c>
      <c r="E765" t="s">
        <v>18</v>
      </c>
      <c r="F765" t="s">
        <v>19</v>
      </c>
      <c r="G765">
        <v>15593.45</v>
      </c>
      <c r="H765">
        <v>8847.25</v>
      </c>
      <c r="I765" t="s">
        <v>68</v>
      </c>
      <c r="J765" t="s">
        <v>41</v>
      </c>
      <c r="K765" t="s">
        <v>42</v>
      </c>
      <c r="L765" t="s">
        <v>43</v>
      </c>
      <c r="M765">
        <v>1</v>
      </c>
      <c r="N765" t="s">
        <v>69</v>
      </c>
      <c r="O765" t="s">
        <v>25</v>
      </c>
      <c r="P765" t="s">
        <v>49</v>
      </c>
    </row>
    <row r="766" spans="1:16" x14ac:dyDescent="0.25">
      <c r="A766" t="s">
        <v>1980</v>
      </c>
      <c r="B766" s="6">
        <v>45367</v>
      </c>
      <c r="C766">
        <v>2375</v>
      </c>
      <c r="D766" t="s">
        <v>1982</v>
      </c>
      <c r="E766" t="s">
        <v>18</v>
      </c>
      <c r="F766" t="s">
        <v>58</v>
      </c>
      <c r="G766">
        <v>30507.200000000001</v>
      </c>
      <c r="H766">
        <v>15409.34</v>
      </c>
      <c r="I766" t="s">
        <v>20</v>
      </c>
      <c r="J766" t="s">
        <v>21</v>
      </c>
      <c r="K766" t="s">
        <v>32</v>
      </c>
      <c r="L766" t="s">
        <v>48</v>
      </c>
      <c r="M766">
        <v>5</v>
      </c>
      <c r="N766" t="s">
        <v>33</v>
      </c>
      <c r="O766" t="s">
        <v>70</v>
      </c>
      <c r="P766" t="s">
        <v>26</v>
      </c>
    </row>
    <row r="767" spans="1:16" x14ac:dyDescent="0.25">
      <c r="A767" t="s">
        <v>1983</v>
      </c>
      <c r="B767" s="6">
        <v>44852</v>
      </c>
      <c r="C767">
        <v>8585</v>
      </c>
      <c r="D767" t="s">
        <v>1984</v>
      </c>
      <c r="E767" t="s">
        <v>18</v>
      </c>
      <c r="F767" t="s">
        <v>39</v>
      </c>
      <c r="G767">
        <v>13003.96</v>
      </c>
      <c r="H767">
        <v>6087.31</v>
      </c>
      <c r="I767" t="s">
        <v>84</v>
      </c>
      <c r="J767" t="s">
        <v>54</v>
      </c>
      <c r="K767" t="s">
        <v>22</v>
      </c>
      <c r="L767" t="s">
        <v>23</v>
      </c>
      <c r="M767">
        <v>3</v>
      </c>
      <c r="N767" t="s">
        <v>24</v>
      </c>
      <c r="O767" t="s">
        <v>70</v>
      </c>
      <c r="P767" t="s">
        <v>26</v>
      </c>
    </row>
    <row r="768" spans="1:16" x14ac:dyDescent="0.25">
      <c r="A768" t="s">
        <v>1985</v>
      </c>
      <c r="B768" s="6">
        <v>45053</v>
      </c>
      <c r="C768">
        <v>4130</v>
      </c>
      <c r="D768" t="s">
        <v>1986</v>
      </c>
      <c r="E768" t="s">
        <v>18</v>
      </c>
      <c r="F768" t="s">
        <v>19</v>
      </c>
      <c r="G768">
        <v>9202.3700000000008</v>
      </c>
      <c r="H768">
        <v>4839.18</v>
      </c>
      <c r="I768" t="s">
        <v>20</v>
      </c>
      <c r="J768" t="s">
        <v>21</v>
      </c>
      <c r="K768" t="s">
        <v>42</v>
      </c>
      <c r="L768" t="s">
        <v>23</v>
      </c>
      <c r="M768">
        <v>3</v>
      </c>
      <c r="N768" t="s">
        <v>33</v>
      </c>
      <c r="O768" t="s">
        <v>25</v>
      </c>
      <c r="P768" t="s">
        <v>26</v>
      </c>
    </row>
    <row r="769" spans="1:16" x14ac:dyDescent="0.25">
      <c r="A769" t="s">
        <v>1987</v>
      </c>
      <c r="B769" s="6">
        <v>44348</v>
      </c>
      <c r="C769">
        <v>8202</v>
      </c>
      <c r="D769" t="s">
        <v>1989</v>
      </c>
      <c r="E769" t="s">
        <v>38</v>
      </c>
      <c r="F769" t="s">
        <v>47</v>
      </c>
      <c r="G769">
        <v>2330.16</v>
      </c>
      <c r="H769">
        <v>1214.08</v>
      </c>
      <c r="I769" t="s">
        <v>59</v>
      </c>
      <c r="J769" t="s">
        <v>41</v>
      </c>
      <c r="K769" t="s">
        <v>42</v>
      </c>
      <c r="L769" t="s">
        <v>88</v>
      </c>
      <c r="M769">
        <v>5</v>
      </c>
      <c r="N769" t="s">
        <v>33</v>
      </c>
      <c r="O769" t="s">
        <v>70</v>
      </c>
      <c r="P769" t="s">
        <v>26</v>
      </c>
    </row>
    <row r="770" spans="1:16" x14ac:dyDescent="0.25">
      <c r="A770" t="s">
        <v>1990</v>
      </c>
      <c r="B770" s="6">
        <v>45034</v>
      </c>
      <c r="C770">
        <v>6683</v>
      </c>
      <c r="D770" t="s">
        <v>1991</v>
      </c>
      <c r="E770" t="s">
        <v>38</v>
      </c>
      <c r="F770" t="s">
        <v>39</v>
      </c>
      <c r="G770">
        <v>19107.13</v>
      </c>
      <c r="H770">
        <v>11271.88</v>
      </c>
      <c r="I770" t="s">
        <v>84</v>
      </c>
      <c r="J770" t="s">
        <v>54</v>
      </c>
      <c r="K770" t="s">
        <v>42</v>
      </c>
      <c r="L770" t="s">
        <v>55</v>
      </c>
      <c r="M770">
        <v>5</v>
      </c>
      <c r="N770" t="s">
        <v>24</v>
      </c>
      <c r="O770" t="s">
        <v>25</v>
      </c>
      <c r="P770" t="s">
        <v>34</v>
      </c>
    </row>
    <row r="771" spans="1:16" x14ac:dyDescent="0.25">
      <c r="A771" t="s">
        <v>1992</v>
      </c>
      <c r="B771" s="6">
        <v>45170</v>
      </c>
      <c r="C771">
        <v>8655</v>
      </c>
      <c r="D771" t="s">
        <v>1993</v>
      </c>
      <c r="E771" t="s">
        <v>38</v>
      </c>
      <c r="F771" t="s">
        <v>30</v>
      </c>
      <c r="G771">
        <v>54063.76</v>
      </c>
      <c r="H771">
        <v>28414.94</v>
      </c>
      <c r="I771" t="s">
        <v>63</v>
      </c>
      <c r="J771" t="s">
        <v>54</v>
      </c>
      <c r="K771" t="s">
        <v>22</v>
      </c>
      <c r="L771" t="s">
        <v>88</v>
      </c>
      <c r="M771">
        <v>1</v>
      </c>
      <c r="N771" t="s">
        <v>24</v>
      </c>
      <c r="O771" t="s">
        <v>70</v>
      </c>
      <c r="P771" t="s">
        <v>26</v>
      </c>
    </row>
    <row r="772" spans="1:16" x14ac:dyDescent="0.25">
      <c r="A772" t="s">
        <v>1994</v>
      </c>
      <c r="B772" s="6">
        <v>44978</v>
      </c>
      <c r="C772">
        <v>6865</v>
      </c>
      <c r="D772" t="s">
        <v>1995</v>
      </c>
      <c r="E772" t="s">
        <v>38</v>
      </c>
      <c r="F772" t="s">
        <v>39</v>
      </c>
      <c r="G772">
        <v>17071.439999999999</v>
      </c>
      <c r="H772">
        <v>9549.01</v>
      </c>
      <c r="I772" t="s">
        <v>53</v>
      </c>
      <c r="J772" t="s">
        <v>54</v>
      </c>
      <c r="K772" t="s">
        <v>22</v>
      </c>
      <c r="L772" t="s">
        <v>64</v>
      </c>
      <c r="M772">
        <v>5</v>
      </c>
      <c r="N772" t="s">
        <v>24</v>
      </c>
      <c r="O772" t="s">
        <v>25</v>
      </c>
      <c r="P772" t="s">
        <v>34</v>
      </c>
    </row>
    <row r="773" spans="1:16" x14ac:dyDescent="0.25">
      <c r="A773" t="s">
        <v>1996</v>
      </c>
      <c r="B773" s="6">
        <v>44753</v>
      </c>
      <c r="C773">
        <v>6535</v>
      </c>
      <c r="D773" t="s">
        <v>1997</v>
      </c>
      <c r="E773" t="s">
        <v>38</v>
      </c>
      <c r="F773" t="s">
        <v>47</v>
      </c>
      <c r="G773">
        <v>10981.95</v>
      </c>
      <c r="H773">
        <v>5601.18</v>
      </c>
      <c r="I773" t="s">
        <v>120</v>
      </c>
      <c r="J773" t="s">
        <v>21</v>
      </c>
      <c r="K773" t="s">
        <v>32</v>
      </c>
      <c r="L773" t="s">
        <v>43</v>
      </c>
      <c r="M773">
        <v>1</v>
      </c>
      <c r="N773" t="s">
        <v>33</v>
      </c>
      <c r="O773" t="s">
        <v>70</v>
      </c>
      <c r="P773" t="s">
        <v>49</v>
      </c>
    </row>
    <row r="774" spans="1:16" x14ac:dyDescent="0.25">
      <c r="A774" t="s">
        <v>1998</v>
      </c>
      <c r="B774" s="6">
        <v>44350</v>
      </c>
      <c r="C774">
        <v>9586</v>
      </c>
      <c r="D774" t="s">
        <v>1999</v>
      </c>
      <c r="E774" t="s">
        <v>18</v>
      </c>
      <c r="F774" t="s">
        <v>58</v>
      </c>
      <c r="G774">
        <v>44069.38</v>
      </c>
      <c r="H774">
        <v>24837.4</v>
      </c>
      <c r="I774" t="s">
        <v>63</v>
      </c>
      <c r="J774" t="s">
        <v>54</v>
      </c>
      <c r="K774" t="s">
        <v>32</v>
      </c>
      <c r="L774" t="s">
        <v>23</v>
      </c>
      <c r="M774">
        <v>3</v>
      </c>
      <c r="N774" t="s">
        <v>24</v>
      </c>
      <c r="O774" t="s">
        <v>25</v>
      </c>
      <c r="P774" t="s">
        <v>26</v>
      </c>
    </row>
    <row r="775" spans="1:16" x14ac:dyDescent="0.25">
      <c r="A775" t="s">
        <v>2000</v>
      </c>
      <c r="B775" s="6">
        <v>45011</v>
      </c>
      <c r="C775">
        <v>1013</v>
      </c>
      <c r="D775" t="s">
        <v>2001</v>
      </c>
      <c r="E775" t="s">
        <v>18</v>
      </c>
      <c r="F775" t="s">
        <v>47</v>
      </c>
      <c r="G775">
        <v>6907.01</v>
      </c>
      <c r="H775">
        <v>3345.85</v>
      </c>
      <c r="I775" t="s">
        <v>63</v>
      </c>
      <c r="J775" t="s">
        <v>54</v>
      </c>
      <c r="K775" t="s">
        <v>42</v>
      </c>
      <c r="L775" t="s">
        <v>55</v>
      </c>
      <c r="M775">
        <v>2</v>
      </c>
      <c r="N775" t="s">
        <v>33</v>
      </c>
      <c r="O775" t="s">
        <v>25</v>
      </c>
      <c r="P775" t="s">
        <v>26</v>
      </c>
    </row>
    <row r="776" spans="1:16" x14ac:dyDescent="0.25">
      <c r="A776" t="s">
        <v>2002</v>
      </c>
      <c r="B776" s="6">
        <v>45483</v>
      </c>
      <c r="C776">
        <v>8820</v>
      </c>
      <c r="D776" t="s">
        <v>2003</v>
      </c>
      <c r="E776" t="s">
        <v>18</v>
      </c>
      <c r="F776" t="s">
        <v>19</v>
      </c>
      <c r="G776">
        <v>10622.9</v>
      </c>
      <c r="H776">
        <v>5780.56</v>
      </c>
      <c r="I776" t="s">
        <v>20</v>
      </c>
      <c r="J776" t="s">
        <v>21</v>
      </c>
      <c r="K776" t="s">
        <v>80</v>
      </c>
      <c r="L776" t="s">
        <v>48</v>
      </c>
      <c r="M776">
        <v>2</v>
      </c>
      <c r="N776" t="s">
        <v>69</v>
      </c>
      <c r="O776" t="s">
        <v>70</v>
      </c>
      <c r="P776" t="s">
        <v>34</v>
      </c>
    </row>
    <row r="777" spans="1:16" x14ac:dyDescent="0.25">
      <c r="A777" t="s">
        <v>2004</v>
      </c>
      <c r="B777" s="6">
        <v>44630</v>
      </c>
      <c r="C777">
        <v>6359</v>
      </c>
      <c r="D777" t="s">
        <v>2006</v>
      </c>
      <c r="E777" t="s">
        <v>38</v>
      </c>
      <c r="F777" t="s">
        <v>39</v>
      </c>
      <c r="G777">
        <v>34053.11</v>
      </c>
      <c r="H777">
        <v>20298.189999999999</v>
      </c>
      <c r="I777" t="s">
        <v>20</v>
      </c>
      <c r="J777" t="s">
        <v>21</v>
      </c>
      <c r="K777" t="s">
        <v>80</v>
      </c>
      <c r="L777" t="s">
        <v>43</v>
      </c>
      <c r="M777">
        <v>4</v>
      </c>
      <c r="N777" t="s">
        <v>24</v>
      </c>
      <c r="O777" t="s">
        <v>25</v>
      </c>
      <c r="P777" t="s">
        <v>49</v>
      </c>
    </row>
    <row r="778" spans="1:16" x14ac:dyDescent="0.25">
      <c r="A778" t="s">
        <v>2007</v>
      </c>
      <c r="B778" s="6">
        <v>45383</v>
      </c>
      <c r="C778">
        <v>7047</v>
      </c>
      <c r="D778" t="s">
        <v>2008</v>
      </c>
      <c r="E778" t="s">
        <v>38</v>
      </c>
      <c r="F778" t="s">
        <v>58</v>
      </c>
      <c r="G778">
        <v>25718.11</v>
      </c>
      <c r="H778">
        <v>15807.58</v>
      </c>
      <c r="I778" t="s">
        <v>31</v>
      </c>
      <c r="J778" t="s">
        <v>21</v>
      </c>
      <c r="K778" t="s">
        <v>80</v>
      </c>
      <c r="L778" t="s">
        <v>55</v>
      </c>
      <c r="M778">
        <v>2</v>
      </c>
      <c r="N778" t="s">
        <v>33</v>
      </c>
      <c r="O778" t="s">
        <v>25</v>
      </c>
      <c r="P778" t="s">
        <v>26</v>
      </c>
    </row>
    <row r="779" spans="1:16" x14ac:dyDescent="0.25">
      <c r="A779" t="s">
        <v>2009</v>
      </c>
      <c r="B779" s="6">
        <v>45144</v>
      </c>
      <c r="C779">
        <v>5668</v>
      </c>
      <c r="D779" t="s">
        <v>2010</v>
      </c>
      <c r="E779" t="s">
        <v>38</v>
      </c>
      <c r="F779" t="s">
        <v>39</v>
      </c>
      <c r="G779">
        <v>27275.58</v>
      </c>
      <c r="H779">
        <v>16754.16</v>
      </c>
      <c r="I779" t="s">
        <v>63</v>
      </c>
      <c r="J779" t="s">
        <v>54</v>
      </c>
      <c r="K779" t="s">
        <v>22</v>
      </c>
      <c r="L779" t="s">
        <v>88</v>
      </c>
      <c r="M779">
        <v>4</v>
      </c>
      <c r="N779" t="s">
        <v>33</v>
      </c>
      <c r="O779" t="s">
        <v>25</v>
      </c>
      <c r="P779" t="s">
        <v>49</v>
      </c>
    </row>
    <row r="780" spans="1:16" x14ac:dyDescent="0.25">
      <c r="A780" t="s">
        <v>2011</v>
      </c>
      <c r="B780" s="6">
        <v>44613</v>
      </c>
      <c r="C780">
        <v>7626</v>
      </c>
      <c r="D780" t="s">
        <v>2013</v>
      </c>
      <c r="E780" t="s">
        <v>18</v>
      </c>
      <c r="F780" t="s">
        <v>47</v>
      </c>
      <c r="G780">
        <v>3383.29</v>
      </c>
      <c r="H780">
        <v>1609.59</v>
      </c>
      <c r="I780" t="s">
        <v>59</v>
      </c>
      <c r="J780" t="s">
        <v>41</v>
      </c>
      <c r="K780" t="s">
        <v>80</v>
      </c>
      <c r="L780" t="s">
        <v>48</v>
      </c>
      <c r="M780">
        <v>4</v>
      </c>
      <c r="N780" t="s">
        <v>33</v>
      </c>
      <c r="O780" t="s">
        <v>70</v>
      </c>
      <c r="P780" t="s">
        <v>49</v>
      </c>
    </row>
    <row r="781" spans="1:16" x14ac:dyDescent="0.25">
      <c r="A781" t="s">
        <v>2014</v>
      </c>
      <c r="B781" s="6">
        <v>44886</v>
      </c>
      <c r="C781">
        <v>8377</v>
      </c>
      <c r="D781" t="s">
        <v>2015</v>
      </c>
      <c r="E781" t="s">
        <v>38</v>
      </c>
      <c r="F781" t="s">
        <v>39</v>
      </c>
      <c r="G781">
        <v>39327.74</v>
      </c>
      <c r="H781">
        <v>23297.94</v>
      </c>
      <c r="I781" t="s">
        <v>63</v>
      </c>
      <c r="J781" t="s">
        <v>54</v>
      </c>
      <c r="K781" t="s">
        <v>42</v>
      </c>
      <c r="L781" t="s">
        <v>55</v>
      </c>
      <c r="M781">
        <v>2</v>
      </c>
      <c r="N781" t="s">
        <v>69</v>
      </c>
      <c r="O781" t="s">
        <v>25</v>
      </c>
      <c r="P781" t="s">
        <v>34</v>
      </c>
    </row>
    <row r="782" spans="1:16" x14ac:dyDescent="0.25">
      <c r="A782" t="s">
        <v>2016</v>
      </c>
      <c r="B782" s="6">
        <v>44924</v>
      </c>
      <c r="C782">
        <v>5224</v>
      </c>
      <c r="D782" t="s">
        <v>2018</v>
      </c>
      <c r="E782" t="s">
        <v>18</v>
      </c>
      <c r="F782" t="s">
        <v>58</v>
      </c>
      <c r="G782">
        <v>20288.37</v>
      </c>
      <c r="H782">
        <v>11623.29</v>
      </c>
      <c r="I782" t="s">
        <v>68</v>
      </c>
      <c r="J782" t="s">
        <v>41</v>
      </c>
      <c r="K782" t="s">
        <v>80</v>
      </c>
      <c r="L782" t="s">
        <v>64</v>
      </c>
      <c r="M782">
        <v>1</v>
      </c>
      <c r="N782" t="s">
        <v>24</v>
      </c>
      <c r="O782" t="s">
        <v>25</v>
      </c>
      <c r="P782" t="s">
        <v>34</v>
      </c>
    </row>
    <row r="783" spans="1:16" x14ac:dyDescent="0.25">
      <c r="A783" t="s">
        <v>2019</v>
      </c>
      <c r="B783" s="6">
        <v>45056</v>
      </c>
      <c r="C783">
        <v>6528</v>
      </c>
      <c r="D783" t="s">
        <v>1442</v>
      </c>
      <c r="E783" t="s">
        <v>38</v>
      </c>
      <c r="F783" t="s">
        <v>47</v>
      </c>
      <c r="G783">
        <v>13898.24</v>
      </c>
      <c r="H783">
        <v>6319.61</v>
      </c>
      <c r="I783" t="s">
        <v>20</v>
      </c>
      <c r="J783" t="s">
        <v>21</v>
      </c>
      <c r="K783" t="s">
        <v>42</v>
      </c>
      <c r="L783" t="s">
        <v>23</v>
      </c>
      <c r="M783">
        <v>3</v>
      </c>
      <c r="N783" t="s">
        <v>33</v>
      </c>
      <c r="O783" t="s">
        <v>25</v>
      </c>
      <c r="P783" t="s">
        <v>34</v>
      </c>
    </row>
    <row r="784" spans="1:16" x14ac:dyDescent="0.25">
      <c r="A784" t="s">
        <v>2021</v>
      </c>
      <c r="B784" s="6">
        <v>44580</v>
      </c>
      <c r="C784">
        <v>7491</v>
      </c>
      <c r="D784" t="s">
        <v>2022</v>
      </c>
      <c r="E784" t="s">
        <v>18</v>
      </c>
      <c r="F784" t="s">
        <v>30</v>
      </c>
      <c r="G784">
        <v>29750.47</v>
      </c>
      <c r="H784">
        <v>16570.919999999998</v>
      </c>
      <c r="I784" t="s">
        <v>63</v>
      </c>
      <c r="J784" t="s">
        <v>54</v>
      </c>
      <c r="K784" t="s">
        <v>32</v>
      </c>
      <c r="L784" t="s">
        <v>48</v>
      </c>
      <c r="M784">
        <v>2</v>
      </c>
      <c r="N784" t="s">
        <v>24</v>
      </c>
      <c r="O784" t="s">
        <v>25</v>
      </c>
      <c r="P784" t="s">
        <v>34</v>
      </c>
    </row>
    <row r="785" spans="1:16" x14ac:dyDescent="0.25">
      <c r="A785" t="s">
        <v>2023</v>
      </c>
      <c r="B785" s="6">
        <v>44465</v>
      </c>
      <c r="C785">
        <v>8510</v>
      </c>
      <c r="D785" t="s">
        <v>2025</v>
      </c>
      <c r="E785" t="s">
        <v>18</v>
      </c>
      <c r="F785" t="s">
        <v>19</v>
      </c>
      <c r="G785">
        <v>4701.97</v>
      </c>
      <c r="H785">
        <v>2466.46</v>
      </c>
      <c r="I785" t="s">
        <v>53</v>
      </c>
      <c r="J785" t="s">
        <v>54</v>
      </c>
      <c r="K785" t="s">
        <v>32</v>
      </c>
      <c r="L785" t="s">
        <v>43</v>
      </c>
      <c r="M785">
        <v>1</v>
      </c>
      <c r="N785" t="s">
        <v>33</v>
      </c>
      <c r="O785" t="s">
        <v>70</v>
      </c>
      <c r="P785" t="s">
        <v>26</v>
      </c>
    </row>
    <row r="786" spans="1:16" x14ac:dyDescent="0.25">
      <c r="A786" t="s">
        <v>2026</v>
      </c>
      <c r="B786" s="6">
        <v>44573</v>
      </c>
      <c r="C786">
        <v>5208</v>
      </c>
      <c r="D786" t="s">
        <v>2028</v>
      </c>
      <c r="E786" t="s">
        <v>18</v>
      </c>
      <c r="F786" t="s">
        <v>19</v>
      </c>
      <c r="G786">
        <v>18761.25</v>
      </c>
      <c r="H786">
        <v>10068.92</v>
      </c>
      <c r="I786" t="s">
        <v>84</v>
      </c>
      <c r="J786" t="s">
        <v>54</v>
      </c>
      <c r="K786" t="s">
        <v>22</v>
      </c>
      <c r="L786" t="s">
        <v>23</v>
      </c>
      <c r="M786">
        <v>5</v>
      </c>
      <c r="N786" t="s">
        <v>33</v>
      </c>
      <c r="O786" t="s">
        <v>25</v>
      </c>
      <c r="P786" t="s">
        <v>49</v>
      </c>
    </row>
    <row r="787" spans="1:16" x14ac:dyDescent="0.25">
      <c r="A787" t="s">
        <v>2029</v>
      </c>
      <c r="B787" s="6">
        <v>44124</v>
      </c>
      <c r="C787">
        <v>4525</v>
      </c>
      <c r="D787" t="s">
        <v>2031</v>
      </c>
      <c r="E787" t="s">
        <v>38</v>
      </c>
      <c r="F787" t="s">
        <v>19</v>
      </c>
      <c r="G787">
        <v>5613.31</v>
      </c>
      <c r="H787">
        <v>3299.35</v>
      </c>
      <c r="I787" t="s">
        <v>20</v>
      </c>
      <c r="J787" t="s">
        <v>21</v>
      </c>
      <c r="K787" t="s">
        <v>32</v>
      </c>
      <c r="L787" t="s">
        <v>88</v>
      </c>
      <c r="M787">
        <v>5</v>
      </c>
      <c r="N787" t="s">
        <v>24</v>
      </c>
      <c r="O787" t="s">
        <v>70</v>
      </c>
      <c r="P787" t="s">
        <v>26</v>
      </c>
    </row>
    <row r="788" spans="1:16" x14ac:dyDescent="0.25">
      <c r="A788" t="s">
        <v>2032</v>
      </c>
      <c r="B788" s="6">
        <v>44409</v>
      </c>
      <c r="C788">
        <v>3126</v>
      </c>
      <c r="D788" t="s">
        <v>2034</v>
      </c>
      <c r="E788" t="s">
        <v>38</v>
      </c>
      <c r="F788" t="s">
        <v>58</v>
      </c>
      <c r="G788">
        <v>15198.83</v>
      </c>
      <c r="H788">
        <v>8660.5300000000007</v>
      </c>
      <c r="I788" t="s">
        <v>120</v>
      </c>
      <c r="J788" t="s">
        <v>21</v>
      </c>
      <c r="K788" t="s">
        <v>42</v>
      </c>
      <c r="L788" t="s">
        <v>55</v>
      </c>
      <c r="M788">
        <v>2</v>
      </c>
      <c r="N788" t="s">
        <v>33</v>
      </c>
      <c r="O788" t="s">
        <v>70</v>
      </c>
      <c r="P788" t="s">
        <v>26</v>
      </c>
    </row>
    <row r="789" spans="1:16" x14ac:dyDescent="0.25">
      <c r="A789" t="s">
        <v>2035</v>
      </c>
      <c r="B789" s="6">
        <v>45162</v>
      </c>
      <c r="C789">
        <v>7893</v>
      </c>
      <c r="D789" t="s">
        <v>2037</v>
      </c>
      <c r="E789" t="s">
        <v>38</v>
      </c>
      <c r="F789" t="s">
        <v>19</v>
      </c>
      <c r="G789">
        <v>15664.57</v>
      </c>
      <c r="H789">
        <v>8539.08</v>
      </c>
      <c r="I789" t="s">
        <v>53</v>
      </c>
      <c r="J789" t="s">
        <v>54</v>
      </c>
      <c r="K789" t="s">
        <v>22</v>
      </c>
      <c r="L789" t="s">
        <v>88</v>
      </c>
      <c r="M789">
        <v>3</v>
      </c>
      <c r="N789" t="s">
        <v>33</v>
      </c>
      <c r="O789" t="s">
        <v>70</v>
      </c>
      <c r="P789" t="s">
        <v>26</v>
      </c>
    </row>
    <row r="790" spans="1:16" x14ac:dyDescent="0.25">
      <c r="A790" t="s">
        <v>2038</v>
      </c>
      <c r="B790" s="6">
        <v>45014</v>
      </c>
      <c r="C790">
        <v>7390</v>
      </c>
      <c r="D790" t="s">
        <v>2040</v>
      </c>
      <c r="E790" t="s">
        <v>38</v>
      </c>
      <c r="F790" t="s">
        <v>30</v>
      </c>
      <c r="G790">
        <v>47626.66</v>
      </c>
      <c r="H790">
        <v>27725.37</v>
      </c>
      <c r="I790" t="s">
        <v>31</v>
      </c>
      <c r="J790" t="s">
        <v>21</v>
      </c>
      <c r="K790" t="s">
        <v>22</v>
      </c>
      <c r="L790" t="s">
        <v>48</v>
      </c>
      <c r="M790">
        <v>4</v>
      </c>
      <c r="N790" t="s">
        <v>24</v>
      </c>
      <c r="O790" t="s">
        <v>25</v>
      </c>
      <c r="P790" t="s">
        <v>26</v>
      </c>
    </row>
    <row r="791" spans="1:16" x14ac:dyDescent="0.25">
      <c r="A791" t="s">
        <v>2041</v>
      </c>
      <c r="B791" s="6">
        <v>44723</v>
      </c>
      <c r="C791">
        <v>8657</v>
      </c>
      <c r="D791" t="s">
        <v>2042</v>
      </c>
      <c r="E791" t="s">
        <v>18</v>
      </c>
      <c r="F791" t="s">
        <v>39</v>
      </c>
      <c r="G791">
        <v>12144.72</v>
      </c>
      <c r="H791">
        <v>6885.9</v>
      </c>
      <c r="I791" t="s">
        <v>31</v>
      </c>
      <c r="J791" t="s">
        <v>21</v>
      </c>
      <c r="K791" t="s">
        <v>42</v>
      </c>
      <c r="L791" t="s">
        <v>43</v>
      </c>
      <c r="M791">
        <v>4</v>
      </c>
      <c r="N791" t="s">
        <v>33</v>
      </c>
      <c r="O791" t="s">
        <v>70</v>
      </c>
      <c r="P791" t="s">
        <v>34</v>
      </c>
    </row>
    <row r="792" spans="1:16" x14ac:dyDescent="0.25">
      <c r="A792" t="s">
        <v>2043</v>
      </c>
      <c r="B792" s="6">
        <v>44837</v>
      </c>
      <c r="C792">
        <v>7200</v>
      </c>
      <c r="D792" t="s">
        <v>2044</v>
      </c>
      <c r="E792" t="s">
        <v>18</v>
      </c>
      <c r="F792" t="s">
        <v>47</v>
      </c>
      <c r="G792">
        <v>3712.25</v>
      </c>
      <c r="H792">
        <v>1832.59</v>
      </c>
      <c r="I792" t="s">
        <v>120</v>
      </c>
      <c r="J792" t="s">
        <v>21</v>
      </c>
      <c r="K792" t="s">
        <v>22</v>
      </c>
      <c r="L792" t="s">
        <v>43</v>
      </c>
      <c r="M792">
        <v>3</v>
      </c>
      <c r="N792" t="s">
        <v>33</v>
      </c>
      <c r="O792" t="s">
        <v>25</v>
      </c>
      <c r="P792" t="s">
        <v>49</v>
      </c>
    </row>
    <row r="793" spans="1:16" x14ac:dyDescent="0.25">
      <c r="A793" t="s">
        <v>2045</v>
      </c>
      <c r="B793" s="6">
        <v>45506</v>
      </c>
      <c r="C793">
        <v>5569</v>
      </c>
      <c r="D793" t="s">
        <v>2046</v>
      </c>
      <c r="E793" t="s">
        <v>38</v>
      </c>
      <c r="F793" t="s">
        <v>39</v>
      </c>
      <c r="G793">
        <v>30399.83</v>
      </c>
      <c r="H793">
        <v>17511.98</v>
      </c>
      <c r="I793" t="s">
        <v>40</v>
      </c>
      <c r="J793" t="s">
        <v>41</v>
      </c>
      <c r="K793" t="s">
        <v>42</v>
      </c>
      <c r="L793" t="s">
        <v>43</v>
      </c>
      <c r="M793">
        <v>5</v>
      </c>
      <c r="N793" t="s">
        <v>24</v>
      </c>
      <c r="O793" t="s">
        <v>25</v>
      </c>
      <c r="P793" t="s">
        <v>34</v>
      </c>
    </row>
    <row r="794" spans="1:16" x14ac:dyDescent="0.25">
      <c r="A794" t="s">
        <v>2047</v>
      </c>
      <c r="B794" s="6">
        <v>45372</v>
      </c>
      <c r="C794">
        <v>7554</v>
      </c>
      <c r="D794" t="s">
        <v>2048</v>
      </c>
      <c r="E794" t="s">
        <v>38</v>
      </c>
      <c r="F794" t="s">
        <v>39</v>
      </c>
      <c r="G794">
        <v>8887.67</v>
      </c>
      <c r="H794">
        <v>5474.57</v>
      </c>
      <c r="I794" t="s">
        <v>120</v>
      </c>
      <c r="J794" t="s">
        <v>21</v>
      </c>
      <c r="K794" t="s">
        <v>80</v>
      </c>
      <c r="L794" t="s">
        <v>48</v>
      </c>
      <c r="M794">
        <v>2</v>
      </c>
      <c r="N794" t="s">
        <v>24</v>
      </c>
      <c r="O794" t="s">
        <v>25</v>
      </c>
      <c r="P794" t="s">
        <v>49</v>
      </c>
    </row>
    <row r="795" spans="1:16" x14ac:dyDescent="0.25">
      <c r="A795" t="s">
        <v>2049</v>
      </c>
      <c r="B795" s="6">
        <v>45243</v>
      </c>
      <c r="C795">
        <v>3270</v>
      </c>
      <c r="D795" t="s">
        <v>2051</v>
      </c>
      <c r="E795" t="s">
        <v>18</v>
      </c>
      <c r="F795" t="s">
        <v>39</v>
      </c>
      <c r="G795">
        <v>30803.61</v>
      </c>
      <c r="H795">
        <v>18372.18</v>
      </c>
      <c r="I795" t="s">
        <v>120</v>
      </c>
      <c r="J795" t="s">
        <v>21</v>
      </c>
      <c r="K795" t="s">
        <v>22</v>
      </c>
      <c r="L795" t="s">
        <v>88</v>
      </c>
      <c r="M795">
        <v>5</v>
      </c>
      <c r="N795" t="s">
        <v>33</v>
      </c>
      <c r="O795" t="s">
        <v>25</v>
      </c>
      <c r="P795" t="s">
        <v>34</v>
      </c>
    </row>
    <row r="796" spans="1:16" x14ac:dyDescent="0.25">
      <c r="A796" t="s">
        <v>2052</v>
      </c>
      <c r="B796" s="6">
        <v>45261</v>
      </c>
      <c r="C796">
        <v>9377</v>
      </c>
      <c r="D796" t="s">
        <v>2054</v>
      </c>
      <c r="E796" t="s">
        <v>18</v>
      </c>
      <c r="F796" t="s">
        <v>58</v>
      </c>
      <c r="G796">
        <v>45380.65</v>
      </c>
      <c r="H796">
        <v>21885.99</v>
      </c>
      <c r="I796" t="s">
        <v>120</v>
      </c>
      <c r="J796" t="s">
        <v>21</v>
      </c>
      <c r="K796" t="s">
        <v>42</v>
      </c>
      <c r="L796" t="s">
        <v>48</v>
      </c>
      <c r="M796">
        <v>2</v>
      </c>
      <c r="N796" t="s">
        <v>33</v>
      </c>
      <c r="O796" t="s">
        <v>70</v>
      </c>
      <c r="P796" t="s">
        <v>26</v>
      </c>
    </row>
    <row r="797" spans="1:16" x14ac:dyDescent="0.25">
      <c r="A797" t="s">
        <v>2055</v>
      </c>
      <c r="B797" s="6">
        <v>44126</v>
      </c>
      <c r="C797">
        <v>8523</v>
      </c>
      <c r="D797" t="s">
        <v>2056</v>
      </c>
      <c r="E797" t="s">
        <v>18</v>
      </c>
      <c r="F797" t="s">
        <v>58</v>
      </c>
      <c r="G797">
        <v>29966.25</v>
      </c>
      <c r="H797">
        <v>16143.74</v>
      </c>
      <c r="I797" t="s">
        <v>53</v>
      </c>
      <c r="J797" t="s">
        <v>54</v>
      </c>
      <c r="K797" t="s">
        <v>32</v>
      </c>
      <c r="L797" t="s">
        <v>23</v>
      </c>
      <c r="M797">
        <v>4</v>
      </c>
      <c r="N797" t="s">
        <v>24</v>
      </c>
      <c r="O797" t="s">
        <v>25</v>
      </c>
      <c r="P797" t="s">
        <v>49</v>
      </c>
    </row>
    <row r="798" spans="1:16" x14ac:dyDescent="0.25">
      <c r="A798" t="s">
        <v>2057</v>
      </c>
      <c r="B798" s="6">
        <v>45327</v>
      </c>
      <c r="C798">
        <v>1529</v>
      </c>
      <c r="D798" t="s">
        <v>2058</v>
      </c>
      <c r="E798" t="s">
        <v>38</v>
      </c>
      <c r="F798" t="s">
        <v>39</v>
      </c>
      <c r="G798">
        <v>33387.25</v>
      </c>
      <c r="H798">
        <v>21671.89</v>
      </c>
      <c r="I798" t="s">
        <v>68</v>
      </c>
      <c r="J798" t="s">
        <v>41</v>
      </c>
      <c r="K798" t="s">
        <v>80</v>
      </c>
      <c r="L798" t="s">
        <v>55</v>
      </c>
      <c r="M798">
        <v>4</v>
      </c>
      <c r="N798" t="s">
        <v>69</v>
      </c>
      <c r="O798" t="s">
        <v>70</v>
      </c>
      <c r="P798" t="s">
        <v>49</v>
      </c>
    </row>
    <row r="799" spans="1:16" x14ac:dyDescent="0.25">
      <c r="A799" t="s">
        <v>2059</v>
      </c>
      <c r="B799" s="6">
        <v>44939</v>
      </c>
      <c r="C799">
        <v>8877</v>
      </c>
      <c r="D799" t="s">
        <v>2061</v>
      </c>
      <c r="E799" t="s">
        <v>18</v>
      </c>
      <c r="F799" t="s">
        <v>19</v>
      </c>
      <c r="G799">
        <v>10692.19</v>
      </c>
      <c r="H799">
        <v>5663.43</v>
      </c>
      <c r="I799" t="s">
        <v>84</v>
      </c>
      <c r="J799" t="s">
        <v>54</v>
      </c>
      <c r="K799" t="s">
        <v>22</v>
      </c>
      <c r="L799" t="s">
        <v>88</v>
      </c>
      <c r="M799">
        <v>4</v>
      </c>
      <c r="N799" t="s">
        <v>24</v>
      </c>
      <c r="O799" t="s">
        <v>25</v>
      </c>
      <c r="P799" t="s">
        <v>49</v>
      </c>
    </row>
    <row r="800" spans="1:16" x14ac:dyDescent="0.25">
      <c r="A800" t="s">
        <v>2062</v>
      </c>
      <c r="B800" s="6">
        <v>45588</v>
      </c>
      <c r="C800">
        <v>3768</v>
      </c>
      <c r="D800" t="s">
        <v>2064</v>
      </c>
      <c r="E800" t="s">
        <v>38</v>
      </c>
      <c r="F800" t="s">
        <v>58</v>
      </c>
      <c r="G800">
        <v>34915.56</v>
      </c>
      <c r="H800">
        <v>18085.11</v>
      </c>
      <c r="I800" t="s">
        <v>63</v>
      </c>
      <c r="J800" t="s">
        <v>54</v>
      </c>
      <c r="K800" t="s">
        <v>32</v>
      </c>
      <c r="L800" t="s">
        <v>64</v>
      </c>
      <c r="M800">
        <v>2</v>
      </c>
      <c r="N800" t="s">
        <v>33</v>
      </c>
      <c r="O800" t="s">
        <v>25</v>
      </c>
      <c r="P800" t="s">
        <v>49</v>
      </c>
    </row>
    <row r="801" spans="1:16" x14ac:dyDescent="0.25">
      <c r="A801" t="s">
        <v>2065</v>
      </c>
      <c r="B801" s="6">
        <v>44330</v>
      </c>
      <c r="C801">
        <v>5838</v>
      </c>
      <c r="D801" t="s">
        <v>2067</v>
      </c>
      <c r="E801" t="s">
        <v>38</v>
      </c>
      <c r="F801" t="s">
        <v>30</v>
      </c>
      <c r="G801">
        <v>36861.03</v>
      </c>
      <c r="H801">
        <v>19907.73</v>
      </c>
      <c r="I801" t="s">
        <v>84</v>
      </c>
      <c r="J801" t="s">
        <v>54</v>
      </c>
      <c r="K801" t="s">
        <v>42</v>
      </c>
      <c r="L801" t="s">
        <v>43</v>
      </c>
      <c r="M801">
        <v>3</v>
      </c>
      <c r="N801" t="s">
        <v>24</v>
      </c>
      <c r="O801" t="s">
        <v>70</v>
      </c>
      <c r="P801" t="s">
        <v>26</v>
      </c>
    </row>
    <row r="802" spans="1:16" x14ac:dyDescent="0.25">
      <c r="A802" t="s">
        <v>2068</v>
      </c>
      <c r="B802" s="6">
        <v>44747</v>
      </c>
      <c r="C802">
        <v>6024</v>
      </c>
      <c r="D802" t="s">
        <v>1940</v>
      </c>
      <c r="E802" t="s">
        <v>18</v>
      </c>
      <c r="F802" t="s">
        <v>39</v>
      </c>
      <c r="G802">
        <v>25732.12</v>
      </c>
      <c r="H802">
        <v>13147.78</v>
      </c>
      <c r="I802" t="s">
        <v>20</v>
      </c>
      <c r="J802" t="s">
        <v>21</v>
      </c>
      <c r="K802" t="s">
        <v>80</v>
      </c>
      <c r="L802" t="s">
        <v>48</v>
      </c>
      <c r="M802">
        <v>3</v>
      </c>
      <c r="N802" t="s">
        <v>33</v>
      </c>
      <c r="O802" t="s">
        <v>70</v>
      </c>
      <c r="P802" t="s">
        <v>26</v>
      </c>
    </row>
    <row r="803" spans="1:16" x14ac:dyDescent="0.25">
      <c r="A803" t="s">
        <v>2070</v>
      </c>
      <c r="B803" s="6">
        <v>44678</v>
      </c>
      <c r="C803">
        <v>4467</v>
      </c>
      <c r="D803" t="s">
        <v>2072</v>
      </c>
      <c r="E803" t="s">
        <v>38</v>
      </c>
      <c r="F803" t="s">
        <v>47</v>
      </c>
      <c r="G803">
        <v>5225.45</v>
      </c>
      <c r="H803">
        <v>2364.06</v>
      </c>
      <c r="I803" t="s">
        <v>53</v>
      </c>
      <c r="J803" t="s">
        <v>54</v>
      </c>
      <c r="K803" t="s">
        <v>42</v>
      </c>
      <c r="L803" t="s">
        <v>48</v>
      </c>
      <c r="M803">
        <v>5</v>
      </c>
      <c r="N803" t="s">
        <v>24</v>
      </c>
      <c r="O803" t="s">
        <v>70</v>
      </c>
      <c r="P803" t="s">
        <v>34</v>
      </c>
    </row>
    <row r="804" spans="1:16" x14ac:dyDescent="0.25">
      <c r="A804" t="s">
        <v>2073</v>
      </c>
      <c r="B804" s="6">
        <v>45227</v>
      </c>
      <c r="C804">
        <v>6149</v>
      </c>
      <c r="D804" t="s">
        <v>2075</v>
      </c>
      <c r="E804" t="s">
        <v>38</v>
      </c>
      <c r="F804" t="s">
        <v>47</v>
      </c>
      <c r="G804">
        <v>8308.44</v>
      </c>
      <c r="H804">
        <v>5277.66</v>
      </c>
      <c r="I804" t="s">
        <v>20</v>
      </c>
      <c r="J804" t="s">
        <v>21</v>
      </c>
      <c r="K804" t="s">
        <v>32</v>
      </c>
      <c r="L804" t="s">
        <v>43</v>
      </c>
      <c r="M804">
        <v>4</v>
      </c>
      <c r="N804" t="s">
        <v>33</v>
      </c>
      <c r="O804" t="s">
        <v>70</v>
      </c>
      <c r="P804" t="s">
        <v>26</v>
      </c>
    </row>
    <row r="805" spans="1:16" x14ac:dyDescent="0.25">
      <c r="A805" t="s">
        <v>2076</v>
      </c>
      <c r="B805" s="6">
        <v>44676</v>
      </c>
      <c r="C805">
        <v>5559</v>
      </c>
      <c r="D805" t="s">
        <v>2078</v>
      </c>
      <c r="E805" t="s">
        <v>18</v>
      </c>
      <c r="F805" t="s">
        <v>39</v>
      </c>
      <c r="G805">
        <v>28449.89</v>
      </c>
      <c r="H805">
        <v>14830.94</v>
      </c>
      <c r="I805" t="s">
        <v>20</v>
      </c>
      <c r="J805" t="s">
        <v>21</v>
      </c>
      <c r="K805" t="s">
        <v>80</v>
      </c>
      <c r="L805" t="s">
        <v>43</v>
      </c>
      <c r="M805">
        <v>1</v>
      </c>
      <c r="N805" t="s">
        <v>69</v>
      </c>
      <c r="O805" t="s">
        <v>70</v>
      </c>
      <c r="P805" t="s">
        <v>49</v>
      </c>
    </row>
    <row r="806" spans="1:16" x14ac:dyDescent="0.25">
      <c r="A806" t="s">
        <v>2079</v>
      </c>
      <c r="B806" s="6">
        <v>45131</v>
      </c>
      <c r="C806">
        <v>2619</v>
      </c>
      <c r="D806" t="s">
        <v>2080</v>
      </c>
      <c r="E806" t="s">
        <v>38</v>
      </c>
      <c r="F806" t="s">
        <v>58</v>
      </c>
      <c r="G806">
        <v>23092.93</v>
      </c>
      <c r="H806">
        <v>11645.64</v>
      </c>
      <c r="I806" t="s">
        <v>40</v>
      </c>
      <c r="J806" t="s">
        <v>41</v>
      </c>
      <c r="K806" t="s">
        <v>22</v>
      </c>
      <c r="L806" t="s">
        <v>55</v>
      </c>
      <c r="M806">
        <v>4</v>
      </c>
      <c r="N806" t="s">
        <v>24</v>
      </c>
      <c r="O806" t="s">
        <v>25</v>
      </c>
      <c r="P806" t="s">
        <v>34</v>
      </c>
    </row>
    <row r="807" spans="1:16" x14ac:dyDescent="0.25">
      <c r="A807" t="s">
        <v>2081</v>
      </c>
      <c r="B807" s="6">
        <v>45052</v>
      </c>
      <c r="C807">
        <v>8472</v>
      </c>
      <c r="D807" t="s">
        <v>2083</v>
      </c>
      <c r="E807" t="s">
        <v>18</v>
      </c>
      <c r="F807" t="s">
        <v>19</v>
      </c>
      <c r="G807">
        <v>4695.88</v>
      </c>
      <c r="H807">
        <v>2685.23</v>
      </c>
      <c r="I807" t="s">
        <v>20</v>
      </c>
      <c r="J807" t="s">
        <v>21</v>
      </c>
      <c r="K807" t="s">
        <v>42</v>
      </c>
      <c r="L807" t="s">
        <v>55</v>
      </c>
      <c r="M807">
        <v>2</v>
      </c>
      <c r="N807" t="s">
        <v>24</v>
      </c>
      <c r="O807" t="s">
        <v>70</v>
      </c>
      <c r="P807" t="s">
        <v>26</v>
      </c>
    </row>
    <row r="808" spans="1:16" x14ac:dyDescent="0.25">
      <c r="A808" t="s">
        <v>2084</v>
      </c>
      <c r="B808" s="6">
        <v>44494</v>
      </c>
      <c r="C808">
        <v>8606</v>
      </c>
      <c r="D808" t="s">
        <v>2086</v>
      </c>
      <c r="E808" t="s">
        <v>18</v>
      </c>
      <c r="F808" t="s">
        <v>58</v>
      </c>
      <c r="G808">
        <v>23686.560000000001</v>
      </c>
      <c r="H808">
        <v>14360.75</v>
      </c>
      <c r="I808" t="s">
        <v>20</v>
      </c>
      <c r="J808" t="s">
        <v>21</v>
      </c>
      <c r="K808" t="s">
        <v>42</v>
      </c>
      <c r="L808" t="s">
        <v>48</v>
      </c>
      <c r="M808">
        <v>1</v>
      </c>
      <c r="N808" t="s">
        <v>33</v>
      </c>
      <c r="O808" t="s">
        <v>25</v>
      </c>
      <c r="P808" t="s">
        <v>26</v>
      </c>
    </row>
    <row r="809" spans="1:16" x14ac:dyDescent="0.25">
      <c r="A809" t="s">
        <v>2087</v>
      </c>
      <c r="B809" s="6">
        <v>44446</v>
      </c>
      <c r="C809">
        <v>1157</v>
      </c>
      <c r="D809" t="s">
        <v>2089</v>
      </c>
      <c r="E809" t="s">
        <v>38</v>
      </c>
      <c r="F809" t="s">
        <v>30</v>
      </c>
      <c r="G809">
        <v>63633.68</v>
      </c>
      <c r="H809">
        <v>30054.49</v>
      </c>
      <c r="I809" t="s">
        <v>20</v>
      </c>
      <c r="J809" t="s">
        <v>21</v>
      </c>
      <c r="K809" t="s">
        <v>80</v>
      </c>
      <c r="L809" t="s">
        <v>48</v>
      </c>
      <c r="M809">
        <v>2</v>
      </c>
      <c r="N809" t="s">
        <v>24</v>
      </c>
      <c r="O809" t="s">
        <v>70</v>
      </c>
      <c r="P809" t="s">
        <v>34</v>
      </c>
    </row>
    <row r="810" spans="1:16" x14ac:dyDescent="0.25">
      <c r="A810" t="s">
        <v>2090</v>
      </c>
      <c r="B810" s="6">
        <v>45179</v>
      </c>
      <c r="C810">
        <v>3892</v>
      </c>
      <c r="D810" t="s">
        <v>2091</v>
      </c>
      <c r="E810" t="s">
        <v>38</v>
      </c>
      <c r="F810" t="s">
        <v>19</v>
      </c>
      <c r="G810">
        <v>9363.08</v>
      </c>
      <c r="H810">
        <v>5176.29</v>
      </c>
      <c r="I810" t="s">
        <v>59</v>
      </c>
      <c r="J810" t="s">
        <v>41</v>
      </c>
      <c r="K810" t="s">
        <v>42</v>
      </c>
      <c r="L810" t="s">
        <v>88</v>
      </c>
      <c r="M810">
        <v>5</v>
      </c>
      <c r="N810" t="s">
        <v>33</v>
      </c>
      <c r="O810" t="s">
        <v>25</v>
      </c>
      <c r="P810" t="s">
        <v>49</v>
      </c>
    </row>
    <row r="811" spans="1:16" x14ac:dyDescent="0.25">
      <c r="A811" t="s">
        <v>2092</v>
      </c>
      <c r="B811" s="6">
        <v>45385</v>
      </c>
      <c r="C811">
        <v>1106</v>
      </c>
      <c r="D811" t="s">
        <v>2094</v>
      </c>
      <c r="E811" t="s">
        <v>38</v>
      </c>
      <c r="F811" t="s">
        <v>30</v>
      </c>
      <c r="G811">
        <v>96519.76</v>
      </c>
      <c r="H811">
        <v>53270.18</v>
      </c>
      <c r="I811" t="s">
        <v>31</v>
      </c>
      <c r="J811" t="s">
        <v>21</v>
      </c>
      <c r="K811" t="s">
        <v>80</v>
      </c>
      <c r="L811" t="s">
        <v>23</v>
      </c>
      <c r="M811">
        <v>2</v>
      </c>
      <c r="N811" t="s">
        <v>33</v>
      </c>
      <c r="O811" t="s">
        <v>25</v>
      </c>
      <c r="P811" t="s">
        <v>34</v>
      </c>
    </row>
    <row r="812" spans="1:16" x14ac:dyDescent="0.25">
      <c r="A812" t="s">
        <v>2095</v>
      </c>
      <c r="B812" s="6">
        <v>45020</v>
      </c>
      <c r="C812">
        <v>2781</v>
      </c>
      <c r="D812" t="s">
        <v>981</v>
      </c>
      <c r="E812" t="s">
        <v>18</v>
      </c>
      <c r="F812" t="s">
        <v>39</v>
      </c>
      <c r="G812">
        <v>19369.88</v>
      </c>
      <c r="H812">
        <v>10660.33</v>
      </c>
      <c r="I812" t="s">
        <v>53</v>
      </c>
      <c r="J812" t="s">
        <v>54</v>
      </c>
      <c r="K812" t="s">
        <v>42</v>
      </c>
      <c r="L812" t="s">
        <v>43</v>
      </c>
      <c r="M812">
        <v>4</v>
      </c>
      <c r="N812" t="s">
        <v>33</v>
      </c>
      <c r="O812" t="s">
        <v>25</v>
      </c>
      <c r="P812" t="s">
        <v>49</v>
      </c>
    </row>
    <row r="813" spans="1:16" x14ac:dyDescent="0.25">
      <c r="A813" t="s">
        <v>2097</v>
      </c>
      <c r="B813" s="6">
        <v>44399</v>
      </c>
      <c r="C813">
        <v>3587</v>
      </c>
      <c r="D813" t="s">
        <v>2098</v>
      </c>
      <c r="E813" t="s">
        <v>18</v>
      </c>
      <c r="F813" t="s">
        <v>58</v>
      </c>
      <c r="G813">
        <v>20451.21</v>
      </c>
      <c r="H813">
        <v>11315.52</v>
      </c>
      <c r="I813" t="s">
        <v>84</v>
      </c>
      <c r="J813" t="s">
        <v>54</v>
      </c>
      <c r="K813" t="s">
        <v>80</v>
      </c>
      <c r="L813" t="s">
        <v>48</v>
      </c>
      <c r="M813">
        <v>5</v>
      </c>
      <c r="N813" t="s">
        <v>24</v>
      </c>
      <c r="O813" t="s">
        <v>70</v>
      </c>
      <c r="P813" t="s">
        <v>34</v>
      </c>
    </row>
    <row r="814" spans="1:16" x14ac:dyDescent="0.25">
      <c r="A814" t="s">
        <v>2099</v>
      </c>
      <c r="B814" s="6">
        <v>45447</v>
      </c>
      <c r="C814">
        <v>3375</v>
      </c>
      <c r="D814" t="s">
        <v>2100</v>
      </c>
      <c r="E814" t="s">
        <v>38</v>
      </c>
      <c r="F814" t="s">
        <v>30</v>
      </c>
      <c r="G814">
        <v>54542.58</v>
      </c>
      <c r="H814">
        <v>28405.05</v>
      </c>
      <c r="I814" t="s">
        <v>53</v>
      </c>
      <c r="J814" t="s">
        <v>54</v>
      </c>
      <c r="K814" t="s">
        <v>42</v>
      </c>
      <c r="L814" t="s">
        <v>64</v>
      </c>
      <c r="M814">
        <v>3</v>
      </c>
      <c r="N814" t="s">
        <v>33</v>
      </c>
      <c r="O814" t="s">
        <v>25</v>
      </c>
      <c r="P814" t="s">
        <v>34</v>
      </c>
    </row>
    <row r="815" spans="1:16" x14ac:dyDescent="0.25">
      <c r="A815" t="s">
        <v>2101</v>
      </c>
      <c r="B815" s="6">
        <v>44892</v>
      </c>
      <c r="C815">
        <v>8485</v>
      </c>
      <c r="D815" t="s">
        <v>2103</v>
      </c>
      <c r="E815" t="s">
        <v>38</v>
      </c>
      <c r="F815" t="s">
        <v>58</v>
      </c>
      <c r="G815">
        <v>10464.9</v>
      </c>
      <c r="H815">
        <v>6183.37</v>
      </c>
      <c r="I815" t="s">
        <v>53</v>
      </c>
      <c r="J815" t="s">
        <v>54</v>
      </c>
      <c r="K815" t="s">
        <v>32</v>
      </c>
      <c r="L815" t="s">
        <v>48</v>
      </c>
      <c r="M815">
        <v>3</v>
      </c>
      <c r="N815" t="s">
        <v>33</v>
      </c>
      <c r="O815" t="s">
        <v>25</v>
      </c>
      <c r="P815" t="s">
        <v>34</v>
      </c>
    </row>
    <row r="816" spans="1:16" x14ac:dyDescent="0.25">
      <c r="A816" t="s">
        <v>2104</v>
      </c>
      <c r="B816" s="6">
        <v>45029</v>
      </c>
      <c r="C816">
        <v>9240</v>
      </c>
      <c r="D816" t="s">
        <v>2105</v>
      </c>
      <c r="E816" t="s">
        <v>38</v>
      </c>
      <c r="F816" t="s">
        <v>39</v>
      </c>
      <c r="G816">
        <v>48660.61</v>
      </c>
      <c r="H816">
        <v>22937</v>
      </c>
      <c r="I816" t="s">
        <v>53</v>
      </c>
      <c r="J816" t="s">
        <v>54</v>
      </c>
      <c r="K816" t="s">
        <v>32</v>
      </c>
      <c r="L816" t="s">
        <v>23</v>
      </c>
      <c r="M816">
        <v>3</v>
      </c>
      <c r="N816" t="s">
        <v>24</v>
      </c>
      <c r="O816" t="s">
        <v>70</v>
      </c>
      <c r="P816" t="s">
        <v>49</v>
      </c>
    </row>
    <row r="817" spans="1:16" x14ac:dyDescent="0.25">
      <c r="A817" t="s">
        <v>2106</v>
      </c>
      <c r="B817" s="6">
        <v>44923</v>
      </c>
      <c r="C817">
        <v>5093</v>
      </c>
      <c r="D817" t="s">
        <v>2107</v>
      </c>
      <c r="E817" t="s">
        <v>38</v>
      </c>
      <c r="F817" t="s">
        <v>19</v>
      </c>
      <c r="G817">
        <v>17810.47</v>
      </c>
      <c r="H817">
        <v>10102.51</v>
      </c>
      <c r="I817" t="s">
        <v>20</v>
      </c>
      <c r="J817" t="s">
        <v>21</v>
      </c>
      <c r="K817" t="s">
        <v>22</v>
      </c>
      <c r="L817" t="s">
        <v>55</v>
      </c>
      <c r="M817">
        <v>1</v>
      </c>
      <c r="N817" t="s">
        <v>24</v>
      </c>
      <c r="O817" t="s">
        <v>25</v>
      </c>
      <c r="P817" t="s">
        <v>34</v>
      </c>
    </row>
    <row r="818" spans="1:16" x14ac:dyDescent="0.25">
      <c r="A818" t="s">
        <v>2108</v>
      </c>
      <c r="B818" s="6">
        <v>44234</v>
      </c>
      <c r="C818">
        <v>7779</v>
      </c>
      <c r="D818" t="s">
        <v>2109</v>
      </c>
      <c r="E818" t="s">
        <v>18</v>
      </c>
      <c r="F818" t="s">
        <v>58</v>
      </c>
      <c r="G818">
        <v>41142.9</v>
      </c>
      <c r="H818">
        <v>23367.59</v>
      </c>
      <c r="I818" t="s">
        <v>53</v>
      </c>
      <c r="J818" t="s">
        <v>54</v>
      </c>
      <c r="K818" t="s">
        <v>32</v>
      </c>
      <c r="L818" t="s">
        <v>43</v>
      </c>
      <c r="M818">
        <v>1</v>
      </c>
      <c r="N818" t="s">
        <v>33</v>
      </c>
      <c r="O818" t="s">
        <v>25</v>
      </c>
      <c r="P818" t="s">
        <v>49</v>
      </c>
    </row>
    <row r="819" spans="1:16" x14ac:dyDescent="0.25">
      <c r="A819" t="s">
        <v>2110</v>
      </c>
      <c r="B819" s="6">
        <v>45645</v>
      </c>
      <c r="C819">
        <v>3301</v>
      </c>
      <c r="D819" t="s">
        <v>1621</v>
      </c>
      <c r="E819" t="s">
        <v>18</v>
      </c>
      <c r="F819" t="s">
        <v>30</v>
      </c>
      <c r="G819">
        <v>94453.69</v>
      </c>
      <c r="H819">
        <v>55713.53</v>
      </c>
      <c r="I819" t="s">
        <v>120</v>
      </c>
      <c r="J819" t="s">
        <v>21</v>
      </c>
      <c r="K819" t="s">
        <v>42</v>
      </c>
      <c r="L819" t="s">
        <v>88</v>
      </c>
      <c r="M819">
        <v>4</v>
      </c>
      <c r="N819" t="s">
        <v>24</v>
      </c>
      <c r="O819" t="s">
        <v>25</v>
      </c>
      <c r="P819" t="s">
        <v>34</v>
      </c>
    </row>
    <row r="820" spans="1:16" x14ac:dyDescent="0.25">
      <c r="A820" t="s">
        <v>2111</v>
      </c>
      <c r="B820" s="6">
        <v>44557</v>
      </c>
      <c r="C820">
        <v>5183</v>
      </c>
      <c r="D820" t="s">
        <v>2113</v>
      </c>
      <c r="E820" t="s">
        <v>18</v>
      </c>
      <c r="F820" t="s">
        <v>39</v>
      </c>
      <c r="G820">
        <v>9884.57</v>
      </c>
      <c r="H820">
        <v>5717.71</v>
      </c>
      <c r="I820" t="s">
        <v>120</v>
      </c>
      <c r="J820" t="s">
        <v>21</v>
      </c>
      <c r="K820" t="s">
        <v>80</v>
      </c>
      <c r="L820" t="s">
        <v>64</v>
      </c>
      <c r="M820">
        <v>4</v>
      </c>
      <c r="N820" t="s">
        <v>24</v>
      </c>
      <c r="O820" t="s">
        <v>70</v>
      </c>
      <c r="P820" t="s">
        <v>26</v>
      </c>
    </row>
    <row r="821" spans="1:16" x14ac:dyDescent="0.25">
      <c r="A821" t="s">
        <v>2114</v>
      </c>
      <c r="B821" s="6">
        <v>44943</v>
      </c>
      <c r="C821">
        <v>6358</v>
      </c>
      <c r="D821" t="s">
        <v>2115</v>
      </c>
      <c r="E821" t="s">
        <v>38</v>
      </c>
      <c r="F821" t="s">
        <v>39</v>
      </c>
      <c r="G821">
        <v>14082.32</v>
      </c>
      <c r="H821">
        <v>7277.05</v>
      </c>
      <c r="I821" t="s">
        <v>40</v>
      </c>
      <c r="J821" t="s">
        <v>41</v>
      </c>
      <c r="K821" t="s">
        <v>22</v>
      </c>
      <c r="L821" t="s">
        <v>48</v>
      </c>
      <c r="M821">
        <v>1</v>
      </c>
      <c r="N821" t="s">
        <v>24</v>
      </c>
      <c r="O821" t="s">
        <v>70</v>
      </c>
      <c r="P821" t="s">
        <v>26</v>
      </c>
    </row>
    <row r="822" spans="1:16" x14ac:dyDescent="0.25">
      <c r="A822" t="s">
        <v>2116</v>
      </c>
      <c r="B822" s="6">
        <v>44070</v>
      </c>
      <c r="C822">
        <v>4127</v>
      </c>
      <c r="D822" t="s">
        <v>2117</v>
      </c>
      <c r="E822" t="s">
        <v>18</v>
      </c>
      <c r="F822" t="s">
        <v>47</v>
      </c>
      <c r="G822">
        <v>9066.7099999999991</v>
      </c>
      <c r="H822">
        <v>4861.47</v>
      </c>
      <c r="I822" t="s">
        <v>31</v>
      </c>
      <c r="J822" t="s">
        <v>21</v>
      </c>
      <c r="K822" t="s">
        <v>42</v>
      </c>
      <c r="L822" t="s">
        <v>64</v>
      </c>
      <c r="M822">
        <v>4</v>
      </c>
      <c r="N822" t="s">
        <v>69</v>
      </c>
      <c r="O822" t="s">
        <v>70</v>
      </c>
      <c r="P822" t="s">
        <v>26</v>
      </c>
    </row>
    <row r="823" spans="1:16" x14ac:dyDescent="0.25">
      <c r="A823" t="s">
        <v>2118</v>
      </c>
      <c r="B823" s="6">
        <v>45159</v>
      </c>
      <c r="C823">
        <v>8084</v>
      </c>
      <c r="D823" t="s">
        <v>2119</v>
      </c>
      <c r="E823" t="s">
        <v>18</v>
      </c>
      <c r="F823" t="s">
        <v>58</v>
      </c>
      <c r="G823">
        <v>26282.38</v>
      </c>
      <c r="H823">
        <v>13371.5</v>
      </c>
      <c r="I823" t="s">
        <v>20</v>
      </c>
      <c r="J823" t="s">
        <v>21</v>
      </c>
      <c r="K823" t="s">
        <v>80</v>
      </c>
      <c r="L823" t="s">
        <v>55</v>
      </c>
      <c r="M823">
        <v>1</v>
      </c>
      <c r="N823" t="s">
        <v>33</v>
      </c>
      <c r="O823" t="s">
        <v>25</v>
      </c>
      <c r="P823" t="s">
        <v>34</v>
      </c>
    </row>
    <row r="824" spans="1:16" x14ac:dyDescent="0.25">
      <c r="A824" t="s">
        <v>2120</v>
      </c>
      <c r="B824" s="6">
        <v>44796</v>
      </c>
      <c r="C824">
        <v>4282</v>
      </c>
      <c r="D824" t="s">
        <v>2121</v>
      </c>
      <c r="E824" t="s">
        <v>38</v>
      </c>
      <c r="F824" t="s">
        <v>19</v>
      </c>
      <c r="G824">
        <v>12339.02</v>
      </c>
      <c r="H824">
        <v>7316.8</v>
      </c>
      <c r="I824" t="s">
        <v>40</v>
      </c>
      <c r="J824" t="s">
        <v>41</v>
      </c>
      <c r="K824" t="s">
        <v>32</v>
      </c>
      <c r="L824" t="s">
        <v>23</v>
      </c>
      <c r="M824">
        <v>2</v>
      </c>
      <c r="N824" t="s">
        <v>33</v>
      </c>
      <c r="O824" t="s">
        <v>25</v>
      </c>
      <c r="P824" t="s">
        <v>26</v>
      </c>
    </row>
    <row r="825" spans="1:16" x14ac:dyDescent="0.25">
      <c r="A825" t="s">
        <v>2122</v>
      </c>
      <c r="B825" s="6">
        <v>44962</v>
      </c>
      <c r="C825">
        <v>6166</v>
      </c>
      <c r="D825" t="s">
        <v>2124</v>
      </c>
      <c r="E825" t="s">
        <v>18</v>
      </c>
      <c r="F825" t="s">
        <v>19</v>
      </c>
      <c r="G825">
        <v>14999.94</v>
      </c>
      <c r="H825">
        <v>7355.07</v>
      </c>
      <c r="I825" t="s">
        <v>20</v>
      </c>
      <c r="J825" t="s">
        <v>21</v>
      </c>
      <c r="K825" t="s">
        <v>32</v>
      </c>
      <c r="L825" t="s">
        <v>64</v>
      </c>
      <c r="M825">
        <v>3</v>
      </c>
      <c r="N825" t="s">
        <v>33</v>
      </c>
      <c r="O825" t="s">
        <v>70</v>
      </c>
      <c r="P825" t="s">
        <v>34</v>
      </c>
    </row>
    <row r="826" spans="1:16" x14ac:dyDescent="0.25">
      <c r="A826" t="s">
        <v>2125</v>
      </c>
      <c r="B826" s="6">
        <v>45305</v>
      </c>
      <c r="C826">
        <v>4417</v>
      </c>
      <c r="D826" t="s">
        <v>2127</v>
      </c>
      <c r="E826" t="s">
        <v>38</v>
      </c>
      <c r="F826" t="s">
        <v>58</v>
      </c>
      <c r="G826">
        <v>14731.39</v>
      </c>
      <c r="H826">
        <v>7921.21</v>
      </c>
      <c r="I826" t="s">
        <v>53</v>
      </c>
      <c r="J826" t="s">
        <v>54</v>
      </c>
      <c r="K826" t="s">
        <v>32</v>
      </c>
      <c r="L826" t="s">
        <v>23</v>
      </c>
      <c r="M826">
        <v>4</v>
      </c>
      <c r="N826" t="s">
        <v>24</v>
      </c>
      <c r="O826" t="s">
        <v>25</v>
      </c>
      <c r="P826" t="s">
        <v>26</v>
      </c>
    </row>
    <row r="827" spans="1:16" x14ac:dyDescent="0.25">
      <c r="A827" t="s">
        <v>2128</v>
      </c>
      <c r="B827" s="6">
        <v>44304</v>
      </c>
      <c r="C827">
        <v>9013</v>
      </c>
      <c r="D827" t="s">
        <v>2129</v>
      </c>
      <c r="E827" t="s">
        <v>38</v>
      </c>
      <c r="F827" t="s">
        <v>19</v>
      </c>
      <c r="G827">
        <v>12214.84</v>
      </c>
      <c r="H827">
        <v>6270.8</v>
      </c>
      <c r="I827" t="s">
        <v>31</v>
      </c>
      <c r="J827" t="s">
        <v>21</v>
      </c>
      <c r="K827" t="s">
        <v>32</v>
      </c>
      <c r="L827" t="s">
        <v>23</v>
      </c>
      <c r="M827">
        <v>1</v>
      </c>
      <c r="N827" t="s">
        <v>24</v>
      </c>
      <c r="O827" t="s">
        <v>25</v>
      </c>
      <c r="P827" t="s">
        <v>34</v>
      </c>
    </row>
    <row r="828" spans="1:16" x14ac:dyDescent="0.25">
      <c r="A828" t="s">
        <v>2130</v>
      </c>
      <c r="B828" s="6">
        <v>44777</v>
      </c>
      <c r="C828">
        <v>2639</v>
      </c>
      <c r="D828" t="s">
        <v>2132</v>
      </c>
      <c r="E828" t="s">
        <v>38</v>
      </c>
      <c r="F828" t="s">
        <v>58</v>
      </c>
      <c r="G828">
        <v>21334.52</v>
      </c>
      <c r="H828">
        <v>10923.2</v>
      </c>
      <c r="I828" t="s">
        <v>120</v>
      </c>
      <c r="J828" t="s">
        <v>21</v>
      </c>
      <c r="K828" t="s">
        <v>22</v>
      </c>
      <c r="L828" t="s">
        <v>64</v>
      </c>
      <c r="M828">
        <v>3</v>
      </c>
      <c r="N828" t="s">
        <v>33</v>
      </c>
      <c r="O828" t="s">
        <v>70</v>
      </c>
      <c r="P828" t="s">
        <v>49</v>
      </c>
    </row>
    <row r="829" spans="1:16" x14ac:dyDescent="0.25">
      <c r="A829" t="s">
        <v>2133</v>
      </c>
      <c r="B829" s="6">
        <v>43971</v>
      </c>
      <c r="C829">
        <v>6296</v>
      </c>
      <c r="D829" t="s">
        <v>2134</v>
      </c>
      <c r="E829" t="s">
        <v>18</v>
      </c>
      <c r="F829" t="s">
        <v>47</v>
      </c>
      <c r="G829">
        <v>3194.4</v>
      </c>
      <c r="H829">
        <v>1596.56</v>
      </c>
      <c r="I829" t="s">
        <v>120</v>
      </c>
      <c r="J829" t="s">
        <v>21</v>
      </c>
      <c r="K829" t="s">
        <v>22</v>
      </c>
      <c r="L829" t="s">
        <v>23</v>
      </c>
      <c r="M829">
        <v>5</v>
      </c>
      <c r="N829" t="s">
        <v>33</v>
      </c>
      <c r="O829" t="s">
        <v>70</v>
      </c>
      <c r="P829" t="s">
        <v>26</v>
      </c>
    </row>
    <row r="830" spans="1:16" x14ac:dyDescent="0.25">
      <c r="A830" t="s">
        <v>2135</v>
      </c>
      <c r="B830" s="6">
        <v>45117</v>
      </c>
      <c r="C830">
        <v>7797</v>
      </c>
      <c r="D830" t="s">
        <v>2137</v>
      </c>
      <c r="E830" t="s">
        <v>18</v>
      </c>
      <c r="F830" t="s">
        <v>47</v>
      </c>
      <c r="G830">
        <v>10681.88</v>
      </c>
      <c r="H830">
        <v>5179.9399999999996</v>
      </c>
      <c r="I830" t="s">
        <v>63</v>
      </c>
      <c r="J830" t="s">
        <v>54</v>
      </c>
      <c r="K830" t="s">
        <v>32</v>
      </c>
      <c r="L830" t="s">
        <v>48</v>
      </c>
      <c r="M830">
        <v>2</v>
      </c>
      <c r="N830" t="s">
        <v>33</v>
      </c>
      <c r="O830" t="s">
        <v>70</v>
      </c>
      <c r="P830" t="s">
        <v>26</v>
      </c>
    </row>
    <row r="831" spans="1:16" x14ac:dyDescent="0.25">
      <c r="A831" t="s">
        <v>2138</v>
      </c>
      <c r="B831" s="6">
        <v>45062</v>
      </c>
      <c r="C831">
        <v>6260</v>
      </c>
      <c r="D831" t="s">
        <v>2140</v>
      </c>
      <c r="E831" t="s">
        <v>18</v>
      </c>
      <c r="F831" t="s">
        <v>39</v>
      </c>
      <c r="G831">
        <v>45330.07</v>
      </c>
      <c r="H831">
        <v>23404.66</v>
      </c>
      <c r="I831" t="s">
        <v>63</v>
      </c>
      <c r="J831" t="s">
        <v>54</v>
      </c>
      <c r="K831" t="s">
        <v>80</v>
      </c>
      <c r="L831" t="s">
        <v>55</v>
      </c>
      <c r="M831">
        <v>2</v>
      </c>
      <c r="N831" t="s">
        <v>69</v>
      </c>
      <c r="O831" t="s">
        <v>25</v>
      </c>
      <c r="P831" t="s">
        <v>34</v>
      </c>
    </row>
    <row r="832" spans="1:16" x14ac:dyDescent="0.25">
      <c r="A832" t="s">
        <v>2141</v>
      </c>
      <c r="B832" s="6">
        <v>44204</v>
      </c>
      <c r="C832">
        <v>4648</v>
      </c>
      <c r="D832" t="s">
        <v>2142</v>
      </c>
      <c r="E832" t="s">
        <v>18</v>
      </c>
      <c r="F832" t="s">
        <v>30</v>
      </c>
      <c r="G832">
        <v>36253.730000000003</v>
      </c>
      <c r="H832">
        <v>16795.09</v>
      </c>
      <c r="I832" t="s">
        <v>31</v>
      </c>
      <c r="J832" t="s">
        <v>21</v>
      </c>
      <c r="K832" t="s">
        <v>80</v>
      </c>
      <c r="L832" t="s">
        <v>64</v>
      </c>
      <c r="M832">
        <v>4</v>
      </c>
      <c r="N832" t="s">
        <v>69</v>
      </c>
      <c r="O832" t="s">
        <v>25</v>
      </c>
      <c r="P832" t="s">
        <v>26</v>
      </c>
    </row>
    <row r="833" spans="1:16" x14ac:dyDescent="0.25">
      <c r="A833" t="s">
        <v>2143</v>
      </c>
      <c r="B833" s="6">
        <v>45058</v>
      </c>
      <c r="C833">
        <v>6290</v>
      </c>
      <c r="D833" t="s">
        <v>2145</v>
      </c>
      <c r="E833" t="s">
        <v>38</v>
      </c>
      <c r="F833" t="s">
        <v>58</v>
      </c>
      <c r="G833">
        <v>37437.24</v>
      </c>
      <c r="H833">
        <v>21851.61</v>
      </c>
      <c r="I833" t="s">
        <v>40</v>
      </c>
      <c r="J833" t="s">
        <v>41</v>
      </c>
      <c r="K833" t="s">
        <v>22</v>
      </c>
      <c r="L833" t="s">
        <v>64</v>
      </c>
      <c r="M833">
        <v>4</v>
      </c>
      <c r="N833" t="s">
        <v>24</v>
      </c>
      <c r="O833" t="s">
        <v>70</v>
      </c>
      <c r="P833" t="s">
        <v>26</v>
      </c>
    </row>
    <row r="834" spans="1:16" x14ac:dyDescent="0.25">
      <c r="A834" t="s">
        <v>2146</v>
      </c>
      <c r="B834" s="6">
        <v>45407</v>
      </c>
      <c r="C834">
        <v>2346</v>
      </c>
      <c r="D834" t="s">
        <v>2147</v>
      </c>
      <c r="E834" t="s">
        <v>18</v>
      </c>
      <c r="F834" t="s">
        <v>58</v>
      </c>
      <c r="G834">
        <v>51808.38</v>
      </c>
      <c r="H834">
        <v>26238.87</v>
      </c>
      <c r="I834" t="s">
        <v>84</v>
      </c>
      <c r="J834" t="s">
        <v>54</v>
      </c>
      <c r="K834" t="s">
        <v>22</v>
      </c>
      <c r="L834" t="s">
        <v>23</v>
      </c>
      <c r="M834">
        <v>2</v>
      </c>
      <c r="N834" t="s">
        <v>33</v>
      </c>
      <c r="O834" t="s">
        <v>70</v>
      </c>
      <c r="P834" t="s">
        <v>34</v>
      </c>
    </row>
    <row r="835" spans="1:16" x14ac:dyDescent="0.25">
      <c r="A835" t="s">
        <v>2148</v>
      </c>
      <c r="B835" s="6">
        <v>45222</v>
      </c>
      <c r="C835">
        <v>3157</v>
      </c>
      <c r="D835" t="s">
        <v>2150</v>
      </c>
      <c r="E835" t="s">
        <v>38</v>
      </c>
      <c r="F835" t="s">
        <v>19</v>
      </c>
      <c r="G835">
        <v>13274.64</v>
      </c>
      <c r="H835">
        <v>7729.03</v>
      </c>
      <c r="I835" t="s">
        <v>53</v>
      </c>
      <c r="J835" t="s">
        <v>54</v>
      </c>
      <c r="K835" t="s">
        <v>22</v>
      </c>
      <c r="L835" t="s">
        <v>48</v>
      </c>
      <c r="M835">
        <v>4</v>
      </c>
      <c r="N835" t="s">
        <v>24</v>
      </c>
      <c r="O835" t="s">
        <v>70</v>
      </c>
      <c r="P835" t="s">
        <v>26</v>
      </c>
    </row>
    <row r="836" spans="1:16" x14ac:dyDescent="0.25">
      <c r="A836" t="s">
        <v>2151</v>
      </c>
      <c r="B836" s="6">
        <v>45374</v>
      </c>
      <c r="C836">
        <v>6284</v>
      </c>
      <c r="D836" t="s">
        <v>2152</v>
      </c>
      <c r="E836" t="s">
        <v>18</v>
      </c>
      <c r="F836" t="s">
        <v>58</v>
      </c>
      <c r="G836">
        <v>43750.81</v>
      </c>
      <c r="H836">
        <v>23921.59</v>
      </c>
      <c r="I836" t="s">
        <v>84</v>
      </c>
      <c r="J836" t="s">
        <v>54</v>
      </c>
      <c r="K836" t="s">
        <v>42</v>
      </c>
      <c r="L836" t="s">
        <v>23</v>
      </c>
      <c r="M836">
        <v>5</v>
      </c>
      <c r="N836" t="s">
        <v>33</v>
      </c>
      <c r="O836" t="s">
        <v>70</v>
      </c>
      <c r="P836" t="s">
        <v>34</v>
      </c>
    </row>
    <row r="837" spans="1:16" x14ac:dyDescent="0.25">
      <c r="A837" t="s">
        <v>2153</v>
      </c>
      <c r="B837" s="6">
        <v>45627</v>
      </c>
      <c r="C837">
        <v>6527</v>
      </c>
      <c r="D837" t="s">
        <v>2154</v>
      </c>
      <c r="E837" t="s">
        <v>38</v>
      </c>
      <c r="F837" t="s">
        <v>30</v>
      </c>
      <c r="G837">
        <v>105947.57</v>
      </c>
      <c r="H837">
        <v>51624.42</v>
      </c>
      <c r="I837" t="s">
        <v>31</v>
      </c>
      <c r="J837" t="s">
        <v>21</v>
      </c>
      <c r="K837" t="s">
        <v>42</v>
      </c>
      <c r="L837" t="s">
        <v>64</v>
      </c>
      <c r="M837">
        <v>5</v>
      </c>
      <c r="N837" t="s">
        <v>24</v>
      </c>
      <c r="O837" t="s">
        <v>25</v>
      </c>
      <c r="P837" t="s">
        <v>34</v>
      </c>
    </row>
    <row r="838" spans="1:16" x14ac:dyDescent="0.25">
      <c r="A838" t="s">
        <v>2155</v>
      </c>
      <c r="B838" s="6">
        <v>44890</v>
      </c>
      <c r="C838">
        <v>9901</v>
      </c>
      <c r="D838" t="s">
        <v>2157</v>
      </c>
      <c r="E838" t="s">
        <v>18</v>
      </c>
      <c r="F838" t="s">
        <v>58</v>
      </c>
      <c r="G838">
        <v>11499.59</v>
      </c>
      <c r="H838">
        <v>7417.44</v>
      </c>
      <c r="I838" t="s">
        <v>120</v>
      </c>
      <c r="J838" t="s">
        <v>21</v>
      </c>
      <c r="K838" t="s">
        <v>22</v>
      </c>
      <c r="L838" t="s">
        <v>55</v>
      </c>
      <c r="M838">
        <v>5</v>
      </c>
      <c r="N838" t="s">
        <v>24</v>
      </c>
      <c r="O838" t="s">
        <v>25</v>
      </c>
      <c r="P838" t="s">
        <v>34</v>
      </c>
    </row>
    <row r="839" spans="1:16" x14ac:dyDescent="0.25">
      <c r="A839" t="s">
        <v>2158</v>
      </c>
      <c r="B839" s="6">
        <v>45550</v>
      </c>
      <c r="C839">
        <v>7513</v>
      </c>
      <c r="D839" t="s">
        <v>2159</v>
      </c>
      <c r="E839" t="s">
        <v>18</v>
      </c>
      <c r="F839" t="s">
        <v>30</v>
      </c>
      <c r="G839">
        <v>33517.07</v>
      </c>
      <c r="H839">
        <v>19644.849999999999</v>
      </c>
      <c r="I839" t="s">
        <v>53</v>
      </c>
      <c r="J839" t="s">
        <v>54</v>
      </c>
      <c r="K839" t="s">
        <v>22</v>
      </c>
      <c r="L839" t="s">
        <v>23</v>
      </c>
      <c r="M839">
        <v>3</v>
      </c>
      <c r="N839" t="s">
        <v>24</v>
      </c>
      <c r="O839" t="s">
        <v>70</v>
      </c>
      <c r="P839" t="s">
        <v>49</v>
      </c>
    </row>
    <row r="840" spans="1:16" x14ac:dyDescent="0.25">
      <c r="A840" t="s">
        <v>2160</v>
      </c>
      <c r="B840" s="6">
        <v>45203</v>
      </c>
      <c r="C840">
        <v>9697</v>
      </c>
      <c r="D840" t="s">
        <v>2161</v>
      </c>
      <c r="E840" t="s">
        <v>18</v>
      </c>
      <c r="F840" t="s">
        <v>58</v>
      </c>
      <c r="G840">
        <v>18850.34</v>
      </c>
      <c r="H840">
        <v>8860.18</v>
      </c>
      <c r="I840" t="s">
        <v>40</v>
      </c>
      <c r="J840" t="s">
        <v>41</v>
      </c>
      <c r="K840" t="s">
        <v>32</v>
      </c>
      <c r="L840" t="s">
        <v>48</v>
      </c>
      <c r="M840">
        <v>5</v>
      </c>
      <c r="N840" t="s">
        <v>33</v>
      </c>
      <c r="O840" t="s">
        <v>70</v>
      </c>
      <c r="P840" t="s">
        <v>49</v>
      </c>
    </row>
    <row r="841" spans="1:16" x14ac:dyDescent="0.25">
      <c r="A841" t="s">
        <v>2162</v>
      </c>
      <c r="B841" s="6">
        <v>44222</v>
      </c>
      <c r="C841">
        <v>5857</v>
      </c>
      <c r="D841" t="s">
        <v>2163</v>
      </c>
      <c r="E841" t="s">
        <v>38</v>
      </c>
      <c r="F841" t="s">
        <v>30</v>
      </c>
      <c r="G841">
        <v>79325.23</v>
      </c>
      <c r="H841">
        <v>51117.32</v>
      </c>
      <c r="I841" t="s">
        <v>84</v>
      </c>
      <c r="J841" t="s">
        <v>54</v>
      </c>
      <c r="K841" t="s">
        <v>80</v>
      </c>
      <c r="L841" t="s">
        <v>64</v>
      </c>
      <c r="M841">
        <v>3</v>
      </c>
      <c r="N841" t="s">
        <v>33</v>
      </c>
      <c r="O841" t="s">
        <v>70</v>
      </c>
      <c r="P841" t="s">
        <v>26</v>
      </c>
    </row>
    <row r="842" spans="1:16" x14ac:dyDescent="0.25">
      <c r="A842" t="s">
        <v>2164</v>
      </c>
      <c r="B842" s="6">
        <v>44875</v>
      </c>
      <c r="C842">
        <v>2094</v>
      </c>
      <c r="D842" t="s">
        <v>2165</v>
      </c>
      <c r="E842" t="s">
        <v>18</v>
      </c>
      <c r="F842" t="s">
        <v>30</v>
      </c>
      <c r="G842">
        <v>80552.850000000006</v>
      </c>
      <c r="H842">
        <v>38509.15</v>
      </c>
      <c r="I842" t="s">
        <v>84</v>
      </c>
      <c r="J842" t="s">
        <v>54</v>
      </c>
      <c r="K842" t="s">
        <v>80</v>
      </c>
      <c r="L842" t="s">
        <v>23</v>
      </c>
      <c r="M842">
        <v>2</v>
      </c>
      <c r="N842" t="s">
        <v>33</v>
      </c>
      <c r="O842" t="s">
        <v>25</v>
      </c>
      <c r="P842" t="s">
        <v>34</v>
      </c>
    </row>
    <row r="843" spans="1:16" x14ac:dyDescent="0.25">
      <c r="A843" t="s">
        <v>2166</v>
      </c>
      <c r="B843" s="6">
        <v>44677</v>
      </c>
      <c r="C843">
        <v>3300</v>
      </c>
      <c r="D843" t="s">
        <v>2168</v>
      </c>
      <c r="E843" t="s">
        <v>38</v>
      </c>
      <c r="F843" t="s">
        <v>39</v>
      </c>
      <c r="G843">
        <v>13289.47</v>
      </c>
      <c r="H843">
        <v>7946.19</v>
      </c>
      <c r="I843" t="s">
        <v>63</v>
      </c>
      <c r="J843" t="s">
        <v>54</v>
      </c>
      <c r="K843" t="s">
        <v>32</v>
      </c>
      <c r="L843" t="s">
        <v>23</v>
      </c>
      <c r="M843">
        <v>4</v>
      </c>
      <c r="N843" t="s">
        <v>33</v>
      </c>
      <c r="O843" t="s">
        <v>25</v>
      </c>
      <c r="P843" t="s">
        <v>34</v>
      </c>
    </row>
    <row r="844" spans="1:16" x14ac:dyDescent="0.25">
      <c r="A844" t="s">
        <v>2169</v>
      </c>
      <c r="B844" s="6">
        <v>45248</v>
      </c>
      <c r="C844">
        <v>8718</v>
      </c>
      <c r="D844" t="s">
        <v>2171</v>
      </c>
      <c r="E844" t="s">
        <v>18</v>
      </c>
      <c r="F844" t="s">
        <v>30</v>
      </c>
      <c r="G844">
        <v>83090.86</v>
      </c>
      <c r="H844">
        <v>42356.77</v>
      </c>
      <c r="I844" t="s">
        <v>63</v>
      </c>
      <c r="J844" t="s">
        <v>54</v>
      </c>
      <c r="K844" t="s">
        <v>22</v>
      </c>
      <c r="L844" t="s">
        <v>43</v>
      </c>
      <c r="M844">
        <v>5</v>
      </c>
      <c r="N844" t="s">
        <v>24</v>
      </c>
      <c r="O844" t="s">
        <v>25</v>
      </c>
      <c r="P844" t="s">
        <v>49</v>
      </c>
    </row>
    <row r="845" spans="1:16" x14ac:dyDescent="0.25">
      <c r="A845" t="s">
        <v>2172</v>
      </c>
      <c r="B845" s="6">
        <v>43961</v>
      </c>
      <c r="C845">
        <v>8643</v>
      </c>
      <c r="D845" t="s">
        <v>2173</v>
      </c>
      <c r="E845" t="s">
        <v>38</v>
      </c>
      <c r="F845" t="s">
        <v>47</v>
      </c>
      <c r="G845">
        <v>8831.01</v>
      </c>
      <c r="H845">
        <v>5521.58</v>
      </c>
      <c r="I845" t="s">
        <v>53</v>
      </c>
      <c r="J845" t="s">
        <v>54</v>
      </c>
      <c r="K845" t="s">
        <v>80</v>
      </c>
      <c r="L845" t="s">
        <v>88</v>
      </c>
      <c r="M845">
        <v>2</v>
      </c>
      <c r="N845" t="s">
        <v>24</v>
      </c>
      <c r="O845" t="s">
        <v>25</v>
      </c>
      <c r="P845" t="s">
        <v>49</v>
      </c>
    </row>
    <row r="846" spans="1:16" x14ac:dyDescent="0.25">
      <c r="A846" t="s">
        <v>2174</v>
      </c>
      <c r="B846" s="6">
        <v>44537</v>
      </c>
      <c r="C846">
        <v>8085</v>
      </c>
      <c r="D846" t="s">
        <v>2175</v>
      </c>
      <c r="E846" t="s">
        <v>38</v>
      </c>
      <c r="F846" t="s">
        <v>47</v>
      </c>
      <c r="G846">
        <v>2726.93</v>
      </c>
      <c r="H846">
        <v>1284.49</v>
      </c>
      <c r="I846" t="s">
        <v>31</v>
      </c>
      <c r="J846" t="s">
        <v>21</v>
      </c>
      <c r="K846" t="s">
        <v>42</v>
      </c>
      <c r="L846" t="s">
        <v>48</v>
      </c>
      <c r="M846">
        <v>3</v>
      </c>
      <c r="N846" t="s">
        <v>69</v>
      </c>
      <c r="O846" t="s">
        <v>70</v>
      </c>
      <c r="P846" t="s">
        <v>34</v>
      </c>
    </row>
    <row r="847" spans="1:16" x14ac:dyDescent="0.25">
      <c r="A847" t="s">
        <v>2176</v>
      </c>
      <c r="B847" s="6">
        <v>43882</v>
      </c>
      <c r="C847">
        <v>4977</v>
      </c>
      <c r="D847" t="s">
        <v>2178</v>
      </c>
      <c r="E847" t="s">
        <v>38</v>
      </c>
      <c r="F847" t="s">
        <v>47</v>
      </c>
      <c r="G847">
        <v>4740.62</v>
      </c>
      <c r="H847">
        <v>2544.54</v>
      </c>
      <c r="I847" t="s">
        <v>53</v>
      </c>
      <c r="J847" t="s">
        <v>54</v>
      </c>
      <c r="K847" t="s">
        <v>42</v>
      </c>
      <c r="L847" t="s">
        <v>55</v>
      </c>
      <c r="M847">
        <v>4</v>
      </c>
      <c r="N847" t="s">
        <v>24</v>
      </c>
      <c r="O847" t="s">
        <v>70</v>
      </c>
      <c r="P847" t="s">
        <v>34</v>
      </c>
    </row>
    <row r="848" spans="1:16" x14ac:dyDescent="0.25">
      <c r="A848" t="s">
        <v>2179</v>
      </c>
      <c r="B848" s="6">
        <v>45229</v>
      </c>
      <c r="C848">
        <v>2615</v>
      </c>
      <c r="D848" t="s">
        <v>2181</v>
      </c>
      <c r="E848" t="s">
        <v>18</v>
      </c>
      <c r="F848" t="s">
        <v>39</v>
      </c>
      <c r="G848">
        <v>12508.11</v>
      </c>
      <c r="H848">
        <v>7539.97</v>
      </c>
      <c r="I848" t="s">
        <v>31</v>
      </c>
      <c r="J848" t="s">
        <v>21</v>
      </c>
      <c r="K848" t="s">
        <v>42</v>
      </c>
      <c r="L848" t="s">
        <v>43</v>
      </c>
      <c r="M848">
        <v>5</v>
      </c>
      <c r="N848" t="s">
        <v>33</v>
      </c>
      <c r="O848" t="s">
        <v>25</v>
      </c>
      <c r="P848" t="s">
        <v>49</v>
      </c>
    </row>
    <row r="849" spans="1:16" x14ac:dyDescent="0.25">
      <c r="A849" t="s">
        <v>2182</v>
      </c>
      <c r="B849" s="6">
        <v>45585</v>
      </c>
      <c r="C849">
        <v>1610</v>
      </c>
      <c r="D849" t="s">
        <v>2183</v>
      </c>
      <c r="E849" t="s">
        <v>38</v>
      </c>
      <c r="F849" t="s">
        <v>19</v>
      </c>
      <c r="G849">
        <v>22936.240000000002</v>
      </c>
      <c r="H849">
        <v>13202.64</v>
      </c>
      <c r="I849" t="s">
        <v>84</v>
      </c>
      <c r="J849" t="s">
        <v>54</v>
      </c>
      <c r="K849" t="s">
        <v>80</v>
      </c>
      <c r="L849" t="s">
        <v>48</v>
      </c>
      <c r="M849">
        <v>1</v>
      </c>
      <c r="N849" t="s">
        <v>33</v>
      </c>
      <c r="O849" t="s">
        <v>25</v>
      </c>
      <c r="P849" t="s">
        <v>49</v>
      </c>
    </row>
    <row r="850" spans="1:16" x14ac:dyDescent="0.25">
      <c r="A850" t="s">
        <v>2184</v>
      </c>
      <c r="B850" s="6">
        <v>44576</v>
      </c>
      <c r="C850">
        <v>5153</v>
      </c>
      <c r="D850" t="s">
        <v>2185</v>
      </c>
      <c r="E850" t="s">
        <v>38</v>
      </c>
      <c r="F850" t="s">
        <v>39</v>
      </c>
      <c r="G850">
        <v>25504.62</v>
      </c>
      <c r="H850">
        <v>13232.05</v>
      </c>
      <c r="I850" t="s">
        <v>68</v>
      </c>
      <c r="J850" t="s">
        <v>41</v>
      </c>
      <c r="K850" t="s">
        <v>32</v>
      </c>
      <c r="L850" t="s">
        <v>88</v>
      </c>
      <c r="M850">
        <v>4</v>
      </c>
      <c r="N850" t="s">
        <v>24</v>
      </c>
      <c r="O850" t="s">
        <v>25</v>
      </c>
      <c r="P850" t="s">
        <v>49</v>
      </c>
    </row>
    <row r="851" spans="1:16" x14ac:dyDescent="0.25">
      <c r="A851" t="s">
        <v>2186</v>
      </c>
      <c r="B851" s="6">
        <v>44482</v>
      </c>
      <c r="C851">
        <v>6273</v>
      </c>
      <c r="D851" t="s">
        <v>2188</v>
      </c>
      <c r="E851" t="s">
        <v>38</v>
      </c>
      <c r="F851" t="s">
        <v>19</v>
      </c>
      <c r="G851">
        <v>9194.74</v>
      </c>
      <c r="H851">
        <v>5573.79</v>
      </c>
      <c r="I851" t="s">
        <v>59</v>
      </c>
      <c r="J851" t="s">
        <v>41</v>
      </c>
      <c r="K851" t="s">
        <v>32</v>
      </c>
      <c r="L851" t="s">
        <v>64</v>
      </c>
      <c r="M851">
        <v>1</v>
      </c>
      <c r="N851" t="s">
        <v>33</v>
      </c>
      <c r="O851" t="s">
        <v>70</v>
      </c>
      <c r="P851" t="s">
        <v>49</v>
      </c>
    </row>
    <row r="852" spans="1:16" x14ac:dyDescent="0.25">
      <c r="A852" t="s">
        <v>2189</v>
      </c>
      <c r="B852" s="6">
        <v>44608</v>
      </c>
      <c r="C852">
        <v>7652</v>
      </c>
      <c r="D852" t="s">
        <v>2191</v>
      </c>
      <c r="E852" t="s">
        <v>38</v>
      </c>
      <c r="F852" t="s">
        <v>39</v>
      </c>
      <c r="G852">
        <v>20639.54</v>
      </c>
      <c r="H852">
        <v>11927.49</v>
      </c>
      <c r="I852" t="s">
        <v>68</v>
      </c>
      <c r="J852" t="s">
        <v>41</v>
      </c>
      <c r="K852" t="s">
        <v>80</v>
      </c>
      <c r="L852" t="s">
        <v>23</v>
      </c>
      <c r="M852">
        <v>3</v>
      </c>
      <c r="N852" t="s">
        <v>69</v>
      </c>
      <c r="O852" t="s">
        <v>25</v>
      </c>
      <c r="P852" t="s">
        <v>34</v>
      </c>
    </row>
    <row r="853" spans="1:16" x14ac:dyDescent="0.25">
      <c r="A853" t="s">
        <v>2192</v>
      </c>
      <c r="B853" s="6">
        <v>45457</v>
      </c>
      <c r="C853">
        <v>2826</v>
      </c>
      <c r="D853" t="s">
        <v>2193</v>
      </c>
      <c r="E853" t="s">
        <v>18</v>
      </c>
      <c r="F853" t="s">
        <v>19</v>
      </c>
      <c r="G853">
        <v>11190.73</v>
      </c>
      <c r="H853">
        <v>7069.92</v>
      </c>
      <c r="I853" t="s">
        <v>59</v>
      </c>
      <c r="J853" t="s">
        <v>41</v>
      </c>
      <c r="K853" t="s">
        <v>42</v>
      </c>
      <c r="L853" t="s">
        <v>43</v>
      </c>
      <c r="M853">
        <v>5</v>
      </c>
      <c r="N853" t="s">
        <v>33</v>
      </c>
      <c r="O853" t="s">
        <v>70</v>
      </c>
      <c r="P853" t="s">
        <v>26</v>
      </c>
    </row>
    <row r="854" spans="1:16" x14ac:dyDescent="0.25">
      <c r="A854" t="s">
        <v>2194</v>
      </c>
      <c r="B854" s="6">
        <v>45631</v>
      </c>
      <c r="C854">
        <v>5315</v>
      </c>
      <c r="D854" t="s">
        <v>2195</v>
      </c>
      <c r="E854" t="s">
        <v>18</v>
      </c>
      <c r="F854" t="s">
        <v>19</v>
      </c>
      <c r="G854">
        <v>20820.57</v>
      </c>
      <c r="H854">
        <v>11588.01</v>
      </c>
      <c r="I854" t="s">
        <v>63</v>
      </c>
      <c r="J854" t="s">
        <v>54</v>
      </c>
      <c r="K854" t="s">
        <v>80</v>
      </c>
      <c r="L854" t="s">
        <v>23</v>
      </c>
      <c r="M854">
        <v>4</v>
      </c>
      <c r="N854" t="s">
        <v>33</v>
      </c>
      <c r="O854" t="s">
        <v>70</v>
      </c>
      <c r="P854" t="s">
        <v>34</v>
      </c>
    </row>
    <row r="855" spans="1:16" x14ac:dyDescent="0.25">
      <c r="A855" t="s">
        <v>2196</v>
      </c>
      <c r="B855" s="6">
        <v>44217</v>
      </c>
      <c r="C855">
        <v>9978</v>
      </c>
      <c r="D855" t="s">
        <v>2198</v>
      </c>
      <c r="E855" t="s">
        <v>18</v>
      </c>
      <c r="F855" t="s">
        <v>39</v>
      </c>
      <c r="G855">
        <v>24673.97</v>
      </c>
      <c r="H855">
        <v>12454.38</v>
      </c>
      <c r="I855" t="s">
        <v>20</v>
      </c>
      <c r="J855" t="s">
        <v>21</v>
      </c>
      <c r="K855" t="s">
        <v>80</v>
      </c>
      <c r="L855" t="s">
        <v>23</v>
      </c>
      <c r="M855">
        <v>2</v>
      </c>
      <c r="N855" t="s">
        <v>33</v>
      </c>
      <c r="O855" t="s">
        <v>25</v>
      </c>
      <c r="P855" t="s">
        <v>49</v>
      </c>
    </row>
    <row r="856" spans="1:16" x14ac:dyDescent="0.25">
      <c r="A856" t="s">
        <v>2199</v>
      </c>
      <c r="B856" s="6">
        <v>44207</v>
      </c>
      <c r="C856">
        <v>8917</v>
      </c>
      <c r="D856" t="s">
        <v>2200</v>
      </c>
      <c r="E856" t="s">
        <v>38</v>
      </c>
      <c r="F856" t="s">
        <v>58</v>
      </c>
      <c r="G856">
        <v>14877.63</v>
      </c>
      <c r="H856">
        <v>8335.1200000000008</v>
      </c>
      <c r="I856" t="s">
        <v>68</v>
      </c>
      <c r="J856" t="s">
        <v>41</v>
      </c>
      <c r="K856" t="s">
        <v>32</v>
      </c>
      <c r="L856" t="s">
        <v>64</v>
      </c>
      <c r="M856">
        <v>2</v>
      </c>
      <c r="N856" t="s">
        <v>69</v>
      </c>
      <c r="O856" t="s">
        <v>25</v>
      </c>
      <c r="P856" t="s">
        <v>49</v>
      </c>
    </row>
    <row r="857" spans="1:16" x14ac:dyDescent="0.25">
      <c r="A857" t="s">
        <v>2201</v>
      </c>
      <c r="B857" s="6">
        <v>45478</v>
      </c>
      <c r="C857">
        <v>8066</v>
      </c>
      <c r="D857" t="s">
        <v>2202</v>
      </c>
      <c r="E857" t="s">
        <v>38</v>
      </c>
      <c r="F857" t="s">
        <v>19</v>
      </c>
      <c r="G857">
        <v>10981.83</v>
      </c>
      <c r="H857">
        <v>6974.57</v>
      </c>
      <c r="I857" t="s">
        <v>120</v>
      </c>
      <c r="J857" t="s">
        <v>21</v>
      </c>
      <c r="K857" t="s">
        <v>32</v>
      </c>
      <c r="L857" t="s">
        <v>88</v>
      </c>
      <c r="M857">
        <v>5</v>
      </c>
      <c r="N857" t="s">
        <v>33</v>
      </c>
      <c r="O857" t="s">
        <v>70</v>
      </c>
      <c r="P857" t="s">
        <v>26</v>
      </c>
    </row>
    <row r="858" spans="1:16" x14ac:dyDescent="0.25">
      <c r="A858" t="s">
        <v>2203</v>
      </c>
      <c r="B858" s="6">
        <v>44992</v>
      </c>
      <c r="C858">
        <v>9314</v>
      </c>
      <c r="D858" t="s">
        <v>2205</v>
      </c>
      <c r="E858" t="s">
        <v>38</v>
      </c>
      <c r="F858" t="s">
        <v>39</v>
      </c>
      <c r="G858">
        <v>34040.29</v>
      </c>
      <c r="H858">
        <v>16031.67</v>
      </c>
      <c r="I858" t="s">
        <v>84</v>
      </c>
      <c r="J858" t="s">
        <v>54</v>
      </c>
      <c r="K858" t="s">
        <v>32</v>
      </c>
      <c r="L858" t="s">
        <v>48</v>
      </c>
      <c r="M858">
        <v>3</v>
      </c>
      <c r="N858" t="s">
        <v>24</v>
      </c>
      <c r="O858" t="s">
        <v>70</v>
      </c>
      <c r="P858" t="s">
        <v>49</v>
      </c>
    </row>
    <row r="859" spans="1:16" x14ac:dyDescent="0.25">
      <c r="A859" t="s">
        <v>2206</v>
      </c>
      <c r="B859" s="6">
        <v>44954</v>
      </c>
      <c r="C859">
        <v>8174</v>
      </c>
      <c r="D859" t="s">
        <v>2208</v>
      </c>
      <c r="E859" t="s">
        <v>38</v>
      </c>
      <c r="F859" t="s">
        <v>30</v>
      </c>
      <c r="G859">
        <v>47564.800000000003</v>
      </c>
      <c r="H859">
        <v>22019.25</v>
      </c>
      <c r="I859" t="s">
        <v>68</v>
      </c>
      <c r="J859" t="s">
        <v>41</v>
      </c>
      <c r="K859" t="s">
        <v>32</v>
      </c>
      <c r="L859" t="s">
        <v>55</v>
      </c>
      <c r="M859">
        <v>5</v>
      </c>
      <c r="N859" t="s">
        <v>33</v>
      </c>
      <c r="O859" t="s">
        <v>70</v>
      </c>
      <c r="P859" t="s">
        <v>34</v>
      </c>
    </row>
    <row r="860" spans="1:16" x14ac:dyDescent="0.25">
      <c r="A860" t="s">
        <v>2209</v>
      </c>
      <c r="B860" s="6">
        <v>44960</v>
      </c>
      <c r="C860">
        <v>5128</v>
      </c>
      <c r="D860" t="s">
        <v>2210</v>
      </c>
      <c r="E860" t="s">
        <v>18</v>
      </c>
      <c r="F860" t="s">
        <v>58</v>
      </c>
      <c r="G860">
        <v>39564.199999999997</v>
      </c>
      <c r="H860">
        <v>21687.59</v>
      </c>
      <c r="I860" t="s">
        <v>31</v>
      </c>
      <c r="J860" t="s">
        <v>21</v>
      </c>
      <c r="K860" t="s">
        <v>32</v>
      </c>
      <c r="L860" t="s">
        <v>64</v>
      </c>
      <c r="M860">
        <v>2</v>
      </c>
      <c r="N860" t="s">
        <v>24</v>
      </c>
      <c r="O860" t="s">
        <v>25</v>
      </c>
      <c r="P860" t="s">
        <v>49</v>
      </c>
    </row>
    <row r="861" spans="1:16" x14ac:dyDescent="0.25">
      <c r="A861" t="s">
        <v>2211</v>
      </c>
      <c r="B861" s="6">
        <v>45552</v>
      </c>
      <c r="C861">
        <v>3363</v>
      </c>
      <c r="D861" t="s">
        <v>2212</v>
      </c>
      <c r="E861" t="s">
        <v>38</v>
      </c>
      <c r="F861" t="s">
        <v>39</v>
      </c>
      <c r="G861">
        <v>44337.78</v>
      </c>
      <c r="H861">
        <v>28561.41</v>
      </c>
      <c r="I861" t="s">
        <v>120</v>
      </c>
      <c r="J861" t="s">
        <v>21</v>
      </c>
      <c r="K861" t="s">
        <v>22</v>
      </c>
      <c r="L861" t="s">
        <v>48</v>
      </c>
      <c r="M861">
        <v>3</v>
      </c>
      <c r="N861" t="s">
        <v>24</v>
      </c>
      <c r="O861" t="s">
        <v>70</v>
      </c>
      <c r="P861" t="s">
        <v>26</v>
      </c>
    </row>
    <row r="862" spans="1:16" x14ac:dyDescent="0.25">
      <c r="A862" t="s">
        <v>2213</v>
      </c>
      <c r="B862" s="6">
        <v>44296</v>
      </c>
      <c r="C862">
        <v>3938</v>
      </c>
      <c r="D862" t="s">
        <v>2214</v>
      </c>
      <c r="E862" t="s">
        <v>18</v>
      </c>
      <c r="F862" t="s">
        <v>39</v>
      </c>
      <c r="G862">
        <v>6777.13</v>
      </c>
      <c r="H862">
        <v>4308.66</v>
      </c>
      <c r="I862" t="s">
        <v>31</v>
      </c>
      <c r="J862" t="s">
        <v>21</v>
      </c>
      <c r="K862" t="s">
        <v>22</v>
      </c>
      <c r="L862" t="s">
        <v>88</v>
      </c>
      <c r="M862">
        <v>1</v>
      </c>
      <c r="N862" t="s">
        <v>33</v>
      </c>
      <c r="O862" t="s">
        <v>25</v>
      </c>
      <c r="P862" t="s">
        <v>49</v>
      </c>
    </row>
    <row r="863" spans="1:16" x14ac:dyDescent="0.25">
      <c r="A863" t="s">
        <v>2215</v>
      </c>
      <c r="B863" s="6">
        <v>44804</v>
      </c>
      <c r="C863">
        <v>6624</v>
      </c>
      <c r="D863" t="s">
        <v>2216</v>
      </c>
      <c r="E863" t="s">
        <v>18</v>
      </c>
      <c r="F863" t="s">
        <v>47</v>
      </c>
      <c r="G863">
        <v>2773.72</v>
      </c>
      <c r="H863">
        <v>1445.2</v>
      </c>
      <c r="I863" t="s">
        <v>59</v>
      </c>
      <c r="J863" t="s">
        <v>41</v>
      </c>
      <c r="K863" t="s">
        <v>80</v>
      </c>
      <c r="L863" t="s">
        <v>88</v>
      </c>
      <c r="M863">
        <v>4</v>
      </c>
      <c r="N863" t="s">
        <v>33</v>
      </c>
      <c r="O863" t="s">
        <v>25</v>
      </c>
      <c r="P863" t="s">
        <v>26</v>
      </c>
    </row>
    <row r="864" spans="1:16" x14ac:dyDescent="0.25">
      <c r="A864" t="s">
        <v>2217</v>
      </c>
      <c r="B864" s="6">
        <v>44610</v>
      </c>
      <c r="C864">
        <v>5223</v>
      </c>
      <c r="D864" t="s">
        <v>2218</v>
      </c>
      <c r="E864" t="s">
        <v>18</v>
      </c>
      <c r="F864" t="s">
        <v>19</v>
      </c>
      <c r="G864">
        <v>19499.84</v>
      </c>
      <c r="H864">
        <v>9012.44</v>
      </c>
      <c r="I864" t="s">
        <v>84</v>
      </c>
      <c r="J864" t="s">
        <v>54</v>
      </c>
      <c r="K864" t="s">
        <v>22</v>
      </c>
      <c r="L864" t="s">
        <v>48</v>
      </c>
      <c r="M864">
        <v>3</v>
      </c>
      <c r="N864" t="s">
        <v>33</v>
      </c>
      <c r="O864" t="s">
        <v>25</v>
      </c>
      <c r="P864" t="s">
        <v>49</v>
      </c>
    </row>
    <row r="865" spans="1:16" x14ac:dyDescent="0.25">
      <c r="A865" t="s">
        <v>2219</v>
      </c>
      <c r="B865" s="6">
        <v>44121</v>
      </c>
      <c r="C865">
        <v>7141</v>
      </c>
      <c r="D865" t="s">
        <v>2220</v>
      </c>
      <c r="E865" t="s">
        <v>18</v>
      </c>
      <c r="F865" t="s">
        <v>39</v>
      </c>
      <c r="G865">
        <v>34684.639999999999</v>
      </c>
      <c r="H865">
        <v>16915.57</v>
      </c>
      <c r="I865" t="s">
        <v>53</v>
      </c>
      <c r="J865" t="s">
        <v>54</v>
      </c>
      <c r="K865" t="s">
        <v>80</v>
      </c>
      <c r="L865" t="s">
        <v>23</v>
      </c>
      <c r="M865">
        <v>5</v>
      </c>
      <c r="N865" t="s">
        <v>33</v>
      </c>
      <c r="O865" t="s">
        <v>25</v>
      </c>
      <c r="P865" t="s">
        <v>49</v>
      </c>
    </row>
    <row r="866" spans="1:16" x14ac:dyDescent="0.25">
      <c r="A866" t="s">
        <v>2221</v>
      </c>
      <c r="B866" s="6">
        <v>44422</v>
      </c>
      <c r="C866">
        <v>9312</v>
      </c>
      <c r="D866" t="s">
        <v>2222</v>
      </c>
      <c r="E866" t="s">
        <v>18</v>
      </c>
      <c r="F866" t="s">
        <v>39</v>
      </c>
      <c r="G866">
        <v>21594.63</v>
      </c>
      <c r="H866">
        <v>11639.97</v>
      </c>
      <c r="I866" t="s">
        <v>40</v>
      </c>
      <c r="J866" t="s">
        <v>41</v>
      </c>
      <c r="K866" t="s">
        <v>22</v>
      </c>
      <c r="L866" t="s">
        <v>43</v>
      </c>
      <c r="M866">
        <v>1</v>
      </c>
      <c r="N866" t="s">
        <v>69</v>
      </c>
      <c r="O866" t="s">
        <v>25</v>
      </c>
      <c r="P866" t="s">
        <v>34</v>
      </c>
    </row>
    <row r="867" spans="1:16" x14ac:dyDescent="0.25">
      <c r="A867" t="s">
        <v>2223</v>
      </c>
      <c r="B867" s="6">
        <v>44978</v>
      </c>
      <c r="C867">
        <v>4164</v>
      </c>
      <c r="D867" t="s">
        <v>2224</v>
      </c>
      <c r="E867" t="s">
        <v>18</v>
      </c>
      <c r="F867" t="s">
        <v>58</v>
      </c>
      <c r="G867">
        <v>61964.28</v>
      </c>
      <c r="H867">
        <v>39285.339999999997</v>
      </c>
      <c r="I867" t="s">
        <v>84</v>
      </c>
      <c r="J867" t="s">
        <v>54</v>
      </c>
      <c r="K867" t="s">
        <v>80</v>
      </c>
      <c r="L867" t="s">
        <v>48</v>
      </c>
      <c r="M867">
        <v>5</v>
      </c>
      <c r="N867" t="s">
        <v>69</v>
      </c>
      <c r="O867" t="s">
        <v>70</v>
      </c>
      <c r="P867" t="s">
        <v>26</v>
      </c>
    </row>
    <row r="868" spans="1:16" x14ac:dyDescent="0.25">
      <c r="A868" t="s">
        <v>2225</v>
      </c>
      <c r="B868" s="6">
        <v>44684</v>
      </c>
      <c r="C868">
        <v>4085</v>
      </c>
      <c r="D868" t="s">
        <v>2227</v>
      </c>
      <c r="E868" t="s">
        <v>38</v>
      </c>
      <c r="F868" t="s">
        <v>39</v>
      </c>
      <c r="G868">
        <v>8372.48</v>
      </c>
      <c r="H868">
        <v>3865.78</v>
      </c>
      <c r="I868" t="s">
        <v>20</v>
      </c>
      <c r="J868" t="s">
        <v>21</v>
      </c>
      <c r="K868" t="s">
        <v>80</v>
      </c>
      <c r="L868" t="s">
        <v>48</v>
      </c>
      <c r="M868">
        <v>5</v>
      </c>
      <c r="N868" t="s">
        <v>33</v>
      </c>
      <c r="O868" t="s">
        <v>25</v>
      </c>
      <c r="P868" t="s">
        <v>49</v>
      </c>
    </row>
    <row r="869" spans="1:16" x14ac:dyDescent="0.25">
      <c r="A869" t="s">
        <v>2228</v>
      </c>
      <c r="B869" s="6">
        <v>45559</v>
      </c>
      <c r="C869">
        <v>9951</v>
      </c>
      <c r="D869" t="s">
        <v>2229</v>
      </c>
      <c r="E869" t="s">
        <v>18</v>
      </c>
      <c r="F869" t="s">
        <v>30</v>
      </c>
      <c r="G869">
        <v>40783.74</v>
      </c>
      <c r="H869">
        <v>19457.72</v>
      </c>
      <c r="I869" t="s">
        <v>31</v>
      </c>
      <c r="J869" t="s">
        <v>21</v>
      </c>
      <c r="K869" t="s">
        <v>32</v>
      </c>
      <c r="L869" t="s">
        <v>88</v>
      </c>
      <c r="M869">
        <v>4</v>
      </c>
      <c r="N869" t="s">
        <v>33</v>
      </c>
      <c r="O869" t="s">
        <v>25</v>
      </c>
      <c r="P869" t="s">
        <v>34</v>
      </c>
    </row>
    <row r="870" spans="1:16" x14ac:dyDescent="0.25">
      <c r="A870" t="s">
        <v>2230</v>
      </c>
      <c r="B870" s="6">
        <v>45126</v>
      </c>
      <c r="C870">
        <v>9152</v>
      </c>
      <c r="D870" t="s">
        <v>2231</v>
      </c>
      <c r="E870" t="s">
        <v>38</v>
      </c>
      <c r="F870" t="s">
        <v>39</v>
      </c>
      <c r="G870">
        <v>44764.18</v>
      </c>
      <c r="H870">
        <v>26401.03</v>
      </c>
      <c r="I870" t="s">
        <v>63</v>
      </c>
      <c r="J870" t="s">
        <v>54</v>
      </c>
      <c r="K870" t="s">
        <v>22</v>
      </c>
      <c r="L870" t="s">
        <v>23</v>
      </c>
      <c r="M870">
        <v>1</v>
      </c>
      <c r="N870" t="s">
        <v>33</v>
      </c>
      <c r="O870" t="s">
        <v>25</v>
      </c>
      <c r="P870" t="s">
        <v>49</v>
      </c>
    </row>
    <row r="871" spans="1:16" x14ac:dyDescent="0.25">
      <c r="A871" t="s">
        <v>2232</v>
      </c>
      <c r="B871" s="6">
        <v>43845</v>
      </c>
      <c r="C871">
        <v>5963</v>
      </c>
      <c r="D871" t="s">
        <v>2233</v>
      </c>
      <c r="E871" t="s">
        <v>38</v>
      </c>
      <c r="F871" t="s">
        <v>39</v>
      </c>
      <c r="G871">
        <v>9908.92</v>
      </c>
      <c r="H871">
        <v>6369.82</v>
      </c>
      <c r="I871" t="s">
        <v>31</v>
      </c>
      <c r="J871" t="s">
        <v>21</v>
      </c>
      <c r="K871" t="s">
        <v>22</v>
      </c>
      <c r="L871" t="s">
        <v>48</v>
      </c>
      <c r="M871">
        <v>4</v>
      </c>
      <c r="N871" t="s">
        <v>24</v>
      </c>
      <c r="O871" t="s">
        <v>25</v>
      </c>
      <c r="P871" t="s">
        <v>26</v>
      </c>
    </row>
    <row r="872" spans="1:16" x14ac:dyDescent="0.25">
      <c r="A872" t="s">
        <v>2234</v>
      </c>
      <c r="B872" s="6">
        <v>45342</v>
      </c>
      <c r="C872">
        <v>4042</v>
      </c>
      <c r="D872" t="s">
        <v>2236</v>
      </c>
      <c r="E872" t="s">
        <v>18</v>
      </c>
      <c r="F872" t="s">
        <v>19</v>
      </c>
      <c r="G872">
        <v>17287.439999999999</v>
      </c>
      <c r="H872">
        <v>8031.62</v>
      </c>
      <c r="I872" t="s">
        <v>31</v>
      </c>
      <c r="J872" t="s">
        <v>21</v>
      </c>
      <c r="K872" t="s">
        <v>32</v>
      </c>
      <c r="L872" t="s">
        <v>64</v>
      </c>
      <c r="M872">
        <v>2</v>
      </c>
      <c r="N872" t="s">
        <v>24</v>
      </c>
      <c r="O872" t="s">
        <v>70</v>
      </c>
      <c r="P872" t="s">
        <v>26</v>
      </c>
    </row>
    <row r="873" spans="1:16" x14ac:dyDescent="0.25">
      <c r="A873" t="s">
        <v>2237</v>
      </c>
      <c r="B873" s="6">
        <v>44345</v>
      </c>
      <c r="C873">
        <v>4938</v>
      </c>
      <c r="D873" t="s">
        <v>2238</v>
      </c>
      <c r="E873" t="s">
        <v>38</v>
      </c>
      <c r="F873" t="s">
        <v>47</v>
      </c>
      <c r="G873">
        <v>9438.2000000000007</v>
      </c>
      <c r="H873">
        <v>6110.45</v>
      </c>
      <c r="I873" t="s">
        <v>68</v>
      </c>
      <c r="J873" t="s">
        <v>41</v>
      </c>
      <c r="K873" t="s">
        <v>32</v>
      </c>
      <c r="L873" t="s">
        <v>88</v>
      </c>
      <c r="M873">
        <v>4</v>
      </c>
      <c r="N873" t="s">
        <v>33</v>
      </c>
      <c r="O873" t="s">
        <v>25</v>
      </c>
      <c r="P873" t="s">
        <v>26</v>
      </c>
    </row>
    <row r="874" spans="1:16" x14ac:dyDescent="0.25">
      <c r="A874" t="s">
        <v>2239</v>
      </c>
      <c r="B874" s="6">
        <v>44854</v>
      </c>
      <c r="C874">
        <v>6074</v>
      </c>
      <c r="D874" t="s">
        <v>2240</v>
      </c>
      <c r="E874" t="s">
        <v>18</v>
      </c>
      <c r="F874" t="s">
        <v>47</v>
      </c>
      <c r="G874">
        <v>14253.41</v>
      </c>
      <c r="H874">
        <v>8276.49</v>
      </c>
      <c r="I874" t="s">
        <v>120</v>
      </c>
      <c r="J874" t="s">
        <v>21</v>
      </c>
      <c r="K874" t="s">
        <v>42</v>
      </c>
      <c r="L874" t="s">
        <v>64</v>
      </c>
      <c r="M874">
        <v>1</v>
      </c>
      <c r="N874" t="s">
        <v>33</v>
      </c>
      <c r="O874" t="s">
        <v>25</v>
      </c>
      <c r="P874" t="s">
        <v>34</v>
      </c>
    </row>
    <row r="875" spans="1:16" x14ac:dyDescent="0.25">
      <c r="A875" t="s">
        <v>2241</v>
      </c>
      <c r="B875" s="6">
        <v>45234</v>
      </c>
      <c r="C875">
        <v>7479</v>
      </c>
      <c r="D875" t="s">
        <v>2243</v>
      </c>
      <c r="E875" t="s">
        <v>18</v>
      </c>
      <c r="F875" t="s">
        <v>47</v>
      </c>
      <c r="G875">
        <v>9660.02</v>
      </c>
      <c r="H875">
        <v>5214.7299999999996</v>
      </c>
      <c r="I875" t="s">
        <v>68</v>
      </c>
      <c r="J875" t="s">
        <v>41</v>
      </c>
      <c r="K875" t="s">
        <v>32</v>
      </c>
      <c r="L875" t="s">
        <v>55</v>
      </c>
      <c r="M875">
        <v>1</v>
      </c>
      <c r="N875" t="s">
        <v>33</v>
      </c>
      <c r="O875" t="s">
        <v>70</v>
      </c>
      <c r="P875" t="s">
        <v>34</v>
      </c>
    </row>
    <row r="876" spans="1:16" x14ac:dyDescent="0.25">
      <c r="A876" t="s">
        <v>2244</v>
      </c>
      <c r="B876" s="6">
        <v>45423</v>
      </c>
      <c r="C876">
        <v>7524</v>
      </c>
      <c r="D876" t="s">
        <v>2246</v>
      </c>
      <c r="E876" t="s">
        <v>38</v>
      </c>
      <c r="F876" t="s">
        <v>39</v>
      </c>
      <c r="G876">
        <v>37044.870000000003</v>
      </c>
      <c r="H876">
        <v>18779.560000000001</v>
      </c>
      <c r="I876" t="s">
        <v>84</v>
      </c>
      <c r="J876" t="s">
        <v>54</v>
      </c>
      <c r="K876" t="s">
        <v>42</v>
      </c>
      <c r="L876" t="s">
        <v>55</v>
      </c>
      <c r="M876">
        <v>1</v>
      </c>
      <c r="N876" t="s">
        <v>33</v>
      </c>
      <c r="O876" t="s">
        <v>70</v>
      </c>
      <c r="P876" t="s">
        <v>26</v>
      </c>
    </row>
    <row r="877" spans="1:16" x14ac:dyDescent="0.25">
      <c r="A877" t="s">
        <v>2247</v>
      </c>
      <c r="B877" s="6">
        <v>44462</v>
      </c>
      <c r="C877">
        <v>8683</v>
      </c>
      <c r="D877" t="s">
        <v>2249</v>
      </c>
      <c r="E877" t="s">
        <v>38</v>
      </c>
      <c r="F877" t="s">
        <v>47</v>
      </c>
      <c r="G877">
        <v>2465.08</v>
      </c>
      <c r="H877">
        <v>1222.01</v>
      </c>
      <c r="I877" t="s">
        <v>40</v>
      </c>
      <c r="J877" t="s">
        <v>41</v>
      </c>
      <c r="K877" t="s">
        <v>80</v>
      </c>
      <c r="L877" t="s">
        <v>23</v>
      </c>
      <c r="M877">
        <v>1</v>
      </c>
      <c r="N877" t="s">
        <v>24</v>
      </c>
      <c r="O877" t="s">
        <v>70</v>
      </c>
      <c r="P877" t="s">
        <v>26</v>
      </c>
    </row>
    <row r="878" spans="1:16" x14ac:dyDescent="0.25">
      <c r="A878" t="s">
        <v>2250</v>
      </c>
      <c r="B878" s="6">
        <v>44502</v>
      </c>
      <c r="C878">
        <v>9251</v>
      </c>
      <c r="D878" t="s">
        <v>2251</v>
      </c>
      <c r="E878" t="s">
        <v>18</v>
      </c>
      <c r="F878" t="s">
        <v>30</v>
      </c>
      <c r="G878">
        <v>69466.17</v>
      </c>
      <c r="H878">
        <v>41331.120000000003</v>
      </c>
      <c r="I878" t="s">
        <v>53</v>
      </c>
      <c r="J878" t="s">
        <v>54</v>
      </c>
      <c r="K878" t="s">
        <v>22</v>
      </c>
      <c r="L878" t="s">
        <v>43</v>
      </c>
      <c r="M878">
        <v>1</v>
      </c>
      <c r="N878" t="s">
        <v>69</v>
      </c>
      <c r="O878" t="s">
        <v>25</v>
      </c>
      <c r="P878" t="s">
        <v>34</v>
      </c>
    </row>
    <row r="879" spans="1:16" x14ac:dyDescent="0.25">
      <c r="A879" t="s">
        <v>2252</v>
      </c>
      <c r="B879" s="6">
        <v>45320</v>
      </c>
      <c r="C879">
        <v>7226</v>
      </c>
      <c r="D879" t="s">
        <v>2253</v>
      </c>
      <c r="E879" t="s">
        <v>18</v>
      </c>
      <c r="F879" t="s">
        <v>30</v>
      </c>
      <c r="G879">
        <v>76048.08</v>
      </c>
      <c r="H879">
        <v>41911.54</v>
      </c>
      <c r="I879" t="s">
        <v>59</v>
      </c>
      <c r="J879" t="s">
        <v>41</v>
      </c>
      <c r="K879" t="s">
        <v>32</v>
      </c>
      <c r="L879" t="s">
        <v>23</v>
      </c>
      <c r="M879">
        <v>2</v>
      </c>
      <c r="N879" t="s">
        <v>33</v>
      </c>
      <c r="O879" t="s">
        <v>70</v>
      </c>
      <c r="P879" t="s">
        <v>26</v>
      </c>
    </row>
    <row r="880" spans="1:16" x14ac:dyDescent="0.25">
      <c r="A880" t="s">
        <v>2254</v>
      </c>
      <c r="B880" s="6">
        <v>45074</v>
      </c>
      <c r="C880">
        <v>3639</v>
      </c>
      <c r="D880" t="s">
        <v>2256</v>
      </c>
      <c r="E880" t="s">
        <v>18</v>
      </c>
      <c r="F880" t="s">
        <v>47</v>
      </c>
      <c r="G880">
        <v>8054.92</v>
      </c>
      <c r="H880">
        <v>4136.29</v>
      </c>
      <c r="I880" t="s">
        <v>68</v>
      </c>
      <c r="J880" t="s">
        <v>41</v>
      </c>
      <c r="K880" t="s">
        <v>22</v>
      </c>
      <c r="L880" t="s">
        <v>48</v>
      </c>
      <c r="M880">
        <v>1</v>
      </c>
      <c r="N880" t="s">
        <v>33</v>
      </c>
      <c r="O880" t="s">
        <v>25</v>
      </c>
      <c r="P880" t="s">
        <v>49</v>
      </c>
    </row>
    <row r="881" spans="1:16" x14ac:dyDescent="0.25">
      <c r="A881" t="s">
        <v>2257</v>
      </c>
      <c r="B881" s="6">
        <v>44635</v>
      </c>
      <c r="C881">
        <v>4828</v>
      </c>
      <c r="D881" t="s">
        <v>2258</v>
      </c>
      <c r="E881" t="s">
        <v>18</v>
      </c>
      <c r="F881" t="s">
        <v>47</v>
      </c>
      <c r="G881">
        <v>7265.17</v>
      </c>
      <c r="H881">
        <v>4086.97</v>
      </c>
      <c r="I881" t="s">
        <v>31</v>
      </c>
      <c r="J881" t="s">
        <v>21</v>
      </c>
      <c r="K881" t="s">
        <v>80</v>
      </c>
      <c r="L881" t="s">
        <v>43</v>
      </c>
      <c r="M881">
        <v>1</v>
      </c>
      <c r="N881" t="s">
        <v>69</v>
      </c>
      <c r="O881" t="s">
        <v>70</v>
      </c>
      <c r="P881" t="s">
        <v>26</v>
      </c>
    </row>
    <row r="882" spans="1:16" x14ac:dyDescent="0.25">
      <c r="A882" t="s">
        <v>2259</v>
      </c>
      <c r="B882" s="6">
        <v>45535</v>
      </c>
      <c r="C882">
        <v>7325</v>
      </c>
      <c r="D882" t="s">
        <v>2260</v>
      </c>
      <c r="E882" t="s">
        <v>38</v>
      </c>
      <c r="F882" t="s">
        <v>58</v>
      </c>
      <c r="G882">
        <v>41709.46</v>
      </c>
      <c r="H882">
        <v>21995.63</v>
      </c>
      <c r="I882" t="s">
        <v>20</v>
      </c>
      <c r="J882" t="s">
        <v>21</v>
      </c>
      <c r="K882" t="s">
        <v>32</v>
      </c>
      <c r="L882" t="s">
        <v>48</v>
      </c>
      <c r="M882">
        <v>4</v>
      </c>
      <c r="N882" t="s">
        <v>24</v>
      </c>
      <c r="O882" t="s">
        <v>25</v>
      </c>
      <c r="P882" t="s">
        <v>49</v>
      </c>
    </row>
    <row r="883" spans="1:16" x14ac:dyDescent="0.25">
      <c r="A883" t="s">
        <v>2261</v>
      </c>
      <c r="B883" s="6">
        <v>45406</v>
      </c>
      <c r="C883">
        <v>5699</v>
      </c>
      <c r="D883" t="s">
        <v>2263</v>
      </c>
      <c r="E883" t="s">
        <v>18</v>
      </c>
      <c r="F883" t="s">
        <v>30</v>
      </c>
      <c r="G883">
        <v>102877.37</v>
      </c>
      <c r="H883">
        <v>54287.4</v>
      </c>
      <c r="I883" t="s">
        <v>20</v>
      </c>
      <c r="J883" t="s">
        <v>21</v>
      </c>
      <c r="K883" t="s">
        <v>42</v>
      </c>
      <c r="L883" t="s">
        <v>23</v>
      </c>
      <c r="M883">
        <v>3</v>
      </c>
      <c r="N883" t="s">
        <v>24</v>
      </c>
      <c r="O883" t="s">
        <v>25</v>
      </c>
      <c r="P883" t="s">
        <v>34</v>
      </c>
    </row>
    <row r="884" spans="1:16" x14ac:dyDescent="0.25">
      <c r="A884" t="s">
        <v>2264</v>
      </c>
      <c r="B884" s="6">
        <v>45408</v>
      </c>
      <c r="C884">
        <v>3048</v>
      </c>
      <c r="D884" t="s">
        <v>2265</v>
      </c>
      <c r="E884" t="s">
        <v>38</v>
      </c>
      <c r="F884" t="s">
        <v>39</v>
      </c>
      <c r="G884">
        <v>20801</v>
      </c>
      <c r="H884">
        <v>11048.63</v>
      </c>
      <c r="I884" t="s">
        <v>53</v>
      </c>
      <c r="J884" t="s">
        <v>54</v>
      </c>
      <c r="K884" t="s">
        <v>80</v>
      </c>
      <c r="L884" t="s">
        <v>64</v>
      </c>
      <c r="M884">
        <v>4</v>
      </c>
      <c r="N884" t="s">
        <v>33</v>
      </c>
      <c r="O884" t="s">
        <v>25</v>
      </c>
      <c r="P884" t="s">
        <v>34</v>
      </c>
    </row>
    <row r="885" spans="1:16" x14ac:dyDescent="0.25">
      <c r="A885" t="s">
        <v>2266</v>
      </c>
      <c r="B885" s="6">
        <v>45397</v>
      </c>
      <c r="C885">
        <v>4554</v>
      </c>
      <c r="D885" t="s">
        <v>2268</v>
      </c>
      <c r="E885" t="s">
        <v>18</v>
      </c>
      <c r="F885" t="s">
        <v>39</v>
      </c>
      <c r="G885">
        <v>38635.14</v>
      </c>
      <c r="H885">
        <v>24711.07</v>
      </c>
      <c r="I885" t="s">
        <v>84</v>
      </c>
      <c r="J885" t="s">
        <v>54</v>
      </c>
      <c r="K885" t="s">
        <v>42</v>
      </c>
      <c r="L885" t="s">
        <v>64</v>
      </c>
      <c r="M885">
        <v>5</v>
      </c>
      <c r="N885" t="s">
        <v>69</v>
      </c>
      <c r="O885" t="s">
        <v>70</v>
      </c>
      <c r="P885" t="s">
        <v>34</v>
      </c>
    </row>
    <row r="886" spans="1:16" x14ac:dyDescent="0.25">
      <c r="A886" t="s">
        <v>2269</v>
      </c>
      <c r="B886" s="6">
        <v>45204</v>
      </c>
      <c r="C886">
        <v>8410</v>
      </c>
      <c r="D886" t="s">
        <v>2271</v>
      </c>
      <c r="E886" t="s">
        <v>38</v>
      </c>
      <c r="F886" t="s">
        <v>39</v>
      </c>
      <c r="G886">
        <v>42382.46</v>
      </c>
      <c r="H886">
        <v>27173.37</v>
      </c>
      <c r="I886" t="s">
        <v>20</v>
      </c>
      <c r="J886" t="s">
        <v>21</v>
      </c>
      <c r="K886" t="s">
        <v>80</v>
      </c>
      <c r="L886" t="s">
        <v>55</v>
      </c>
      <c r="M886">
        <v>2</v>
      </c>
      <c r="N886" t="s">
        <v>33</v>
      </c>
      <c r="O886" t="s">
        <v>25</v>
      </c>
      <c r="P886" t="s">
        <v>26</v>
      </c>
    </row>
    <row r="887" spans="1:16" x14ac:dyDescent="0.25">
      <c r="A887" t="s">
        <v>2272</v>
      </c>
      <c r="B887" s="6">
        <v>45304</v>
      </c>
      <c r="C887">
        <v>7323</v>
      </c>
      <c r="D887" t="s">
        <v>2274</v>
      </c>
      <c r="E887" t="s">
        <v>18</v>
      </c>
      <c r="F887" t="s">
        <v>30</v>
      </c>
      <c r="G887">
        <v>39940.449999999997</v>
      </c>
      <c r="H887">
        <v>23932.09</v>
      </c>
      <c r="I887" t="s">
        <v>31</v>
      </c>
      <c r="J887" t="s">
        <v>21</v>
      </c>
      <c r="K887" t="s">
        <v>32</v>
      </c>
      <c r="L887" t="s">
        <v>48</v>
      </c>
      <c r="M887">
        <v>4</v>
      </c>
      <c r="N887" t="s">
        <v>24</v>
      </c>
      <c r="O887" t="s">
        <v>70</v>
      </c>
      <c r="P887" t="s">
        <v>26</v>
      </c>
    </row>
    <row r="888" spans="1:16" x14ac:dyDescent="0.25">
      <c r="A888" t="s">
        <v>2275</v>
      </c>
      <c r="B888" s="6">
        <v>45541</v>
      </c>
      <c r="C888">
        <v>9693</v>
      </c>
      <c r="D888" t="s">
        <v>2276</v>
      </c>
      <c r="E888" t="s">
        <v>18</v>
      </c>
      <c r="F888" t="s">
        <v>39</v>
      </c>
      <c r="G888">
        <v>43971.38</v>
      </c>
      <c r="H888">
        <v>26707.88</v>
      </c>
      <c r="I888" t="s">
        <v>53</v>
      </c>
      <c r="J888" t="s">
        <v>54</v>
      </c>
      <c r="K888" t="s">
        <v>22</v>
      </c>
      <c r="L888" t="s">
        <v>55</v>
      </c>
      <c r="M888">
        <v>1</v>
      </c>
      <c r="N888" t="s">
        <v>69</v>
      </c>
      <c r="O888" t="s">
        <v>70</v>
      </c>
      <c r="P888" t="s">
        <v>34</v>
      </c>
    </row>
    <row r="889" spans="1:16" x14ac:dyDescent="0.25">
      <c r="A889" t="s">
        <v>2277</v>
      </c>
      <c r="B889" s="6">
        <v>44639</v>
      </c>
      <c r="C889">
        <v>6039</v>
      </c>
      <c r="D889" t="s">
        <v>2279</v>
      </c>
      <c r="E889" t="s">
        <v>18</v>
      </c>
      <c r="F889" t="s">
        <v>47</v>
      </c>
      <c r="G889">
        <v>5277.56</v>
      </c>
      <c r="H889">
        <v>3334.62</v>
      </c>
      <c r="I889" t="s">
        <v>59</v>
      </c>
      <c r="J889" t="s">
        <v>41</v>
      </c>
      <c r="K889" t="s">
        <v>80</v>
      </c>
      <c r="L889" t="s">
        <v>64</v>
      </c>
      <c r="M889">
        <v>3</v>
      </c>
      <c r="N889" t="s">
        <v>24</v>
      </c>
      <c r="O889" t="s">
        <v>25</v>
      </c>
      <c r="P889" t="s">
        <v>26</v>
      </c>
    </row>
    <row r="890" spans="1:16" x14ac:dyDescent="0.25">
      <c r="A890" t="s">
        <v>2280</v>
      </c>
      <c r="B890" s="6">
        <v>44409</v>
      </c>
      <c r="C890">
        <v>9721</v>
      </c>
      <c r="D890" t="s">
        <v>2281</v>
      </c>
      <c r="E890" t="s">
        <v>38</v>
      </c>
      <c r="F890" t="s">
        <v>47</v>
      </c>
      <c r="G890">
        <v>2855.05</v>
      </c>
      <c r="H890">
        <v>1600.15</v>
      </c>
      <c r="I890" t="s">
        <v>68</v>
      </c>
      <c r="J890" t="s">
        <v>41</v>
      </c>
      <c r="K890" t="s">
        <v>80</v>
      </c>
      <c r="L890" t="s">
        <v>48</v>
      </c>
      <c r="M890">
        <v>3</v>
      </c>
      <c r="N890" t="s">
        <v>24</v>
      </c>
      <c r="O890" t="s">
        <v>70</v>
      </c>
      <c r="P890" t="s">
        <v>26</v>
      </c>
    </row>
    <row r="891" spans="1:16" x14ac:dyDescent="0.25">
      <c r="A891" t="s">
        <v>2282</v>
      </c>
      <c r="B891" s="6">
        <v>43851</v>
      </c>
      <c r="C891">
        <v>7241</v>
      </c>
      <c r="D891" t="s">
        <v>2283</v>
      </c>
      <c r="E891" t="s">
        <v>38</v>
      </c>
      <c r="F891" t="s">
        <v>47</v>
      </c>
      <c r="G891">
        <v>5431.59</v>
      </c>
      <c r="H891">
        <v>2629.39</v>
      </c>
      <c r="I891" t="s">
        <v>20</v>
      </c>
      <c r="J891" t="s">
        <v>21</v>
      </c>
      <c r="K891" t="s">
        <v>22</v>
      </c>
      <c r="L891" t="s">
        <v>43</v>
      </c>
      <c r="M891">
        <v>3</v>
      </c>
      <c r="N891" t="s">
        <v>69</v>
      </c>
      <c r="O891" t="s">
        <v>25</v>
      </c>
      <c r="P891" t="s">
        <v>26</v>
      </c>
    </row>
    <row r="892" spans="1:16" x14ac:dyDescent="0.25">
      <c r="A892" t="s">
        <v>2284</v>
      </c>
      <c r="B892" s="6">
        <v>45582</v>
      </c>
      <c r="C892">
        <v>6566</v>
      </c>
      <c r="D892" t="s">
        <v>2286</v>
      </c>
      <c r="E892" t="s">
        <v>18</v>
      </c>
      <c r="F892" t="s">
        <v>47</v>
      </c>
      <c r="G892">
        <v>20371.7</v>
      </c>
      <c r="H892">
        <v>9447.9500000000007</v>
      </c>
      <c r="I892" t="s">
        <v>63</v>
      </c>
      <c r="J892" t="s">
        <v>54</v>
      </c>
      <c r="K892" t="s">
        <v>32</v>
      </c>
      <c r="L892" t="s">
        <v>43</v>
      </c>
      <c r="M892">
        <v>3</v>
      </c>
      <c r="N892" t="s">
        <v>24</v>
      </c>
      <c r="O892" t="s">
        <v>70</v>
      </c>
      <c r="P892" t="s">
        <v>26</v>
      </c>
    </row>
    <row r="893" spans="1:16" x14ac:dyDescent="0.25">
      <c r="A893" t="s">
        <v>2287</v>
      </c>
      <c r="B893" s="6">
        <v>45076</v>
      </c>
      <c r="C893">
        <v>6811</v>
      </c>
      <c r="D893" t="s">
        <v>1111</v>
      </c>
      <c r="E893" t="s">
        <v>38</v>
      </c>
      <c r="F893" t="s">
        <v>58</v>
      </c>
      <c r="G893">
        <v>7409.18</v>
      </c>
      <c r="H893">
        <v>4654.5200000000004</v>
      </c>
      <c r="I893" t="s">
        <v>40</v>
      </c>
      <c r="J893" t="s">
        <v>41</v>
      </c>
      <c r="K893" t="s">
        <v>80</v>
      </c>
      <c r="L893" t="s">
        <v>23</v>
      </c>
      <c r="M893">
        <v>3</v>
      </c>
      <c r="N893" t="s">
        <v>69</v>
      </c>
      <c r="O893" t="s">
        <v>25</v>
      </c>
      <c r="P893" t="s">
        <v>34</v>
      </c>
    </row>
    <row r="894" spans="1:16" x14ac:dyDescent="0.25">
      <c r="A894" t="s">
        <v>2288</v>
      </c>
      <c r="B894" s="6">
        <v>45318</v>
      </c>
      <c r="C894">
        <v>4912</v>
      </c>
      <c r="D894" t="s">
        <v>2289</v>
      </c>
      <c r="E894" t="s">
        <v>38</v>
      </c>
      <c r="F894" t="s">
        <v>30</v>
      </c>
      <c r="G894">
        <v>29256.82</v>
      </c>
      <c r="H894">
        <v>18994.43</v>
      </c>
      <c r="I894" t="s">
        <v>68</v>
      </c>
      <c r="J894" t="s">
        <v>41</v>
      </c>
      <c r="K894" t="s">
        <v>42</v>
      </c>
      <c r="L894" t="s">
        <v>55</v>
      </c>
      <c r="M894">
        <v>3</v>
      </c>
      <c r="N894" t="s">
        <v>24</v>
      </c>
      <c r="O894" t="s">
        <v>70</v>
      </c>
      <c r="P894" t="s">
        <v>34</v>
      </c>
    </row>
    <row r="895" spans="1:16" x14ac:dyDescent="0.25">
      <c r="A895" t="s">
        <v>2290</v>
      </c>
      <c r="B895" s="6">
        <v>44516</v>
      </c>
      <c r="C895">
        <v>1314</v>
      </c>
      <c r="D895" t="s">
        <v>2291</v>
      </c>
      <c r="E895" t="s">
        <v>38</v>
      </c>
      <c r="F895" t="s">
        <v>30</v>
      </c>
      <c r="G895">
        <v>33820.639999999999</v>
      </c>
      <c r="H895">
        <v>21337.68</v>
      </c>
      <c r="I895" t="s">
        <v>120</v>
      </c>
      <c r="J895" t="s">
        <v>21</v>
      </c>
      <c r="K895" t="s">
        <v>80</v>
      </c>
      <c r="L895" t="s">
        <v>64</v>
      </c>
      <c r="M895">
        <v>1</v>
      </c>
      <c r="N895" t="s">
        <v>24</v>
      </c>
      <c r="O895" t="s">
        <v>25</v>
      </c>
      <c r="P895" t="s">
        <v>34</v>
      </c>
    </row>
    <row r="896" spans="1:16" x14ac:dyDescent="0.25">
      <c r="A896" t="s">
        <v>2292</v>
      </c>
      <c r="B896" s="6">
        <v>45500</v>
      </c>
      <c r="C896">
        <v>3168</v>
      </c>
      <c r="D896" t="s">
        <v>2294</v>
      </c>
      <c r="E896" t="s">
        <v>38</v>
      </c>
      <c r="F896" t="s">
        <v>47</v>
      </c>
      <c r="G896">
        <v>17233.45</v>
      </c>
      <c r="H896">
        <v>9658.94</v>
      </c>
      <c r="I896" t="s">
        <v>84</v>
      </c>
      <c r="J896" t="s">
        <v>54</v>
      </c>
      <c r="K896" t="s">
        <v>80</v>
      </c>
      <c r="L896" t="s">
        <v>88</v>
      </c>
      <c r="M896">
        <v>3</v>
      </c>
      <c r="N896" t="s">
        <v>33</v>
      </c>
      <c r="O896" t="s">
        <v>25</v>
      </c>
      <c r="P896" t="s">
        <v>49</v>
      </c>
    </row>
    <row r="897" spans="1:16" x14ac:dyDescent="0.25">
      <c r="A897" t="s">
        <v>2295</v>
      </c>
      <c r="B897" s="6">
        <v>45350</v>
      </c>
      <c r="C897">
        <v>3105</v>
      </c>
      <c r="D897" t="s">
        <v>2296</v>
      </c>
      <c r="E897" t="s">
        <v>18</v>
      </c>
      <c r="F897" t="s">
        <v>47</v>
      </c>
      <c r="G897">
        <v>8305.52</v>
      </c>
      <c r="H897">
        <v>4031.68</v>
      </c>
      <c r="I897" t="s">
        <v>84</v>
      </c>
      <c r="J897" t="s">
        <v>54</v>
      </c>
      <c r="K897" t="s">
        <v>22</v>
      </c>
      <c r="L897" t="s">
        <v>23</v>
      </c>
      <c r="M897">
        <v>5</v>
      </c>
      <c r="N897" t="s">
        <v>69</v>
      </c>
      <c r="O897" t="s">
        <v>70</v>
      </c>
      <c r="P897" t="s">
        <v>26</v>
      </c>
    </row>
    <row r="898" spans="1:16" x14ac:dyDescent="0.25">
      <c r="A898" t="s">
        <v>2297</v>
      </c>
      <c r="B898" s="6">
        <v>44878</v>
      </c>
      <c r="C898">
        <v>3559</v>
      </c>
      <c r="D898" t="s">
        <v>2298</v>
      </c>
      <c r="E898" t="s">
        <v>38</v>
      </c>
      <c r="F898" t="s">
        <v>19</v>
      </c>
      <c r="G898">
        <v>15179.45</v>
      </c>
      <c r="H898">
        <v>7835.33</v>
      </c>
      <c r="I898" t="s">
        <v>63</v>
      </c>
      <c r="J898" t="s">
        <v>54</v>
      </c>
      <c r="K898" t="s">
        <v>22</v>
      </c>
      <c r="L898" t="s">
        <v>43</v>
      </c>
      <c r="M898">
        <v>1</v>
      </c>
      <c r="N898" t="s">
        <v>33</v>
      </c>
      <c r="O898" t="s">
        <v>25</v>
      </c>
      <c r="P898" t="s">
        <v>49</v>
      </c>
    </row>
    <row r="899" spans="1:16" x14ac:dyDescent="0.25">
      <c r="A899" t="s">
        <v>2299</v>
      </c>
      <c r="B899" s="6">
        <v>45293</v>
      </c>
      <c r="C899">
        <v>4818</v>
      </c>
      <c r="D899" t="s">
        <v>2300</v>
      </c>
      <c r="E899" t="s">
        <v>18</v>
      </c>
      <c r="F899" t="s">
        <v>58</v>
      </c>
      <c r="G899">
        <v>9234.33</v>
      </c>
      <c r="H899">
        <v>4302.1099999999997</v>
      </c>
      <c r="I899" t="s">
        <v>68</v>
      </c>
      <c r="J899" t="s">
        <v>41</v>
      </c>
      <c r="K899" t="s">
        <v>42</v>
      </c>
      <c r="L899" t="s">
        <v>48</v>
      </c>
      <c r="M899">
        <v>5</v>
      </c>
      <c r="N899" t="s">
        <v>33</v>
      </c>
      <c r="O899" t="s">
        <v>70</v>
      </c>
      <c r="P899" t="s">
        <v>49</v>
      </c>
    </row>
    <row r="900" spans="1:16" x14ac:dyDescent="0.25">
      <c r="A900" t="s">
        <v>2301</v>
      </c>
      <c r="B900" s="6">
        <v>45273</v>
      </c>
      <c r="C900">
        <v>2003</v>
      </c>
      <c r="D900" t="s">
        <v>2302</v>
      </c>
      <c r="E900" t="s">
        <v>38</v>
      </c>
      <c r="F900" t="s">
        <v>19</v>
      </c>
      <c r="G900">
        <v>5331.5</v>
      </c>
      <c r="H900">
        <v>2405.91</v>
      </c>
      <c r="I900" t="s">
        <v>40</v>
      </c>
      <c r="J900" t="s">
        <v>41</v>
      </c>
      <c r="K900" t="s">
        <v>32</v>
      </c>
      <c r="L900" t="s">
        <v>23</v>
      </c>
      <c r="M900">
        <v>3</v>
      </c>
      <c r="N900" t="s">
        <v>33</v>
      </c>
      <c r="O900" t="s">
        <v>25</v>
      </c>
      <c r="P900" t="s">
        <v>26</v>
      </c>
    </row>
    <row r="901" spans="1:16" x14ac:dyDescent="0.25">
      <c r="A901" t="s">
        <v>2303</v>
      </c>
      <c r="B901" s="6">
        <v>44361</v>
      </c>
      <c r="C901">
        <v>3661</v>
      </c>
      <c r="D901" t="s">
        <v>2304</v>
      </c>
      <c r="E901" t="s">
        <v>38</v>
      </c>
      <c r="F901" t="s">
        <v>19</v>
      </c>
      <c r="G901">
        <v>10805.03</v>
      </c>
      <c r="H901">
        <v>6142.25</v>
      </c>
      <c r="I901" t="s">
        <v>31</v>
      </c>
      <c r="J901" t="s">
        <v>21</v>
      </c>
      <c r="K901" t="s">
        <v>80</v>
      </c>
      <c r="L901" t="s">
        <v>43</v>
      </c>
      <c r="M901">
        <v>3</v>
      </c>
      <c r="N901" t="s">
        <v>33</v>
      </c>
      <c r="O901" t="s">
        <v>25</v>
      </c>
      <c r="P901" t="s">
        <v>34</v>
      </c>
    </row>
    <row r="902" spans="1:16" x14ac:dyDescent="0.25">
      <c r="A902" t="s">
        <v>2305</v>
      </c>
      <c r="B902" s="6">
        <v>45641</v>
      </c>
      <c r="C902">
        <v>5611</v>
      </c>
      <c r="D902" t="s">
        <v>2307</v>
      </c>
      <c r="E902" t="s">
        <v>18</v>
      </c>
      <c r="F902" t="s">
        <v>58</v>
      </c>
      <c r="G902">
        <v>12990.22</v>
      </c>
      <c r="H902">
        <v>6008.71</v>
      </c>
      <c r="I902" t="s">
        <v>31</v>
      </c>
      <c r="J902" t="s">
        <v>21</v>
      </c>
      <c r="K902" t="s">
        <v>42</v>
      </c>
      <c r="L902" t="s">
        <v>48</v>
      </c>
      <c r="M902">
        <v>1</v>
      </c>
      <c r="N902" t="s">
        <v>24</v>
      </c>
      <c r="O902" t="s">
        <v>70</v>
      </c>
      <c r="P902" t="s">
        <v>26</v>
      </c>
    </row>
    <row r="903" spans="1:16" x14ac:dyDescent="0.25">
      <c r="A903" t="s">
        <v>2308</v>
      </c>
      <c r="B903" s="6">
        <v>45637</v>
      </c>
      <c r="C903">
        <v>6216</v>
      </c>
      <c r="D903" t="s">
        <v>2309</v>
      </c>
      <c r="E903" t="s">
        <v>38</v>
      </c>
      <c r="F903" t="s">
        <v>30</v>
      </c>
      <c r="G903">
        <v>78699.429999999993</v>
      </c>
      <c r="H903">
        <v>44945.35</v>
      </c>
      <c r="I903" t="s">
        <v>31</v>
      </c>
      <c r="J903" t="s">
        <v>21</v>
      </c>
      <c r="K903" t="s">
        <v>22</v>
      </c>
      <c r="L903" t="s">
        <v>43</v>
      </c>
      <c r="M903">
        <v>3</v>
      </c>
      <c r="N903" t="s">
        <v>24</v>
      </c>
      <c r="O903" t="s">
        <v>25</v>
      </c>
      <c r="P903" t="s">
        <v>34</v>
      </c>
    </row>
    <row r="904" spans="1:16" x14ac:dyDescent="0.25">
      <c r="A904" t="s">
        <v>2310</v>
      </c>
      <c r="B904" s="6">
        <v>44812</v>
      </c>
      <c r="C904">
        <v>9944</v>
      </c>
      <c r="D904" t="s">
        <v>2311</v>
      </c>
      <c r="E904" t="s">
        <v>18</v>
      </c>
      <c r="F904" t="s">
        <v>39</v>
      </c>
      <c r="G904">
        <v>14527.68</v>
      </c>
      <c r="H904">
        <v>7033</v>
      </c>
      <c r="I904" t="s">
        <v>120</v>
      </c>
      <c r="J904" t="s">
        <v>21</v>
      </c>
      <c r="K904" t="s">
        <v>42</v>
      </c>
      <c r="L904" t="s">
        <v>64</v>
      </c>
      <c r="M904">
        <v>4</v>
      </c>
      <c r="N904" t="s">
        <v>69</v>
      </c>
      <c r="O904" t="s">
        <v>25</v>
      </c>
      <c r="P904" t="s">
        <v>34</v>
      </c>
    </row>
    <row r="905" spans="1:16" x14ac:dyDescent="0.25">
      <c r="A905" t="s">
        <v>2312</v>
      </c>
      <c r="B905" s="6">
        <v>44394</v>
      </c>
      <c r="C905">
        <v>1401</v>
      </c>
      <c r="D905" t="s">
        <v>2313</v>
      </c>
      <c r="E905" t="s">
        <v>18</v>
      </c>
      <c r="F905" t="s">
        <v>30</v>
      </c>
      <c r="G905">
        <v>59111.86</v>
      </c>
      <c r="H905">
        <v>31110.07</v>
      </c>
      <c r="I905" t="s">
        <v>120</v>
      </c>
      <c r="J905" t="s">
        <v>21</v>
      </c>
      <c r="K905" t="s">
        <v>32</v>
      </c>
      <c r="L905" t="s">
        <v>64</v>
      </c>
      <c r="M905">
        <v>3</v>
      </c>
      <c r="N905" t="s">
        <v>33</v>
      </c>
      <c r="O905" t="s">
        <v>70</v>
      </c>
      <c r="P905" t="s">
        <v>49</v>
      </c>
    </row>
    <row r="906" spans="1:16" x14ac:dyDescent="0.25">
      <c r="A906" t="s">
        <v>2314</v>
      </c>
      <c r="B906" s="6">
        <v>44245</v>
      </c>
      <c r="C906">
        <v>7410</v>
      </c>
      <c r="D906" t="s">
        <v>2315</v>
      </c>
      <c r="E906" t="s">
        <v>38</v>
      </c>
      <c r="F906" t="s">
        <v>30</v>
      </c>
      <c r="G906">
        <v>14625.96</v>
      </c>
      <c r="H906">
        <v>7568.39</v>
      </c>
      <c r="I906" t="s">
        <v>68</v>
      </c>
      <c r="J906" t="s">
        <v>41</v>
      </c>
      <c r="K906" t="s">
        <v>22</v>
      </c>
      <c r="L906" t="s">
        <v>64</v>
      </c>
      <c r="M906">
        <v>4</v>
      </c>
      <c r="N906" t="s">
        <v>33</v>
      </c>
      <c r="O906" t="s">
        <v>70</v>
      </c>
      <c r="P906" t="s">
        <v>49</v>
      </c>
    </row>
    <row r="907" spans="1:16" x14ac:dyDescent="0.25">
      <c r="A907" t="s">
        <v>2316</v>
      </c>
      <c r="B907" s="6">
        <v>45513</v>
      </c>
      <c r="C907">
        <v>3618</v>
      </c>
      <c r="D907" t="s">
        <v>2317</v>
      </c>
      <c r="E907" t="s">
        <v>38</v>
      </c>
      <c r="F907" t="s">
        <v>30</v>
      </c>
      <c r="G907">
        <v>124116.44</v>
      </c>
      <c r="H907">
        <v>57335.85</v>
      </c>
      <c r="I907" t="s">
        <v>63</v>
      </c>
      <c r="J907" t="s">
        <v>54</v>
      </c>
      <c r="K907" t="s">
        <v>22</v>
      </c>
      <c r="L907" t="s">
        <v>55</v>
      </c>
      <c r="M907">
        <v>3</v>
      </c>
      <c r="N907" t="s">
        <v>24</v>
      </c>
      <c r="O907" t="s">
        <v>70</v>
      </c>
      <c r="P907" t="s">
        <v>26</v>
      </c>
    </row>
    <row r="908" spans="1:16" x14ac:dyDescent="0.25">
      <c r="A908" t="s">
        <v>2318</v>
      </c>
      <c r="B908" s="6">
        <v>44568</v>
      </c>
      <c r="C908">
        <v>3598</v>
      </c>
      <c r="D908" t="s">
        <v>2320</v>
      </c>
      <c r="E908" t="s">
        <v>38</v>
      </c>
      <c r="F908" t="s">
        <v>47</v>
      </c>
      <c r="G908">
        <v>12456.89</v>
      </c>
      <c r="H908">
        <v>7309.85</v>
      </c>
      <c r="I908" t="s">
        <v>53</v>
      </c>
      <c r="J908" t="s">
        <v>54</v>
      </c>
      <c r="K908" t="s">
        <v>80</v>
      </c>
      <c r="L908" t="s">
        <v>43</v>
      </c>
      <c r="M908">
        <v>1</v>
      </c>
      <c r="N908" t="s">
        <v>24</v>
      </c>
      <c r="O908" t="s">
        <v>25</v>
      </c>
      <c r="P908" t="s">
        <v>34</v>
      </c>
    </row>
    <row r="909" spans="1:16" x14ac:dyDescent="0.25">
      <c r="A909" t="s">
        <v>2321</v>
      </c>
      <c r="B909" s="6">
        <v>44804</v>
      </c>
      <c r="C909">
        <v>1290</v>
      </c>
      <c r="D909" t="s">
        <v>2322</v>
      </c>
      <c r="E909" t="s">
        <v>38</v>
      </c>
      <c r="F909" t="s">
        <v>47</v>
      </c>
      <c r="G909">
        <v>7125.11</v>
      </c>
      <c r="H909">
        <v>3557.01</v>
      </c>
      <c r="I909" t="s">
        <v>31</v>
      </c>
      <c r="J909" t="s">
        <v>21</v>
      </c>
      <c r="K909" t="s">
        <v>42</v>
      </c>
      <c r="L909" t="s">
        <v>48</v>
      </c>
      <c r="M909">
        <v>2</v>
      </c>
      <c r="N909" t="s">
        <v>69</v>
      </c>
      <c r="O909" t="s">
        <v>70</v>
      </c>
      <c r="P909" t="s">
        <v>49</v>
      </c>
    </row>
    <row r="910" spans="1:16" x14ac:dyDescent="0.25">
      <c r="A910" t="s">
        <v>2323</v>
      </c>
      <c r="B910" s="6">
        <v>45222</v>
      </c>
      <c r="C910">
        <v>4184</v>
      </c>
      <c r="D910" t="s">
        <v>2324</v>
      </c>
      <c r="E910" t="s">
        <v>18</v>
      </c>
      <c r="F910" t="s">
        <v>19</v>
      </c>
      <c r="G910">
        <v>15093.21</v>
      </c>
      <c r="H910">
        <v>9151.2999999999993</v>
      </c>
      <c r="I910" t="s">
        <v>59</v>
      </c>
      <c r="J910" t="s">
        <v>41</v>
      </c>
      <c r="K910" t="s">
        <v>32</v>
      </c>
      <c r="L910" t="s">
        <v>48</v>
      </c>
      <c r="M910">
        <v>5</v>
      </c>
      <c r="N910" t="s">
        <v>24</v>
      </c>
      <c r="O910" t="s">
        <v>70</v>
      </c>
      <c r="P910" t="s">
        <v>26</v>
      </c>
    </row>
    <row r="911" spans="1:16" x14ac:dyDescent="0.25">
      <c r="A911" t="s">
        <v>2325</v>
      </c>
      <c r="B911" s="6">
        <v>44610</v>
      </c>
      <c r="C911">
        <v>3430</v>
      </c>
      <c r="D911" t="s">
        <v>2326</v>
      </c>
      <c r="E911" t="s">
        <v>38</v>
      </c>
      <c r="F911" t="s">
        <v>47</v>
      </c>
      <c r="G911">
        <v>3516.35</v>
      </c>
      <c r="H911">
        <v>1927.62</v>
      </c>
      <c r="I911" t="s">
        <v>120</v>
      </c>
      <c r="J911" t="s">
        <v>21</v>
      </c>
      <c r="K911" t="s">
        <v>42</v>
      </c>
      <c r="L911" t="s">
        <v>55</v>
      </c>
      <c r="M911">
        <v>4</v>
      </c>
      <c r="N911" t="s">
        <v>33</v>
      </c>
      <c r="O911" t="s">
        <v>25</v>
      </c>
      <c r="P911" t="s">
        <v>34</v>
      </c>
    </row>
    <row r="912" spans="1:16" x14ac:dyDescent="0.25">
      <c r="A912" t="s">
        <v>2327</v>
      </c>
      <c r="B912" s="6">
        <v>43957</v>
      </c>
      <c r="C912">
        <v>1050</v>
      </c>
      <c r="D912" t="s">
        <v>2328</v>
      </c>
      <c r="E912" t="s">
        <v>38</v>
      </c>
      <c r="F912" t="s">
        <v>47</v>
      </c>
      <c r="G912">
        <v>5214.08</v>
      </c>
      <c r="H912">
        <v>2993.56</v>
      </c>
      <c r="I912" t="s">
        <v>120</v>
      </c>
      <c r="J912" t="s">
        <v>21</v>
      </c>
      <c r="K912" t="s">
        <v>32</v>
      </c>
      <c r="L912" t="s">
        <v>88</v>
      </c>
      <c r="M912">
        <v>3</v>
      </c>
      <c r="N912" t="s">
        <v>24</v>
      </c>
      <c r="O912" t="s">
        <v>25</v>
      </c>
      <c r="P912" t="s">
        <v>49</v>
      </c>
    </row>
    <row r="913" spans="1:16" x14ac:dyDescent="0.25">
      <c r="A913" t="s">
        <v>2329</v>
      </c>
      <c r="B913" s="6">
        <v>45601</v>
      </c>
      <c r="C913">
        <v>5843</v>
      </c>
      <c r="D913" t="s">
        <v>2331</v>
      </c>
      <c r="E913" t="s">
        <v>18</v>
      </c>
      <c r="F913" t="s">
        <v>58</v>
      </c>
      <c r="G913">
        <v>52819.97</v>
      </c>
      <c r="H913">
        <v>25828.36</v>
      </c>
      <c r="I913" t="s">
        <v>84</v>
      </c>
      <c r="J913" t="s">
        <v>54</v>
      </c>
      <c r="K913" t="s">
        <v>42</v>
      </c>
      <c r="L913" t="s">
        <v>23</v>
      </c>
      <c r="M913">
        <v>4</v>
      </c>
      <c r="N913" t="s">
        <v>33</v>
      </c>
      <c r="O913" t="s">
        <v>70</v>
      </c>
      <c r="P913" t="s">
        <v>26</v>
      </c>
    </row>
    <row r="914" spans="1:16" x14ac:dyDescent="0.25">
      <c r="A914" t="s">
        <v>2332</v>
      </c>
      <c r="B914" s="6">
        <v>44164</v>
      </c>
      <c r="C914">
        <v>7904</v>
      </c>
      <c r="D914" t="s">
        <v>2333</v>
      </c>
      <c r="E914" t="s">
        <v>18</v>
      </c>
      <c r="F914" t="s">
        <v>58</v>
      </c>
      <c r="G914">
        <v>19475.43</v>
      </c>
      <c r="H914">
        <v>11785.74</v>
      </c>
      <c r="I914" t="s">
        <v>63</v>
      </c>
      <c r="J914" t="s">
        <v>54</v>
      </c>
      <c r="K914" t="s">
        <v>32</v>
      </c>
      <c r="L914" t="s">
        <v>64</v>
      </c>
      <c r="M914">
        <v>4</v>
      </c>
      <c r="N914" t="s">
        <v>24</v>
      </c>
      <c r="O914" t="s">
        <v>25</v>
      </c>
      <c r="P914" t="s">
        <v>34</v>
      </c>
    </row>
    <row r="915" spans="1:16" x14ac:dyDescent="0.25">
      <c r="A915" t="s">
        <v>2334</v>
      </c>
      <c r="B915" s="6">
        <v>44507</v>
      </c>
      <c r="C915">
        <v>5665</v>
      </c>
      <c r="D915" t="s">
        <v>2336</v>
      </c>
      <c r="E915" t="s">
        <v>18</v>
      </c>
      <c r="F915" t="s">
        <v>30</v>
      </c>
      <c r="G915">
        <v>55909.33</v>
      </c>
      <c r="H915">
        <v>28768.75</v>
      </c>
      <c r="I915" t="s">
        <v>53</v>
      </c>
      <c r="J915" t="s">
        <v>54</v>
      </c>
      <c r="K915" t="s">
        <v>22</v>
      </c>
      <c r="L915" t="s">
        <v>55</v>
      </c>
      <c r="M915">
        <v>1</v>
      </c>
      <c r="N915" t="s">
        <v>69</v>
      </c>
      <c r="O915" t="s">
        <v>25</v>
      </c>
      <c r="P915" t="s">
        <v>34</v>
      </c>
    </row>
    <row r="916" spans="1:16" x14ac:dyDescent="0.25">
      <c r="A916" t="s">
        <v>2337</v>
      </c>
      <c r="B916" s="6">
        <v>44053</v>
      </c>
      <c r="C916">
        <v>6306</v>
      </c>
      <c r="D916" t="s">
        <v>2339</v>
      </c>
      <c r="E916" t="s">
        <v>38</v>
      </c>
      <c r="F916" t="s">
        <v>39</v>
      </c>
      <c r="G916">
        <v>11586.55</v>
      </c>
      <c r="H916">
        <v>6634.65</v>
      </c>
      <c r="I916" t="s">
        <v>84</v>
      </c>
      <c r="J916" t="s">
        <v>54</v>
      </c>
      <c r="K916" t="s">
        <v>22</v>
      </c>
      <c r="L916" t="s">
        <v>48</v>
      </c>
      <c r="M916">
        <v>3</v>
      </c>
      <c r="N916" t="s">
        <v>33</v>
      </c>
      <c r="O916" t="s">
        <v>70</v>
      </c>
      <c r="P916" t="s">
        <v>26</v>
      </c>
    </row>
    <row r="917" spans="1:16" x14ac:dyDescent="0.25">
      <c r="A917" t="s">
        <v>2340</v>
      </c>
      <c r="B917" s="6">
        <v>45546</v>
      </c>
      <c r="C917">
        <v>2112</v>
      </c>
      <c r="D917" t="s">
        <v>2341</v>
      </c>
      <c r="E917" t="s">
        <v>18</v>
      </c>
      <c r="F917" t="s">
        <v>19</v>
      </c>
      <c r="G917">
        <v>5341.65</v>
      </c>
      <c r="H917">
        <v>2962.24</v>
      </c>
      <c r="I917" t="s">
        <v>68</v>
      </c>
      <c r="J917" t="s">
        <v>41</v>
      </c>
      <c r="K917" t="s">
        <v>32</v>
      </c>
      <c r="L917" t="s">
        <v>55</v>
      </c>
      <c r="M917">
        <v>3</v>
      </c>
      <c r="N917" t="s">
        <v>69</v>
      </c>
      <c r="O917" t="s">
        <v>25</v>
      </c>
      <c r="P917" t="s">
        <v>34</v>
      </c>
    </row>
    <row r="918" spans="1:16" x14ac:dyDescent="0.25">
      <c r="A918" t="s">
        <v>2342</v>
      </c>
      <c r="B918" s="6">
        <v>45195</v>
      </c>
      <c r="C918">
        <v>7487</v>
      </c>
      <c r="D918" t="s">
        <v>2343</v>
      </c>
      <c r="E918" t="s">
        <v>18</v>
      </c>
      <c r="F918" t="s">
        <v>30</v>
      </c>
      <c r="G918">
        <v>71775.34</v>
      </c>
      <c r="H918">
        <v>33583.300000000003</v>
      </c>
      <c r="I918" t="s">
        <v>63</v>
      </c>
      <c r="J918" t="s">
        <v>54</v>
      </c>
      <c r="K918" t="s">
        <v>32</v>
      </c>
      <c r="L918" t="s">
        <v>64</v>
      </c>
      <c r="M918">
        <v>2</v>
      </c>
      <c r="N918" t="s">
        <v>33</v>
      </c>
      <c r="O918" t="s">
        <v>70</v>
      </c>
      <c r="P918" t="s">
        <v>34</v>
      </c>
    </row>
    <row r="919" spans="1:16" x14ac:dyDescent="0.25">
      <c r="A919" t="s">
        <v>2344</v>
      </c>
      <c r="B919" s="6">
        <v>44953</v>
      </c>
      <c r="C919">
        <v>4694</v>
      </c>
      <c r="D919" t="s">
        <v>2345</v>
      </c>
      <c r="E919" t="s">
        <v>38</v>
      </c>
      <c r="F919" t="s">
        <v>19</v>
      </c>
      <c r="G919">
        <v>5678.32</v>
      </c>
      <c r="H919">
        <v>2803.96</v>
      </c>
      <c r="I919" t="s">
        <v>63</v>
      </c>
      <c r="J919" t="s">
        <v>54</v>
      </c>
      <c r="K919" t="s">
        <v>32</v>
      </c>
      <c r="L919" t="s">
        <v>23</v>
      </c>
      <c r="M919">
        <v>2</v>
      </c>
      <c r="N919" t="s">
        <v>24</v>
      </c>
      <c r="O919" t="s">
        <v>25</v>
      </c>
      <c r="P919" t="s">
        <v>49</v>
      </c>
    </row>
    <row r="920" spans="1:16" x14ac:dyDescent="0.25">
      <c r="A920" t="s">
        <v>2346</v>
      </c>
      <c r="B920" s="6">
        <v>44574</v>
      </c>
      <c r="C920">
        <v>7798</v>
      </c>
      <c r="D920" t="s">
        <v>2347</v>
      </c>
      <c r="E920" t="s">
        <v>18</v>
      </c>
      <c r="F920" t="s">
        <v>30</v>
      </c>
      <c r="G920">
        <v>14929.49</v>
      </c>
      <c r="H920">
        <v>8478.9599999999991</v>
      </c>
      <c r="I920" t="s">
        <v>20</v>
      </c>
      <c r="J920" t="s">
        <v>21</v>
      </c>
      <c r="K920" t="s">
        <v>32</v>
      </c>
      <c r="L920" t="s">
        <v>23</v>
      </c>
      <c r="M920">
        <v>5</v>
      </c>
      <c r="N920" t="s">
        <v>24</v>
      </c>
      <c r="O920" t="s">
        <v>25</v>
      </c>
      <c r="P920" t="s">
        <v>26</v>
      </c>
    </row>
    <row r="921" spans="1:16" x14ac:dyDescent="0.25">
      <c r="A921" t="s">
        <v>2348</v>
      </c>
      <c r="B921" s="6">
        <v>45495</v>
      </c>
      <c r="C921">
        <v>3494</v>
      </c>
      <c r="D921" t="s">
        <v>2349</v>
      </c>
      <c r="E921" t="s">
        <v>18</v>
      </c>
      <c r="F921" t="s">
        <v>30</v>
      </c>
      <c r="G921">
        <v>98512.06</v>
      </c>
      <c r="H921">
        <v>58994.02</v>
      </c>
      <c r="I921" t="s">
        <v>120</v>
      </c>
      <c r="J921" t="s">
        <v>21</v>
      </c>
      <c r="K921" t="s">
        <v>42</v>
      </c>
      <c r="L921" t="s">
        <v>88</v>
      </c>
      <c r="M921">
        <v>5</v>
      </c>
      <c r="N921" t="s">
        <v>33</v>
      </c>
      <c r="O921" t="s">
        <v>25</v>
      </c>
      <c r="P921" t="s">
        <v>26</v>
      </c>
    </row>
    <row r="922" spans="1:16" x14ac:dyDescent="0.25">
      <c r="A922" t="s">
        <v>2350</v>
      </c>
      <c r="B922" s="6">
        <v>44695</v>
      </c>
      <c r="C922">
        <v>2952</v>
      </c>
      <c r="D922" t="s">
        <v>2351</v>
      </c>
      <c r="E922" t="s">
        <v>38</v>
      </c>
      <c r="F922" t="s">
        <v>39</v>
      </c>
      <c r="G922">
        <v>21904.44</v>
      </c>
      <c r="H922">
        <v>11808.87</v>
      </c>
      <c r="I922" t="s">
        <v>120</v>
      </c>
      <c r="J922" t="s">
        <v>21</v>
      </c>
      <c r="K922" t="s">
        <v>80</v>
      </c>
      <c r="L922" t="s">
        <v>23</v>
      </c>
      <c r="M922">
        <v>2</v>
      </c>
      <c r="N922" t="s">
        <v>33</v>
      </c>
      <c r="O922" t="s">
        <v>25</v>
      </c>
      <c r="P922" t="s">
        <v>26</v>
      </c>
    </row>
    <row r="923" spans="1:16" x14ac:dyDescent="0.25">
      <c r="A923" t="s">
        <v>2352</v>
      </c>
      <c r="B923" s="6">
        <v>45079</v>
      </c>
      <c r="C923">
        <v>4511</v>
      </c>
      <c r="D923" t="s">
        <v>2354</v>
      </c>
      <c r="E923" t="s">
        <v>38</v>
      </c>
      <c r="F923" t="s">
        <v>58</v>
      </c>
      <c r="G923">
        <v>24557.93</v>
      </c>
      <c r="H923">
        <v>11318.1</v>
      </c>
      <c r="I923" t="s">
        <v>20</v>
      </c>
      <c r="J923" t="s">
        <v>21</v>
      </c>
      <c r="K923" t="s">
        <v>32</v>
      </c>
      <c r="L923" t="s">
        <v>43</v>
      </c>
      <c r="M923">
        <v>3</v>
      </c>
      <c r="N923" t="s">
        <v>33</v>
      </c>
      <c r="O923" t="s">
        <v>25</v>
      </c>
      <c r="P923" t="s">
        <v>26</v>
      </c>
    </row>
    <row r="924" spans="1:16" x14ac:dyDescent="0.25">
      <c r="A924" t="s">
        <v>2355</v>
      </c>
      <c r="B924" s="6">
        <v>44395</v>
      </c>
      <c r="C924">
        <v>8501</v>
      </c>
      <c r="D924" t="s">
        <v>2356</v>
      </c>
      <c r="E924" t="s">
        <v>38</v>
      </c>
      <c r="F924" t="s">
        <v>47</v>
      </c>
      <c r="G924">
        <v>10223.120000000001</v>
      </c>
      <c r="H924">
        <v>4938.29</v>
      </c>
      <c r="I924" t="s">
        <v>63</v>
      </c>
      <c r="J924" t="s">
        <v>54</v>
      </c>
      <c r="K924" t="s">
        <v>80</v>
      </c>
      <c r="L924" t="s">
        <v>64</v>
      </c>
      <c r="M924">
        <v>5</v>
      </c>
      <c r="N924" t="s">
        <v>24</v>
      </c>
      <c r="O924" t="s">
        <v>70</v>
      </c>
      <c r="P924" t="s">
        <v>49</v>
      </c>
    </row>
    <row r="925" spans="1:16" x14ac:dyDescent="0.25">
      <c r="A925" t="s">
        <v>2357</v>
      </c>
      <c r="B925" s="6">
        <v>44197</v>
      </c>
      <c r="C925">
        <v>1819</v>
      </c>
      <c r="D925" t="s">
        <v>2359</v>
      </c>
      <c r="E925" t="s">
        <v>18</v>
      </c>
      <c r="F925" t="s">
        <v>58</v>
      </c>
      <c r="G925">
        <v>27432.34</v>
      </c>
      <c r="H925">
        <v>17447.84</v>
      </c>
      <c r="I925" t="s">
        <v>68</v>
      </c>
      <c r="J925" t="s">
        <v>41</v>
      </c>
      <c r="K925" t="s">
        <v>42</v>
      </c>
      <c r="L925" t="s">
        <v>64</v>
      </c>
      <c r="M925">
        <v>4</v>
      </c>
      <c r="N925" t="s">
        <v>24</v>
      </c>
      <c r="O925" t="s">
        <v>70</v>
      </c>
      <c r="P925" t="s">
        <v>26</v>
      </c>
    </row>
    <row r="926" spans="1:16" x14ac:dyDescent="0.25">
      <c r="A926" t="s">
        <v>2360</v>
      </c>
      <c r="B926" s="6">
        <v>45482</v>
      </c>
      <c r="C926">
        <v>5587</v>
      </c>
      <c r="D926" t="s">
        <v>2362</v>
      </c>
      <c r="E926" t="s">
        <v>38</v>
      </c>
      <c r="F926" t="s">
        <v>19</v>
      </c>
      <c r="G926">
        <v>19466.36</v>
      </c>
      <c r="H926">
        <v>9917.99</v>
      </c>
      <c r="I926" t="s">
        <v>63</v>
      </c>
      <c r="J926" t="s">
        <v>54</v>
      </c>
      <c r="K926" t="s">
        <v>22</v>
      </c>
      <c r="L926" t="s">
        <v>55</v>
      </c>
      <c r="M926">
        <v>3</v>
      </c>
      <c r="N926" t="s">
        <v>33</v>
      </c>
      <c r="O926" t="s">
        <v>25</v>
      </c>
      <c r="P926" t="s">
        <v>26</v>
      </c>
    </row>
    <row r="927" spans="1:16" x14ac:dyDescent="0.25">
      <c r="A927" t="s">
        <v>2363</v>
      </c>
      <c r="B927" s="6">
        <v>44942</v>
      </c>
      <c r="C927">
        <v>3860</v>
      </c>
      <c r="D927" t="s">
        <v>1375</v>
      </c>
      <c r="E927" t="s">
        <v>18</v>
      </c>
      <c r="F927" t="s">
        <v>19</v>
      </c>
      <c r="G927">
        <v>7082.86</v>
      </c>
      <c r="H927">
        <v>4214.03</v>
      </c>
      <c r="I927" t="s">
        <v>84</v>
      </c>
      <c r="J927" t="s">
        <v>54</v>
      </c>
      <c r="K927" t="s">
        <v>80</v>
      </c>
      <c r="L927" t="s">
        <v>43</v>
      </c>
      <c r="M927">
        <v>5</v>
      </c>
      <c r="N927" t="s">
        <v>33</v>
      </c>
      <c r="O927" t="s">
        <v>25</v>
      </c>
      <c r="P927" t="s">
        <v>49</v>
      </c>
    </row>
    <row r="928" spans="1:16" x14ac:dyDescent="0.25">
      <c r="A928" t="s">
        <v>2364</v>
      </c>
      <c r="B928" s="6">
        <v>44400</v>
      </c>
      <c r="C928">
        <v>7183</v>
      </c>
      <c r="D928" t="s">
        <v>2366</v>
      </c>
      <c r="E928" t="s">
        <v>18</v>
      </c>
      <c r="F928" t="s">
        <v>19</v>
      </c>
      <c r="G928">
        <v>3433.01</v>
      </c>
      <c r="H928">
        <v>1841.8</v>
      </c>
      <c r="I928" t="s">
        <v>31</v>
      </c>
      <c r="J928" t="s">
        <v>21</v>
      </c>
      <c r="K928" t="s">
        <v>80</v>
      </c>
      <c r="L928" t="s">
        <v>64</v>
      </c>
      <c r="M928">
        <v>2</v>
      </c>
      <c r="N928" t="s">
        <v>69</v>
      </c>
      <c r="O928" t="s">
        <v>25</v>
      </c>
      <c r="P928" t="s">
        <v>26</v>
      </c>
    </row>
    <row r="929" spans="1:16" x14ac:dyDescent="0.25">
      <c r="A929" t="s">
        <v>2367</v>
      </c>
      <c r="B929" s="6">
        <v>45395</v>
      </c>
      <c r="C929">
        <v>1399</v>
      </c>
      <c r="D929" t="s">
        <v>2368</v>
      </c>
      <c r="E929" t="s">
        <v>38</v>
      </c>
      <c r="F929" t="s">
        <v>19</v>
      </c>
      <c r="G929">
        <v>21832.81</v>
      </c>
      <c r="H929">
        <v>10645.98</v>
      </c>
      <c r="I929" t="s">
        <v>120</v>
      </c>
      <c r="J929" t="s">
        <v>21</v>
      </c>
      <c r="K929" t="s">
        <v>80</v>
      </c>
      <c r="L929" t="s">
        <v>55</v>
      </c>
      <c r="M929">
        <v>1</v>
      </c>
      <c r="N929" t="s">
        <v>69</v>
      </c>
      <c r="O929" t="s">
        <v>70</v>
      </c>
      <c r="P929" t="s">
        <v>34</v>
      </c>
    </row>
    <row r="930" spans="1:16" x14ac:dyDescent="0.25">
      <c r="A930" t="s">
        <v>2369</v>
      </c>
      <c r="B930" s="6">
        <v>44221</v>
      </c>
      <c r="C930">
        <v>6964</v>
      </c>
      <c r="D930" t="s">
        <v>2371</v>
      </c>
      <c r="E930" t="s">
        <v>18</v>
      </c>
      <c r="F930" t="s">
        <v>30</v>
      </c>
      <c r="G930">
        <v>47308.95</v>
      </c>
      <c r="H930">
        <v>25606.04</v>
      </c>
      <c r="I930" t="s">
        <v>31</v>
      </c>
      <c r="J930" t="s">
        <v>21</v>
      </c>
      <c r="K930" t="s">
        <v>80</v>
      </c>
      <c r="L930" t="s">
        <v>43</v>
      </c>
      <c r="M930">
        <v>2</v>
      </c>
      <c r="N930" t="s">
        <v>33</v>
      </c>
      <c r="O930" t="s">
        <v>70</v>
      </c>
      <c r="P930" t="s">
        <v>49</v>
      </c>
    </row>
    <row r="931" spans="1:16" x14ac:dyDescent="0.25">
      <c r="A931" t="s">
        <v>2372</v>
      </c>
      <c r="B931" s="6">
        <v>45135</v>
      </c>
      <c r="C931">
        <v>7582</v>
      </c>
      <c r="D931" t="s">
        <v>2373</v>
      </c>
      <c r="E931" t="s">
        <v>38</v>
      </c>
      <c r="F931" t="s">
        <v>39</v>
      </c>
      <c r="G931">
        <v>25791.02</v>
      </c>
      <c r="H931">
        <v>13398.11</v>
      </c>
      <c r="I931" t="s">
        <v>20</v>
      </c>
      <c r="J931" t="s">
        <v>21</v>
      </c>
      <c r="K931" t="s">
        <v>42</v>
      </c>
      <c r="L931" t="s">
        <v>23</v>
      </c>
      <c r="M931">
        <v>4</v>
      </c>
      <c r="N931" t="s">
        <v>24</v>
      </c>
      <c r="O931" t="s">
        <v>25</v>
      </c>
      <c r="P931" t="s">
        <v>34</v>
      </c>
    </row>
    <row r="932" spans="1:16" x14ac:dyDescent="0.25">
      <c r="A932" t="s">
        <v>2374</v>
      </c>
      <c r="B932" s="6">
        <v>44745</v>
      </c>
      <c r="C932">
        <v>8644</v>
      </c>
      <c r="D932" t="s">
        <v>2376</v>
      </c>
      <c r="E932" t="s">
        <v>38</v>
      </c>
      <c r="F932" t="s">
        <v>47</v>
      </c>
      <c r="G932">
        <v>14305.55</v>
      </c>
      <c r="H932">
        <v>8903.2000000000007</v>
      </c>
      <c r="I932" t="s">
        <v>53</v>
      </c>
      <c r="J932" t="s">
        <v>54</v>
      </c>
      <c r="K932" t="s">
        <v>32</v>
      </c>
      <c r="L932" t="s">
        <v>55</v>
      </c>
      <c r="M932">
        <v>3</v>
      </c>
      <c r="N932" t="s">
        <v>24</v>
      </c>
      <c r="O932" t="s">
        <v>70</v>
      </c>
      <c r="P932" t="s">
        <v>49</v>
      </c>
    </row>
    <row r="933" spans="1:16" x14ac:dyDescent="0.25">
      <c r="A933" t="s">
        <v>2377</v>
      </c>
      <c r="B933" s="6">
        <v>45373</v>
      </c>
      <c r="C933">
        <v>3285</v>
      </c>
      <c r="D933" t="s">
        <v>2379</v>
      </c>
      <c r="E933" t="s">
        <v>18</v>
      </c>
      <c r="F933" t="s">
        <v>30</v>
      </c>
      <c r="G933">
        <v>108303.06</v>
      </c>
      <c r="H933">
        <v>57321.56</v>
      </c>
      <c r="I933" t="s">
        <v>53</v>
      </c>
      <c r="J933" t="s">
        <v>54</v>
      </c>
      <c r="K933" t="s">
        <v>80</v>
      </c>
      <c r="L933" t="s">
        <v>55</v>
      </c>
      <c r="M933">
        <v>5</v>
      </c>
      <c r="N933" t="s">
        <v>24</v>
      </c>
      <c r="O933" t="s">
        <v>25</v>
      </c>
      <c r="P933" t="s">
        <v>49</v>
      </c>
    </row>
    <row r="934" spans="1:16" x14ac:dyDescent="0.25">
      <c r="A934" t="s">
        <v>2380</v>
      </c>
      <c r="B934" s="6">
        <v>44313</v>
      </c>
      <c r="C934">
        <v>6486</v>
      </c>
      <c r="D934" t="s">
        <v>2381</v>
      </c>
      <c r="E934" t="s">
        <v>38</v>
      </c>
      <c r="F934" t="s">
        <v>19</v>
      </c>
      <c r="G934">
        <v>5299.27</v>
      </c>
      <c r="H934">
        <v>3160.33</v>
      </c>
      <c r="I934" t="s">
        <v>84</v>
      </c>
      <c r="J934" t="s">
        <v>54</v>
      </c>
      <c r="K934" t="s">
        <v>42</v>
      </c>
      <c r="L934" t="s">
        <v>43</v>
      </c>
      <c r="M934">
        <v>4</v>
      </c>
      <c r="N934" t="s">
        <v>24</v>
      </c>
      <c r="O934" t="s">
        <v>70</v>
      </c>
      <c r="P934" t="s">
        <v>26</v>
      </c>
    </row>
    <row r="935" spans="1:16" x14ac:dyDescent="0.25">
      <c r="A935" t="s">
        <v>2382</v>
      </c>
      <c r="B935" s="6">
        <v>45346</v>
      </c>
      <c r="C935">
        <v>8432</v>
      </c>
      <c r="D935" t="s">
        <v>2384</v>
      </c>
      <c r="E935" t="s">
        <v>18</v>
      </c>
      <c r="F935" t="s">
        <v>39</v>
      </c>
      <c r="G935">
        <v>43166.91</v>
      </c>
      <c r="H935">
        <v>27154.01</v>
      </c>
      <c r="I935" t="s">
        <v>31</v>
      </c>
      <c r="J935" t="s">
        <v>21</v>
      </c>
      <c r="K935" t="s">
        <v>32</v>
      </c>
      <c r="L935" t="s">
        <v>48</v>
      </c>
      <c r="M935">
        <v>1</v>
      </c>
      <c r="N935" t="s">
        <v>69</v>
      </c>
      <c r="O935" t="s">
        <v>70</v>
      </c>
      <c r="P935" t="s">
        <v>26</v>
      </c>
    </row>
    <row r="936" spans="1:16" x14ac:dyDescent="0.25">
      <c r="A936" t="s">
        <v>2385</v>
      </c>
      <c r="B936" s="6">
        <v>44769</v>
      </c>
      <c r="C936">
        <v>4428</v>
      </c>
      <c r="D936" t="s">
        <v>2387</v>
      </c>
      <c r="E936" t="s">
        <v>18</v>
      </c>
      <c r="F936" t="s">
        <v>19</v>
      </c>
      <c r="G936">
        <v>17297.48</v>
      </c>
      <c r="H936">
        <v>8444.65</v>
      </c>
      <c r="I936" t="s">
        <v>20</v>
      </c>
      <c r="J936" t="s">
        <v>21</v>
      </c>
      <c r="K936" t="s">
        <v>22</v>
      </c>
      <c r="L936" t="s">
        <v>55</v>
      </c>
      <c r="M936">
        <v>3</v>
      </c>
      <c r="N936" t="s">
        <v>33</v>
      </c>
      <c r="O936" t="s">
        <v>25</v>
      </c>
      <c r="P936" t="s">
        <v>49</v>
      </c>
    </row>
    <row r="937" spans="1:16" x14ac:dyDescent="0.25">
      <c r="A937" t="s">
        <v>2388</v>
      </c>
      <c r="B937" s="6">
        <v>44380</v>
      </c>
      <c r="C937">
        <v>7602</v>
      </c>
      <c r="D937" t="s">
        <v>2390</v>
      </c>
      <c r="E937" t="s">
        <v>18</v>
      </c>
      <c r="F937" t="s">
        <v>30</v>
      </c>
      <c r="G937">
        <v>64199.57</v>
      </c>
      <c r="H937">
        <v>32744.55</v>
      </c>
      <c r="I937" t="s">
        <v>53</v>
      </c>
      <c r="J937" t="s">
        <v>54</v>
      </c>
      <c r="K937" t="s">
        <v>80</v>
      </c>
      <c r="L937" t="s">
        <v>88</v>
      </c>
      <c r="M937">
        <v>2</v>
      </c>
      <c r="N937" t="s">
        <v>33</v>
      </c>
      <c r="O937" t="s">
        <v>70</v>
      </c>
      <c r="P937" t="s">
        <v>34</v>
      </c>
    </row>
    <row r="938" spans="1:16" x14ac:dyDescent="0.25">
      <c r="A938" t="s">
        <v>2391</v>
      </c>
      <c r="B938" s="6">
        <v>44943</v>
      </c>
      <c r="C938">
        <v>6236</v>
      </c>
      <c r="D938" t="s">
        <v>2392</v>
      </c>
      <c r="E938" t="s">
        <v>38</v>
      </c>
      <c r="F938" t="s">
        <v>58</v>
      </c>
      <c r="G938">
        <v>10520.77</v>
      </c>
      <c r="H938">
        <v>6208.58</v>
      </c>
      <c r="I938" t="s">
        <v>31</v>
      </c>
      <c r="J938" t="s">
        <v>21</v>
      </c>
      <c r="K938" t="s">
        <v>80</v>
      </c>
      <c r="L938" t="s">
        <v>43</v>
      </c>
      <c r="M938">
        <v>1</v>
      </c>
      <c r="N938" t="s">
        <v>33</v>
      </c>
      <c r="O938" t="s">
        <v>25</v>
      </c>
      <c r="P938" t="s">
        <v>34</v>
      </c>
    </row>
    <row r="939" spans="1:16" x14ac:dyDescent="0.25">
      <c r="A939" t="s">
        <v>2393</v>
      </c>
      <c r="B939" s="6">
        <v>43850</v>
      </c>
      <c r="C939">
        <v>2422</v>
      </c>
      <c r="D939" t="s">
        <v>1200</v>
      </c>
      <c r="E939" t="s">
        <v>38</v>
      </c>
      <c r="F939" t="s">
        <v>30</v>
      </c>
      <c r="G939">
        <v>17104.169999999998</v>
      </c>
      <c r="H939">
        <v>8011.76</v>
      </c>
      <c r="I939" t="s">
        <v>40</v>
      </c>
      <c r="J939" t="s">
        <v>41</v>
      </c>
      <c r="K939" t="s">
        <v>32</v>
      </c>
      <c r="L939" t="s">
        <v>48</v>
      </c>
      <c r="M939">
        <v>1</v>
      </c>
      <c r="N939" t="s">
        <v>24</v>
      </c>
      <c r="O939" t="s">
        <v>70</v>
      </c>
      <c r="P939" t="s">
        <v>26</v>
      </c>
    </row>
    <row r="940" spans="1:16" x14ac:dyDescent="0.25">
      <c r="A940" t="s">
        <v>2394</v>
      </c>
      <c r="B940" s="6">
        <v>44922</v>
      </c>
      <c r="C940">
        <v>4548</v>
      </c>
      <c r="D940" t="s">
        <v>2395</v>
      </c>
      <c r="E940" t="s">
        <v>38</v>
      </c>
      <c r="F940" t="s">
        <v>58</v>
      </c>
      <c r="G940">
        <v>11513.29</v>
      </c>
      <c r="H940">
        <v>6755.59</v>
      </c>
      <c r="I940" t="s">
        <v>120</v>
      </c>
      <c r="J940" t="s">
        <v>21</v>
      </c>
      <c r="K940" t="s">
        <v>22</v>
      </c>
      <c r="L940" t="s">
        <v>43</v>
      </c>
      <c r="M940">
        <v>4</v>
      </c>
      <c r="N940" t="s">
        <v>33</v>
      </c>
      <c r="O940" t="s">
        <v>25</v>
      </c>
      <c r="P940" t="s">
        <v>34</v>
      </c>
    </row>
    <row r="941" spans="1:16" x14ac:dyDescent="0.25">
      <c r="A941" t="s">
        <v>2396</v>
      </c>
      <c r="B941" s="6">
        <v>44951</v>
      </c>
      <c r="C941">
        <v>2927</v>
      </c>
      <c r="D941" t="s">
        <v>2397</v>
      </c>
      <c r="E941" t="s">
        <v>38</v>
      </c>
      <c r="F941" t="s">
        <v>47</v>
      </c>
      <c r="G941">
        <v>5375.08</v>
      </c>
      <c r="H941">
        <v>2904.4</v>
      </c>
      <c r="I941" t="s">
        <v>120</v>
      </c>
      <c r="J941" t="s">
        <v>21</v>
      </c>
      <c r="K941" t="s">
        <v>32</v>
      </c>
      <c r="L941" t="s">
        <v>55</v>
      </c>
      <c r="M941">
        <v>3</v>
      </c>
      <c r="N941" t="s">
        <v>24</v>
      </c>
      <c r="O941" t="s">
        <v>25</v>
      </c>
      <c r="P941" t="s">
        <v>49</v>
      </c>
    </row>
    <row r="942" spans="1:16" x14ac:dyDescent="0.25">
      <c r="A942" t="s">
        <v>2398</v>
      </c>
      <c r="B942" s="6">
        <v>44929</v>
      </c>
      <c r="C942">
        <v>3893</v>
      </c>
      <c r="D942" t="s">
        <v>2399</v>
      </c>
      <c r="E942" t="s">
        <v>38</v>
      </c>
      <c r="F942" t="s">
        <v>58</v>
      </c>
      <c r="G942">
        <v>13280.24</v>
      </c>
      <c r="H942">
        <v>6461.31</v>
      </c>
      <c r="I942" t="s">
        <v>63</v>
      </c>
      <c r="J942" t="s">
        <v>54</v>
      </c>
      <c r="K942" t="s">
        <v>42</v>
      </c>
      <c r="L942" t="s">
        <v>48</v>
      </c>
      <c r="M942">
        <v>5</v>
      </c>
      <c r="N942" t="s">
        <v>69</v>
      </c>
      <c r="O942" t="s">
        <v>25</v>
      </c>
      <c r="P942" t="s">
        <v>34</v>
      </c>
    </row>
    <row r="943" spans="1:16" x14ac:dyDescent="0.25">
      <c r="A943" t="s">
        <v>2400</v>
      </c>
      <c r="B943" s="6">
        <v>44506</v>
      </c>
      <c r="C943">
        <v>1387</v>
      </c>
      <c r="D943" t="s">
        <v>2401</v>
      </c>
      <c r="E943" t="s">
        <v>38</v>
      </c>
      <c r="F943" t="s">
        <v>58</v>
      </c>
      <c r="G943">
        <v>16802.84</v>
      </c>
      <c r="H943">
        <v>10230.700000000001</v>
      </c>
      <c r="I943" t="s">
        <v>68</v>
      </c>
      <c r="J943" t="s">
        <v>41</v>
      </c>
      <c r="K943" t="s">
        <v>80</v>
      </c>
      <c r="L943" t="s">
        <v>55</v>
      </c>
      <c r="M943">
        <v>5</v>
      </c>
      <c r="N943" t="s">
        <v>69</v>
      </c>
      <c r="O943" t="s">
        <v>25</v>
      </c>
      <c r="P943" t="s">
        <v>49</v>
      </c>
    </row>
    <row r="944" spans="1:16" x14ac:dyDescent="0.25">
      <c r="A944" t="s">
        <v>2402</v>
      </c>
      <c r="B944" s="6">
        <v>44921</v>
      </c>
      <c r="C944">
        <v>2096</v>
      </c>
      <c r="D944" t="s">
        <v>2404</v>
      </c>
      <c r="E944" t="s">
        <v>18</v>
      </c>
      <c r="F944" t="s">
        <v>58</v>
      </c>
      <c r="G944">
        <v>13473.59</v>
      </c>
      <c r="H944">
        <v>8428.49</v>
      </c>
      <c r="I944" t="s">
        <v>53</v>
      </c>
      <c r="J944" t="s">
        <v>54</v>
      </c>
      <c r="K944" t="s">
        <v>42</v>
      </c>
      <c r="L944" t="s">
        <v>64</v>
      </c>
      <c r="M944">
        <v>4</v>
      </c>
      <c r="N944" t="s">
        <v>24</v>
      </c>
      <c r="O944" t="s">
        <v>25</v>
      </c>
      <c r="P944" t="s">
        <v>26</v>
      </c>
    </row>
    <row r="945" spans="1:16" x14ac:dyDescent="0.25">
      <c r="A945" t="s">
        <v>2405</v>
      </c>
      <c r="B945" s="6">
        <v>44297</v>
      </c>
      <c r="C945">
        <v>9944</v>
      </c>
      <c r="D945" t="s">
        <v>2407</v>
      </c>
      <c r="E945" t="s">
        <v>38</v>
      </c>
      <c r="F945" t="s">
        <v>58</v>
      </c>
      <c r="G945">
        <v>29195.09</v>
      </c>
      <c r="H945">
        <v>15928.14</v>
      </c>
      <c r="I945" t="s">
        <v>63</v>
      </c>
      <c r="J945" t="s">
        <v>54</v>
      </c>
      <c r="K945" t="s">
        <v>32</v>
      </c>
      <c r="L945" t="s">
        <v>43</v>
      </c>
      <c r="M945">
        <v>4</v>
      </c>
      <c r="N945" t="s">
        <v>33</v>
      </c>
      <c r="O945" t="s">
        <v>25</v>
      </c>
      <c r="P945" t="s">
        <v>26</v>
      </c>
    </row>
    <row r="946" spans="1:16" x14ac:dyDescent="0.25">
      <c r="A946" t="s">
        <v>2408</v>
      </c>
      <c r="B946" s="6">
        <v>44752</v>
      </c>
      <c r="C946">
        <v>9359</v>
      </c>
      <c r="D946" t="s">
        <v>2410</v>
      </c>
      <c r="E946" t="s">
        <v>18</v>
      </c>
      <c r="F946" t="s">
        <v>19</v>
      </c>
      <c r="G946">
        <v>6161.89</v>
      </c>
      <c r="H946">
        <v>3593.5</v>
      </c>
      <c r="I946" t="s">
        <v>63</v>
      </c>
      <c r="J946" t="s">
        <v>54</v>
      </c>
      <c r="K946" t="s">
        <v>22</v>
      </c>
      <c r="L946" t="s">
        <v>88</v>
      </c>
      <c r="M946">
        <v>2</v>
      </c>
      <c r="N946" t="s">
        <v>33</v>
      </c>
      <c r="O946" t="s">
        <v>25</v>
      </c>
      <c r="P946" t="s">
        <v>34</v>
      </c>
    </row>
    <row r="947" spans="1:16" x14ac:dyDescent="0.25">
      <c r="A947" t="s">
        <v>2411</v>
      </c>
      <c r="B947" s="6">
        <v>45036</v>
      </c>
      <c r="C947">
        <v>3824</v>
      </c>
      <c r="D947" t="s">
        <v>2412</v>
      </c>
      <c r="E947" t="s">
        <v>38</v>
      </c>
      <c r="F947" t="s">
        <v>19</v>
      </c>
      <c r="G947">
        <v>9935.11</v>
      </c>
      <c r="H947">
        <v>5716.72</v>
      </c>
      <c r="I947" t="s">
        <v>68</v>
      </c>
      <c r="J947" t="s">
        <v>41</v>
      </c>
      <c r="K947" t="s">
        <v>22</v>
      </c>
      <c r="L947" t="s">
        <v>23</v>
      </c>
      <c r="M947">
        <v>2</v>
      </c>
      <c r="N947" t="s">
        <v>69</v>
      </c>
      <c r="O947" t="s">
        <v>25</v>
      </c>
      <c r="P947" t="s">
        <v>26</v>
      </c>
    </row>
    <row r="948" spans="1:16" x14ac:dyDescent="0.25">
      <c r="A948" t="s">
        <v>2413</v>
      </c>
      <c r="B948" s="6">
        <v>44408</v>
      </c>
      <c r="C948">
        <v>6926</v>
      </c>
      <c r="D948" t="s">
        <v>2415</v>
      </c>
      <c r="E948" t="s">
        <v>18</v>
      </c>
      <c r="F948" t="s">
        <v>30</v>
      </c>
      <c r="G948">
        <v>61575.89</v>
      </c>
      <c r="H948">
        <v>32713.93</v>
      </c>
      <c r="I948" t="s">
        <v>20</v>
      </c>
      <c r="J948" t="s">
        <v>21</v>
      </c>
      <c r="K948" t="s">
        <v>80</v>
      </c>
      <c r="L948" t="s">
        <v>55</v>
      </c>
      <c r="M948">
        <v>3</v>
      </c>
      <c r="N948" t="s">
        <v>24</v>
      </c>
      <c r="O948" t="s">
        <v>25</v>
      </c>
      <c r="P948" t="s">
        <v>49</v>
      </c>
    </row>
    <row r="949" spans="1:16" x14ac:dyDescent="0.25">
      <c r="A949" t="s">
        <v>2416</v>
      </c>
      <c r="B949" s="6">
        <v>45042</v>
      </c>
      <c r="C949">
        <v>8853</v>
      </c>
      <c r="D949" t="s">
        <v>2418</v>
      </c>
      <c r="E949" t="s">
        <v>38</v>
      </c>
      <c r="F949" t="s">
        <v>39</v>
      </c>
      <c r="G949">
        <v>32567.25</v>
      </c>
      <c r="H949">
        <v>19575.72</v>
      </c>
      <c r="I949" t="s">
        <v>120</v>
      </c>
      <c r="J949" t="s">
        <v>21</v>
      </c>
      <c r="K949" t="s">
        <v>32</v>
      </c>
      <c r="L949" t="s">
        <v>23</v>
      </c>
      <c r="M949">
        <v>5</v>
      </c>
      <c r="N949" t="s">
        <v>24</v>
      </c>
      <c r="O949" t="s">
        <v>25</v>
      </c>
      <c r="P949" t="s">
        <v>26</v>
      </c>
    </row>
    <row r="950" spans="1:16" x14ac:dyDescent="0.25">
      <c r="A950" t="s">
        <v>2419</v>
      </c>
      <c r="B950" s="6">
        <v>45287</v>
      </c>
      <c r="C950">
        <v>1654</v>
      </c>
      <c r="D950" t="s">
        <v>2421</v>
      </c>
      <c r="E950" t="s">
        <v>38</v>
      </c>
      <c r="F950" t="s">
        <v>39</v>
      </c>
      <c r="G950">
        <v>22292.31</v>
      </c>
      <c r="H950">
        <v>11283.62</v>
      </c>
      <c r="I950" t="s">
        <v>63</v>
      </c>
      <c r="J950" t="s">
        <v>54</v>
      </c>
      <c r="K950" t="s">
        <v>42</v>
      </c>
      <c r="L950" t="s">
        <v>88</v>
      </c>
      <c r="M950">
        <v>5</v>
      </c>
      <c r="N950" t="s">
        <v>24</v>
      </c>
      <c r="O950" t="s">
        <v>70</v>
      </c>
      <c r="P950" t="s">
        <v>34</v>
      </c>
    </row>
    <row r="951" spans="1:16" x14ac:dyDescent="0.25">
      <c r="A951" t="s">
        <v>2422</v>
      </c>
      <c r="B951" s="6">
        <v>45593</v>
      </c>
      <c r="C951">
        <v>3248</v>
      </c>
      <c r="D951" t="s">
        <v>2424</v>
      </c>
      <c r="E951" t="s">
        <v>38</v>
      </c>
      <c r="F951" t="s">
        <v>19</v>
      </c>
      <c r="G951">
        <v>10484.49</v>
      </c>
      <c r="H951">
        <v>6167.87</v>
      </c>
      <c r="I951" t="s">
        <v>120</v>
      </c>
      <c r="J951" t="s">
        <v>21</v>
      </c>
      <c r="K951" t="s">
        <v>42</v>
      </c>
      <c r="L951" t="s">
        <v>43</v>
      </c>
      <c r="M951">
        <v>5</v>
      </c>
      <c r="N951" t="s">
        <v>24</v>
      </c>
      <c r="O951" t="s">
        <v>25</v>
      </c>
      <c r="P951" t="s">
        <v>49</v>
      </c>
    </row>
    <row r="952" spans="1:16" x14ac:dyDescent="0.25">
      <c r="A952" t="s">
        <v>2425</v>
      </c>
      <c r="B952" s="6">
        <v>45043</v>
      </c>
      <c r="C952">
        <v>6311</v>
      </c>
      <c r="D952" t="s">
        <v>2427</v>
      </c>
      <c r="E952" t="s">
        <v>18</v>
      </c>
      <c r="F952" t="s">
        <v>47</v>
      </c>
      <c r="G952">
        <v>13213.76</v>
      </c>
      <c r="H952">
        <v>6867.23</v>
      </c>
      <c r="I952" t="s">
        <v>53</v>
      </c>
      <c r="J952" t="s">
        <v>54</v>
      </c>
      <c r="K952" t="s">
        <v>42</v>
      </c>
      <c r="L952" t="s">
        <v>23</v>
      </c>
      <c r="M952">
        <v>3</v>
      </c>
      <c r="N952" t="s">
        <v>24</v>
      </c>
      <c r="O952" t="s">
        <v>25</v>
      </c>
      <c r="P952" t="s">
        <v>34</v>
      </c>
    </row>
    <row r="953" spans="1:16" x14ac:dyDescent="0.25">
      <c r="A953" t="s">
        <v>2428</v>
      </c>
      <c r="B953" s="6">
        <v>45363</v>
      </c>
      <c r="C953">
        <v>5833</v>
      </c>
      <c r="D953" t="s">
        <v>2429</v>
      </c>
      <c r="E953" t="s">
        <v>18</v>
      </c>
      <c r="F953" t="s">
        <v>19</v>
      </c>
      <c r="G953">
        <v>16828.75</v>
      </c>
      <c r="H953">
        <v>8789.61</v>
      </c>
      <c r="I953" t="s">
        <v>31</v>
      </c>
      <c r="J953" t="s">
        <v>21</v>
      </c>
      <c r="K953" t="s">
        <v>42</v>
      </c>
      <c r="L953" t="s">
        <v>23</v>
      </c>
      <c r="M953">
        <v>4</v>
      </c>
      <c r="N953" t="s">
        <v>24</v>
      </c>
      <c r="O953" t="s">
        <v>25</v>
      </c>
      <c r="P953" t="s">
        <v>49</v>
      </c>
    </row>
    <row r="954" spans="1:16" x14ac:dyDescent="0.25">
      <c r="A954" t="s">
        <v>2430</v>
      </c>
      <c r="B954" s="6">
        <v>44521</v>
      </c>
      <c r="C954">
        <v>3999</v>
      </c>
      <c r="D954" t="s">
        <v>2432</v>
      </c>
      <c r="E954" t="s">
        <v>38</v>
      </c>
      <c r="F954" t="s">
        <v>19</v>
      </c>
      <c r="G954">
        <v>7596.86</v>
      </c>
      <c r="H954">
        <v>4013.62</v>
      </c>
      <c r="I954" t="s">
        <v>120</v>
      </c>
      <c r="J954" t="s">
        <v>21</v>
      </c>
      <c r="K954" t="s">
        <v>42</v>
      </c>
      <c r="L954" t="s">
        <v>43</v>
      </c>
      <c r="M954">
        <v>4</v>
      </c>
      <c r="N954" t="s">
        <v>24</v>
      </c>
      <c r="O954" t="s">
        <v>25</v>
      </c>
      <c r="P954" t="s">
        <v>49</v>
      </c>
    </row>
    <row r="955" spans="1:16" x14ac:dyDescent="0.25">
      <c r="A955" t="s">
        <v>2433</v>
      </c>
      <c r="B955" s="6">
        <v>45493</v>
      </c>
      <c r="C955">
        <v>2090</v>
      </c>
      <c r="D955" t="s">
        <v>2435</v>
      </c>
      <c r="E955" t="s">
        <v>18</v>
      </c>
      <c r="F955" t="s">
        <v>47</v>
      </c>
      <c r="G955">
        <v>18974.830000000002</v>
      </c>
      <c r="H955">
        <v>9505.67</v>
      </c>
      <c r="I955" t="s">
        <v>63</v>
      </c>
      <c r="J955" t="s">
        <v>54</v>
      </c>
      <c r="K955" t="s">
        <v>80</v>
      </c>
      <c r="L955" t="s">
        <v>64</v>
      </c>
      <c r="M955">
        <v>5</v>
      </c>
      <c r="N955" t="s">
        <v>24</v>
      </c>
      <c r="O955" t="s">
        <v>25</v>
      </c>
      <c r="P955" t="s">
        <v>49</v>
      </c>
    </row>
    <row r="956" spans="1:16" x14ac:dyDescent="0.25">
      <c r="A956" t="s">
        <v>2436</v>
      </c>
      <c r="B956" s="6">
        <v>44812</v>
      </c>
      <c r="C956">
        <v>2770</v>
      </c>
      <c r="D956" t="s">
        <v>2437</v>
      </c>
      <c r="E956" t="s">
        <v>38</v>
      </c>
      <c r="F956" t="s">
        <v>58</v>
      </c>
      <c r="G956">
        <v>29010.45</v>
      </c>
      <c r="H956">
        <v>14871.58</v>
      </c>
      <c r="I956" t="s">
        <v>53</v>
      </c>
      <c r="J956" t="s">
        <v>54</v>
      </c>
      <c r="K956" t="s">
        <v>32</v>
      </c>
      <c r="L956" t="s">
        <v>23</v>
      </c>
      <c r="M956">
        <v>1</v>
      </c>
      <c r="N956" t="s">
        <v>33</v>
      </c>
      <c r="O956" t="s">
        <v>70</v>
      </c>
      <c r="P956" t="s">
        <v>26</v>
      </c>
    </row>
    <row r="957" spans="1:16" x14ac:dyDescent="0.25">
      <c r="A957" t="s">
        <v>2438</v>
      </c>
      <c r="B957" s="6">
        <v>45064</v>
      </c>
      <c r="C957">
        <v>2571</v>
      </c>
      <c r="D957" t="s">
        <v>1384</v>
      </c>
      <c r="E957" t="s">
        <v>38</v>
      </c>
      <c r="F957" t="s">
        <v>39</v>
      </c>
      <c r="G957">
        <v>18990.82</v>
      </c>
      <c r="H957">
        <v>11931.22</v>
      </c>
      <c r="I957" t="s">
        <v>63</v>
      </c>
      <c r="J957" t="s">
        <v>54</v>
      </c>
      <c r="K957" t="s">
        <v>22</v>
      </c>
      <c r="L957" t="s">
        <v>55</v>
      </c>
      <c r="M957">
        <v>1</v>
      </c>
      <c r="N957" t="s">
        <v>33</v>
      </c>
      <c r="O957" t="s">
        <v>70</v>
      </c>
      <c r="P957" t="s">
        <v>34</v>
      </c>
    </row>
    <row r="958" spans="1:16" x14ac:dyDescent="0.25">
      <c r="A958" t="s">
        <v>2439</v>
      </c>
      <c r="B958" s="6">
        <v>45219</v>
      </c>
      <c r="C958">
        <v>6792</v>
      </c>
      <c r="D958" t="s">
        <v>2150</v>
      </c>
      <c r="E958" t="s">
        <v>18</v>
      </c>
      <c r="F958" t="s">
        <v>39</v>
      </c>
      <c r="G958">
        <v>16568.55</v>
      </c>
      <c r="H958">
        <v>9290.68</v>
      </c>
      <c r="I958" t="s">
        <v>63</v>
      </c>
      <c r="J958" t="s">
        <v>54</v>
      </c>
      <c r="K958" t="s">
        <v>42</v>
      </c>
      <c r="L958" t="s">
        <v>23</v>
      </c>
      <c r="M958">
        <v>2</v>
      </c>
      <c r="N958" t="s">
        <v>69</v>
      </c>
      <c r="O958" t="s">
        <v>70</v>
      </c>
      <c r="P958" t="s">
        <v>26</v>
      </c>
    </row>
    <row r="959" spans="1:16" x14ac:dyDescent="0.25">
      <c r="A959" t="s">
        <v>2441</v>
      </c>
      <c r="B959" s="6">
        <v>44145</v>
      </c>
      <c r="C959">
        <v>8966</v>
      </c>
      <c r="D959" t="s">
        <v>2443</v>
      </c>
      <c r="E959" t="s">
        <v>18</v>
      </c>
      <c r="F959" t="s">
        <v>47</v>
      </c>
      <c r="G959">
        <v>2772.03</v>
      </c>
      <c r="H959">
        <v>1716.1</v>
      </c>
      <c r="I959" t="s">
        <v>20</v>
      </c>
      <c r="J959" t="s">
        <v>21</v>
      </c>
      <c r="K959" t="s">
        <v>32</v>
      </c>
      <c r="L959" t="s">
        <v>23</v>
      </c>
      <c r="M959">
        <v>4</v>
      </c>
      <c r="N959" t="s">
        <v>24</v>
      </c>
      <c r="O959" t="s">
        <v>70</v>
      </c>
      <c r="P959" t="s">
        <v>26</v>
      </c>
    </row>
    <row r="960" spans="1:16" x14ac:dyDescent="0.25">
      <c r="A960" t="s">
        <v>2444</v>
      </c>
      <c r="B960" s="6">
        <v>44858</v>
      </c>
      <c r="C960">
        <v>7335</v>
      </c>
      <c r="D960" t="s">
        <v>2445</v>
      </c>
      <c r="E960" t="s">
        <v>38</v>
      </c>
      <c r="F960" t="s">
        <v>39</v>
      </c>
      <c r="G960">
        <v>16850.16</v>
      </c>
      <c r="H960">
        <v>7920.81</v>
      </c>
      <c r="I960" t="s">
        <v>63</v>
      </c>
      <c r="J960" t="s">
        <v>54</v>
      </c>
      <c r="K960" t="s">
        <v>22</v>
      </c>
      <c r="L960" t="s">
        <v>64</v>
      </c>
      <c r="M960">
        <v>4</v>
      </c>
      <c r="N960" t="s">
        <v>33</v>
      </c>
      <c r="O960" t="s">
        <v>70</v>
      </c>
      <c r="P960" t="s">
        <v>34</v>
      </c>
    </row>
    <row r="961" spans="1:16" x14ac:dyDescent="0.25">
      <c r="A961" t="s">
        <v>2446</v>
      </c>
      <c r="B961" s="6">
        <v>45397</v>
      </c>
      <c r="C961">
        <v>9053</v>
      </c>
      <c r="D961" t="s">
        <v>2447</v>
      </c>
      <c r="E961" t="s">
        <v>38</v>
      </c>
      <c r="F961" t="s">
        <v>58</v>
      </c>
      <c r="G961">
        <v>34888.83</v>
      </c>
      <c r="H961">
        <v>19355.87</v>
      </c>
      <c r="I961" t="s">
        <v>59</v>
      </c>
      <c r="J961" t="s">
        <v>41</v>
      </c>
      <c r="K961" t="s">
        <v>42</v>
      </c>
      <c r="L961" t="s">
        <v>55</v>
      </c>
      <c r="M961">
        <v>4</v>
      </c>
      <c r="N961" t="s">
        <v>24</v>
      </c>
      <c r="O961" t="s">
        <v>25</v>
      </c>
      <c r="P961" t="s">
        <v>34</v>
      </c>
    </row>
    <row r="962" spans="1:16" x14ac:dyDescent="0.25">
      <c r="A962" t="s">
        <v>2448</v>
      </c>
      <c r="B962" s="6">
        <v>44188</v>
      </c>
      <c r="C962">
        <v>7187</v>
      </c>
      <c r="D962" t="s">
        <v>2449</v>
      </c>
      <c r="E962" t="s">
        <v>18</v>
      </c>
      <c r="F962" t="s">
        <v>58</v>
      </c>
      <c r="G962">
        <v>27868.94</v>
      </c>
      <c r="H962">
        <v>13695.53</v>
      </c>
      <c r="I962" t="s">
        <v>120</v>
      </c>
      <c r="J962" t="s">
        <v>21</v>
      </c>
      <c r="K962" t="s">
        <v>42</v>
      </c>
      <c r="L962" t="s">
        <v>88</v>
      </c>
      <c r="M962">
        <v>4</v>
      </c>
      <c r="N962" t="s">
        <v>33</v>
      </c>
      <c r="O962" t="s">
        <v>70</v>
      </c>
      <c r="P962" t="s">
        <v>26</v>
      </c>
    </row>
    <row r="963" spans="1:16" x14ac:dyDescent="0.25">
      <c r="A963" t="s">
        <v>2450</v>
      </c>
      <c r="B963" s="6">
        <v>45215</v>
      </c>
      <c r="C963">
        <v>2059</v>
      </c>
      <c r="D963" t="s">
        <v>2451</v>
      </c>
      <c r="E963" t="s">
        <v>38</v>
      </c>
      <c r="F963" t="s">
        <v>47</v>
      </c>
      <c r="G963">
        <v>15750.45</v>
      </c>
      <c r="H963">
        <v>7156.62</v>
      </c>
      <c r="I963" t="s">
        <v>53</v>
      </c>
      <c r="J963" t="s">
        <v>54</v>
      </c>
      <c r="K963" t="s">
        <v>42</v>
      </c>
      <c r="L963" t="s">
        <v>88</v>
      </c>
      <c r="M963">
        <v>4</v>
      </c>
      <c r="N963" t="s">
        <v>33</v>
      </c>
      <c r="O963" t="s">
        <v>25</v>
      </c>
      <c r="P963" t="s">
        <v>34</v>
      </c>
    </row>
    <row r="964" spans="1:16" x14ac:dyDescent="0.25">
      <c r="A964" t="s">
        <v>2452</v>
      </c>
      <c r="B964" s="6">
        <v>44699</v>
      </c>
      <c r="C964">
        <v>5257</v>
      </c>
      <c r="D964" t="s">
        <v>2454</v>
      </c>
      <c r="E964" t="s">
        <v>38</v>
      </c>
      <c r="F964" t="s">
        <v>30</v>
      </c>
      <c r="G964">
        <v>17655.88</v>
      </c>
      <c r="H964">
        <v>8718.9599999999991</v>
      </c>
      <c r="I964" t="s">
        <v>68</v>
      </c>
      <c r="J964" t="s">
        <v>41</v>
      </c>
      <c r="K964" t="s">
        <v>32</v>
      </c>
      <c r="L964" t="s">
        <v>55</v>
      </c>
      <c r="M964">
        <v>4</v>
      </c>
      <c r="N964" t="s">
        <v>33</v>
      </c>
      <c r="O964" t="s">
        <v>70</v>
      </c>
      <c r="P964" t="s">
        <v>26</v>
      </c>
    </row>
    <row r="965" spans="1:16" x14ac:dyDescent="0.25">
      <c r="A965" t="s">
        <v>2455</v>
      </c>
      <c r="B965" s="6">
        <v>44952</v>
      </c>
      <c r="C965">
        <v>2298</v>
      </c>
      <c r="D965" t="s">
        <v>2457</v>
      </c>
      <c r="E965" t="s">
        <v>38</v>
      </c>
      <c r="F965" t="s">
        <v>58</v>
      </c>
      <c r="G965">
        <v>28479.439999999999</v>
      </c>
      <c r="H965">
        <v>14485.51</v>
      </c>
      <c r="I965" t="s">
        <v>20</v>
      </c>
      <c r="J965" t="s">
        <v>21</v>
      </c>
      <c r="K965" t="s">
        <v>80</v>
      </c>
      <c r="L965" t="s">
        <v>88</v>
      </c>
      <c r="M965">
        <v>2</v>
      </c>
      <c r="N965" t="s">
        <v>33</v>
      </c>
      <c r="O965" t="s">
        <v>25</v>
      </c>
      <c r="P965" t="s">
        <v>49</v>
      </c>
    </row>
    <row r="966" spans="1:16" x14ac:dyDescent="0.25">
      <c r="A966" t="s">
        <v>2458</v>
      </c>
      <c r="B966" s="6">
        <v>45017</v>
      </c>
      <c r="C966">
        <v>9977</v>
      </c>
      <c r="D966" t="s">
        <v>2460</v>
      </c>
      <c r="E966" t="s">
        <v>38</v>
      </c>
      <c r="F966" t="s">
        <v>19</v>
      </c>
      <c r="G966">
        <v>23679.74</v>
      </c>
      <c r="H966">
        <v>14894.19</v>
      </c>
      <c r="I966" t="s">
        <v>63</v>
      </c>
      <c r="J966" t="s">
        <v>54</v>
      </c>
      <c r="K966" t="s">
        <v>32</v>
      </c>
      <c r="L966" t="s">
        <v>55</v>
      </c>
      <c r="M966">
        <v>2</v>
      </c>
      <c r="N966" t="s">
        <v>24</v>
      </c>
      <c r="O966" t="s">
        <v>25</v>
      </c>
      <c r="P966" t="s">
        <v>26</v>
      </c>
    </row>
    <row r="967" spans="1:16" x14ac:dyDescent="0.25">
      <c r="A967" t="s">
        <v>2461</v>
      </c>
      <c r="B967" s="6">
        <v>45575</v>
      </c>
      <c r="C967">
        <v>3931</v>
      </c>
      <c r="D967" t="s">
        <v>2463</v>
      </c>
      <c r="E967" t="s">
        <v>18</v>
      </c>
      <c r="F967" t="s">
        <v>30</v>
      </c>
      <c r="G967">
        <v>76435.48</v>
      </c>
      <c r="H967">
        <v>37251.699999999997</v>
      </c>
      <c r="I967" t="s">
        <v>63</v>
      </c>
      <c r="J967" t="s">
        <v>54</v>
      </c>
      <c r="K967" t="s">
        <v>22</v>
      </c>
      <c r="L967" t="s">
        <v>88</v>
      </c>
      <c r="M967">
        <v>2</v>
      </c>
      <c r="N967" t="s">
        <v>24</v>
      </c>
      <c r="O967" t="s">
        <v>25</v>
      </c>
      <c r="P967" t="s">
        <v>26</v>
      </c>
    </row>
    <row r="968" spans="1:16" x14ac:dyDescent="0.25">
      <c r="A968" t="s">
        <v>2464</v>
      </c>
      <c r="B968" s="6">
        <v>44437</v>
      </c>
      <c r="C968">
        <v>3167</v>
      </c>
      <c r="D968" t="s">
        <v>2465</v>
      </c>
      <c r="E968" t="s">
        <v>18</v>
      </c>
      <c r="F968" t="s">
        <v>39</v>
      </c>
      <c r="G968">
        <v>30120.36</v>
      </c>
      <c r="H968">
        <v>18579.919999999998</v>
      </c>
      <c r="I968" t="s">
        <v>20</v>
      </c>
      <c r="J968" t="s">
        <v>21</v>
      </c>
      <c r="K968" t="s">
        <v>42</v>
      </c>
      <c r="L968" t="s">
        <v>64</v>
      </c>
      <c r="M968">
        <v>2</v>
      </c>
      <c r="N968" t="s">
        <v>24</v>
      </c>
      <c r="O968" t="s">
        <v>70</v>
      </c>
      <c r="P968" t="s">
        <v>49</v>
      </c>
    </row>
    <row r="969" spans="1:16" x14ac:dyDescent="0.25">
      <c r="A969" t="s">
        <v>2466</v>
      </c>
      <c r="B969" s="6">
        <v>44024</v>
      </c>
      <c r="C969">
        <v>1009</v>
      </c>
      <c r="D969" t="s">
        <v>2467</v>
      </c>
      <c r="E969" t="s">
        <v>38</v>
      </c>
      <c r="F969" t="s">
        <v>30</v>
      </c>
      <c r="G969">
        <v>41072.769999999997</v>
      </c>
      <c r="H969">
        <v>25044.84</v>
      </c>
      <c r="I969" t="s">
        <v>84</v>
      </c>
      <c r="J969" t="s">
        <v>54</v>
      </c>
      <c r="K969" t="s">
        <v>80</v>
      </c>
      <c r="L969" t="s">
        <v>43</v>
      </c>
      <c r="M969">
        <v>5</v>
      </c>
      <c r="N969" t="s">
        <v>24</v>
      </c>
      <c r="O969" t="s">
        <v>70</v>
      </c>
      <c r="P969" t="s">
        <v>34</v>
      </c>
    </row>
    <row r="970" spans="1:16" x14ac:dyDescent="0.25">
      <c r="A970" t="s">
        <v>2468</v>
      </c>
      <c r="B970" s="6">
        <v>45134</v>
      </c>
      <c r="C970">
        <v>9576</v>
      </c>
      <c r="D970" t="s">
        <v>2470</v>
      </c>
      <c r="E970" t="s">
        <v>38</v>
      </c>
      <c r="F970" t="s">
        <v>39</v>
      </c>
      <c r="G970">
        <v>10787.76</v>
      </c>
      <c r="H970">
        <v>6705.51</v>
      </c>
      <c r="I970" t="s">
        <v>40</v>
      </c>
      <c r="J970" t="s">
        <v>41</v>
      </c>
      <c r="K970" t="s">
        <v>32</v>
      </c>
      <c r="L970" t="s">
        <v>55</v>
      </c>
      <c r="M970">
        <v>2</v>
      </c>
      <c r="N970" t="s">
        <v>33</v>
      </c>
      <c r="O970" t="s">
        <v>70</v>
      </c>
      <c r="P970" t="s">
        <v>34</v>
      </c>
    </row>
    <row r="971" spans="1:16" x14ac:dyDescent="0.25">
      <c r="A971" t="s">
        <v>2471</v>
      </c>
      <c r="B971" s="6">
        <v>44574</v>
      </c>
      <c r="C971">
        <v>8982</v>
      </c>
      <c r="D971" t="s">
        <v>2472</v>
      </c>
      <c r="E971" t="s">
        <v>18</v>
      </c>
      <c r="F971" t="s">
        <v>39</v>
      </c>
      <c r="G971">
        <v>38112.33</v>
      </c>
      <c r="H971">
        <v>18793.73</v>
      </c>
      <c r="I971" t="s">
        <v>53</v>
      </c>
      <c r="J971" t="s">
        <v>54</v>
      </c>
      <c r="K971" t="s">
        <v>32</v>
      </c>
      <c r="L971" t="s">
        <v>64</v>
      </c>
      <c r="M971">
        <v>5</v>
      </c>
      <c r="N971" t="s">
        <v>24</v>
      </c>
      <c r="O971" t="s">
        <v>70</v>
      </c>
      <c r="P971" t="s">
        <v>49</v>
      </c>
    </row>
    <row r="972" spans="1:16" x14ac:dyDescent="0.25">
      <c r="A972" t="s">
        <v>2473</v>
      </c>
      <c r="B972" s="6">
        <v>43947</v>
      </c>
      <c r="C972">
        <v>5143</v>
      </c>
      <c r="D972" t="s">
        <v>2475</v>
      </c>
      <c r="E972" t="s">
        <v>38</v>
      </c>
      <c r="F972" t="s">
        <v>39</v>
      </c>
      <c r="G972">
        <v>15131.17</v>
      </c>
      <c r="H972">
        <v>8966.4</v>
      </c>
      <c r="I972" t="s">
        <v>120</v>
      </c>
      <c r="J972" t="s">
        <v>21</v>
      </c>
      <c r="K972" t="s">
        <v>42</v>
      </c>
      <c r="L972" t="s">
        <v>23</v>
      </c>
      <c r="M972">
        <v>4</v>
      </c>
      <c r="N972" t="s">
        <v>33</v>
      </c>
      <c r="O972" t="s">
        <v>70</v>
      </c>
      <c r="P972" t="s">
        <v>26</v>
      </c>
    </row>
    <row r="973" spans="1:16" x14ac:dyDescent="0.25">
      <c r="A973" t="s">
        <v>2476</v>
      </c>
      <c r="B973" s="6">
        <v>44589</v>
      </c>
      <c r="C973">
        <v>8620</v>
      </c>
      <c r="D973" t="s">
        <v>2478</v>
      </c>
      <c r="E973" t="s">
        <v>38</v>
      </c>
      <c r="F973" t="s">
        <v>47</v>
      </c>
      <c r="G973">
        <v>10191.06</v>
      </c>
      <c r="H973">
        <v>6363.53</v>
      </c>
      <c r="I973" t="s">
        <v>40</v>
      </c>
      <c r="J973" t="s">
        <v>41</v>
      </c>
      <c r="K973" t="s">
        <v>22</v>
      </c>
      <c r="L973" t="s">
        <v>43</v>
      </c>
      <c r="M973">
        <v>3</v>
      </c>
      <c r="N973" t="s">
        <v>33</v>
      </c>
      <c r="O973" t="s">
        <v>25</v>
      </c>
      <c r="P973" t="s">
        <v>34</v>
      </c>
    </row>
    <row r="974" spans="1:16" x14ac:dyDescent="0.25">
      <c r="A974" t="s">
        <v>2479</v>
      </c>
      <c r="B974" s="6">
        <v>44720</v>
      </c>
      <c r="C974">
        <v>3718</v>
      </c>
      <c r="D974" t="s">
        <v>2480</v>
      </c>
      <c r="E974" t="s">
        <v>18</v>
      </c>
      <c r="F974" t="s">
        <v>58</v>
      </c>
      <c r="G974">
        <v>53649.22</v>
      </c>
      <c r="H974">
        <v>25708.05</v>
      </c>
      <c r="I974" t="s">
        <v>53</v>
      </c>
      <c r="J974" t="s">
        <v>54</v>
      </c>
      <c r="K974" t="s">
        <v>42</v>
      </c>
      <c r="L974" t="s">
        <v>55</v>
      </c>
      <c r="M974">
        <v>1</v>
      </c>
      <c r="N974" t="s">
        <v>24</v>
      </c>
      <c r="O974" t="s">
        <v>70</v>
      </c>
      <c r="P974" t="s">
        <v>34</v>
      </c>
    </row>
    <row r="975" spans="1:16" x14ac:dyDescent="0.25">
      <c r="A975" t="s">
        <v>2481</v>
      </c>
      <c r="B975" s="6">
        <v>45104</v>
      </c>
      <c r="C975">
        <v>6350</v>
      </c>
      <c r="D975" t="s">
        <v>2482</v>
      </c>
      <c r="E975" t="s">
        <v>38</v>
      </c>
      <c r="F975" t="s">
        <v>39</v>
      </c>
      <c r="G975">
        <v>26417.24</v>
      </c>
      <c r="H975">
        <v>16120.98</v>
      </c>
      <c r="I975" t="s">
        <v>53</v>
      </c>
      <c r="J975" t="s">
        <v>54</v>
      </c>
      <c r="K975" t="s">
        <v>22</v>
      </c>
      <c r="L975" t="s">
        <v>64</v>
      </c>
      <c r="M975">
        <v>4</v>
      </c>
      <c r="N975" t="s">
        <v>33</v>
      </c>
      <c r="O975" t="s">
        <v>25</v>
      </c>
      <c r="P975" t="s">
        <v>49</v>
      </c>
    </row>
    <row r="976" spans="1:16" x14ac:dyDescent="0.25">
      <c r="A976" t="s">
        <v>2483</v>
      </c>
      <c r="B976" s="6">
        <v>45005</v>
      </c>
      <c r="C976">
        <v>6409</v>
      </c>
      <c r="D976" t="s">
        <v>2484</v>
      </c>
      <c r="E976" t="s">
        <v>38</v>
      </c>
      <c r="F976" t="s">
        <v>19</v>
      </c>
      <c r="G976">
        <v>16221.93</v>
      </c>
      <c r="H976">
        <v>9360.7199999999993</v>
      </c>
      <c r="I976" t="s">
        <v>31</v>
      </c>
      <c r="J976" t="s">
        <v>21</v>
      </c>
      <c r="K976" t="s">
        <v>32</v>
      </c>
      <c r="L976" t="s">
        <v>23</v>
      </c>
      <c r="M976">
        <v>2</v>
      </c>
      <c r="N976" t="s">
        <v>33</v>
      </c>
      <c r="O976" t="s">
        <v>25</v>
      </c>
      <c r="P976" t="s">
        <v>34</v>
      </c>
    </row>
    <row r="977" spans="1:16" x14ac:dyDescent="0.25">
      <c r="A977" t="s">
        <v>2485</v>
      </c>
      <c r="B977" s="6">
        <v>45391</v>
      </c>
      <c r="C977">
        <v>4172</v>
      </c>
      <c r="D977" t="s">
        <v>2486</v>
      </c>
      <c r="E977" t="s">
        <v>38</v>
      </c>
      <c r="F977" t="s">
        <v>39</v>
      </c>
      <c r="G977">
        <v>50073.85</v>
      </c>
      <c r="H977">
        <v>31377.94</v>
      </c>
      <c r="I977" t="s">
        <v>63</v>
      </c>
      <c r="J977" t="s">
        <v>54</v>
      </c>
      <c r="K977" t="s">
        <v>80</v>
      </c>
      <c r="L977" t="s">
        <v>43</v>
      </c>
      <c r="M977">
        <v>5</v>
      </c>
      <c r="N977" t="s">
        <v>33</v>
      </c>
      <c r="O977" t="s">
        <v>70</v>
      </c>
      <c r="P977" t="s">
        <v>26</v>
      </c>
    </row>
    <row r="978" spans="1:16" x14ac:dyDescent="0.25">
      <c r="A978" t="s">
        <v>2487</v>
      </c>
      <c r="B978" s="6">
        <v>44809</v>
      </c>
      <c r="C978">
        <v>4589</v>
      </c>
      <c r="D978" t="s">
        <v>2488</v>
      </c>
      <c r="E978" t="s">
        <v>38</v>
      </c>
      <c r="F978" t="s">
        <v>47</v>
      </c>
      <c r="G978">
        <v>10454.379999999999</v>
      </c>
      <c r="H978">
        <v>5050.7299999999996</v>
      </c>
      <c r="I978" t="s">
        <v>68</v>
      </c>
      <c r="J978" t="s">
        <v>41</v>
      </c>
      <c r="K978" t="s">
        <v>80</v>
      </c>
      <c r="L978" t="s">
        <v>55</v>
      </c>
      <c r="M978">
        <v>1</v>
      </c>
      <c r="N978" t="s">
        <v>24</v>
      </c>
      <c r="O978" t="s">
        <v>70</v>
      </c>
      <c r="P978" t="s">
        <v>34</v>
      </c>
    </row>
    <row r="979" spans="1:16" x14ac:dyDescent="0.25">
      <c r="A979" t="s">
        <v>2489</v>
      </c>
      <c r="B979" s="6">
        <v>45424</v>
      </c>
      <c r="C979">
        <v>9977</v>
      </c>
      <c r="D979" t="s">
        <v>2491</v>
      </c>
      <c r="E979" t="s">
        <v>38</v>
      </c>
      <c r="F979" t="s">
        <v>47</v>
      </c>
      <c r="G979">
        <v>12992.57</v>
      </c>
      <c r="H979">
        <v>6695.16</v>
      </c>
      <c r="I979" t="s">
        <v>120</v>
      </c>
      <c r="J979" t="s">
        <v>21</v>
      </c>
      <c r="K979" t="s">
        <v>32</v>
      </c>
      <c r="L979" t="s">
        <v>48</v>
      </c>
      <c r="M979">
        <v>5</v>
      </c>
      <c r="N979" t="s">
        <v>24</v>
      </c>
      <c r="O979" t="s">
        <v>25</v>
      </c>
      <c r="P979" t="s">
        <v>49</v>
      </c>
    </row>
    <row r="980" spans="1:16" x14ac:dyDescent="0.25">
      <c r="A980" t="s">
        <v>2492</v>
      </c>
      <c r="B980" s="6">
        <v>44078</v>
      </c>
      <c r="C980">
        <v>6376</v>
      </c>
      <c r="D980" t="s">
        <v>2493</v>
      </c>
      <c r="E980" t="s">
        <v>38</v>
      </c>
      <c r="F980" t="s">
        <v>39</v>
      </c>
      <c r="G980">
        <v>17597.14</v>
      </c>
      <c r="H980">
        <v>10467.75</v>
      </c>
      <c r="I980" t="s">
        <v>20</v>
      </c>
      <c r="J980" t="s">
        <v>21</v>
      </c>
      <c r="K980" t="s">
        <v>80</v>
      </c>
      <c r="L980" t="s">
        <v>55</v>
      </c>
      <c r="M980">
        <v>5</v>
      </c>
      <c r="N980" t="s">
        <v>33</v>
      </c>
      <c r="O980" t="s">
        <v>70</v>
      </c>
      <c r="P980" t="s">
        <v>26</v>
      </c>
    </row>
    <row r="981" spans="1:16" x14ac:dyDescent="0.25">
      <c r="A981" t="s">
        <v>2494</v>
      </c>
      <c r="B981" s="6">
        <v>45419</v>
      </c>
      <c r="C981">
        <v>3510</v>
      </c>
      <c r="D981" t="s">
        <v>2495</v>
      </c>
      <c r="E981" t="s">
        <v>18</v>
      </c>
      <c r="F981" t="s">
        <v>39</v>
      </c>
      <c r="G981">
        <v>28137.75</v>
      </c>
      <c r="H981">
        <v>15508.65</v>
      </c>
      <c r="I981" t="s">
        <v>40</v>
      </c>
      <c r="J981" t="s">
        <v>41</v>
      </c>
      <c r="K981" t="s">
        <v>80</v>
      </c>
      <c r="L981" t="s">
        <v>48</v>
      </c>
      <c r="M981">
        <v>4</v>
      </c>
      <c r="N981" t="s">
        <v>33</v>
      </c>
      <c r="O981" t="s">
        <v>25</v>
      </c>
      <c r="P981" t="s">
        <v>26</v>
      </c>
    </row>
    <row r="982" spans="1:16" x14ac:dyDescent="0.25">
      <c r="A982" t="s">
        <v>2496</v>
      </c>
      <c r="B982" s="6">
        <v>45325</v>
      </c>
      <c r="C982">
        <v>1932</v>
      </c>
      <c r="D982" t="s">
        <v>2497</v>
      </c>
      <c r="E982" t="s">
        <v>38</v>
      </c>
      <c r="F982" t="s">
        <v>30</v>
      </c>
      <c r="G982">
        <v>62448.76</v>
      </c>
      <c r="H982">
        <v>33499.61</v>
      </c>
      <c r="I982" t="s">
        <v>84</v>
      </c>
      <c r="J982" t="s">
        <v>54</v>
      </c>
      <c r="K982" t="s">
        <v>80</v>
      </c>
      <c r="L982" t="s">
        <v>64</v>
      </c>
      <c r="M982">
        <v>1</v>
      </c>
      <c r="N982" t="s">
        <v>33</v>
      </c>
      <c r="O982" t="s">
        <v>25</v>
      </c>
      <c r="P982" t="s">
        <v>34</v>
      </c>
    </row>
    <row r="983" spans="1:16" x14ac:dyDescent="0.25">
      <c r="A983" t="s">
        <v>2498</v>
      </c>
      <c r="B983" s="6">
        <v>44671</v>
      </c>
      <c r="C983">
        <v>8046</v>
      </c>
      <c r="D983" t="s">
        <v>2500</v>
      </c>
      <c r="E983" t="s">
        <v>18</v>
      </c>
      <c r="F983" t="s">
        <v>47</v>
      </c>
      <c r="G983">
        <v>7297.01</v>
      </c>
      <c r="H983">
        <v>4174.7299999999996</v>
      </c>
      <c r="I983" t="s">
        <v>53</v>
      </c>
      <c r="J983" t="s">
        <v>54</v>
      </c>
      <c r="K983" t="s">
        <v>32</v>
      </c>
      <c r="L983" t="s">
        <v>88</v>
      </c>
      <c r="M983">
        <v>2</v>
      </c>
      <c r="N983" t="s">
        <v>24</v>
      </c>
      <c r="O983" t="s">
        <v>25</v>
      </c>
      <c r="P983" t="s">
        <v>26</v>
      </c>
    </row>
    <row r="984" spans="1:16" x14ac:dyDescent="0.25">
      <c r="A984" t="s">
        <v>2501</v>
      </c>
      <c r="B984" s="6">
        <v>44107</v>
      </c>
      <c r="C984">
        <v>9071</v>
      </c>
      <c r="D984" t="s">
        <v>2503</v>
      </c>
      <c r="E984" t="s">
        <v>18</v>
      </c>
      <c r="F984" t="s">
        <v>19</v>
      </c>
      <c r="G984">
        <v>15343.58</v>
      </c>
      <c r="H984">
        <v>9339.91</v>
      </c>
      <c r="I984" t="s">
        <v>63</v>
      </c>
      <c r="J984" t="s">
        <v>54</v>
      </c>
      <c r="K984" t="s">
        <v>32</v>
      </c>
      <c r="L984" t="s">
        <v>55</v>
      </c>
      <c r="M984">
        <v>1</v>
      </c>
      <c r="N984" t="s">
        <v>24</v>
      </c>
      <c r="O984" t="s">
        <v>25</v>
      </c>
      <c r="P984" t="s">
        <v>34</v>
      </c>
    </row>
    <row r="985" spans="1:16" x14ac:dyDescent="0.25">
      <c r="A985" t="s">
        <v>2504</v>
      </c>
      <c r="B985" s="6">
        <v>45650</v>
      </c>
      <c r="C985">
        <v>2433</v>
      </c>
      <c r="D985" t="s">
        <v>2505</v>
      </c>
      <c r="E985" t="s">
        <v>18</v>
      </c>
      <c r="F985" t="s">
        <v>19</v>
      </c>
      <c r="G985">
        <v>5527.23</v>
      </c>
      <c r="H985">
        <v>2829.68</v>
      </c>
      <c r="I985" t="s">
        <v>59</v>
      </c>
      <c r="J985" t="s">
        <v>41</v>
      </c>
      <c r="K985" t="s">
        <v>22</v>
      </c>
      <c r="L985" t="s">
        <v>55</v>
      </c>
      <c r="M985">
        <v>5</v>
      </c>
      <c r="N985" t="s">
        <v>33</v>
      </c>
      <c r="O985" t="s">
        <v>25</v>
      </c>
      <c r="P985" t="s">
        <v>26</v>
      </c>
    </row>
    <row r="986" spans="1:16" x14ac:dyDescent="0.25">
      <c r="A986" t="s">
        <v>2506</v>
      </c>
      <c r="B986" s="6">
        <v>45543</v>
      </c>
      <c r="C986">
        <v>5379</v>
      </c>
      <c r="D986" t="s">
        <v>2508</v>
      </c>
      <c r="E986" t="s">
        <v>38</v>
      </c>
      <c r="F986" t="s">
        <v>19</v>
      </c>
      <c r="G986">
        <v>11647.32</v>
      </c>
      <c r="H986">
        <v>6466.8</v>
      </c>
      <c r="I986" t="s">
        <v>68</v>
      </c>
      <c r="J986" t="s">
        <v>41</v>
      </c>
      <c r="K986" t="s">
        <v>42</v>
      </c>
      <c r="L986" t="s">
        <v>23</v>
      </c>
      <c r="M986">
        <v>1</v>
      </c>
      <c r="N986" t="s">
        <v>24</v>
      </c>
      <c r="O986" t="s">
        <v>70</v>
      </c>
      <c r="P986" t="s">
        <v>26</v>
      </c>
    </row>
    <row r="987" spans="1:16" x14ac:dyDescent="0.25">
      <c r="A987" t="s">
        <v>2509</v>
      </c>
      <c r="B987" s="6">
        <v>45041</v>
      </c>
      <c r="C987">
        <v>5648</v>
      </c>
      <c r="D987" t="s">
        <v>2510</v>
      </c>
      <c r="E987" t="s">
        <v>18</v>
      </c>
      <c r="F987" t="s">
        <v>30</v>
      </c>
      <c r="G987">
        <v>46825.38</v>
      </c>
      <c r="H987">
        <v>24242.98</v>
      </c>
      <c r="I987" t="s">
        <v>31</v>
      </c>
      <c r="J987" t="s">
        <v>21</v>
      </c>
      <c r="K987" t="s">
        <v>32</v>
      </c>
      <c r="L987" t="s">
        <v>48</v>
      </c>
      <c r="M987">
        <v>4</v>
      </c>
      <c r="N987" t="s">
        <v>69</v>
      </c>
      <c r="O987" t="s">
        <v>25</v>
      </c>
      <c r="P987" t="s">
        <v>49</v>
      </c>
    </row>
    <row r="988" spans="1:16" x14ac:dyDescent="0.25">
      <c r="A988" t="s">
        <v>2511</v>
      </c>
      <c r="B988" s="6">
        <v>44682</v>
      </c>
      <c r="C988">
        <v>6351</v>
      </c>
      <c r="D988" t="s">
        <v>360</v>
      </c>
      <c r="E988" t="s">
        <v>18</v>
      </c>
      <c r="F988" t="s">
        <v>19</v>
      </c>
      <c r="G988">
        <v>8387.85</v>
      </c>
      <c r="H988">
        <v>4024.02</v>
      </c>
      <c r="I988" t="s">
        <v>84</v>
      </c>
      <c r="J988" t="s">
        <v>54</v>
      </c>
      <c r="K988" t="s">
        <v>32</v>
      </c>
      <c r="L988" t="s">
        <v>55</v>
      </c>
      <c r="M988">
        <v>1</v>
      </c>
      <c r="N988" t="s">
        <v>33</v>
      </c>
      <c r="O988" t="s">
        <v>70</v>
      </c>
      <c r="P988" t="s">
        <v>26</v>
      </c>
    </row>
    <row r="989" spans="1:16" x14ac:dyDescent="0.25">
      <c r="A989" t="s">
        <v>2512</v>
      </c>
      <c r="B989" s="6">
        <v>45436</v>
      </c>
      <c r="C989">
        <v>6242</v>
      </c>
      <c r="D989" t="s">
        <v>2513</v>
      </c>
      <c r="E989" t="s">
        <v>18</v>
      </c>
      <c r="F989" t="s">
        <v>58</v>
      </c>
      <c r="G989">
        <v>51884.55</v>
      </c>
      <c r="H989">
        <v>27865.48</v>
      </c>
      <c r="I989" t="s">
        <v>53</v>
      </c>
      <c r="J989" t="s">
        <v>54</v>
      </c>
      <c r="K989" t="s">
        <v>22</v>
      </c>
      <c r="L989" t="s">
        <v>48</v>
      </c>
      <c r="M989">
        <v>5</v>
      </c>
      <c r="N989" t="s">
        <v>24</v>
      </c>
      <c r="O989" t="s">
        <v>25</v>
      </c>
      <c r="P989" t="s">
        <v>49</v>
      </c>
    </row>
    <row r="990" spans="1:16" x14ac:dyDescent="0.25">
      <c r="A990" t="s">
        <v>2514</v>
      </c>
      <c r="B990" s="6">
        <v>44762</v>
      </c>
      <c r="C990">
        <v>6653</v>
      </c>
      <c r="D990" t="s">
        <v>2515</v>
      </c>
      <c r="E990" t="s">
        <v>18</v>
      </c>
      <c r="F990" t="s">
        <v>19</v>
      </c>
      <c r="G990">
        <v>5051.07</v>
      </c>
      <c r="H990">
        <v>3122.69</v>
      </c>
      <c r="I990" t="s">
        <v>53</v>
      </c>
      <c r="J990" t="s">
        <v>54</v>
      </c>
      <c r="K990" t="s">
        <v>42</v>
      </c>
      <c r="L990" t="s">
        <v>64</v>
      </c>
      <c r="M990">
        <v>2</v>
      </c>
      <c r="N990" t="s">
        <v>69</v>
      </c>
      <c r="O990" t="s">
        <v>25</v>
      </c>
      <c r="P990" t="s">
        <v>34</v>
      </c>
    </row>
    <row r="991" spans="1:16" x14ac:dyDescent="0.25">
      <c r="A991" t="s">
        <v>2516</v>
      </c>
      <c r="B991" s="6">
        <v>45654</v>
      </c>
      <c r="C991">
        <v>6157</v>
      </c>
      <c r="D991" t="s">
        <v>2518</v>
      </c>
      <c r="E991" t="s">
        <v>18</v>
      </c>
      <c r="F991" t="s">
        <v>30</v>
      </c>
      <c r="G991">
        <v>15678.78</v>
      </c>
      <c r="H991">
        <v>9511.4</v>
      </c>
      <c r="I991" t="s">
        <v>120</v>
      </c>
      <c r="J991" t="s">
        <v>21</v>
      </c>
      <c r="K991" t="s">
        <v>42</v>
      </c>
      <c r="L991" t="s">
        <v>64</v>
      </c>
      <c r="M991">
        <v>1</v>
      </c>
      <c r="N991" t="s">
        <v>24</v>
      </c>
      <c r="O991" t="s">
        <v>70</v>
      </c>
      <c r="P991" t="s">
        <v>26</v>
      </c>
    </row>
    <row r="992" spans="1:16" x14ac:dyDescent="0.25">
      <c r="A992" t="s">
        <v>2519</v>
      </c>
      <c r="B992" s="6">
        <v>45069</v>
      </c>
      <c r="C992">
        <v>3957</v>
      </c>
      <c r="D992" t="s">
        <v>2520</v>
      </c>
      <c r="E992" t="s">
        <v>38</v>
      </c>
      <c r="F992" t="s">
        <v>39</v>
      </c>
      <c r="G992">
        <v>11410.97</v>
      </c>
      <c r="H992">
        <v>5155.99</v>
      </c>
      <c r="I992" t="s">
        <v>63</v>
      </c>
      <c r="J992" t="s">
        <v>54</v>
      </c>
      <c r="K992" t="s">
        <v>42</v>
      </c>
      <c r="L992" t="s">
        <v>48</v>
      </c>
      <c r="M992">
        <v>3</v>
      </c>
      <c r="N992" t="s">
        <v>69</v>
      </c>
      <c r="O992" t="s">
        <v>25</v>
      </c>
      <c r="P992" t="s">
        <v>26</v>
      </c>
    </row>
    <row r="993" spans="1:16" x14ac:dyDescent="0.25">
      <c r="A993" t="s">
        <v>2521</v>
      </c>
      <c r="B993" s="6">
        <v>44545</v>
      </c>
      <c r="C993">
        <v>9273</v>
      </c>
      <c r="D993" t="s">
        <v>2522</v>
      </c>
      <c r="E993" t="s">
        <v>38</v>
      </c>
      <c r="F993" t="s">
        <v>58</v>
      </c>
      <c r="G993">
        <v>28195</v>
      </c>
      <c r="H993">
        <v>17704.13</v>
      </c>
      <c r="I993" t="s">
        <v>84</v>
      </c>
      <c r="J993" t="s">
        <v>54</v>
      </c>
      <c r="K993" t="s">
        <v>32</v>
      </c>
      <c r="L993" t="s">
        <v>64</v>
      </c>
      <c r="M993">
        <v>1</v>
      </c>
      <c r="N993" t="s">
        <v>24</v>
      </c>
      <c r="O993" t="s">
        <v>70</v>
      </c>
      <c r="P993" t="s">
        <v>49</v>
      </c>
    </row>
    <row r="994" spans="1:16" x14ac:dyDescent="0.25">
      <c r="A994" t="s">
        <v>2523</v>
      </c>
      <c r="B994" s="6">
        <v>44770</v>
      </c>
      <c r="C994">
        <v>2028</v>
      </c>
      <c r="D994" t="s">
        <v>2525</v>
      </c>
      <c r="E994" t="s">
        <v>38</v>
      </c>
      <c r="F994" t="s">
        <v>58</v>
      </c>
      <c r="G994">
        <v>46432.14</v>
      </c>
      <c r="H994">
        <v>24769.18</v>
      </c>
      <c r="I994" t="s">
        <v>53</v>
      </c>
      <c r="J994" t="s">
        <v>54</v>
      </c>
      <c r="K994" t="s">
        <v>80</v>
      </c>
      <c r="L994" t="s">
        <v>43</v>
      </c>
      <c r="M994">
        <v>5</v>
      </c>
      <c r="N994" t="s">
        <v>33</v>
      </c>
      <c r="O994" t="s">
        <v>25</v>
      </c>
      <c r="P994" t="s">
        <v>49</v>
      </c>
    </row>
    <row r="995" spans="1:16" x14ac:dyDescent="0.25">
      <c r="A995" t="s">
        <v>2526</v>
      </c>
      <c r="B995" s="6">
        <v>44946</v>
      </c>
      <c r="C995">
        <v>5163</v>
      </c>
      <c r="D995" t="s">
        <v>2527</v>
      </c>
      <c r="E995" t="s">
        <v>38</v>
      </c>
      <c r="F995" t="s">
        <v>39</v>
      </c>
      <c r="G995">
        <v>21744.76</v>
      </c>
      <c r="H995">
        <v>12093.32</v>
      </c>
      <c r="I995" t="s">
        <v>53</v>
      </c>
      <c r="J995" t="s">
        <v>54</v>
      </c>
      <c r="K995" t="s">
        <v>22</v>
      </c>
      <c r="L995" t="s">
        <v>23</v>
      </c>
      <c r="M995">
        <v>4</v>
      </c>
      <c r="N995" t="s">
        <v>33</v>
      </c>
      <c r="O995" t="s">
        <v>25</v>
      </c>
      <c r="P995" t="s">
        <v>26</v>
      </c>
    </row>
    <row r="996" spans="1:16" x14ac:dyDescent="0.25">
      <c r="A996" t="s">
        <v>2528</v>
      </c>
      <c r="B996" s="6">
        <v>45505</v>
      </c>
      <c r="C996">
        <v>9220</v>
      </c>
      <c r="D996" t="s">
        <v>2529</v>
      </c>
      <c r="E996" t="s">
        <v>38</v>
      </c>
      <c r="F996" t="s">
        <v>30</v>
      </c>
      <c r="G996">
        <v>63871.65</v>
      </c>
      <c r="H996">
        <v>37215.64</v>
      </c>
      <c r="I996" t="s">
        <v>59</v>
      </c>
      <c r="J996" t="s">
        <v>41</v>
      </c>
      <c r="K996" t="s">
        <v>80</v>
      </c>
      <c r="L996" t="s">
        <v>43</v>
      </c>
      <c r="M996">
        <v>2</v>
      </c>
      <c r="N996" t="s">
        <v>24</v>
      </c>
      <c r="O996" t="s">
        <v>25</v>
      </c>
      <c r="P996" t="s">
        <v>26</v>
      </c>
    </row>
    <row r="997" spans="1:16" x14ac:dyDescent="0.25">
      <c r="A997" t="s">
        <v>2530</v>
      </c>
      <c r="B997" s="6">
        <v>44841</v>
      </c>
      <c r="C997">
        <v>4281</v>
      </c>
      <c r="D997" t="s">
        <v>2531</v>
      </c>
      <c r="E997" t="s">
        <v>18</v>
      </c>
      <c r="F997" t="s">
        <v>30</v>
      </c>
      <c r="G997">
        <v>46508.35</v>
      </c>
      <c r="H997">
        <v>21669.89</v>
      </c>
      <c r="I997" t="s">
        <v>59</v>
      </c>
      <c r="J997" t="s">
        <v>41</v>
      </c>
      <c r="K997" t="s">
        <v>32</v>
      </c>
      <c r="L997" t="s">
        <v>64</v>
      </c>
      <c r="M997">
        <v>1</v>
      </c>
      <c r="N997" t="s">
        <v>33</v>
      </c>
      <c r="O997" t="s">
        <v>70</v>
      </c>
      <c r="P997" t="s">
        <v>49</v>
      </c>
    </row>
    <row r="998" spans="1:16" x14ac:dyDescent="0.25">
      <c r="A998" t="s">
        <v>2532</v>
      </c>
      <c r="B998" s="6">
        <v>44644</v>
      </c>
      <c r="C998">
        <v>4343</v>
      </c>
      <c r="D998" t="s">
        <v>2533</v>
      </c>
      <c r="E998" t="s">
        <v>18</v>
      </c>
      <c r="F998" t="s">
        <v>39</v>
      </c>
      <c r="G998">
        <v>22712.61</v>
      </c>
      <c r="H998">
        <v>13696.12</v>
      </c>
      <c r="I998" t="s">
        <v>84</v>
      </c>
      <c r="J998" t="s">
        <v>54</v>
      </c>
      <c r="K998" t="s">
        <v>42</v>
      </c>
      <c r="L998" t="s">
        <v>88</v>
      </c>
      <c r="M998">
        <v>5</v>
      </c>
      <c r="N998" t="s">
        <v>24</v>
      </c>
      <c r="O998" t="s">
        <v>70</v>
      </c>
      <c r="P998" t="s">
        <v>26</v>
      </c>
    </row>
    <row r="999" spans="1:16" x14ac:dyDescent="0.25">
      <c r="A999" t="s">
        <v>2534</v>
      </c>
      <c r="B999" s="6">
        <v>43953</v>
      </c>
      <c r="C999">
        <v>5424</v>
      </c>
      <c r="D999" t="s">
        <v>2536</v>
      </c>
      <c r="E999" t="s">
        <v>18</v>
      </c>
      <c r="F999" t="s">
        <v>47</v>
      </c>
      <c r="G999">
        <v>2203.39</v>
      </c>
      <c r="H999">
        <v>1190.4000000000001</v>
      </c>
      <c r="I999" t="s">
        <v>68</v>
      </c>
      <c r="J999" t="s">
        <v>41</v>
      </c>
      <c r="K999" t="s">
        <v>22</v>
      </c>
      <c r="L999" t="s">
        <v>43</v>
      </c>
      <c r="M999">
        <v>5</v>
      </c>
      <c r="N999" t="s">
        <v>24</v>
      </c>
      <c r="O999" t="s">
        <v>25</v>
      </c>
      <c r="P999" t="s">
        <v>49</v>
      </c>
    </row>
    <row r="1000" spans="1:16" x14ac:dyDescent="0.25">
      <c r="A1000" t="s">
        <v>2537</v>
      </c>
      <c r="B1000" s="6">
        <v>43921</v>
      </c>
      <c r="C1000">
        <v>4101</v>
      </c>
      <c r="D1000" t="s">
        <v>2538</v>
      </c>
      <c r="E1000" t="s">
        <v>38</v>
      </c>
      <c r="F1000" t="s">
        <v>39</v>
      </c>
      <c r="G1000">
        <v>23201.55</v>
      </c>
      <c r="H1000">
        <v>14667.65</v>
      </c>
      <c r="I1000" t="s">
        <v>20</v>
      </c>
      <c r="J1000" t="s">
        <v>21</v>
      </c>
      <c r="K1000" t="s">
        <v>22</v>
      </c>
      <c r="L1000" t="s">
        <v>55</v>
      </c>
      <c r="M1000">
        <v>2</v>
      </c>
      <c r="N1000" t="s">
        <v>33</v>
      </c>
      <c r="O1000" t="s">
        <v>25</v>
      </c>
      <c r="P1000" t="s">
        <v>49</v>
      </c>
    </row>
    <row r="1001" spans="1:16" x14ac:dyDescent="0.25">
      <c r="A1001" t="s">
        <v>2539</v>
      </c>
      <c r="B1001" s="6">
        <v>45471</v>
      </c>
      <c r="C1001">
        <v>6573</v>
      </c>
      <c r="D1001" t="s">
        <v>2541</v>
      </c>
      <c r="E1001" t="s">
        <v>38</v>
      </c>
      <c r="F1001" t="s">
        <v>47</v>
      </c>
      <c r="G1001">
        <v>15510.4</v>
      </c>
      <c r="H1001">
        <v>8321.02</v>
      </c>
      <c r="I1001" t="s">
        <v>120</v>
      </c>
      <c r="J1001" t="s">
        <v>21</v>
      </c>
      <c r="K1001" t="s">
        <v>80</v>
      </c>
      <c r="L1001" t="s">
        <v>23</v>
      </c>
      <c r="M1001">
        <v>2</v>
      </c>
      <c r="N1001" t="s">
        <v>33</v>
      </c>
      <c r="O1001" t="s">
        <v>70</v>
      </c>
      <c r="P1001" t="s">
        <v>49</v>
      </c>
    </row>
    <row r="1002" spans="1:16" x14ac:dyDescent="0.25">
      <c r="A1002" t="s">
        <v>2542</v>
      </c>
      <c r="B1002" s="6">
        <v>45628</v>
      </c>
      <c r="C1002">
        <v>8501</v>
      </c>
      <c r="D1002" t="s">
        <v>2544</v>
      </c>
      <c r="E1002" t="s">
        <v>38</v>
      </c>
      <c r="F1002" t="s">
        <v>47</v>
      </c>
      <c r="G1002">
        <v>8159.59</v>
      </c>
      <c r="H1002">
        <v>4273.78</v>
      </c>
      <c r="I1002" t="s">
        <v>20</v>
      </c>
      <c r="J1002" t="s">
        <v>21</v>
      </c>
      <c r="K1002" t="s">
        <v>22</v>
      </c>
      <c r="L1002" t="s">
        <v>55</v>
      </c>
      <c r="M1002">
        <v>4</v>
      </c>
      <c r="N1002" t="s">
        <v>33</v>
      </c>
      <c r="O1002" t="s">
        <v>25</v>
      </c>
      <c r="P1002" t="s">
        <v>26</v>
      </c>
    </row>
    <row r="1003" spans="1:16" x14ac:dyDescent="0.25">
      <c r="A1003" t="s">
        <v>2545</v>
      </c>
      <c r="B1003" s="6">
        <v>44565</v>
      </c>
      <c r="C1003">
        <v>8593</v>
      </c>
      <c r="D1003" t="s">
        <v>2546</v>
      </c>
      <c r="E1003" t="s">
        <v>18</v>
      </c>
      <c r="F1003" t="s">
        <v>19</v>
      </c>
      <c r="G1003">
        <v>4083.12</v>
      </c>
      <c r="H1003">
        <v>1915.78</v>
      </c>
      <c r="I1003" t="s">
        <v>59</v>
      </c>
      <c r="J1003" t="s">
        <v>41</v>
      </c>
      <c r="K1003" t="s">
        <v>22</v>
      </c>
      <c r="L1003" t="s">
        <v>43</v>
      </c>
      <c r="M1003">
        <v>2</v>
      </c>
      <c r="N1003" t="s">
        <v>24</v>
      </c>
      <c r="O1003" t="s">
        <v>25</v>
      </c>
      <c r="P1003" t="s">
        <v>49</v>
      </c>
    </row>
    <row r="1004" spans="1:16" x14ac:dyDescent="0.25">
      <c r="A1004" t="s">
        <v>2547</v>
      </c>
      <c r="B1004" s="6">
        <v>45618</v>
      </c>
      <c r="C1004">
        <v>5031</v>
      </c>
      <c r="D1004" t="s">
        <v>2548</v>
      </c>
      <c r="E1004" t="s">
        <v>38</v>
      </c>
      <c r="F1004" t="s">
        <v>58</v>
      </c>
      <c r="G1004">
        <v>34840.019999999997</v>
      </c>
      <c r="H1004">
        <v>18643.87</v>
      </c>
      <c r="I1004" t="s">
        <v>120</v>
      </c>
      <c r="J1004" t="s">
        <v>21</v>
      </c>
      <c r="K1004" t="s">
        <v>22</v>
      </c>
      <c r="L1004" t="s">
        <v>55</v>
      </c>
      <c r="M1004">
        <v>1</v>
      </c>
      <c r="N1004" t="s">
        <v>69</v>
      </c>
      <c r="O1004" t="s">
        <v>70</v>
      </c>
      <c r="P1004" t="s">
        <v>26</v>
      </c>
    </row>
    <row r="1005" spans="1:16" x14ac:dyDescent="0.25">
      <c r="A1005" t="s">
        <v>2549</v>
      </c>
      <c r="B1005" s="6">
        <v>44772</v>
      </c>
      <c r="C1005">
        <v>9699</v>
      </c>
      <c r="D1005" t="s">
        <v>2550</v>
      </c>
      <c r="E1005" t="s">
        <v>38</v>
      </c>
      <c r="F1005" t="s">
        <v>47</v>
      </c>
      <c r="G1005">
        <v>3438.9</v>
      </c>
      <c r="H1005">
        <v>1759.61</v>
      </c>
      <c r="I1005" t="s">
        <v>120</v>
      </c>
      <c r="J1005" t="s">
        <v>21</v>
      </c>
      <c r="K1005" t="s">
        <v>42</v>
      </c>
      <c r="L1005" t="s">
        <v>64</v>
      </c>
      <c r="M1005">
        <v>1</v>
      </c>
      <c r="N1005" t="s">
        <v>33</v>
      </c>
      <c r="O1005" t="s">
        <v>25</v>
      </c>
      <c r="P1005" t="s">
        <v>26</v>
      </c>
    </row>
    <row r="1006" spans="1:16" x14ac:dyDescent="0.25">
      <c r="A1006" t="s">
        <v>2551</v>
      </c>
      <c r="B1006" s="6">
        <v>44978</v>
      </c>
      <c r="C1006">
        <v>2857</v>
      </c>
      <c r="D1006" t="s">
        <v>2552</v>
      </c>
      <c r="E1006" t="s">
        <v>18</v>
      </c>
      <c r="F1006" t="s">
        <v>47</v>
      </c>
      <c r="G1006">
        <v>16885.439999999999</v>
      </c>
      <c r="H1006">
        <v>10192.049999999999</v>
      </c>
      <c r="I1006" t="s">
        <v>20</v>
      </c>
      <c r="J1006" t="s">
        <v>21</v>
      </c>
      <c r="K1006" t="s">
        <v>42</v>
      </c>
      <c r="L1006" t="s">
        <v>55</v>
      </c>
      <c r="M1006">
        <v>2</v>
      </c>
      <c r="N1006" t="s">
        <v>24</v>
      </c>
      <c r="O1006" t="s">
        <v>25</v>
      </c>
      <c r="P1006" t="s">
        <v>26</v>
      </c>
    </row>
    <row r="1007" spans="1:16" x14ac:dyDescent="0.25">
      <c r="A1007" t="s">
        <v>2553</v>
      </c>
      <c r="B1007" s="6">
        <v>45569</v>
      </c>
      <c r="C1007">
        <v>9993</v>
      </c>
      <c r="D1007" t="s">
        <v>2555</v>
      </c>
      <c r="E1007" t="s">
        <v>38</v>
      </c>
      <c r="F1007" t="s">
        <v>39</v>
      </c>
      <c r="G1007">
        <v>55362.81</v>
      </c>
      <c r="H1007">
        <v>32197.9</v>
      </c>
      <c r="I1007" t="s">
        <v>53</v>
      </c>
      <c r="J1007" t="s">
        <v>54</v>
      </c>
      <c r="K1007" t="s">
        <v>22</v>
      </c>
      <c r="L1007" t="s">
        <v>64</v>
      </c>
      <c r="M1007">
        <v>1</v>
      </c>
      <c r="N1007" t="s">
        <v>33</v>
      </c>
      <c r="O1007" t="s">
        <v>70</v>
      </c>
      <c r="P1007" t="s">
        <v>26</v>
      </c>
    </row>
    <row r="1008" spans="1:16" x14ac:dyDescent="0.25">
      <c r="A1008" t="s">
        <v>2556</v>
      </c>
      <c r="B1008" s="6">
        <v>44245</v>
      </c>
      <c r="C1008">
        <v>1065</v>
      </c>
      <c r="D1008" t="s">
        <v>2557</v>
      </c>
      <c r="E1008" t="s">
        <v>18</v>
      </c>
      <c r="F1008" t="s">
        <v>19</v>
      </c>
      <c r="G1008">
        <v>13961.53</v>
      </c>
      <c r="H1008">
        <v>6401.43</v>
      </c>
      <c r="I1008" t="s">
        <v>120</v>
      </c>
      <c r="J1008" t="s">
        <v>21</v>
      </c>
      <c r="K1008" t="s">
        <v>42</v>
      </c>
      <c r="L1008" t="s">
        <v>64</v>
      </c>
      <c r="M1008">
        <v>5</v>
      </c>
      <c r="N1008" t="s">
        <v>33</v>
      </c>
      <c r="O1008" t="s">
        <v>25</v>
      </c>
      <c r="P1008" t="s">
        <v>49</v>
      </c>
    </row>
    <row r="1009" spans="1:16" x14ac:dyDescent="0.25">
      <c r="A1009" t="s">
        <v>2558</v>
      </c>
      <c r="B1009" s="6">
        <v>44529</v>
      </c>
      <c r="C1009">
        <v>2701</v>
      </c>
      <c r="D1009" t="s">
        <v>2560</v>
      </c>
      <c r="E1009" t="s">
        <v>18</v>
      </c>
      <c r="F1009" t="s">
        <v>58</v>
      </c>
      <c r="G1009">
        <v>16193.57</v>
      </c>
      <c r="H1009">
        <v>9647.31</v>
      </c>
      <c r="I1009" t="s">
        <v>68</v>
      </c>
      <c r="J1009" t="s">
        <v>41</v>
      </c>
      <c r="K1009" t="s">
        <v>32</v>
      </c>
      <c r="L1009" t="s">
        <v>23</v>
      </c>
      <c r="M1009">
        <v>5</v>
      </c>
      <c r="N1009" t="s">
        <v>33</v>
      </c>
      <c r="O1009" t="s">
        <v>25</v>
      </c>
      <c r="P1009" t="s">
        <v>49</v>
      </c>
    </row>
    <row r="1010" spans="1:16" x14ac:dyDescent="0.25">
      <c r="A1010" t="s">
        <v>2561</v>
      </c>
      <c r="B1010" s="6">
        <v>45388</v>
      </c>
      <c r="C1010">
        <v>9971</v>
      </c>
      <c r="D1010" t="s">
        <v>2562</v>
      </c>
      <c r="E1010" t="s">
        <v>18</v>
      </c>
      <c r="F1010" t="s">
        <v>30</v>
      </c>
      <c r="G1010">
        <v>20417.66</v>
      </c>
      <c r="H1010">
        <v>10049.6</v>
      </c>
      <c r="I1010" t="s">
        <v>120</v>
      </c>
      <c r="J1010" t="s">
        <v>21</v>
      </c>
      <c r="K1010" t="s">
        <v>80</v>
      </c>
      <c r="L1010" t="s">
        <v>23</v>
      </c>
      <c r="M1010">
        <v>5</v>
      </c>
      <c r="N1010" t="s">
        <v>33</v>
      </c>
      <c r="O1010" t="s">
        <v>25</v>
      </c>
      <c r="P1010" t="s">
        <v>49</v>
      </c>
    </row>
    <row r="1011" spans="1:16" x14ac:dyDescent="0.25">
      <c r="A1011" t="s">
        <v>2563</v>
      </c>
      <c r="B1011" s="6">
        <v>44260</v>
      </c>
      <c r="C1011">
        <v>5177</v>
      </c>
      <c r="D1011" t="s">
        <v>2565</v>
      </c>
      <c r="E1011" t="s">
        <v>38</v>
      </c>
      <c r="F1011" t="s">
        <v>39</v>
      </c>
      <c r="G1011">
        <v>7188.9</v>
      </c>
      <c r="H1011">
        <v>3399.79</v>
      </c>
      <c r="I1011" t="s">
        <v>84</v>
      </c>
      <c r="J1011" t="s">
        <v>54</v>
      </c>
      <c r="K1011" t="s">
        <v>32</v>
      </c>
      <c r="L1011" t="s">
        <v>48</v>
      </c>
      <c r="M1011">
        <v>3</v>
      </c>
      <c r="N1011" t="s">
        <v>24</v>
      </c>
      <c r="O1011" t="s">
        <v>25</v>
      </c>
      <c r="P1011" t="s">
        <v>49</v>
      </c>
    </row>
    <row r="1012" spans="1:16" x14ac:dyDescent="0.25">
      <c r="A1012" t="s">
        <v>2566</v>
      </c>
      <c r="B1012" s="6">
        <v>45410</v>
      </c>
      <c r="C1012">
        <v>1762</v>
      </c>
      <c r="D1012" t="s">
        <v>2567</v>
      </c>
      <c r="E1012" t="s">
        <v>18</v>
      </c>
      <c r="F1012" t="s">
        <v>39</v>
      </c>
      <c r="G1012">
        <v>36967.81</v>
      </c>
      <c r="H1012">
        <v>17618.580000000002</v>
      </c>
      <c r="I1012" t="s">
        <v>31</v>
      </c>
      <c r="J1012" t="s">
        <v>21</v>
      </c>
      <c r="K1012" t="s">
        <v>32</v>
      </c>
      <c r="L1012" t="s">
        <v>88</v>
      </c>
      <c r="M1012">
        <v>1</v>
      </c>
      <c r="N1012" t="s">
        <v>24</v>
      </c>
      <c r="O1012" t="s">
        <v>70</v>
      </c>
      <c r="P1012" t="s">
        <v>49</v>
      </c>
    </row>
    <row r="1013" spans="1:16" x14ac:dyDescent="0.25">
      <c r="A1013" t="s">
        <v>2568</v>
      </c>
      <c r="B1013" s="6">
        <v>44302</v>
      </c>
      <c r="C1013">
        <v>3365</v>
      </c>
      <c r="D1013" t="s">
        <v>2569</v>
      </c>
      <c r="E1013" t="s">
        <v>18</v>
      </c>
      <c r="F1013" t="s">
        <v>58</v>
      </c>
      <c r="G1013">
        <v>35495.620000000003</v>
      </c>
      <c r="H1013">
        <v>21550.080000000002</v>
      </c>
      <c r="I1013" t="s">
        <v>84</v>
      </c>
      <c r="J1013" t="s">
        <v>54</v>
      </c>
      <c r="K1013" t="s">
        <v>42</v>
      </c>
      <c r="L1013" t="s">
        <v>88</v>
      </c>
      <c r="M1013">
        <v>4</v>
      </c>
      <c r="N1013" t="s">
        <v>33</v>
      </c>
      <c r="O1013" t="s">
        <v>25</v>
      </c>
      <c r="P1013" t="s">
        <v>34</v>
      </c>
    </row>
    <row r="1014" spans="1:16" x14ac:dyDescent="0.25">
      <c r="A1014" t="s">
        <v>2570</v>
      </c>
      <c r="B1014" s="6">
        <v>44396</v>
      </c>
      <c r="C1014">
        <v>4080</v>
      </c>
      <c r="D1014" t="s">
        <v>2571</v>
      </c>
      <c r="E1014" t="s">
        <v>18</v>
      </c>
      <c r="F1014" t="s">
        <v>47</v>
      </c>
      <c r="G1014">
        <v>8796.39</v>
      </c>
      <c r="H1014">
        <v>5628.18</v>
      </c>
      <c r="I1014" t="s">
        <v>63</v>
      </c>
      <c r="J1014" t="s">
        <v>54</v>
      </c>
      <c r="K1014" t="s">
        <v>80</v>
      </c>
      <c r="L1014" t="s">
        <v>55</v>
      </c>
      <c r="M1014">
        <v>3</v>
      </c>
      <c r="N1014" t="s">
        <v>33</v>
      </c>
      <c r="O1014" t="s">
        <v>25</v>
      </c>
      <c r="P1014" t="s">
        <v>26</v>
      </c>
    </row>
    <row r="1015" spans="1:16" x14ac:dyDescent="0.25">
      <c r="A1015" t="s">
        <v>2572</v>
      </c>
      <c r="B1015" s="6">
        <v>45031</v>
      </c>
      <c r="C1015">
        <v>2809</v>
      </c>
      <c r="D1015" t="s">
        <v>1324</v>
      </c>
      <c r="E1015" t="s">
        <v>38</v>
      </c>
      <c r="F1015" t="s">
        <v>19</v>
      </c>
      <c r="G1015">
        <v>6371.14</v>
      </c>
      <c r="H1015">
        <v>3222.94</v>
      </c>
      <c r="I1015" t="s">
        <v>20</v>
      </c>
      <c r="J1015" t="s">
        <v>21</v>
      </c>
      <c r="K1015" t="s">
        <v>80</v>
      </c>
      <c r="L1015" t="s">
        <v>55</v>
      </c>
      <c r="M1015">
        <v>4</v>
      </c>
      <c r="N1015" t="s">
        <v>24</v>
      </c>
      <c r="O1015" t="s">
        <v>25</v>
      </c>
      <c r="P1015" t="s">
        <v>49</v>
      </c>
    </row>
    <row r="1016" spans="1:16" x14ac:dyDescent="0.25">
      <c r="A1016" t="s">
        <v>2573</v>
      </c>
      <c r="B1016" s="6">
        <v>44914</v>
      </c>
      <c r="C1016">
        <v>8812</v>
      </c>
      <c r="D1016" t="s">
        <v>2575</v>
      </c>
      <c r="E1016" t="s">
        <v>38</v>
      </c>
      <c r="F1016" t="s">
        <v>19</v>
      </c>
      <c r="G1016">
        <v>7409.77</v>
      </c>
      <c r="H1016">
        <v>4046.25</v>
      </c>
      <c r="I1016" t="s">
        <v>120</v>
      </c>
      <c r="J1016" t="s">
        <v>21</v>
      </c>
      <c r="K1016" t="s">
        <v>80</v>
      </c>
      <c r="L1016" t="s">
        <v>23</v>
      </c>
      <c r="M1016">
        <v>1</v>
      </c>
      <c r="N1016" t="s">
        <v>24</v>
      </c>
      <c r="O1016" t="s">
        <v>70</v>
      </c>
      <c r="P1016" t="s">
        <v>34</v>
      </c>
    </row>
    <row r="1017" spans="1:16" x14ac:dyDescent="0.25">
      <c r="A1017" t="s">
        <v>2576</v>
      </c>
      <c r="B1017" s="6">
        <v>45348</v>
      </c>
      <c r="C1017">
        <v>7075</v>
      </c>
      <c r="D1017" t="s">
        <v>2577</v>
      </c>
      <c r="E1017" t="s">
        <v>38</v>
      </c>
      <c r="F1017" t="s">
        <v>30</v>
      </c>
      <c r="G1017">
        <v>93544.91</v>
      </c>
      <c r="H1017">
        <v>47180.54</v>
      </c>
      <c r="I1017" t="s">
        <v>84</v>
      </c>
      <c r="J1017" t="s">
        <v>54</v>
      </c>
      <c r="K1017" t="s">
        <v>42</v>
      </c>
      <c r="L1017" t="s">
        <v>48</v>
      </c>
      <c r="M1017">
        <v>4</v>
      </c>
      <c r="N1017" t="s">
        <v>33</v>
      </c>
      <c r="O1017" t="s">
        <v>25</v>
      </c>
      <c r="P1017" t="s">
        <v>26</v>
      </c>
    </row>
    <row r="1018" spans="1:16" x14ac:dyDescent="0.25">
      <c r="A1018" t="s">
        <v>2578</v>
      </c>
      <c r="B1018" s="6">
        <v>44539</v>
      </c>
      <c r="C1018">
        <v>9682</v>
      </c>
      <c r="D1018" t="s">
        <v>2580</v>
      </c>
      <c r="E1018" t="s">
        <v>18</v>
      </c>
      <c r="F1018" t="s">
        <v>39</v>
      </c>
      <c r="G1018">
        <v>28262.3</v>
      </c>
      <c r="H1018">
        <v>18243.04</v>
      </c>
      <c r="I1018" t="s">
        <v>53</v>
      </c>
      <c r="J1018" t="s">
        <v>54</v>
      </c>
      <c r="K1018" t="s">
        <v>22</v>
      </c>
      <c r="L1018" t="s">
        <v>23</v>
      </c>
      <c r="M1018">
        <v>1</v>
      </c>
      <c r="N1018" t="s">
        <v>33</v>
      </c>
      <c r="O1018" t="s">
        <v>70</v>
      </c>
      <c r="P1018" t="s">
        <v>49</v>
      </c>
    </row>
    <row r="1019" spans="1:16" x14ac:dyDescent="0.25">
      <c r="A1019" t="s">
        <v>2581</v>
      </c>
      <c r="B1019" s="6">
        <v>44252</v>
      </c>
      <c r="C1019">
        <v>7960</v>
      </c>
      <c r="D1019" t="s">
        <v>2582</v>
      </c>
      <c r="E1019" t="s">
        <v>38</v>
      </c>
      <c r="F1019" t="s">
        <v>58</v>
      </c>
      <c r="G1019">
        <v>34428.06</v>
      </c>
      <c r="H1019">
        <v>17365.11</v>
      </c>
      <c r="I1019" t="s">
        <v>53</v>
      </c>
      <c r="J1019" t="s">
        <v>54</v>
      </c>
      <c r="K1019" t="s">
        <v>32</v>
      </c>
      <c r="L1019" t="s">
        <v>48</v>
      </c>
      <c r="M1019">
        <v>4</v>
      </c>
      <c r="N1019" t="s">
        <v>24</v>
      </c>
      <c r="O1019" t="s">
        <v>70</v>
      </c>
      <c r="P1019" t="s">
        <v>49</v>
      </c>
    </row>
    <row r="1020" spans="1:16" x14ac:dyDescent="0.25">
      <c r="A1020" t="s">
        <v>2583</v>
      </c>
      <c r="B1020" s="6">
        <v>45052</v>
      </c>
      <c r="C1020">
        <v>1750</v>
      </c>
      <c r="D1020" t="s">
        <v>2584</v>
      </c>
      <c r="E1020" t="s">
        <v>38</v>
      </c>
      <c r="F1020" t="s">
        <v>39</v>
      </c>
      <c r="G1020">
        <v>21593.62</v>
      </c>
      <c r="H1020">
        <v>12994.72</v>
      </c>
      <c r="I1020" t="s">
        <v>20</v>
      </c>
      <c r="J1020" t="s">
        <v>21</v>
      </c>
      <c r="K1020" t="s">
        <v>42</v>
      </c>
      <c r="L1020" t="s">
        <v>64</v>
      </c>
      <c r="M1020">
        <v>2</v>
      </c>
      <c r="N1020" t="s">
        <v>33</v>
      </c>
      <c r="O1020" t="s">
        <v>25</v>
      </c>
      <c r="P1020" t="s">
        <v>49</v>
      </c>
    </row>
    <row r="1021" spans="1:16" x14ac:dyDescent="0.25">
      <c r="A1021" t="s">
        <v>2585</v>
      </c>
      <c r="B1021" s="6">
        <v>44219</v>
      </c>
      <c r="C1021">
        <v>8652</v>
      </c>
      <c r="D1021" t="s">
        <v>2587</v>
      </c>
      <c r="E1021" t="s">
        <v>38</v>
      </c>
      <c r="F1021" t="s">
        <v>47</v>
      </c>
      <c r="G1021">
        <v>9371</v>
      </c>
      <c r="H1021">
        <v>5601.26</v>
      </c>
      <c r="I1021" t="s">
        <v>84</v>
      </c>
      <c r="J1021" t="s">
        <v>54</v>
      </c>
      <c r="K1021" t="s">
        <v>22</v>
      </c>
      <c r="L1021" t="s">
        <v>48</v>
      </c>
      <c r="M1021">
        <v>5</v>
      </c>
      <c r="N1021" t="s">
        <v>33</v>
      </c>
      <c r="O1021" t="s">
        <v>25</v>
      </c>
      <c r="P1021" t="s">
        <v>49</v>
      </c>
    </row>
    <row r="1022" spans="1:16" x14ac:dyDescent="0.25">
      <c r="A1022" t="s">
        <v>2588</v>
      </c>
      <c r="B1022" s="6">
        <v>44862</v>
      </c>
      <c r="C1022">
        <v>2970</v>
      </c>
      <c r="D1022" t="s">
        <v>2589</v>
      </c>
      <c r="E1022" t="s">
        <v>38</v>
      </c>
      <c r="F1022" t="s">
        <v>58</v>
      </c>
      <c r="G1022">
        <v>38150.050000000003</v>
      </c>
      <c r="H1022">
        <v>23956.720000000001</v>
      </c>
      <c r="I1022" t="s">
        <v>53</v>
      </c>
      <c r="J1022" t="s">
        <v>54</v>
      </c>
      <c r="K1022" t="s">
        <v>32</v>
      </c>
      <c r="L1022" t="s">
        <v>55</v>
      </c>
      <c r="M1022">
        <v>3</v>
      </c>
      <c r="N1022" t="s">
        <v>69</v>
      </c>
      <c r="O1022" t="s">
        <v>70</v>
      </c>
      <c r="P1022" t="s">
        <v>26</v>
      </c>
    </row>
    <row r="1023" spans="1:16" x14ac:dyDescent="0.25">
      <c r="A1023" t="s">
        <v>2590</v>
      </c>
      <c r="B1023" s="6">
        <v>45050</v>
      </c>
      <c r="C1023">
        <v>8798</v>
      </c>
      <c r="D1023" t="s">
        <v>2591</v>
      </c>
      <c r="E1023" t="s">
        <v>38</v>
      </c>
      <c r="F1023" t="s">
        <v>30</v>
      </c>
      <c r="G1023">
        <v>44417.440000000002</v>
      </c>
      <c r="H1023">
        <v>25826.94</v>
      </c>
      <c r="I1023" t="s">
        <v>40</v>
      </c>
      <c r="J1023" t="s">
        <v>41</v>
      </c>
      <c r="K1023" t="s">
        <v>22</v>
      </c>
      <c r="L1023" t="s">
        <v>64</v>
      </c>
      <c r="M1023">
        <v>2</v>
      </c>
      <c r="N1023" t="s">
        <v>24</v>
      </c>
      <c r="O1023" t="s">
        <v>70</v>
      </c>
      <c r="P1023" t="s">
        <v>26</v>
      </c>
    </row>
    <row r="1024" spans="1:16" x14ac:dyDescent="0.25">
      <c r="A1024" t="s">
        <v>2592</v>
      </c>
      <c r="B1024" s="6">
        <v>44927</v>
      </c>
      <c r="C1024">
        <v>6717</v>
      </c>
      <c r="D1024" t="s">
        <v>2593</v>
      </c>
      <c r="E1024" t="s">
        <v>38</v>
      </c>
      <c r="F1024" t="s">
        <v>39</v>
      </c>
      <c r="G1024">
        <v>43966.53</v>
      </c>
      <c r="H1024">
        <v>24676.54</v>
      </c>
      <c r="I1024" t="s">
        <v>84</v>
      </c>
      <c r="J1024" t="s">
        <v>54</v>
      </c>
      <c r="K1024" t="s">
        <v>32</v>
      </c>
      <c r="L1024" t="s">
        <v>55</v>
      </c>
      <c r="M1024">
        <v>1</v>
      </c>
      <c r="N1024" t="s">
        <v>69</v>
      </c>
      <c r="O1024" t="s">
        <v>25</v>
      </c>
      <c r="P1024" t="s">
        <v>49</v>
      </c>
    </row>
    <row r="1025" spans="1:16" x14ac:dyDescent="0.25">
      <c r="A1025" t="s">
        <v>2594</v>
      </c>
      <c r="B1025" s="6">
        <v>44220</v>
      </c>
      <c r="C1025">
        <v>4208</v>
      </c>
      <c r="D1025" t="s">
        <v>2596</v>
      </c>
      <c r="E1025" t="s">
        <v>18</v>
      </c>
      <c r="F1025" t="s">
        <v>47</v>
      </c>
      <c r="G1025">
        <v>5069.97</v>
      </c>
      <c r="H1025">
        <v>2580.61</v>
      </c>
      <c r="I1025" t="s">
        <v>63</v>
      </c>
      <c r="J1025" t="s">
        <v>54</v>
      </c>
      <c r="K1025" t="s">
        <v>22</v>
      </c>
      <c r="L1025" t="s">
        <v>48</v>
      </c>
      <c r="M1025">
        <v>4</v>
      </c>
      <c r="N1025" t="s">
        <v>33</v>
      </c>
      <c r="O1025" t="s">
        <v>25</v>
      </c>
      <c r="P1025" t="s">
        <v>26</v>
      </c>
    </row>
    <row r="1026" spans="1:16" x14ac:dyDescent="0.25">
      <c r="A1026" t="s">
        <v>2597</v>
      </c>
      <c r="B1026" s="6">
        <v>45080</v>
      </c>
      <c r="C1026">
        <v>8074</v>
      </c>
      <c r="D1026" t="s">
        <v>2599</v>
      </c>
      <c r="E1026" t="s">
        <v>18</v>
      </c>
      <c r="F1026" t="s">
        <v>58</v>
      </c>
      <c r="G1026">
        <v>38470.870000000003</v>
      </c>
      <c r="H1026">
        <v>23725.91</v>
      </c>
      <c r="I1026" t="s">
        <v>31</v>
      </c>
      <c r="J1026" t="s">
        <v>21</v>
      </c>
      <c r="K1026" t="s">
        <v>32</v>
      </c>
      <c r="L1026" t="s">
        <v>64</v>
      </c>
      <c r="M1026">
        <v>4</v>
      </c>
      <c r="N1026" t="s">
        <v>33</v>
      </c>
      <c r="O1026" t="s">
        <v>25</v>
      </c>
      <c r="P1026" t="s">
        <v>49</v>
      </c>
    </row>
    <row r="1027" spans="1:16" x14ac:dyDescent="0.25">
      <c r="A1027" t="s">
        <v>2600</v>
      </c>
      <c r="B1027" s="6">
        <v>45400</v>
      </c>
      <c r="C1027">
        <v>3518</v>
      </c>
      <c r="D1027" t="s">
        <v>2602</v>
      </c>
      <c r="E1027" t="s">
        <v>38</v>
      </c>
      <c r="F1027" t="s">
        <v>58</v>
      </c>
      <c r="G1027">
        <v>18018.400000000001</v>
      </c>
      <c r="H1027">
        <v>8934.4500000000007</v>
      </c>
      <c r="I1027" t="s">
        <v>53</v>
      </c>
      <c r="J1027" t="s">
        <v>54</v>
      </c>
      <c r="K1027" t="s">
        <v>32</v>
      </c>
      <c r="L1027" t="s">
        <v>88</v>
      </c>
      <c r="M1027">
        <v>5</v>
      </c>
      <c r="N1027" t="s">
        <v>24</v>
      </c>
      <c r="O1027" t="s">
        <v>70</v>
      </c>
      <c r="P1027" t="s">
        <v>49</v>
      </c>
    </row>
    <row r="1028" spans="1:16" x14ac:dyDescent="0.25">
      <c r="A1028" t="s">
        <v>2603</v>
      </c>
      <c r="B1028" s="6">
        <v>45460</v>
      </c>
      <c r="C1028">
        <v>3578</v>
      </c>
      <c r="D1028" t="s">
        <v>2605</v>
      </c>
      <c r="E1028" t="s">
        <v>18</v>
      </c>
      <c r="F1028" t="s">
        <v>47</v>
      </c>
      <c r="G1028">
        <v>13518.96</v>
      </c>
      <c r="H1028">
        <v>7232.34</v>
      </c>
      <c r="I1028" t="s">
        <v>40</v>
      </c>
      <c r="J1028" t="s">
        <v>41</v>
      </c>
      <c r="K1028" t="s">
        <v>80</v>
      </c>
      <c r="L1028" t="s">
        <v>88</v>
      </c>
      <c r="M1028">
        <v>3</v>
      </c>
      <c r="N1028" t="s">
        <v>33</v>
      </c>
      <c r="O1028" t="s">
        <v>25</v>
      </c>
      <c r="P1028" t="s">
        <v>49</v>
      </c>
    </row>
    <row r="1029" spans="1:16" x14ac:dyDescent="0.25">
      <c r="A1029" t="s">
        <v>2606</v>
      </c>
      <c r="B1029" s="6">
        <v>44836</v>
      </c>
      <c r="C1029">
        <v>2491</v>
      </c>
      <c r="D1029" t="s">
        <v>2608</v>
      </c>
      <c r="E1029" t="s">
        <v>18</v>
      </c>
      <c r="F1029" t="s">
        <v>58</v>
      </c>
      <c r="G1029">
        <v>37474.269999999997</v>
      </c>
      <c r="H1029">
        <v>17813.61</v>
      </c>
      <c r="I1029" t="s">
        <v>20</v>
      </c>
      <c r="J1029" t="s">
        <v>21</v>
      </c>
      <c r="K1029" t="s">
        <v>22</v>
      </c>
      <c r="L1029" t="s">
        <v>23</v>
      </c>
      <c r="M1029">
        <v>5</v>
      </c>
      <c r="N1029" t="s">
        <v>69</v>
      </c>
      <c r="O1029" t="s">
        <v>25</v>
      </c>
      <c r="P1029" t="s">
        <v>34</v>
      </c>
    </row>
    <row r="1030" spans="1:16" x14ac:dyDescent="0.25">
      <c r="A1030" t="s">
        <v>2609</v>
      </c>
      <c r="B1030" s="6">
        <v>45361</v>
      </c>
      <c r="C1030">
        <v>9486</v>
      </c>
      <c r="D1030" t="s">
        <v>2611</v>
      </c>
      <c r="E1030" t="s">
        <v>18</v>
      </c>
      <c r="F1030" t="s">
        <v>30</v>
      </c>
      <c r="G1030">
        <v>77023.28</v>
      </c>
      <c r="H1030">
        <v>38231.279999999999</v>
      </c>
      <c r="I1030" t="s">
        <v>84</v>
      </c>
      <c r="J1030" t="s">
        <v>54</v>
      </c>
      <c r="K1030" t="s">
        <v>32</v>
      </c>
      <c r="L1030" t="s">
        <v>23</v>
      </c>
      <c r="M1030">
        <v>1</v>
      </c>
      <c r="N1030" t="s">
        <v>24</v>
      </c>
      <c r="O1030" t="s">
        <v>70</v>
      </c>
      <c r="P1030" t="s">
        <v>26</v>
      </c>
    </row>
    <row r="1031" spans="1:16" x14ac:dyDescent="0.25">
      <c r="A1031" t="s">
        <v>2612</v>
      </c>
      <c r="B1031" s="6">
        <v>44974</v>
      </c>
      <c r="C1031">
        <v>5278</v>
      </c>
      <c r="D1031" t="s">
        <v>2613</v>
      </c>
      <c r="E1031" t="s">
        <v>38</v>
      </c>
      <c r="F1031" t="s">
        <v>58</v>
      </c>
      <c r="G1031">
        <v>39067.21</v>
      </c>
      <c r="H1031">
        <v>24050.63</v>
      </c>
      <c r="I1031" t="s">
        <v>84</v>
      </c>
      <c r="J1031" t="s">
        <v>54</v>
      </c>
      <c r="K1031" t="s">
        <v>22</v>
      </c>
      <c r="L1031" t="s">
        <v>64</v>
      </c>
      <c r="M1031">
        <v>4</v>
      </c>
      <c r="N1031" t="s">
        <v>69</v>
      </c>
      <c r="O1031" t="s">
        <v>25</v>
      </c>
      <c r="P1031" t="s">
        <v>26</v>
      </c>
    </row>
    <row r="1032" spans="1:16" x14ac:dyDescent="0.25">
      <c r="A1032" t="s">
        <v>2614</v>
      </c>
      <c r="B1032" s="6">
        <v>44963</v>
      </c>
      <c r="C1032">
        <v>9957</v>
      </c>
      <c r="D1032" t="s">
        <v>2615</v>
      </c>
      <c r="E1032" t="s">
        <v>18</v>
      </c>
      <c r="F1032" t="s">
        <v>30</v>
      </c>
      <c r="G1032">
        <v>75733.37</v>
      </c>
      <c r="H1032">
        <v>38954.86</v>
      </c>
      <c r="I1032" t="s">
        <v>20</v>
      </c>
      <c r="J1032" t="s">
        <v>21</v>
      </c>
      <c r="K1032" t="s">
        <v>32</v>
      </c>
      <c r="L1032" t="s">
        <v>48</v>
      </c>
      <c r="M1032">
        <v>3</v>
      </c>
      <c r="N1032" t="s">
        <v>69</v>
      </c>
      <c r="O1032" t="s">
        <v>25</v>
      </c>
      <c r="P1032" t="s">
        <v>26</v>
      </c>
    </row>
    <row r="1033" spans="1:16" x14ac:dyDescent="0.25">
      <c r="A1033" t="s">
        <v>2616</v>
      </c>
      <c r="B1033" s="6">
        <v>44942</v>
      </c>
      <c r="C1033">
        <v>6283</v>
      </c>
      <c r="D1033" t="s">
        <v>2617</v>
      </c>
      <c r="E1033" t="s">
        <v>18</v>
      </c>
      <c r="F1033" t="s">
        <v>19</v>
      </c>
      <c r="G1033">
        <v>16657.29</v>
      </c>
      <c r="H1033">
        <v>10187.51</v>
      </c>
      <c r="I1033" t="s">
        <v>20</v>
      </c>
      <c r="J1033" t="s">
        <v>21</v>
      </c>
      <c r="K1033" t="s">
        <v>22</v>
      </c>
      <c r="L1033" t="s">
        <v>55</v>
      </c>
      <c r="M1033">
        <v>2</v>
      </c>
      <c r="N1033" t="s">
        <v>24</v>
      </c>
      <c r="O1033" t="s">
        <v>70</v>
      </c>
      <c r="P1033" t="s">
        <v>34</v>
      </c>
    </row>
    <row r="1034" spans="1:16" x14ac:dyDescent="0.25">
      <c r="A1034" t="s">
        <v>2618</v>
      </c>
      <c r="B1034" s="6">
        <v>44153</v>
      </c>
      <c r="C1034">
        <v>1423</v>
      </c>
      <c r="D1034" t="s">
        <v>2620</v>
      </c>
      <c r="E1034" t="s">
        <v>18</v>
      </c>
      <c r="F1034" t="s">
        <v>19</v>
      </c>
      <c r="G1034">
        <v>13373.88</v>
      </c>
      <c r="H1034">
        <v>6855.03</v>
      </c>
      <c r="I1034" t="s">
        <v>31</v>
      </c>
      <c r="J1034" t="s">
        <v>21</v>
      </c>
      <c r="K1034" t="s">
        <v>22</v>
      </c>
      <c r="L1034" t="s">
        <v>43</v>
      </c>
      <c r="M1034">
        <v>3</v>
      </c>
      <c r="N1034" t="s">
        <v>24</v>
      </c>
      <c r="O1034" t="s">
        <v>25</v>
      </c>
      <c r="P1034" t="s">
        <v>26</v>
      </c>
    </row>
    <row r="1035" spans="1:16" x14ac:dyDescent="0.25">
      <c r="A1035" t="s">
        <v>2621</v>
      </c>
      <c r="B1035" s="6">
        <v>45171</v>
      </c>
      <c r="C1035">
        <v>9046</v>
      </c>
      <c r="D1035" t="s">
        <v>978</v>
      </c>
      <c r="E1035" t="s">
        <v>18</v>
      </c>
      <c r="F1035" t="s">
        <v>30</v>
      </c>
      <c r="G1035">
        <v>26440.959999999999</v>
      </c>
      <c r="H1035">
        <v>16257.79</v>
      </c>
      <c r="I1035" t="s">
        <v>20</v>
      </c>
      <c r="J1035" t="s">
        <v>21</v>
      </c>
      <c r="K1035" t="s">
        <v>42</v>
      </c>
      <c r="L1035" t="s">
        <v>43</v>
      </c>
      <c r="M1035">
        <v>5</v>
      </c>
      <c r="N1035" t="s">
        <v>24</v>
      </c>
      <c r="O1035" t="s">
        <v>25</v>
      </c>
      <c r="P1035" t="s">
        <v>34</v>
      </c>
    </row>
    <row r="1036" spans="1:16" x14ac:dyDescent="0.25">
      <c r="A1036" t="s">
        <v>2623</v>
      </c>
      <c r="B1036" s="6">
        <v>43856</v>
      </c>
      <c r="C1036">
        <v>5280</v>
      </c>
      <c r="D1036" t="s">
        <v>2624</v>
      </c>
      <c r="E1036" t="s">
        <v>18</v>
      </c>
      <c r="F1036" t="s">
        <v>30</v>
      </c>
      <c r="G1036">
        <v>35627.75</v>
      </c>
      <c r="H1036">
        <v>20569.099999999999</v>
      </c>
      <c r="I1036" t="s">
        <v>53</v>
      </c>
      <c r="J1036" t="s">
        <v>54</v>
      </c>
      <c r="K1036" t="s">
        <v>22</v>
      </c>
      <c r="L1036" t="s">
        <v>88</v>
      </c>
      <c r="M1036">
        <v>5</v>
      </c>
      <c r="N1036" t="s">
        <v>33</v>
      </c>
      <c r="O1036" t="s">
        <v>25</v>
      </c>
      <c r="P1036" t="s">
        <v>34</v>
      </c>
    </row>
    <row r="1037" spans="1:16" x14ac:dyDescent="0.25">
      <c r="A1037" t="s">
        <v>2625</v>
      </c>
      <c r="B1037" s="6">
        <v>45553</v>
      </c>
      <c r="C1037">
        <v>6269</v>
      </c>
      <c r="D1037" t="s">
        <v>2626</v>
      </c>
      <c r="E1037" t="s">
        <v>38</v>
      </c>
      <c r="F1037" t="s">
        <v>39</v>
      </c>
      <c r="G1037">
        <v>36029.61</v>
      </c>
      <c r="H1037">
        <v>18852.21</v>
      </c>
      <c r="I1037" t="s">
        <v>20</v>
      </c>
      <c r="J1037" t="s">
        <v>21</v>
      </c>
      <c r="K1037" t="s">
        <v>32</v>
      </c>
      <c r="L1037" t="s">
        <v>43</v>
      </c>
      <c r="M1037">
        <v>4</v>
      </c>
      <c r="N1037" t="s">
        <v>24</v>
      </c>
      <c r="O1037" t="s">
        <v>25</v>
      </c>
      <c r="P1037" t="s">
        <v>26</v>
      </c>
    </row>
    <row r="1038" spans="1:16" x14ac:dyDescent="0.25">
      <c r="A1038" t="s">
        <v>2627</v>
      </c>
      <c r="B1038" s="6">
        <v>44505</v>
      </c>
      <c r="C1038">
        <v>8537</v>
      </c>
      <c r="D1038" t="s">
        <v>2629</v>
      </c>
      <c r="E1038" t="s">
        <v>38</v>
      </c>
      <c r="F1038" t="s">
        <v>39</v>
      </c>
      <c r="G1038">
        <v>28011.98</v>
      </c>
      <c r="H1038">
        <v>12700.6</v>
      </c>
      <c r="I1038" t="s">
        <v>20</v>
      </c>
      <c r="J1038" t="s">
        <v>21</v>
      </c>
      <c r="K1038" t="s">
        <v>32</v>
      </c>
      <c r="L1038" t="s">
        <v>23</v>
      </c>
      <c r="M1038">
        <v>1</v>
      </c>
      <c r="N1038" t="s">
        <v>33</v>
      </c>
      <c r="O1038" t="s">
        <v>70</v>
      </c>
      <c r="P1038" t="s">
        <v>26</v>
      </c>
    </row>
    <row r="1039" spans="1:16" x14ac:dyDescent="0.25">
      <c r="A1039" t="s">
        <v>2630</v>
      </c>
      <c r="B1039" s="6">
        <v>44481</v>
      </c>
      <c r="C1039">
        <v>1081</v>
      </c>
      <c r="D1039" t="s">
        <v>2632</v>
      </c>
      <c r="E1039" t="s">
        <v>38</v>
      </c>
      <c r="F1039" t="s">
        <v>47</v>
      </c>
      <c r="G1039">
        <v>6578.83</v>
      </c>
      <c r="H1039">
        <v>3300.81</v>
      </c>
      <c r="I1039" t="s">
        <v>59</v>
      </c>
      <c r="J1039" t="s">
        <v>41</v>
      </c>
      <c r="K1039" t="s">
        <v>32</v>
      </c>
      <c r="L1039" t="s">
        <v>43</v>
      </c>
      <c r="M1039">
        <v>4</v>
      </c>
      <c r="N1039" t="s">
        <v>24</v>
      </c>
      <c r="O1039" t="s">
        <v>70</v>
      </c>
      <c r="P1039" t="s">
        <v>49</v>
      </c>
    </row>
    <row r="1040" spans="1:16" x14ac:dyDescent="0.25">
      <c r="A1040" t="s">
        <v>2633</v>
      </c>
      <c r="B1040" s="6">
        <v>44959</v>
      </c>
      <c r="C1040">
        <v>5387</v>
      </c>
      <c r="D1040" t="s">
        <v>2635</v>
      </c>
      <c r="E1040" t="s">
        <v>18</v>
      </c>
      <c r="F1040" t="s">
        <v>19</v>
      </c>
      <c r="G1040">
        <v>7928.77</v>
      </c>
      <c r="H1040">
        <v>3671.86</v>
      </c>
      <c r="I1040" t="s">
        <v>84</v>
      </c>
      <c r="J1040" t="s">
        <v>54</v>
      </c>
      <c r="K1040" t="s">
        <v>80</v>
      </c>
      <c r="L1040" t="s">
        <v>43</v>
      </c>
      <c r="M1040">
        <v>3</v>
      </c>
      <c r="N1040" t="s">
        <v>24</v>
      </c>
      <c r="O1040" t="s">
        <v>25</v>
      </c>
      <c r="P1040" t="s">
        <v>49</v>
      </c>
    </row>
    <row r="1041" spans="1:16" x14ac:dyDescent="0.25">
      <c r="A1041" t="s">
        <v>2636</v>
      </c>
      <c r="B1041" s="6">
        <v>44572</v>
      </c>
      <c r="C1041">
        <v>7877</v>
      </c>
      <c r="D1041" t="s">
        <v>2637</v>
      </c>
      <c r="E1041" t="s">
        <v>18</v>
      </c>
      <c r="F1041" t="s">
        <v>39</v>
      </c>
      <c r="G1041">
        <v>19152.46</v>
      </c>
      <c r="H1041">
        <v>11396.59</v>
      </c>
      <c r="I1041" t="s">
        <v>31</v>
      </c>
      <c r="J1041" t="s">
        <v>21</v>
      </c>
      <c r="K1041" t="s">
        <v>80</v>
      </c>
      <c r="L1041" t="s">
        <v>23</v>
      </c>
      <c r="M1041">
        <v>1</v>
      </c>
      <c r="N1041" t="s">
        <v>33</v>
      </c>
      <c r="O1041" t="s">
        <v>70</v>
      </c>
      <c r="P1041" t="s">
        <v>26</v>
      </c>
    </row>
    <row r="1042" spans="1:16" x14ac:dyDescent="0.25">
      <c r="A1042" t="s">
        <v>2638</v>
      </c>
      <c r="B1042" s="6">
        <v>44885</v>
      </c>
      <c r="C1042">
        <v>3566</v>
      </c>
      <c r="D1042" t="s">
        <v>2640</v>
      </c>
      <c r="E1042" t="s">
        <v>38</v>
      </c>
      <c r="F1042" t="s">
        <v>47</v>
      </c>
      <c r="G1042">
        <v>14326.77</v>
      </c>
      <c r="H1042">
        <v>7517.73</v>
      </c>
      <c r="I1042" t="s">
        <v>20</v>
      </c>
      <c r="J1042" t="s">
        <v>21</v>
      </c>
      <c r="K1042" t="s">
        <v>42</v>
      </c>
      <c r="L1042" t="s">
        <v>55</v>
      </c>
      <c r="M1042">
        <v>2</v>
      </c>
      <c r="N1042" t="s">
        <v>33</v>
      </c>
      <c r="O1042" t="s">
        <v>25</v>
      </c>
      <c r="P1042" t="s">
        <v>49</v>
      </c>
    </row>
    <row r="1043" spans="1:16" x14ac:dyDescent="0.25">
      <c r="A1043" t="s">
        <v>2641</v>
      </c>
      <c r="B1043" s="6">
        <v>44573</v>
      </c>
      <c r="C1043">
        <v>2386</v>
      </c>
      <c r="D1043" t="s">
        <v>2642</v>
      </c>
      <c r="E1043" t="s">
        <v>38</v>
      </c>
      <c r="F1043" t="s">
        <v>19</v>
      </c>
      <c r="G1043">
        <v>10764.52</v>
      </c>
      <c r="H1043">
        <v>5729.29</v>
      </c>
      <c r="I1043" t="s">
        <v>84</v>
      </c>
      <c r="J1043" t="s">
        <v>54</v>
      </c>
      <c r="K1043" t="s">
        <v>42</v>
      </c>
      <c r="L1043" t="s">
        <v>88</v>
      </c>
      <c r="M1043">
        <v>5</v>
      </c>
      <c r="N1043" t="s">
        <v>24</v>
      </c>
      <c r="O1043" t="s">
        <v>70</v>
      </c>
      <c r="P1043" t="s">
        <v>49</v>
      </c>
    </row>
    <row r="1044" spans="1:16" x14ac:dyDescent="0.25">
      <c r="A1044" t="s">
        <v>2643</v>
      </c>
      <c r="B1044" s="6">
        <v>45480</v>
      </c>
      <c r="C1044">
        <v>9207</v>
      </c>
      <c r="D1044" t="s">
        <v>2644</v>
      </c>
      <c r="E1044" t="s">
        <v>18</v>
      </c>
      <c r="F1044" t="s">
        <v>19</v>
      </c>
      <c r="G1044">
        <v>14569.71</v>
      </c>
      <c r="H1044">
        <v>7358.97</v>
      </c>
      <c r="I1044" t="s">
        <v>68</v>
      </c>
      <c r="J1044" t="s">
        <v>41</v>
      </c>
      <c r="K1044" t="s">
        <v>32</v>
      </c>
      <c r="L1044" t="s">
        <v>64</v>
      </c>
      <c r="M1044">
        <v>5</v>
      </c>
      <c r="N1044" t="s">
        <v>69</v>
      </c>
      <c r="O1044" t="s">
        <v>25</v>
      </c>
      <c r="P1044" t="s">
        <v>49</v>
      </c>
    </row>
    <row r="1045" spans="1:16" x14ac:dyDescent="0.25">
      <c r="A1045" t="s">
        <v>2645</v>
      </c>
      <c r="B1045" s="6">
        <v>43980</v>
      </c>
      <c r="C1045">
        <v>4352</v>
      </c>
      <c r="D1045" t="s">
        <v>2646</v>
      </c>
      <c r="E1045" t="s">
        <v>18</v>
      </c>
      <c r="F1045" t="s">
        <v>19</v>
      </c>
      <c r="G1045">
        <v>5876.63</v>
      </c>
      <c r="H1045">
        <v>3543.66</v>
      </c>
      <c r="I1045" t="s">
        <v>53</v>
      </c>
      <c r="J1045" t="s">
        <v>54</v>
      </c>
      <c r="K1045" t="s">
        <v>42</v>
      </c>
      <c r="L1045" t="s">
        <v>23</v>
      </c>
      <c r="M1045">
        <v>5</v>
      </c>
      <c r="N1045" t="s">
        <v>33</v>
      </c>
      <c r="O1045" t="s">
        <v>25</v>
      </c>
      <c r="P1045" t="s">
        <v>49</v>
      </c>
    </row>
    <row r="1046" spans="1:16" x14ac:dyDescent="0.25">
      <c r="A1046" t="s">
        <v>2647</v>
      </c>
      <c r="B1046" s="6">
        <v>44249</v>
      </c>
      <c r="C1046">
        <v>2549</v>
      </c>
      <c r="D1046" t="s">
        <v>2648</v>
      </c>
      <c r="E1046" t="s">
        <v>38</v>
      </c>
      <c r="F1046" t="s">
        <v>39</v>
      </c>
      <c r="G1046">
        <v>24852.28</v>
      </c>
      <c r="H1046">
        <v>14768.48</v>
      </c>
      <c r="I1046" t="s">
        <v>84</v>
      </c>
      <c r="J1046" t="s">
        <v>54</v>
      </c>
      <c r="K1046" t="s">
        <v>22</v>
      </c>
      <c r="L1046" t="s">
        <v>43</v>
      </c>
      <c r="M1046">
        <v>1</v>
      </c>
      <c r="N1046" t="s">
        <v>24</v>
      </c>
      <c r="O1046" t="s">
        <v>25</v>
      </c>
      <c r="P1046" t="s">
        <v>49</v>
      </c>
    </row>
    <row r="1047" spans="1:16" x14ac:dyDescent="0.25">
      <c r="A1047" t="s">
        <v>2649</v>
      </c>
      <c r="B1047" s="6">
        <v>44404</v>
      </c>
      <c r="C1047">
        <v>6292</v>
      </c>
      <c r="D1047" t="s">
        <v>2333</v>
      </c>
      <c r="E1047" t="s">
        <v>18</v>
      </c>
      <c r="F1047" t="s">
        <v>58</v>
      </c>
      <c r="G1047">
        <v>9639.83</v>
      </c>
      <c r="H1047">
        <v>5121.92</v>
      </c>
      <c r="I1047" t="s">
        <v>84</v>
      </c>
      <c r="J1047" t="s">
        <v>54</v>
      </c>
      <c r="K1047" t="s">
        <v>22</v>
      </c>
      <c r="L1047" t="s">
        <v>48</v>
      </c>
      <c r="M1047">
        <v>1</v>
      </c>
      <c r="N1047" t="s">
        <v>69</v>
      </c>
      <c r="O1047" t="s">
        <v>70</v>
      </c>
      <c r="P1047" t="s">
        <v>49</v>
      </c>
    </row>
    <row r="1048" spans="1:16" x14ac:dyDescent="0.25">
      <c r="A1048" t="s">
        <v>2650</v>
      </c>
      <c r="B1048" s="6">
        <v>44761</v>
      </c>
      <c r="C1048">
        <v>8564</v>
      </c>
      <c r="D1048" t="s">
        <v>2652</v>
      </c>
      <c r="E1048" t="s">
        <v>38</v>
      </c>
      <c r="F1048" t="s">
        <v>19</v>
      </c>
      <c r="G1048">
        <v>14794.24</v>
      </c>
      <c r="H1048">
        <v>8788.6200000000008</v>
      </c>
      <c r="I1048" t="s">
        <v>120</v>
      </c>
      <c r="J1048" t="s">
        <v>21</v>
      </c>
      <c r="K1048" t="s">
        <v>22</v>
      </c>
      <c r="L1048" t="s">
        <v>55</v>
      </c>
      <c r="M1048">
        <v>2</v>
      </c>
      <c r="N1048" t="s">
        <v>33</v>
      </c>
      <c r="O1048" t="s">
        <v>25</v>
      </c>
      <c r="P1048" t="s">
        <v>26</v>
      </c>
    </row>
    <row r="1049" spans="1:16" x14ac:dyDescent="0.25">
      <c r="A1049" t="s">
        <v>2653</v>
      </c>
      <c r="B1049" s="6">
        <v>44262</v>
      </c>
      <c r="C1049">
        <v>9583</v>
      </c>
      <c r="D1049" t="s">
        <v>2654</v>
      </c>
      <c r="E1049" t="s">
        <v>18</v>
      </c>
      <c r="F1049" t="s">
        <v>19</v>
      </c>
      <c r="G1049">
        <v>5987.06</v>
      </c>
      <c r="H1049">
        <v>3145.95</v>
      </c>
      <c r="I1049" t="s">
        <v>120</v>
      </c>
      <c r="J1049" t="s">
        <v>21</v>
      </c>
      <c r="K1049" t="s">
        <v>80</v>
      </c>
      <c r="L1049" t="s">
        <v>48</v>
      </c>
      <c r="M1049">
        <v>4</v>
      </c>
      <c r="N1049" t="s">
        <v>33</v>
      </c>
      <c r="O1049" t="s">
        <v>25</v>
      </c>
      <c r="P1049" t="s">
        <v>49</v>
      </c>
    </row>
    <row r="1050" spans="1:16" x14ac:dyDescent="0.25">
      <c r="A1050" t="s">
        <v>2655</v>
      </c>
      <c r="B1050" s="6">
        <v>45609</v>
      </c>
      <c r="C1050">
        <v>4501</v>
      </c>
      <c r="D1050" t="s">
        <v>2657</v>
      </c>
      <c r="E1050" t="s">
        <v>38</v>
      </c>
      <c r="F1050" t="s">
        <v>47</v>
      </c>
      <c r="G1050">
        <v>10648.22</v>
      </c>
      <c r="H1050">
        <v>6478.55</v>
      </c>
      <c r="I1050" t="s">
        <v>84</v>
      </c>
      <c r="J1050" t="s">
        <v>54</v>
      </c>
      <c r="K1050" t="s">
        <v>32</v>
      </c>
      <c r="L1050" t="s">
        <v>55</v>
      </c>
      <c r="M1050">
        <v>1</v>
      </c>
      <c r="N1050" t="s">
        <v>33</v>
      </c>
      <c r="O1050" t="s">
        <v>25</v>
      </c>
      <c r="P1050" t="s">
        <v>26</v>
      </c>
    </row>
    <row r="1051" spans="1:16" x14ac:dyDescent="0.25">
      <c r="A1051" t="s">
        <v>2658</v>
      </c>
      <c r="B1051" s="6">
        <v>44838</v>
      </c>
      <c r="C1051">
        <v>4700</v>
      </c>
      <c r="D1051" t="s">
        <v>1126</v>
      </c>
      <c r="E1051" t="s">
        <v>18</v>
      </c>
      <c r="F1051" t="s">
        <v>19</v>
      </c>
      <c r="G1051">
        <v>6942.4</v>
      </c>
      <c r="H1051">
        <v>3786.87</v>
      </c>
      <c r="I1051" t="s">
        <v>40</v>
      </c>
      <c r="J1051" t="s">
        <v>41</v>
      </c>
      <c r="K1051" t="s">
        <v>22</v>
      </c>
      <c r="L1051" t="s">
        <v>43</v>
      </c>
      <c r="M1051">
        <v>2</v>
      </c>
      <c r="N1051" t="s">
        <v>24</v>
      </c>
      <c r="O1051" t="s">
        <v>25</v>
      </c>
      <c r="P1051" t="s">
        <v>26</v>
      </c>
    </row>
    <row r="1052" spans="1:16" x14ac:dyDescent="0.25">
      <c r="A1052" t="s">
        <v>2659</v>
      </c>
      <c r="B1052" s="6">
        <v>45185</v>
      </c>
      <c r="C1052">
        <v>2204</v>
      </c>
      <c r="D1052" t="s">
        <v>2660</v>
      </c>
      <c r="E1052" t="s">
        <v>18</v>
      </c>
      <c r="F1052" t="s">
        <v>47</v>
      </c>
      <c r="G1052">
        <v>7021.74</v>
      </c>
      <c r="H1052">
        <v>3630.51</v>
      </c>
      <c r="I1052" t="s">
        <v>68</v>
      </c>
      <c r="J1052" t="s">
        <v>41</v>
      </c>
      <c r="K1052" t="s">
        <v>80</v>
      </c>
      <c r="L1052" t="s">
        <v>55</v>
      </c>
      <c r="M1052">
        <v>1</v>
      </c>
      <c r="N1052" t="s">
        <v>33</v>
      </c>
      <c r="O1052" t="s">
        <v>25</v>
      </c>
      <c r="P1052" t="s">
        <v>49</v>
      </c>
    </row>
    <row r="1053" spans="1:16" x14ac:dyDescent="0.25">
      <c r="A1053" t="s">
        <v>2661</v>
      </c>
      <c r="B1053" s="6">
        <v>44948</v>
      </c>
      <c r="C1053">
        <v>1348</v>
      </c>
      <c r="D1053" t="s">
        <v>2662</v>
      </c>
      <c r="E1053" t="s">
        <v>38</v>
      </c>
      <c r="F1053" t="s">
        <v>58</v>
      </c>
      <c r="G1053">
        <v>14483.96</v>
      </c>
      <c r="H1053">
        <v>9228</v>
      </c>
      <c r="I1053" t="s">
        <v>59</v>
      </c>
      <c r="J1053" t="s">
        <v>41</v>
      </c>
      <c r="K1053" t="s">
        <v>80</v>
      </c>
      <c r="L1053" t="s">
        <v>64</v>
      </c>
      <c r="M1053">
        <v>1</v>
      </c>
      <c r="N1053" t="s">
        <v>24</v>
      </c>
      <c r="O1053" t="s">
        <v>25</v>
      </c>
      <c r="P1053" t="s">
        <v>49</v>
      </c>
    </row>
    <row r="1054" spans="1:16" x14ac:dyDescent="0.25">
      <c r="A1054" t="s">
        <v>2663</v>
      </c>
      <c r="B1054" s="6">
        <v>45320</v>
      </c>
      <c r="C1054">
        <v>4328</v>
      </c>
      <c r="D1054" t="s">
        <v>2664</v>
      </c>
      <c r="E1054" t="s">
        <v>38</v>
      </c>
      <c r="F1054" t="s">
        <v>47</v>
      </c>
      <c r="G1054">
        <v>11073.56</v>
      </c>
      <c r="H1054">
        <v>6942.1</v>
      </c>
      <c r="I1054" t="s">
        <v>63</v>
      </c>
      <c r="J1054" t="s">
        <v>54</v>
      </c>
      <c r="K1054" t="s">
        <v>22</v>
      </c>
      <c r="L1054" t="s">
        <v>55</v>
      </c>
      <c r="M1054">
        <v>4</v>
      </c>
      <c r="N1054" t="s">
        <v>33</v>
      </c>
      <c r="O1054" t="s">
        <v>25</v>
      </c>
      <c r="P1054" t="s">
        <v>34</v>
      </c>
    </row>
    <row r="1055" spans="1:16" x14ac:dyDescent="0.25">
      <c r="A1055" t="s">
        <v>2665</v>
      </c>
      <c r="B1055" s="6">
        <v>44308</v>
      </c>
      <c r="C1055">
        <v>6579</v>
      </c>
      <c r="D1055" t="s">
        <v>2667</v>
      </c>
      <c r="E1055" t="s">
        <v>38</v>
      </c>
      <c r="F1055" t="s">
        <v>58</v>
      </c>
      <c r="G1055">
        <v>6327.78</v>
      </c>
      <c r="H1055">
        <v>3391.43</v>
      </c>
      <c r="I1055" t="s">
        <v>68</v>
      </c>
      <c r="J1055" t="s">
        <v>41</v>
      </c>
      <c r="K1055" t="s">
        <v>32</v>
      </c>
      <c r="L1055" t="s">
        <v>64</v>
      </c>
      <c r="M1055">
        <v>5</v>
      </c>
      <c r="N1055" t="s">
        <v>33</v>
      </c>
      <c r="O1055" t="s">
        <v>70</v>
      </c>
      <c r="P1055" t="s">
        <v>34</v>
      </c>
    </row>
    <row r="1056" spans="1:16" x14ac:dyDescent="0.25">
      <c r="A1056" t="s">
        <v>2668</v>
      </c>
      <c r="B1056" s="6">
        <v>44304</v>
      </c>
      <c r="C1056">
        <v>5321</v>
      </c>
      <c r="D1056" t="s">
        <v>2669</v>
      </c>
      <c r="E1056" t="s">
        <v>38</v>
      </c>
      <c r="F1056" t="s">
        <v>19</v>
      </c>
      <c r="G1056">
        <v>14657.52</v>
      </c>
      <c r="H1056">
        <v>6714.15</v>
      </c>
      <c r="I1056" t="s">
        <v>84</v>
      </c>
      <c r="J1056" t="s">
        <v>54</v>
      </c>
      <c r="K1056" t="s">
        <v>32</v>
      </c>
      <c r="L1056" t="s">
        <v>88</v>
      </c>
      <c r="M1056">
        <v>5</v>
      </c>
      <c r="N1056" t="s">
        <v>33</v>
      </c>
      <c r="O1056" t="s">
        <v>25</v>
      </c>
      <c r="P1056" t="s">
        <v>34</v>
      </c>
    </row>
    <row r="1057" spans="1:16" x14ac:dyDescent="0.25">
      <c r="A1057" t="s">
        <v>2670</v>
      </c>
      <c r="B1057" s="6">
        <v>45268</v>
      </c>
      <c r="C1057">
        <v>9660</v>
      </c>
      <c r="D1057" t="s">
        <v>2672</v>
      </c>
      <c r="E1057" t="s">
        <v>18</v>
      </c>
      <c r="F1057" t="s">
        <v>39</v>
      </c>
      <c r="G1057">
        <v>23513</v>
      </c>
      <c r="H1057">
        <v>11577.62</v>
      </c>
      <c r="I1057" t="s">
        <v>120</v>
      </c>
      <c r="J1057" t="s">
        <v>21</v>
      </c>
      <c r="K1057" t="s">
        <v>42</v>
      </c>
      <c r="L1057" t="s">
        <v>43</v>
      </c>
      <c r="M1057">
        <v>1</v>
      </c>
      <c r="N1057" t="s">
        <v>33</v>
      </c>
      <c r="O1057" t="s">
        <v>70</v>
      </c>
      <c r="P1057" t="s">
        <v>34</v>
      </c>
    </row>
    <row r="1058" spans="1:16" x14ac:dyDescent="0.25">
      <c r="A1058" t="s">
        <v>2673</v>
      </c>
      <c r="B1058" s="6">
        <v>44019</v>
      </c>
      <c r="C1058">
        <v>2062</v>
      </c>
      <c r="D1058" t="s">
        <v>2674</v>
      </c>
      <c r="E1058" t="s">
        <v>38</v>
      </c>
      <c r="F1058" t="s">
        <v>30</v>
      </c>
      <c r="G1058">
        <v>24645.599999999999</v>
      </c>
      <c r="H1058">
        <v>11986.53</v>
      </c>
      <c r="I1058" t="s">
        <v>20</v>
      </c>
      <c r="J1058" t="s">
        <v>21</v>
      </c>
      <c r="K1058" t="s">
        <v>22</v>
      </c>
      <c r="L1058" t="s">
        <v>48</v>
      </c>
      <c r="M1058">
        <v>4</v>
      </c>
      <c r="N1058" t="s">
        <v>69</v>
      </c>
      <c r="O1058" t="s">
        <v>25</v>
      </c>
      <c r="P1058" t="s">
        <v>26</v>
      </c>
    </row>
    <row r="1059" spans="1:16" x14ac:dyDescent="0.25">
      <c r="A1059" t="s">
        <v>2675</v>
      </c>
      <c r="B1059" s="6">
        <v>45247</v>
      </c>
      <c r="C1059">
        <v>7158</v>
      </c>
      <c r="D1059" t="s">
        <v>2676</v>
      </c>
      <c r="E1059" t="s">
        <v>38</v>
      </c>
      <c r="F1059" t="s">
        <v>19</v>
      </c>
      <c r="G1059">
        <v>21443.95</v>
      </c>
      <c r="H1059">
        <v>12402.11</v>
      </c>
      <c r="I1059" t="s">
        <v>84</v>
      </c>
      <c r="J1059" t="s">
        <v>54</v>
      </c>
      <c r="K1059" t="s">
        <v>80</v>
      </c>
      <c r="L1059" t="s">
        <v>55</v>
      </c>
      <c r="M1059">
        <v>5</v>
      </c>
      <c r="N1059" t="s">
        <v>33</v>
      </c>
      <c r="O1059" t="s">
        <v>25</v>
      </c>
      <c r="P1059" t="s">
        <v>34</v>
      </c>
    </row>
    <row r="1060" spans="1:16" x14ac:dyDescent="0.25">
      <c r="A1060" t="s">
        <v>2677</v>
      </c>
      <c r="B1060" s="6">
        <v>44366</v>
      </c>
      <c r="C1060">
        <v>2686</v>
      </c>
      <c r="D1060" t="s">
        <v>2679</v>
      </c>
      <c r="E1060" t="s">
        <v>38</v>
      </c>
      <c r="F1060" t="s">
        <v>47</v>
      </c>
      <c r="G1060">
        <v>2351.0300000000002</v>
      </c>
      <c r="H1060">
        <v>1293.27</v>
      </c>
      <c r="I1060" t="s">
        <v>31</v>
      </c>
      <c r="J1060" t="s">
        <v>21</v>
      </c>
      <c r="K1060" t="s">
        <v>42</v>
      </c>
      <c r="L1060" t="s">
        <v>43</v>
      </c>
      <c r="M1060">
        <v>5</v>
      </c>
      <c r="N1060" t="s">
        <v>24</v>
      </c>
      <c r="O1060" t="s">
        <v>70</v>
      </c>
      <c r="P1060" t="s">
        <v>26</v>
      </c>
    </row>
    <row r="1061" spans="1:16" x14ac:dyDescent="0.25">
      <c r="A1061" t="s">
        <v>2680</v>
      </c>
      <c r="B1061" s="6">
        <v>45406</v>
      </c>
      <c r="C1061">
        <v>3314</v>
      </c>
      <c r="D1061" t="s">
        <v>2681</v>
      </c>
      <c r="E1061" t="s">
        <v>38</v>
      </c>
      <c r="F1061" t="s">
        <v>58</v>
      </c>
      <c r="G1061">
        <v>21521.11</v>
      </c>
      <c r="H1061">
        <v>12094.21</v>
      </c>
      <c r="I1061" t="s">
        <v>68</v>
      </c>
      <c r="J1061" t="s">
        <v>41</v>
      </c>
      <c r="K1061" t="s">
        <v>22</v>
      </c>
      <c r="L1061" t="s">
        <v>64</v>
      </c>
      <c r="M1061">
        <v>5</v>
      </c>
      <c r="N1061" t="s">
        <v>24</v>
      </c>
      <c r="O1061" t="s">
        <v>70</v>
      </c>
      <c r="P1061" t="s">
        <v>34</v>
      </c>
    </row>
    <row r="1062" spans="1:16" x14ac:dyDescent="0.25">
      <c r="A1062" t="s">
        <v>2682</v>
      </c>
      <c r="B1062" s="6">
        <v>45307</v>
      </c>
      <c r="C1062">
        <v>8241</v>
      </c>
      <c r="D1062" t="s">
        <v>2683</v>
      </c>
      <c r="E1062" t="s">
        <v>18</v>
      </c>
      <c r="F1062" t="s">
        <v>58</v>
      </c>
      <c r="G1062">
        <v>53584.85</v>
      </c>
      <c r="H1062">
        <v>27430.1</v>
      </c>
      <c r="I1062" t="s">
        <v>84</v>
      </c>
      <c r="J1062" t="s">
        <v>54</v>
      </c>
      <c r="K1062" t="s">
        <v>32</v>
      </c>
      <c r="L1062" t="s">
        <v>43</v>
      </c>
      <c r="M1062">
        <v>5</v>
      </c>
      <c r="N1062" t="s">
        <v>33</v>
      </c>
      <c r="O1062" t="s">
        <v>70</v>
      </c>
      <c r="P1062" t="s">
        <v>49</v>
      </c>
    </row>
    <row r="1063" spans="1:16" x14ac:dyDescent="0.25">
      <c r="A1063" t="s">
        <v>2684</v>
      </c>
      <c r="B1063" s="6">
        <v>45362</v>
      </c>
      <c r="C1063">
        <v>1286</v>
      </c>
      <c r="D1063" t="s">
        <v>2686</v>
      </c>
      <c r="E1063" t="s">
        <v>38</v>
      </c>
      <c r="F1063" t="s">
        <v>39</v>
      </c>
      <c r="G1063">
        <v>32179.17</v>
      </c>
      <c r="H1063">
        <v>20255.18</v>
      </c>
      <c r="I1063" t="s">
        <v>40</v>
      </c>
      <c r="J1063" t="s">
        <v>41</v>
      </c>
      <c r="K1063" t="s">
        <v>80</v>
      </c>
      <c r="L1063" t="s">
        <v>48</v>
      </c>
      <c r="M1063">
        <v>1</v>
      </c>
      <c r="N1063" t="s">
        <v>69</v>
      </c>
      <c r="O1063" t="s">
        <v>70</v>
      </c>
      <c r="P1063" t="s">
        <v>49</v>
      </c>
    </row>
    <row r="1064" spans="1:16" x14ac:dyDescent="0.25">
      <c r="A1064" t="s">
        <v>2687</v>
      </c>
      <c r="B1064" s="6">
        <v>45367</v>
      </c>
      <c r="C1064">
        <v>6877</v>
      </c>
      <c r="D1064" t="s">
        <v>2688</v>
      </c>
      <c r="E1064" t="s">
        <v>18</v>
      </c>
      <c r="F1064" t="s">
        <v>58</v>
      </c>
      <c r="G1064">
        <v>30079.23</v>
      </c>
      <c r="H1064">
        <v>15136.1</v>
      </c>
      <c r="I1064" t="s">
        <v>120</v>
      </c>
      <c r="J1064" t="s">
        <v>21</v>
      </c>
      <c r="K1064" t="s">
        <v>80</v>
      </c>
      <c r="L1064" t="s">
        <v>43</v>
      </c>
      <c r="M1064">
        <v>4</v>
      </c>
      <c r="N1064" t="s">
        <v>33</v>
      </c>
      <c r="O1064" t="s">
        <v>70</v>
      </c>
      <c r="P1064" t="s">
        <v>26</v>
      </c>
    </row>
    <row r="1065" spans="1:16" x14ac:dyDescent="0.25">
      <c r="A1065" t="s">
        <v>2689</v>
      </c>
      <c r="B1065" s="6">
        <v>44182</v>
      </c>
      <c r="C1065">
        <v>4117</v>
      </c>
      <c r="D1065" t="s">
        <v>2691</v>
      </c>
      <c r="E1065" t="s">
        <v>38</v>
      </c>
      <c r="F1065" t="s">
        <v>47</v>
      </c>
      <c r="G1065">
        <v>8679.4500000000007</v>
      </c>
      <c r="H1065">
        <v>5607.75</v>
      </c>
      <c r="I1065" t="s">
        <v>53</v>
      </c>
      <c r="J1065" t="s">
        <v>54</v>
      </c>
      <c r="K1065" t="s">
        <v>22</v>
      </c>
      <c r="L1065" t="s">
        <v>88</v>
      </c>
      <c r="M1065">
        <v>2</v>
      </c>
      <c r="N1065" t="s">
        <v>24</v>
      </c>
      <c r="O1065" t="s">
        <v>25</v>
      </c>
      <c r="P1065" t="s">
        <v>26</v>
      </c>
    </row>
    <row r="1066" spans="1:16" x14ac:dyDescent="0.25">
      <c r="A1066" t="s">
        <v>2692</v>
      </c>
      <c r="B1066" s="6">
        <v>44582</v>
      </c>
      <c r="C1066">
        <v>3690</v>
      </c>
      <c r="D1066" t="s">
        <v>2694</v>
      </c>
      <c r="E1066" t="s">
        <v>38</v>
      </c>
      <c r="F1066" t="s">
        <v>47</v>
      </c>
      <c r="G1066">
        <v>14284.99</v>
      </c>
      <c r="H1066">
        <v>6431.04</v>
      </c>
      <c r="I1066" t="s">
        <v>53</v>
      </c>
      <c r="J1066" t="s">
        <v>54</v>
      </c>
      <c r="K1066" t="s">
        <v>80</v>
      </c>
      <c r="L1066" t="s">
        <v>43</v>
      </c>
      <c r="M1066">
        <v>4</v>
      </c>
      <c r="N1066" t="s">
        <v>69</v>
      </c>
      <c r="O1066" t="s">
        <v>25</v>
      </c>
      <c r="P1066" t="s">
        <v>26</v>
      </c>
    </row>
    <row r="1067" spans="1:16" x14ac:dyDescent="0.25">
      <c r="A1067" t="s">
        <v>2695</v>
      </c>
      <c r="B1067" s="6">
        <v>44173</v>
      </c>
      <c r="C1067">
        <v>6486</v>
      </c>
      <c r="D1067" t="s">
        <v>2696</v>
      </c>
      <c r="E1067" t="s">
        <v>18</v>
      </c>
      <c r="F1067" t="s">
        <v>30</v>
      </c>
      <c r="G1067">
        <v>13948.09</v>
      </c>
      <c r="H1067">
        <v>6461.38</v>
      </c>
      <c r="I1067" t="s">
        <v>53</v>
      </c>
      <c r="J1067" t="s">
        <v>54</v>
      </c>
      <c r="K1067" t="s">
        <v>22</v>
      </c>
      <c r="L1067" t="s">
        <v>43</v>
      </c>
      <c r="M1067">
        <v>3</v>
      </c>
      <c r="N1067" t="s">
        <v>33</v>
      </c>
      <c r="O1067" t="s">
        <v>70</v>
      </c>
      <c r="P1067" t="s">
        <v>26</v>
      </c>
    </row>
    <row r="1068" spans="1:16" x14ac:dyDescent="0.25">
      <c r="A1068" t="s">
        <v>2697</v>
      </c>
      <c r="B1068" s="6">
        <v>44652</v>
      </c>
      <c r="C1068">
        <v>9549</v>
      </c>
      <c r="D1068" t="s">
        <v>1615</v>
      </c>
      <c r="E1068" t="s">
        <v>18</v>
      </c>
      <c r="F1068" t="s">
        <v>58</v>
      </c>
      <c r="G1068">
        <v>30193.58</v>
      </c>
      <c r="H1068">
        <v>19320.41</v>
      </c>
      <c r="I1068" t="s">
        <v>59</v>
      </c>
      <c r="J1068" t="s">
        <v>41</v>
      </c>
      <c r="K1068" t="s">
        <v>80</v>
      </c>
      <c r="L1068" t="s">
        <v>48</v>
      </c>
      <c r="M1068">
        <v>2</v>
      </c>
      <c r="N1068" t="s">
        <v>33</v>
      </c>
      <c r="O1068" t="s">
        <v>25</v>
      </c>
      <c r="P1068" t="s">
        <v>49</v>
      </c>
    </row>
    <row r="1069" spans="1:16" x14ac:dyDescent="0.25">
      <c r="A1069" t="s">
        <v>2698</v>
      </c>
      <c r="B1069" s="6">
        <v>44868</v>
      </c>
      <c r="C1069">
        <v>7401</v>
      </c>
      <c r="D1069" t="s">
        <v>2699</v>
      </c>
      <c r="E1069" t="s">
        <v>18</v>
      </c>
      <c r="F1069" t="s">
        <v>47</v>
      </c>
      <c r="G1069">
        <v>3872.73</v>
      </c>
      <c r="H1069">
        <v>2473.0700000000002</v>
      </c>
      <c r="I1069" t="s">
        <v>63</v>
      </c>
      <c r="J1069" t="s">
        <v>54</v>
      </c>
      <c r="K1069" t="s">
        <v>32</v>
      </c>
      <c r="L1069" t="s">
        <v>48</v>
      </c>
      <c r="M1069">
        <v>4</v>
      </c>
      <c r="N1069" t="s">
        <v>24</v>
      </c>
      <c r="O1069" t="s">
        <v>25</v>
      </c>
      <c r="P1069" t="s">
        <v>26</v>
      </c>
    </row>
    <row r="1070" spans="1:16" x14ac:dyDescent="0.25">
      <c r="A1070" t="s">
        <v>2700</v>
      </c>
      <c r="B1070" s="6">
        <v>45543</v>
      </c>
      <c r="C1070">
        <v>8768</v>
      </c>
      <c r="D1070" t="s">
        <v>2701</v>
      </c>
      <c r="E1070" t="s">
        <v>38</v>
      </c>
      <c r="F1070" t="s">
        <v>58</v>
      </c>
      <c r="G1070">
        <v>52692.92</v>
      </c>
      <c r="H1070">
        <v>34060.519999999997</v>
      </c>
      <c r="I1070" t="s">
        <v>120</v>
      </c>
      <c r="J1070" t="s">
        <v>21</v>
      </c>
      <c r="K1070" t="s">
        <v>22</v>
      </c>
      <c r="L1070" t="s">
        <v>88</v>
      </c>
      <c r="M1070">
        <v>1</v>
      </c>
      <c r="N1070" t="s">
        <v>33</v>
      </c>
      <c r="O1070" t="s">
        <v>25</v>
      </c>
      <c r="P1070" t="s">
        <v>49</v>
      </c>
    </row>
    <row r="1071" spans="1:16" x14ac:dyDescent="0.25">
      <c r="A1071" t="s">
        <v>2702</v>
      </c>
      <c r="B1071" s="6">
        <v>44972</v>
      </c>
      <c r="C1071">
        <v>6147</v>
      </c>
      <c r="D1071" t="s">
        <v>2704</v>
      </c>
      <c r="E1071" t="s">
        <v>38</v>
      </c>
      <c r="F1071" t="s">
        <v>58</v>
      </c>
      <c r="G1071">
        <v>47543.76</v>
      </c>
      <c r="H1071">
        <v>23023.05</v>
      </c>
      <c r="I1071" t="s">
        <v>63</v>
      </c>
      <c r="J1071" t="s">
        <v>54</v>
      </c>
      <c r="K1071" t="s">
        <v>42</v>
      </c>
      <c r="L1071" t="s">
        <v>64</v>
      </c>
      <c r="M1071">
        <v>1</v>
      </c>
      <c r="N1071" t="s">
        <v>24</v>
      </c>
      <c r="O1071" t="s">
        <v>70</v>
      </c>
      <c r="P1071" t="s">
        <v>34</v>
      </c>
    </row>
    <row r="1072" spans="1:16" x14ac:dyDescent="0.25">
      <c r="A1072" t="s">
        <v>2705</v>
      </c>
      <c r="B1072" s="6">
        <v>43914</v>
      </c>
      <c r="C1072">
        <v>7223</v>
      </c>
      <c r="D1072" t="s">
        <v>2706</v>
      </c>
      <c r="E1072" t="s">
        <v>18</v>
      </c>
      <c r="F1072" t="s">
        <v>19</v>
      </c>
      <c r="G1072">
        <v>6006.27</v>
      </c>
      <c r="H1072">
        <v>3209.63</v>
      </c>
      <c r="I1072" t="s">
        <v>63</v>
      </c>
      <c r="J1072" t="s">
        <v>54</v>
      </c>
      <c r="K1072" t="s">
        <v>42</v>
      </c>
      <c r="L1072" t="s">
        <v>23</v>
      </c>
      <c r="M1072">
        <v>4</v>
      </c>
      <c r="N1072" t="s">
        <v>24</v>
      </c>
      <c r="O1072" t="s">
        <v>25</v>
      </c>
      <c r="P1072" t="s">
        <v>34</v>
      </c>
    </row>
    <row r="1073" spans="1:16" x14ac:dyDescent="0.25">
      <c r="A1073" t="s">
        <v>2707</v>
      </c>
      <c r="B1073" s="6">
        <v>44172</v>
      </c>
      <c r="C1073">
        <v>5861</v>
      </c>
      <c r="D1073" t="s">
        <v>2708</v>
      </c>
      <c r="E1073" t="s">
        <v>38</v>
      </c>
      <c r="F1073" t="s">
        <v>58</v>
      </c>
      <c r="G1073">
        <v>16011.14</v>
      </c>
      <c r="H1073">
        <v>7362.51</v>
      </c>
      <c r="I1073" t="s">
        <v>63</v>
      </c>
      <c r="J1073" t="s">
        <v>54</v>
      </c>
      <c r="K1073" t="s">
        <v>32</v>
      </c>
      <c r="L1073" t="s">
        <v>43</v>
      </c>
      <c r="M1073">
        <v>3</v>
      </c>
      <c r="N1073" t="s">
        <v>33</v>
      </c>
      <c r="O1073" t="s">
        <v>70</v>
      </c>
      <c r="P1073" t="s">
        <v>34</v>
      </c>
    </row>
    <row r="1074" spans="1:16" x14ac:dyDescent="0.25">
      <c r="A1074" t="s">
        <v>2709</v>
      </c>
      <c r="B1074" s="6">
        <v>44589</v>
      </c>
      <c r="C1074">
        <v>8401</v>
      </c>
      <c r="D1074" t="s">
        <v>2710</v>
      </c>
      <c r="E1074" t="s">
        <v>18</v>
      </c>
      <c r="F1074" t="s">
        <v>30</v>
      </c>
      <c r="G1074">
        <v>61789.56</v>
      </c>
      <c r="H1074">
        <v>38087.089999999997</v>
      </c>
      <c r="I1074" t="s">
        <v>20</v>
      </c>
      <c r="J1074" t="s">
        <v>21</v>
      </c>
      <c r="K1074" t="s">
        <v>80</v>
      </c>
      <c r="L1074" t="s">
        <v>64</v>
      </c>
      <c r="M1074">
        <v>5</v>
      </c>
      <c r="N1074" t="s">
        <v>33</v>
      </c>
      <c r="O1074" t="s">
        <v>25</v>
      </c>
      <c r="P1074" t="s">
        <v>34</v>
      </c>
    </row>
    <row r="1075" spans="1:16" x14ac:dyDescent="0.25">
      <c r="A1075" t="s">
        <v>2711</v>
      </c>
      <c r="B1075" s="6">
        <v>44292</v>
      </c>
      <c r="C1075">
        <v>1229</v>
      </c>
      <c r="D1075" t="s">
        <v>2712</v>
      </c>
      <c r="E1075" t="s">
        <v>18</v>
      </c>
      <c r="F1075" t="s">
        <v>19</v>
      </c>
      <c r="G1075">
        <v>10851.44</v>
      </c>
      <c r="H1075">
        <v>6789.05</v>
      </c>
      <c r="I1075" t="s">
        <v>120</v>
      </c>
      <c r="J1075" t="s">
        <v>21</v>
      </c>
      <c r="K1075" t="s">
        <v>32</v>
      </c>
      <c r="L1075" t="s">
        <v>55</v>
      </c>
      <c r="M1075">
        <v>2</v>
      </c>
      <c r="N1075" t="s">
        <v>33</v>
      </c>
      <c r="O1075" t="s">
        <v>70</v>
      </c>
      <c r="P1075" t="s">
        <v>34</v>
      </c>
    </row>
    <row r="1076" spans="1:16" x14ac:dyDescent="0.25">
      <c r="A1076" t="s">
        <v>2713</v>
      </c>
      <c r="B1076" s="6">
        <v>45643</v>
      </c>
      <c r="C1076">
        <v>8175</v>
      </c>
      <c r="D1076" t="s">
        <v>2714</v>
      </c>
      <c r="E1076" t="s">
        <v>18</v>
      </c>
      <c r="F1076" t="s">
        <v>39</v>
      </c>
      <c r="G1076">
        <v>48014.98</v>
      </c>
      <c r="H1076">
        <v>29928.54</v>
      </c>
      <c r="I1076" t="s">
        <v>84</v>
      </c>
      <c r="J1076" t="s">
        <v>54</v>
      </c>
      <c r="K1076" t="s">
        <v>32</v>
      </c>
      <c r="L1076" t="s">
        <v>43</v>
      </c>
      <c r="M1076">
        <v>2</v>
      </c>
      <c r="N1076" t="s">
        <v>69</v>
      </c>
      <c r="O1076" t="s">
        <v>70</v>
      </c>
      <c r="P1076" t="s">
        <v>26</v>
      </c>
    </row>
    <row r="1077" spans="1:16" x14ac:dyDescent="0.25">
      <c r="A1077" t="s">
        <v>2715</v>
      </c>
      <c r="B1077" s="6">
        <v>44855</v>
      </c>
      <c r="C1077">
        <v>1375</v>
      </c>
      <c r="D1077" t="s">
        <v>2716</v>
      </c>
      <c r="E1077" t="s">
        <v>38</v>
      </c>
      <c r="F1077" t="s">
        <v>39</v>
      </c>
      <c r="G1077">
        <v>32925.050000000003</v>
      </c>
      <c r="H1077">
        <v>18692.29</v>
      </c>
      <c r="I1077" t="s">
        <v>120</v>
      </c>
      <c r="J1077" t="s">
        <v>21</v>
      </c>
      <c r="K1077" t="s">
        <v>80</v>
      </c>
      <c r="L1077" t="s">
        <v>64</v>
      </c>
      <c r="M1077">
        <v>1</v>
      </c>
      <c r="N1077" t="s">
        <v>24</v>
      </c>
      <c r="O1077" t="s">
        <v>70</v>
      </c>
      <c r="P1077" t="s">
        <v>34</v>
      </c>
    </row>
    <row r="1078" spans="1:16" x14ac:dyDescent="0.25">
      <c r="A1078" t="s">
        <v>2717</v>
      </c>
      <c r="B1078" s="6">
        <v>44637</v>
      </c>
      <c r="C1078">
        <v>6981</v>
      </c>
      <c r="D1078" t="s">
        <v>2718</v>
      </c>
      <c r="E1078" t="s">
        <v>18</v>
      </c>
      <c r="F1078" t="s">
        <v>39</v>
      </c>
      <c r="G1078">
        <v>14558.89</v>
      </c>
      <c r="H1078">
        <v>6969.72</v>
      </c>
      <c r="I1078" t="s">
        <v>59</v>
      </c>
      <c r="J1078" t="s">
        <v>41</v>
      </c>
      <c r="K1078" t="s">
        <v>32</v>
      </c>
      <c r="L1078" t="s">
        <v>23</v>
      </c>
      <c r="M1078">
        <v>2</v>
      </c>
      <c r="N1078" t="s">
        <v>24</v>
      </c>
      <c r="O1078" t="s">
        <v>25</v>
      </c>
      <c r="P1078" t="s">
        <v>26</v>
      </c>
    </row>
    <row r="1079" spans="1:16" x14ac:dyDescent="0.25">
      <c r="A1079" t="s">
        <v>2719</v>
      </c>
      <c r="B1079" s="6">
        <v>44934</v>
      </c>
      <c r="C1079">
        <v>9832</v>
      </c>
      <c r="D1079" t="s">
        <v>2721</v>
      </c>
      <c r="E1079" t="s">
        <v>38</v>
      </c>
      <c r="F1079" t="s">
        <v>19</v>
      </c>
      <c r="G1079">
        <v>23580.55</v>
      </c>
      <c r="H1079">
        <v>13850.02</v>
      </c>
      <c r="I1079" t="s">
        <v>53</v>
      </c>
      <c r="J1079" t="s">
        <v>54</v>
      </c>
      <c r="K1079" t="s">
        <v>80</v>
      </c>
      <c r="L1079" t="s">
        <v>43</v>
      </c>
      <c r="M1079">
        <v>2</v>
      </c>
      <c r="N1079" t="s">
        <v>24</v>
      </c>
      <c r="O1079" t="s">
        <v>25</v>
      </c>
      <c r="P1079" t="s">
        <v>26</v>
      </c>
    </row>
    <row r="1080" spans="1:16" x14ac:dyDescent="0.25">
      <c r="A1080" t="s">
        <v>2722</v>
      </c>
      <c r="B1080" s="6">
        <v>45160</v>
      </c>
      <c r="C1080">
        <v>1646</v>
      </c>
      <c r="D1080" t="s">
        <v>2724</v>
      </c>
      <c r="E1080" t="s">
        <v>38</v>
      </c>
      <c r="F1080" t="s">
        <v>58</v>
      </c>
      <c r="G1080">
        <v>23050.29</v>
      </c>
      <c r="H1080">
        <v>13246.71</v>
      </c>
      <c r="I1080" t="s">
        <v>84</v>
      </c>
      <c r="J1080" t="s">
        <v>54</v>
      </c>
      <c r="K1080" t="s">
        <v>42</v>
      </c>
      <c r="L1080" t="s">
        <v>43</v>
      </c>
      <c r="M1080">
        <v>1</v>
      </c>
      <c r="N1080" t="s">
        <v>69</v>
      </c>
      <c r="O1080" t="s">
        <v>25</v>
      </c>
      <c r="P1080" t="s">
        <v>26</v>
      </c>
    </row>
    <row r="1081" spans="1:16" x14ac:dyDescent="0.25">
      <c r="A1081" t="s">
        <v>2725</v>
      </c>
      <c r="B1081" s="6">
        <v>45044</v>
      </c>
      <c r="C1081">
        <v>9884</v>
      </c>
      <c r="D1081" t="s">
        <v>2727</v>
      </c>
      <c r="E1081" t="s">
        <v>38</v>
      </c>
      <c r="F1081" t="s">
        <v>47</v>
      </c>
      <c r="G1081">
        <v>12668.07</v>
      </c>
      <c r="H1081">
        <v>7216.3</v>
      </c>
      <c r="I1081" t="s">
        <v>68</v>
      </c>
      <c r="J1081" t="s">
        <v>41</v>
      </c>
      <c r="K1081" t="s">
        <v>42</v>
      </c>
      <c r="L1081" t="s">
        <v>43</v>
      </c>
      <c r="M1081">
        <v>3</v>
      </c>
      <c r="N1081" t="s">
        <v>24</v>
      </c>
      <c r="O1081" t="s">
        <v>25</v>
      </c>
      <c r="P1081" t="s">
        <v>49</v>
      </c>
    </row>
    <row r="1082" spans="1:16" x14ac:dyDescent="0.25">
      <c r="A1082" t="s">
        <v>2728</v>
      </c>
      <c r="B1082" s="6">
        <v>44960</v>
      </c>
      <c r="C1082">
        <v>2376</v>
      </c>
      <c r="D1082" t="s">
        <v>2729</v>
      </c>
      <c r="E1082" t="s">
        <v>38</v>
      </c>
      <c r="F1082" t="s">
        <v>30</v>
      </c>
      <c r="G1082">
        <v>51494.55</v>
      </c>
      <c r="H1082">
        <v>29620.34</v>
      </c>
      <c r="I1082" t="s">
        <v>84</v>
      </c>
      <c r="J1082" t="s">
        <v>54</v>
      </c>
      <c r="K1082" t="s">
        <v>80</v>
      </c>
      <c r="L1082" t="s">
        <v>55</v>
      </c>
      <c r="M1082">
        <v>4</v>
      </c>
      <c r="N1082" t="s">
        <v>33</v>
      </c>
      <c r="O1082" t="s">
        <v>70</v>
      </c>
      <c r="P1082" t="s">
        <v>26</v>
      </c>
    </row>
    <row r="1083" spans="1:16" x14ac:dyDescent="0.25">
      <c r="A1083" t="s">
        <v>2730</v>
      </c>
      <c r="B1083" s="6">
        <v>45203</v>
      </c>
      <c r="C1083">
        <v>4059</v>
      </c>
      <c r="D1083" t="s">
        <v>2731</v>
      </c>
      <c r="E1083" t="s">
        <v>18</v>
      </c>
      <c r="F1083" t="s">
        <v>30</v>
      </c>
      <c r="G1083">
        <v>69150.95</v>
      </c>
      <c r="H1083">
        <v>37369.26</v>
      </c>
      <c r="I1083" t="s">
        <v>59</v>
      </c>
      <c r="J1083" t="s">
        <v>41</v>
      </c>
      <c r="K1083" t="s">
        <v>80</v>
      </c>
      <c r="L1083" t="s">
        <v>55</v>
      </c>
      <c r="M1083">
        <v>5</v>
      </c>
      <c r="N1083" t="s">
        <v>33</v>
      </c>
      <c r="O1083" t="s">
        <v>70</v>
      </c>
      <c r="P1083" t="s">
        <v>34</v>
      </c>
    </row>
    <row r="1084" spans="1:16" x14ac:dyDescent="0.25">
      <c r="A1084" t="s">
        <v>2732</v>
      </c>
      <c r="B1084" s="6">
        <v>45246</v>
      </c>
      <c r="C1084">
        <v>8151</v>
      </c>
      <c r="D1084" t="s">
        <v>2733</v>
      </c>
      <c r="E1084" t="s">
        <v>38</v>
      </c>
      <c r="F1084" t="s">
        <v>30</v>
      </c>
      <c r="G1084">
        <v>74121.41</v>
      </c>
      <c r="H1084">
        <v>35636.32</v>
      </c>
      <c r="I1084" t="s">
        <v>31</v>
      </c>
      <c r="J1084" t="s">
        <v>21</v>
      </c>
      <c r="K1084" t="s">
        <v>32</v>
      </c>
      <c r="L1084" t="s">
        <v>88</v>
      </c>
      <c r="M1084">
        <v>5</v>
      </c>
      <c r="N1084" t="s">
        <v>24</v>
      </c>
      <c r="O1084" t="s">
        <v>25</v>
      </c>
      <c r="P1084" t="s">
        <v>49</v>
      </c>
    </row>
    <row r="1085" spans="1:16" x14ac:dyDescent="0.25">
      <c r="A1085" t="s">
        <v>2734</v>
      </c>
      <c r="B1085" s="6">
        <v>44927</v>
      </c>
      <c r="C1085">
        <v>4051</v>
      </c>
      <c r="D1085" t="s">
        <v>2735</v>
      </c>
      <c r="E1085" t="s">
        <v>18</v>
      </c>
      <c r="F1085" t="s">
        <v>30</v>
      </c>
      <c r="G1085">
        <v>53700.92</v>
      </c>
      <c r="H1085">
        <v>31635.23</v>
      </c>
      <c r="I1085" t="s">
        <v>84</v>
      </c>
      <c r="J1085" t="s">
        <v>54</v>
      </c>
      <c r="K1085" t="s">
        <v>22</v>
      </c>
      <c r="L1085" t="s">
        <v>48</v>
      </c>
      <c r="M1085">
        <v>3</v>
      </c>
      <c r="N1085" t="s">
        <v>24</v>
      </c>
      <c r="O1085" t="s">
        <v>25</v>
      </c>
      <c r="P1085" t="s">
        <v>49</v>
      </c>
    </row>
    <row r="1086" spans="1:16" x14ac:dyDescent="0.25">
      <c r="A1086" t="s">
        <v>2736</v>
      </c>
      <c r="B1086" s="6">
        <v>44175</v>
      </c>
      <c r="C1086">
        <v>3751</v>
      </c>
      <c r="D1086" t="s">
        <v>2737</v>
      </c>
      <c r="E1086" t="s">
        <v>38</v>
      </c>
      <c r="F1086" t="s">
        <v>30</v>
      </c>
      <c r="G1086">
        <v>58262.23</v>
      </c>
      <c r="H1086">
        <v>28267.75</v>
      </c>
      <c r="I1086" t="s">
        <v>31</v>
      </c>
      <c r="J1086" t="s">
        <v>21</v>
      </c>
      <c r="K1086" t="s">
        <v>42</v>
      </c>
      <c r="L1086" t="s">
        <v>88</v>
      </c>
      <c r="M1086">
        <v>3</v>
      </c>
      <c r="N1086" t="s">
        <v>33</v>
      </c>
      <c r="O1086" t="s">
        <v>70</v>
      </c>
      <c r="P1086" t="s">
        <v>34</v>
      </c>
    </row>
    <row r="1087" spans="1:16" x14ac:dyDescent="0.25">
      <c r="A1087" t="s">
        <v>2738</v>
      </c>
      <c r="B1087" s="6">
        <v>44875</v>
      </c>
      <c r="C1087">
        <v>4042</v>
      </c>
      <c r="D1087" t="s">
        <v>2739</v>
      </c>
      <c r="E1087" t="s">
        <v>18</v>
      </c>
      <c r="F1087" t="s">
        <v>58</v>
      </c>
      <c r="G1087">
        <v>31456.11</v>
      </c>
      <c r="H1087">
        <v>14992.6</v>
      </c>
      <c r="I1087" t="s">
        <v>120</v>
      </c>
      <c r="J1087" t="s">
        <v>21</v>
      </c>
      <c r="K1087" t="s">
        <v>42</v>
      </c>
      <c r="L1087" t="s">
        <v>64</v>
      </c>
      <c r="M1087">
        <v>2</v>
      </c>
      <c r="N1087" t="s">
        <v>69</v>
      </c>
      <c r="O1087" t="s">
        <v>25</v>
      </c>
      <c r="P1087" t="s">
        <v>49</v>
      </c>
    </row>
    <row r="1088" spans="1:16" x14ac:dyDescent="0.25">
      <c r="A1088" t="s">
        <v>2740</v>
      </c>
      <c r="B1088" s="6">
        <v>44912</v>
      </c>
      <c r="C1088">
        <v>6371</v>
      </c>
      <c r="D1088" t="s">
        <v>2741</v>
      </c>
      <c r="E1088" t="s">
        <v>18</v>
      </c>
      <c r="F1088" t="s">
        <v>39</v>
      </c>
      <c r="G1088">
        <v>18442.75</v>
      </c>
      <c r="H1088">
        <v>9545.5499999999993</v>
      </c>
      <c r="I1088" t="s">
        <v>59</v>
      </c>
      <c r="J1088" t="s">
        <v>41</v>
      </c>
      <c r="K1088" t="s">
        <v>80</v>
      </c>
      <c r="L1088" t="s">
        <v>23</v>
      </c>
      <c r="M1088">
        <v>3</v>
      </c>
      <c r="N1088" t="s">
        <v>33</v>
      </c>
      <c r="O1088" t="s">
        <v>70</v>
      </c>
      <c r="P1088" t="s">
        <v>26</v>
      </c>
    </row>
    <row r="1089" spans="1:16" x14ac:dyDescent="0.25">
      <c r="A1089" t="s">
        <v>2742</v>
      </c>
      <c r="B1089" s="6">
        <v>45102</v>
      </c>
      <c r="C1089">
        <v>7062</v>
      </c>
      <c r="D1089" t="s">
        <v>2744</v>
      </c>
      <c r="E1089" t="s">
        <v>18</v>
      </c>
      <c r="F1089" t="s">
        <v>39</v>
      </c>
      <c r="G1089">
        <v>19840.63</v>
      </c>
      <c r="H1089">
        <v>12862.4</v>
      </c>
      <c r="I1089" t="s">
        <v>84</v>
      </c>
      <c r="J1089" t="s">
        <v>54</v>
      </c>
      <c r="K1089" t="s">
        <v>22</v>
      </c>
      <c r="L1089" t="s">
        <v>43</v>
      </c>
      <c r="M1089">
        <v>4</v>
      </c>
      <c r="N1089" t="s">
        <v>33</v>
      </c>
      <c r="O1089" t="s">
        <v>25</v>
      </c>
      <c r="P1089" t="s">
        <v>49</v>
      </c>
    </row>
    <row r="1090" spans="1:16" x14ac:dyDescent="0.25">
      <c r="A1090" t="s">
        <v>2745</v>
      </c>
      <c r="B1090" s="6">
        <v>45578</v>
      </c>
      <c r="C1090">
        <v>1256</v>
      </c>
      <c r="D1090" t="s">
        <v>1477</v>
      </c>
      <c r="E1090" t="s">
        <v>38</v>
      </c>
      <c r="F1090" t="s">
        <v>47</v>
      </c>
      <c r="G1090">
        <v>14937.31</v>
      </c>
      <c r="H1090">
        <v>9031.11</v>
      </c>
      <c r="I1090" t="s">
        <v>120</v>
      </c>
      <c r="J1090" t="s">
        <v>21</v>
      </c>
      <c r="K1090" t="s">
        <v>42</v>
      </c>
      <c r="L1090" t="s">
        <v>88</v>
      </c>
      <c r="M1090">
        <v>2</v>
      </c>
      <c r="N1090" t="s">
        <v>33</v>
      </c>
      <c r="O1090" t="s">
        <v>25</v>
      </c>
      <c r="P1090" t="s">
        <v>49</v>
      </c>
    </row>
    <row r="1091" spans="1:16" x14ac:dyDescent="0.25">
      <c r="A1091" t="s">
        <v>2746</v>
      </c>
      <c r="B1091" s="6">
        <v>45330</v>
      </c>
      <c r="C1091">
        <v>8884</v>
      </c>
      <c r="D1091" t="s">
        <v>2747</v>
      </c>
      <c r="E1091" t="s">
        <v>38</v>
      </c>
      <c r="F1091" t="s">
        <v>47</v>
      </c>
      <c r="G1091">
        <v>6840.28</v>
      </c>
      <c r="H1091">
        <v>3350.57</v>
      </c>
      <c r="I1091" t="s">
        <v>84</v>
      </c>
      <c r="J1091" t="s">
        <v>54</v>
      </c>
      <c r="K1091" t="s">
        <v>42</v>
      </c>
      <c r="L1091" t="s">
        <v>43</v>
      </c>
      <c r="M1091">
        <v>2</v>
      </c>
      <c r="N1091" t="s">
        <v>33</v>
      </c>
      <c r="O1091" t="s">
        <v>25</v>
      </c>
      <c r="P1091" t="s">
        <v>34</v>
      </c>
    </row>
    <row r="1092" spans="1:16" x14ac:dyDescent="0.25">
      <c r="A1092" t="s">
        <v>2748</v>
      </c>
      <c r="B1092" s="6">
        <v>44617</v>
      </c>
      <c r="C1092">
        <v>6370</v>
      </c>
      <c r="D1092" t="s">
        <v>2750</v>
      </c>
      <c r="E1092" t="s">
        <v>18</v>
      </c>
      <c r="F1092" t="s">
        <v>58</v>
      </c>
      <c r="G1092">
        <v>14360.67</v>
      </c>
      <c r="H1092">
        <v>8555.89</v>
      </c>
      <c r="I1092" t="s">
        <v>53</v>
      </c>
      <c r="J1092" t="s">
        <v>54</v>
      </c>
      <c r="K1092" t="s">
        <v>42</v>
      </c>
      <c r="L1092" t="s">
        <v>43</v>
      </c>
      <c r="M1092">
        <v>2</v>
      </c>
      <c r="N1092" t="s">
        <v>69</v>
      </c>
      <c r="O1092" t="s">
        <v>25</v>
      </c>
      <c r="P1092" t="s">
        <v>49</v>
      </c>
    </row>
    <row r="1093" spans="1:16" x14ac:dyDescent="0.25">
      <c r="A1093" t="s">
        <v>2751</v>
      </c>
      <c r="B1093" s="6">
        <v>44570</v>
      </c>
      <c r="C1093">
        <v>5354</v>
      </c>
      <c r="D1093" t="s">
        <v>2752</v>
      </c>
      <c r="E1093" t="s">
        <v>18</v>
      </c>
      <c r="F1093" t="s">
        <v>30</v>
      </c>
      <c r="G1093">
        <v>75468.23</v>
      </c>
      <c r="H1093">
        <v>43670.63</v>
      </c>
      <c r="I1093" t="s">
        <v>53</v>
      </c>
      <c r="J1093" t="s">
        <v>54</v>
      </c>
      <c r="K1093" t="s">
        <v>22</v>
      </c>
      <c r="L1093" t="s">
        <v>88</v>
      </c>
      <c r="M1093">
        <v>1</v>
      </c>
      <c r="N1093" t="s">
        <v>33</v>
      </c>
      <c r="O1093" t="s">
        <v>25</v>
      </c>
      <c r="P1093" t="s">
        <v>34</v>
      </c>
    </row>
    <row r="1094" spans="1:16" x14ac:dyDescent="0.25">
      <c r="A1094" t="s">
        <v>2753</v>
      </c>
      <c r="B1094" s="6">
        <v>44499</v>
      </c>
      <c r="C1094">
        <v>8747</v>
      </c>
      <c r="D1094" t="s">
        <v>2754</v>
      </c>
      <c r="E1094" t="s">
        <v>18</v>
      </c>
      <c r="F1094" t="s">
        <v>47</v>
      </c>
      <c r="G1094">
        <v>10264.67</v>
      </c>
      <c r="H1094">
        <v>6333.12</v>
      </c>
      <c r="I1094" t="s">
        <v>84</v>
      </c>
      <c r="J1094" t="s">
        <v>54</v>
      </c>
      <c r="K1094" t="s">
        <v>80</v>
      </c>
      <c r="L1094" t="s">
        <v>55</v>
      </c>
      <c r="M1094">
        <v>3</v>
      </c>
      <c r="N1094" t="s">
        <v>33</v>
      </c>
      <c r="O1094" t="s">
        <v>25</v>
      </c>
      <c r="P1094" t="s">
        <v>49</v>
      </c>
    </row>
    <row r="1095" spans="1:16" x14ac:dyDescent="0.25">
      <c r="A1095" t="s">
        <v>2755</v>
      </c>
      <c r="B1095" s="6">
        <v>45461</v>
      </c>
      <c r="C1095">
        <v>8014</v>
      </c>
      <c r="D1095" t="s">
        <v>2756</v>
      </c>
      <c r="E1095" t="s">
        <v>38</v>
      </c>
      <c r="F1095" t="s">
        <v>39</v>
      </c>
      <c r="G1095">
        <v>11157.73</v>
      </c>
      <c r="H1095">
        <v>5745.02</v>
      </c>
      <c r="I1095" t="s">
        <v>120</v>
      </c>
      <c r="J1095" t="s">
        <v>21</v>
      </c>
      <c r="K1095" t="s">
        <v>80</v>
      </c>
      <c r="L1095" t="s">
        <v>64</v>
      </c>
      <c r="M1095">
        <v>5</v>
      </c>
      <c r="N1095" t="s">
        <v>33</v>
      </c>
      <c r="O1095" t="s">
        <v>25</v>
      </c>
      <c r="P1095" t="s">
        <v>26</v>
      </c>
    </row>
    <row r="1096" spans="1:16" x14ac:dyDescent="0.25">
      <c r="A1096" t="s">
        <v>2757</v>
      </c>
      <c r="B1096" s="6">
        <v>44904</v>
      </c>
      <c r="C1096">
        <v>9869</v>
      </c>
      <c r="D1096" t="s">
        <v>2758</v>
      </c>
      <c r="E1096" t="s">
        <v>38</v>
      </c>
      <c r="F1096" t="s">
        <v>39</v>
      </c>
      <c r="G1096">
        <v>37422.36</v>
      </c>
      <c r="H1096">
        <v>19998.240000000002</v>
      </c>
      <c r="I1096" t="s">
        <v>84</v>
      </c>
      <c r="J1096" t="s">
        <v>54</v>
      </c>
      <c r="K1096" t="s">
        <v>42</v>
      </c>
      <c r="L1096" t="s">
        <v>88</v>
      </c>
      <c r="M1096">
        <v>5</v>
      </c>
      <c r="N1096" t="s">
        <v>33</v>
      </c>
      <c r="O1096" t="s">
        <v>25</v>
      </c>
      <c r="P1096" t="s">
        <v>34</v>
      </c>
    </row>
    <row r="1097" spans="1:16" x14ac:dyDescent="0.25">
      <c r="A1097" t="s">
        <v>2759</v>
      </c>
      <c r="B1097" s="6">
        <v>45511</v>
      </c>
      <c r="C1097">
        <v>1416</v>
      </c>
      <c r="D1097" t="s">
        <v>2761</v>
      </c>
      <c r="E1097" t="s">
        <v>18</v>
      </c>
      <c r="F1097" t="s">
        <v>47</v>
      </c>
      <c r="G1097">
        <v>13272.36</v>
      </c>
      <c r="H1097">
        <v>5989.17</v>
      </c>
      <c r="I1097" t="s">
        <v>68</v>
      </c>
      <c r="J1097" t="s">
        <v>41</v>
      </c>
      <c r="K1097" t="s">
        <v>22</v>
      </c>
      <c r="L1097" t="s">
        <v>55</v>
      </c>
      <c r="M1097">
        <v>2</v>
      </c>
      <c r="N1097" t="s">
        <v>69</v>
      </c>
      <c r="O1097" t="s">
        <v>25</v>
      </c>
      <c r="P1097" t="s">
        <v>26</v>
      </c>
    </row>
    <row r="1098" spans="1:16" x14ac:dyDescent="0.25">
      <c r="A1098" t="s">
        <v>2762</v>
      </c>
      <c r="B1098" s="6">
        <v>44526</v>
      </c>
      <c r="C1098">
        <v>6340</v>
      </c>
      <c r="D1098" t="s">
        <v>2764</v>
      </c>
      <c r="E1098" t="s">
        <v>38</v>
      </c>
      <c r="F1098" t="s">
        <v>58</v>
      </c>
      <c r="G1098">
        <v>8977.68</v>
      </c>
      <c r="H1098">
        <v>4049.96</v>
      </c>
      <c r="I1098" t="s">
        <v>20</v>
      </c>
      <c r="J1098" t="s">
        <v>21</v>
      </c>
      <c r="K1098" t="s">
        <v>42</v>
      </c>
      <c r="L1098" t="s">
        <v>64</v>
      </c>
      <c r="M1098">
        <v>1</v>
      </c>
      <c r="N1098" t="s">
        <v>24</v>
      </c>
      <c r="O1098" t="s">
        <v>70</v>
      </c>
      <c r="P1098" t="s">
        <v>34</v>
      </c>
    </row>
    <row r="1099" spans="1:16" x14ac:dyDescent="0.25">
      <c r="A1099" t="s">
        <v>2765</v>
      </c>
      <c r="B1099" s="6">
        <v>44707</v>
      </c>
      <c r="C1099">
        <v>9598</v>
      </c>
      <c r="D1099" t="s">
        <v>2767</v>
      </c>
      <c r="E1099" t="s">
        <v>38</v>
      </c>
      <c r="F1099" t="s">
        <v>19</v>
      </c>
      <c r="G1099">
        <v>9094.4699999999993</v>
      </c>
      <c r="H1099">
        <v>5220.16</v>
      </c>
      <c r="I1099" t="s">
        <v>20</v>
      </c>
      <c r="J1099" t="s">
        <v>21</v>
      </c>
      <c r="K1099" t="s">
        <v>80</v>
      </c>
      <c r="L1099" t="s">
        <v>23</v>
      </c>
      <c r="M1099">
        <v>4</v>
      </c>
      <c r="N1099" t="s">
        <v>69</v>
      </c>
      <c r="O1099" t="s">
        <v>70</v>
      </c>
      <c r="P1099" t="s">
        <v>26</v>
      </c>
    </row>
    <row r="1100" spans="1:16" x14ac:dyDescent="0.25">
      <c r="A1100" t="s">
        <v>2768</v>
      </c>
      <c r="B1100" s="6">
        <v>45441</v>
      </c>
      <c r="C1100">
        <v>7771</v>
      </c>
      <c r="D1100" t="s">
        <v>2769</v>
      </c>
      <c r="E1100" t="s">
        <v>18</v>
      </c>
      <c r="F1100" t="s">
        <v>19</v>
      </c>
      <c r="G1100">
        <v>21495.08</v>
      </c>
      <c r="H1100">
        <v>10230.530000000001</v>
      </c>
      <c r="I1100" t="s">
        <v>84</v>
      </c>
      <c r="J1100" t="s">
        <v>54</v>
      </c>
      <c r="K1100" t="s">
        <v>32</v>
      </c>
      <c r="L1100" t="s">
        <v>88</v>
      </c>
      <c r="M1100">
        <v>3</v>
      </c>
      <c r="N1100" t="s">
        <v>33</v>
      </c>
      <c r="O1100" t="s">
        <v>70</v>
      </c>
      <c r="P1100" t="s">
        <v>49</v>
      </c>
    </row>
    <row r="1101" spans="1:16" x14ac:dyDescent="0.25">
      <c r="A1101" t="s">
        <v>2770</v>
      </c>
      <c r="B1101" s="6">
        <v>45346</v>
      </c>
      <c r="C1101">
        <v>4119</v>
      </c>
      <c r="D1101" t="s">
        <v>2771</v>
      </c>
      <c r="E1101" t="s">
        <v>18</v>
      </c>
      <c r="F1101" t="s">
        <v>19</v>
      </c>
      <c r="G1101">
        <v>7996.93</v>
      </c>
      <c r="H1101">
        <v>4568.7700000000004</v>
      </c>
      <c r="I1101" t="s">
        <v>63</v>
      </c>
      <c r="J1101" t="s">
        <v>54</v>
      </c>
      <c r="K1101" t="s">
        <v>22</v>
      </c>
      <c r="L1101" t="s">
        <v>48</v>
      </c>
      <c r="M1101">
        <v>3</v>
      </c>
      <c r="N1101" t="s">
        <v>24</v>
      </c>
      <c r="O1101" t="s">
        <v>25</v>
      </c>
      <c r="P1101" t="s">
        <v>49</v>
      </c>
    </row>
    <row r="1102" spans="1:16" x14ac:dyDescent="0.25">
      <c r="A1102" t="s">
        <v>2772</v>
      </c>
      <c r="B1102" s="6">
        <v>44812</v>
      </c>
      <c r="C1102">
        <v>4341</v>
      </c>
      <c r="D1102" t="s">
        <v>2773</v>
      </c>
      <c r="E1102" t="s">
        <v>38</v>
      </c>
      <c r="F1102" t="s">
        <v>30</v>
      </c>
      <c r="G1102">
        <v>44622.62</v>
      </c>
      <c r="H1102">
        <v>24832.61</v>
      </c>
      <c r="I1102" t="s">
        <v>63</v>
      </c>
      <c r="J1102" t="s">
        <v>54</v>
      </c>
      <c r="K1102" t="s">
        <v>80</v>
      </c>
      <c r="L1102" t="s">
        <v>64</v>
      </c>
      <c r="M1102">
        <v>5</v>
      </c>
      <c r="N1102" t="s">
        <v>24</v>
      </c>
      <c r="O1102" t="s">
        <v>70</v>
      </c>
      <c r="P1102" t="s">
        <v>26</v>
      </c>
    </row>
    <row r="1103" spans="1:16" x14ac:dyDescent="0.25">
      <c r="A1103" t="s">
        <v>2774</v>
      </c>
      <c r="B1103" s="6">
        <v>44747</v>
      </c>
      <c r="C1103">
        <v>5352</v>
      </c>
      <c r="D1103" t="s">
        <v>2775</v>
      </c>
      <c r="E1103" t="s">
        <v>38</v>
      </c>
      <c r="F1103" t="s">
        <v>30</v>
      </c>
      <c r="G1103">
        <v>21903.66</v>
      </c>
      <c r="H1103">
        <v>10534.59</v>
      </c>
      <c r="I1103" t="s">
        <v>120</v>
      </c>
      <c r="J1103" t="s">
        <v>21</v>
      </c>
      <c r="K1103" t="s">
        <v>22</v>
      </c>
      <c r="L1103" t="s">
        <v>88</v>
      </c>
      <c r="M1103">
        <v>2</v>
      </c>
      <c r="N1103" t="s">
        <v>24</v>
      </c>
      <c r="O1103" t="s">
        <v>25</v>
      </c>
      <c r="P1103" t="s">
        <v>49</v>
      </c>
    </row>
    <row r="1104" spans="1:16" x14ac:dyDescent="0.25">
      <c r="A1104" t="s">
        <v>2776</v>
      </c>
      <c r="B1104" s="6">
        <v>44979</v>
      </c>
      <c r="C1104">
        <v>1869</v>
      </c>
      <c r="D1104" t="s">
        <v>2777</v>
      </c>
      <c r="E1104" t="s">
        <v>18</v>
      </c>
      <c r="F1104" t="s">
        <v>47</v>
      </c>
      <c r="G1104">
        <v>13200.41</v>
      </c>
      <c r="H1104">
        <v>8475.59</v>
      </c>
      <c r="I1104" t="s">
        <v>120</v>
      </c>
      <c r="J1104" t="s">
        <v>21</v>
      </c>
      <c r="K1104" t="s">
        <v>80</v>
      </c>
      <c r="L1104" t="s">
        <v>23</v>
      </c>
      <c r="M1104">
        <v>1</v>
      </c>
      <c r="N1104" t="s">
        <v>24</v>
      </c>
      <c r="O1104" t="s">
        <v>25</v>
      </c>
      <c r="P1104" t="s">
        <v>34</v>
      </c>
    </row>
    <row r="1105" spans="1:16" x14ac:dyDescent="0.25">
      <c r="A1105" t="s">
        <v>2778</v>
      </c>
      <c r="B1105" s="6">
        <v>45225</v>
      </c>
      <c r="C1105">
        <v>1479</v>
      </c>
      <c r="D1105" t="s">
        <v>2779</v>
      </c>
      <c r="E1105" t="s">
        <v>38</v>
      </c>
      <c r="F1105" t="s">
        <v>58</v>
      </c>
      <c r="G1105">
        <v>16935.13</v>
      </c>
      <c r="H1105">
        <v>8146.45</v>
      </c>
      <c r="I1105" t="s">
        <v>31</v>
      </c>
      <c r="J1105" t="s">
        <v>21</v>
      </c>
      <c r="K1105" t="s">
        <v>32</v>
      </c>
      <c r="L1105" t="s">
        <v>48</v>
      </c>
      <c r="M1105">
        <v>4</v>
      </c>
      <c r="N1105" t="s">
        <v>69</v>
      </c>
      <c r="O1105" t="s">
        <v>70</v>
      </c>
      <c r="P1105" t="s">
        <v>49</v>
      </c>
    </row>
    <row r="1106" spans="1:16" x14ac:dyDescent="0.25">
      <c r="A1106" t="s">
        <v>2780</v>
      </c>
      <c r="B1106" s="6">
        <v>45254</v>
      </c>
      <c r="C1106">
        <v>4871</v>
      </c>
      <c r="D1106" t="s">
        <v>2782</v>
      </c>
      <c r="E1106" t="s">
        <v>18</v>
      </c>
      <c r="F1106" t="s">
        <v>19</v>
      </c>
      <c r="G1106">
        <v>9561.4599999999991</v>
      </c>
      <c r="H1106">
        <v>4621.18</v>
      </c>
      <c r="I1106" t="s">
        <v>53</v>
      </c>
      <c r="J1106" t="s">
        <v>54</v>
      </c>
      <c r="K1106" t="s">
        <v>42</v>
      </c>
      <c r="L1106" t="s">
        <v>48</v>
      </c>
      <c r="M1106">
        <v>2</v>
      </c>
      <c r="N1106" t="s">
        <v>24</v>
      </c>
      <c r="O1106" t="s">
        <v>70</v>
      </c>
      <c r="P1106" t="s">
        <v>49</v>
      </c>
    </row>
    <row r="1107" spans="1:16" x14ac:dyDescent="0.25">
      <c r="A1107" t="s">
        <v>2783</v>
      </c>
      <c r="B1107" s="6">
        <v>44624</v>
      </c>
      <c r="C1107">
        <v>8586</v>
      </c>
      <c r="D1107" t="s">
        <v>2785</v>
      </c>
      <c r="E1107" t="s">
        <v>38</v>
      </c>
      <c r="F1107" t="s">
        <v>47</v>
      </c>
      <c r="G1107">
        <v>6282.99</v>
      </c>
      <c r="H1107">
        <v>3842.98</v>
      </c>
      <c r="I1107" t="s">
        <v>84</v>
      </c>
      <c r="J1107" t="s">
        <v>54</v>
      </c>
      <c r="K1107" t="s">
        <v>42</v>
      </c>
      <c r="L1107" t="s">
        <v>23</v>
      </c>
      <c r="M1107">
        <v>1</v>
      </c>
      <c r="N1107" t="s">
        <v>24</v>
      </c>
      <c r="O1107" t="s">
        <v>25</v>
      </c>
      <c r="P1107" t="s">
        <v>34</v>
      </c>
    </row>
    <row r="1108" spans="1:16" x14ac:dyDescent="0.25">
      <c r="A1108" t="s">
        <v>2786</v>
      </c>
      <c r="B1108" s="6">
        <v>45384</v>
      </c>
      <c r="C1108">
        <v>8189</v>
      </c>
      <c r="D1108" t="s">
        <v>2788</v>
      </c>
      <c r="E1108" t="s">
        <v>18</v>
      </c>
      <c r="F1108" t="s">
        <v>30</v>
      </c>
      <c r="G1108">
        <v>32045.02</v>
      </c>
      <c r="H1108">
        <v>15537.54</v>
      </c>
      <c r="I1108" t="s">
        <v>120</v>
      </c>
      <c r="J1108" t="s">
        <v>21</v>
      </c>
      <c r="K1108" t="s">
        <v>22</v>
      </c>
      <c r="L1108" t="s">
        <v>23</v>
      </c>
      <c r="M1108">
        <v>1</v>
      </c>
      <c r="N1108" t="s">
        <v>33</v>
      </c>
      <c r="O1108" t="s">
        <v>70</v>
      </c>
      <c r="P1108" t="s">
        <v>49</v>
      </c>
    </row>
    <row r="1109" spans="1:16" x14ac:dyDescent="0.25">
      <c r="A1109" t="s">
        <v>2789</v>
      </c>
      <c r="B1109" s="6">
        <v>45401</v>
      </c>
      <c r="C1109">
        <v>6355</v>
      </c>
      <c r="D1109" t="s">
        <v>2791</v>
      </c>
      <c r="E1109" t="s">
        <v>18</v>
      </c>
      <c r="F1109" t="s">
        <v>47</v>
      </c>
      <c r="G1109">
        <v>12180.91</v>
      </c>
      <c r="H1109">
        <v>6841.56</v>
      </c>
      <c r="I1109" t="s">
        <v>31</v>
      </c>
      <c r="J1109" t="s">
        <v>21</v>
      </c>
      <c r="K1109" t="s">
        <v>32</v>
      </c>
      <c r="L1109" t="s">
        <v>23</v>
      </c>
      <c r="M1109">
        <v>2</v>
      </c>
      <c r="N1109" t="s">
        <v>33</v>
      </c>
      <c r="O1109" t="s">
        <v>70</v>
      </c>
      <c r="P1109" t="s">
        <v>26</v>
      </c>
    </row>
    <row r="1110" spans="1:16" x14ac:dyDescent="0.25">
      <c r="A1110" t="s">
        <v>2792</v>
      </c>
      <c r="B1110" s="6">
        <v>45319</v>
      </c>
      <c r="C1110">
        <v>4087</v>
      </c>
      <c r="D1110" t="s">
        <v>2794</v>
      </c>
      <c r="E1110" t="s">
        <v>18</v>
      </c>
      <c r="F1110" t="s">
        <v>39</v>
      </c>
      <c r="G1110">
        <v>12364.03</v>
      </c>
      <c r="H1110">
        <v>5673.77</v>
      </c>
      <c r="I1110" t="s">
        <v>53</v>
      </c>
      <c r="J1110" t="s">
        <v>54</v>
      </c>
      <c r="K1110" t="s">
        <v>80</v>
      </c>
      <c r="L1110" t="s">
        <v>43</v>
      </c>
      <c r="M1110">
        <v>4</v>
      </c>
      <c r="N1110" t="s">
        <v>24</v>
      </c>
      <c r="O1110" t="s">
        <v>25</v>
      </c>
      <c r="P1110" t="s">
        <v>49</v>
      </c>
    </row>
    <row r="1111" spans="1:16" x14ac:dyDescent="0.25">
      <c r="A1111" t="s">
        <v>2795</v>
      </c>
      <c r="B1111" s="6">
        <v>45652</v>
      </c>
      <c r="C1111">
        <v>9426</v>
      </c>
      <c r="D1111" t="s">
        <v>2797</v>
      </c>
      <c r="E1111" t="s">
        <v>38</v>
      </c>
      <c r="F1111" t="s">
        <v>58</v>
      </c>
      <c r="G1111">
        <v>22248.42</v>
      </c>
      <c r="H1111">
        <v>12848.14</v>
      </c>
      <c r="I1111" t="s">
        <v>84</v>
      </c>
      <c r="J1111" t="s">
        <v>54</v>
      </c>
      <c r="K1111" t="s">
        <v>80</v>
      </c>
      <c r="L1111" t="s">
        <v>55</v>
      </c>
      <c r="M1111">
        <v>1</v>
      </c>
      <c r="N1111" t="s">
        <v>33</v>
      </c>
      <c r="O1111" t="s">
        <v>25</v>
      </c>
      <c r="P1111" t="s">
        <v>34</v>
      </c>
    </row>
    <row r="1112" spans="1:16" x14ac:dyDescent="0.25">
      <c r="A1112" t="s">
        <v>2798</v>
      </c>
      <c r="B1112" s="6">
        <v>45585</v>
      </c>
      <c r="C1112">
        <v>2793</v>
      </c>
      <c r="D1112" t="s">
        <v>2799</v>
      </c>
      <c r="E1112" t="s">
        <v>38</v>
      </c>
      <c r="F1112" t="s">
        <v>19</v>
      </c>
      <c r="G1112">
        <v>6694.38</v>
      </c>
      <c r="H1112">
        <v>4130.68</v>
      </c>
      <c r="I1112" t="s">
        <v>53</v>
      </c>
      <c r="J1112" t="s">
        <v>54</v>
      </c>
      <c r="K1112" t="s">
        <v>32</v>
      </c>
      <c r="L1112" t="s">
        <v>23</v>
      </c>
      <c r="M1112">
        <v>5</v>
      </c>
      <c r="N1112" t="s">
        <v>69</v>
      </c>
      <c r="O1112" t="s">
        <v>70</v>
      </c>
      <c r="P1112" t="s">
        <v>26</v>
      </c>
    </row>
    <row r="1113" spans="1:16" x14ac:dyDescent="0.25">
      <c r="A1113" t="s">
        <v>2800</v>
      </c>
      <c r="B1113" s="6">
        <v>45592</v>
      </c>
      <c r="C1113">
        <v>1393</v>
      </c>
      <c r="D1113" t="s">
        <v>2801</v>
      </c>
      <c r="E1113" t="s">
        <v>18</v>
      </c>
      <c r="F1113" t="s">
        <v>30</v>
      </c>
      <c r="G1113">
        <v>42629.65</v>
      </c>
      <c r="H1113">
        <v>23258.47</v>
      </c>
      <c r="I1113" t="s">
        <v>31</v>
      </c>
      <c r="J1113" t="s">
        <v>21</v>
      </c>
      <c r="K1113" t="s">
        <v>32</v>
      </c>
      <c r="L1113" t="s">
        <v>55</v>
      </c>
      <c r="M1113">
        <v>5</v>
      </c>
      <c r="N1113" t="s">
        <v>69</v>
      </c>
      <c r="O1113" t="s">
        <v>70</v>
      </c>
      <c r="P1113" t="s">
        <v>49</v>
      </c>
    </row>
    <row r="1114" spans="1:16" x14ac:dyDescent="0.25">
      <c r="A1114" t="s">
        <v>2802</v>
      </c>
      <c r="B1114" s="6">
        <v>45182</v>
      </c>
      <c r="C1114">
        <v>2886</v>
      </c>
      <c r="D1114" t="s">
        <v>2803</v>
      </c>
      <c r="E1114" t="s">
        <v>18</v>
      </c>
      <c r="F1114" t="s">
        <v>58</v>
      </c>
      <c r="G1114">
        <v>31352.66</v>
      </c>
      <c r="H1114">
        <v>18079.77</v>
      </c>
      <c r="I1114" t="s">
        <v>53</v>
      </c>
      <c r="J1114" t="s">
        <v>54</v>
      </c>
      <c r="K1114" t="s">
        <v>32</v>
      </c>
      <c r="L1114" t="s">
        <v>55</v>
      </c>
      <c r="M1114">
        <v>2</v>
      </c>
      <c r="N1114" t="s">
        <v>33</v>
      </c>
      <c r="O1114" t="s">
        <v>70</v>
      </c>
      <c r="P1114" t="s">
        <v>49</v>
      </c>
    </row>
    <row r="1115" spans="1:16" x14ac:dyDescent="0.25">
      <c r="A1115" t="s">
        <v>2804</v>
      </c>
      <c r="B1115" s="6">
        <v>44954</v>
      </c>
      <c r="C1115">
        <v>2462</v>
      </c>
      <c r="D1115" t="s">
        <v>2805</v>
      </c>
      <c r="E1115" t="s">
        <v>18</v>
      </c>
      <c r="F1115" t="s">
        <v>30</v>
      </c>
      <c r="G1115">
        <v>17446.48</v>
      </c>
      <c r="H1115">
        <v>9256.0400000000009</v>
      </c>
      <c r="I1115" t="s">
        <v>59</v>
      </c>
      <c r="J1115" t="s">
        <v>41</v>
      </c>
      <c r="K1115" t="s">
        <v>32</v>
      </c>
      <c r="L1115" t="s">
        <v>23</v>
      </c>
      <c r="M1115">
        <v>1</v>
      </c>
      <c r="N1115" t="s">
        <v>33</v>
      </c>
      <c r="O1115" t="s">
        <v>70</v>
      </c>
      <c r="P1115" t="s">
        <v>34</v>
      </c>
    </row>
    <row r="1116" spans="1:16" x14ac:dyDescent="0.25">
      <c r="A1116" t="s">
        <v>2806</v>
      </c>
      <c r="B1116" s="6">
        <v>45516</v>
      </c>
      <c r="C1116">
        <v>4243</v>
      </c>
      <c r="D1116" t="s">
        <v>2808</v>
      </c>
      <c r="E1116" t="s">
        <v>18</v>
      </c>
      <c r="F1116" t="s">
        <v>19</v>
      </c>
      <c r="G1116">
        <v>6055.25</v>
      </c>
      <c r="H1116">
        <v>3417.44</v>
      </c>
      <c r="I1116" t="s">
        <v>53</v>
      </c>
      <c r="J1116" t="s">
        <v>54</v>
      </c>
      <c r="K1116" t="s">
        <v>80</v>
      </c>
      <c r="L1116" t="s">
        <v>64</v>
      </c>
      <c r="M1116">
        <v>3</v>
      </c>
      <c r="N1116" t="s">
        <v>33</v>
      </c>
      <c r="O1116" t="s">
        <v>25</v>
      </c>
      <c r="P1116" t="s">
        <v>26</v>
      </c>
    </row>
    <row r="1117" spans="1:16" x14ac:dyDescent="0.25">
      <c r="A1117" t="s">
        <v>2809</v>
      </c>
      <c r="B1117" s="6">
        <v>45345</v>
      </c>
      <c r="C1117">
        <v>5621</v>
      </c>
      <c r="D1117" t="s">
        <v>2810</v>
      </c>
      <c r="E1117" t="s">
        <v>18</v>
      </c>
      <c r="F1117" t="s">
        <v>47</v>
      </c>
      <c r="G1117">
        <v>4694.67</v>
      </c>
      <c r="H1117">
        <v>2379.6799999999998</v>
      </c>
      <c r="I1117" t="s">
        <v>31</v>
      </c>
      <c r="J1117" t="s">
        <v>21</v>
      </c>
      <c r="K1117" t="s">
        <v>80</v>
      </c>
      <c r="L1117" t="s">
        <v>48</v>
      </c>
      <c r="M1117">
        <v>5</v>
      </c>
      <c r="N1117" t="s">
        <v>33</v>
      </c>
      <c r="O1117" t="s">
        <v>25</v>
      </c>
      <c r="P1117" t="s">
        <v>26</v>
      </c>
    </row>
    <row r="1118" spans="1:16" x14ac:dyDescent="0.25">
      <c r="A1118" t="s">
        <v>2811</v>
      </c>
      <c r="B1118" s="6">
        <v>44343</v>
      </c>
      <c r="C1118">
        <v>3110</v>
      </c>
      <c r="D1118" t="s">
        <v>2813</v>
      </c>
      <c r="E1118" t="s">
        <v>18</v>
      </c>
      <c r="F1118" t="s">
        <v>47</v>
      </c>
      <c r="G1118">
        <v>11049.91</v>
      </c>
      <c r="H1118">
        <v>6279.45</v>
      </c>
      <c r="I1118" t="s">
        <v>120</v>
      </c>
      <c r="J1118" t="s">
        <v>21</v>
      </c>
      <c r="K1118" t="s">
        <v>42</v>
      </c>
      <c r="L1118" t="s">
        <v>88</v>
      </c>
      <c r="M1118">
        <v>4</v>
      </c>
      <c r="N1118" t="s">
        <v>69</v>
      </c>
      <c r="O1118" t="s">
        <v>25</v>
      </c>
      <c r="P1118" t="s">
        <v>49</v>
      </c>
    </row>
    <row r="1119" spans="1:16" x14ac:dyDescent="0.25">
      <c r="A1119" t="s">
        <v>2814</v>
      </c>
      <c r="B1119" s="6">
        <v>44538</v>
      </c>
      <c r="C1119">
        <v>6656</v>
      </c>
      <c r="D1119" t="s">
        <v>2816</v>
      </c>
      <c r="E1119" t="s">
        <v>18</v>
      </c>
      <c r="F1119" t="s">
        <v>47</v>
      </c>
      <c r="G1119">
        <v>10404.200000000001</v>
      </c>
      <c r="H1119">
        <v>5895.97</v>
      </c>
      <c r="I1119" t="s">
        <v>20</v>
      </c>
      <c r="J1119" t="s">
        <v>21</v>
      </c>
      <c r="K1119" t="s">
        <v>22</v>
      </c>
      <c r="L1119" t="s">
        <v>55</v>
      </c>
      <c r="M1119">
        <v>2</v>
      </c>
      <c r="N1119" t="s">
        <v>69</v>
      </c>
      <c r="O1119" t="s">
        <v>25</v>
      </c>
      <c r="P1119" t="s">
        <v>34</v>
      </c>
    </row>
    <row r="1120" spans="1:16" x14ac:dyDescent="0.25">
      <c r="A1120" t="s">
        <v>2817</v>
      </c>
      <c r="B1120" s="6">
        <v>45125</v>
      </c>
      <c r="C1120">
        <v>3135</v>
      </c>
      <c r="D1120" t="s">
        <v>2819</v>
      </c>
      <c r="E1120" t="s">
        <v>18</v>
      </c>
      <c r="F1120" t="s">
        <v>30</v>
      </c>
      <c r="G1120">
        <v>101820.5</v>
      </c>
      <c r="H1120">
        <v>51100.800000000003</v>
      </c>
      <c r="I1120" t="s">
        <v>53</v>
      </c>
      <c r="J1120" t="s">
        <v>54</v>
      </c>
      <c r="K1120" t="s">
        <v>22</v>
      </c>
      <c r="L1120" t="s">
        <v>48</v>
      </c>
      <c r="M1120">
        <v>2</v>
      </c>
      <c r="N1120" t="s">
        <v>33</v>
      </c>
      <c r="O1120" t="s">
        <v>70</v>
      </c>
      <c r="P1120" t="s">
        <v>26</v>
      </c>
    </row>
    <row r="1121" spans="1:16" x14ac:dyDescent="0.25">
      <c r="A1121" t="s">
        <v>2820</v>
      </c>
      <c r="B1121" s="6">
        <v>45212</v>
      </c>
      <c r="C1121">
        <v>5553</v>
      </c>
      <c r="D1121" t="s">
        <v>2822</v>
      </c>
      <c r="E1121" t="s">
        <v>18</v>
      </c>
      <c r="F1121" t="s">
        <v>30</v>
      </c>
      <c r="G1121">
        <v>33318.28</v>
      </c>
      <c r="H1121">
        <v>19120.86</v>
      </c>
      <c r="I1121" t="s">
        <v>53</v>
      </c>
      <c r="J1121" t="s">
        <v>54</v>
      </c>
      <c r="K1121" t="s">
        <v>80</v>
      </c>
      <c r="L1121" t="s">
        <v>48</v>
      </c>
      <c r="M1121">
        <v>1</v>
      </c>
      <c r="N1121" t="s">
        <v>33</v>
      </c>
      <c r="O1121" t="s">
        <v>70</v>
      </c>
      <c r="P1121" t="s">
        <v>26</v>
      </c>
    </row>
    <row r="1122" spans="1:16" x14ac:dyDescent="0.25">
      <c r="A1122" t="s">
        <v>2823</v>
      </c>
      <c r="B1122" s="6">
        <v>44894</v>
      </c>
      <c r="C1122">
        <v>6609</v>
      </c>
      <c r="D1122" t="s">
        <v>462</v>
      </c>
      <c r="E1122" t="s">
        <v>38</v>
      </c>
      <c r="F1122" t="s">
        <v>58</v>
      </c>
      <c r="G1122">
        <v>21191.15</v>
      </c>
      <c r="H1122">
        <v>13198.08</v>
      </c>
      <c r="I1122" t="s">
        <v>63</v>
      </c>
      <c r="J1122" t="s">
        <v>54</v>
      </c>
      <c r="K1122" t="s">
        <v>22</v>
      </c>
      <c r="L1122" t="s">
        <v>23</v>
      </c>
      <c r="M1122">
        <v>3</v>
      </c>
      <c r="N1122" t="s">
        <v>33</v>
      </c>
      <c r="O1122" t="s">
        <v>25</v>
      </c>
      <c r="P1122" t="s">
        <v>26</v>
      </c>
    </row>
    <row r="1123" spans="1:16" x14ac:dyDescent="0.25">
      <c r="A1123" t="s">
        <v>2824</v>
      </c>
      <c r="B1123" s="6">
        <v>45254</v>
      </c>
      <c r="C1123">
        <v>7038</v>
      </c>
      <c r="D1123" t="s">
        <v>2825</v>
      </c>
      <c r="E1123" t="s">
        <v>38</v>
      </c>
      <c r="F1123" t="s">
        <v>47</v>
      </c>
      <c r="G1123">
        <v>15712.49</v>
      </c>
      <c r="H1123">
        <v>8039.32</v>
      </c>
      <c r="I1123" t="s">
        <v>120</v>
      </c>
      <c r="J1123" t="s">
        <v>21</v>
      </c>
      <c r="K1123" t="s">
        <v>22</v>
      </c>
      <c r="L1123" t="s">
        <v>88</v>
      </c>
      <c r="M1123">
        <v>4</v>
      </c>
      <c r="N1123" t="s">
        <v>24</v>
      </c>
      <c r="O1123" t="s">
        <v>70</v>
      </c>
      <c r="P1123" t="s">
        <v>34</v>
      </c>
    </row>
    <row r="1124" spans="1:16" x14ac:dyDescent="0.25">
      <c r="A1124" t="s">
        <v>2826</v>
      </c>
      <c r="B1124" s="6">
        <v>45420</v>
      </c>
      <c r="C1124">
        <v>2743</v>
      </c>
      <c r="D1124" t="s">
        <v>2827</v>
      </c>
      <c r="E1124" t="s">
        <v>18</v>
      </c>
      <c r="F1124" t="s">
        <v>47</v>
      </c>
      <c r="G1124">
        <v>19439.439999999999</v>
      </c>
      <c r="H1124">
        <v>9723.99</v>
      </c>
      <c r="I1124" t="s">
        <v>53</v>
      </c>
      <c r="J1124" t="s">
        <v>54</v>
      </c>
      <c r="K1124" t="s">
        <v>80</v>
      </c>
      <c r="L1124" t="s">
        <v>55</v>
      </c>
      <c r="M1124">
        <v>1</v>
      </c>
      <c r="N1124" t="s">
        <v>33</v>
      </c>
      <c r="O1124" t="s">
        <v>25</v>
      </c>
      <c r="P1124" t="s">
        <v>26</v>
      </c>
    </row>
    <row r="1125" spans="1:16" x14ac:dyDescent="0.25">
      <c r="A1125" t="s">
        <v>2828</v>
      </c>
      <c r="B1125" s="6">
        <v>44408</v>
      </c>
      <c r="C1125">
        <v>4765</v>
      </c>
      <c r="D1125" t="s">
        <v>2829</v>
      </c>
      <c r="E1125" t="s">
        <v>18</v>
      </c>
      <c r="F1125" t="s">
        <v>58</v>
      </c>
      <c r="G1125">
        <v>20931.3</v>
      </c>
      <c r="H1125">
        <v>10575.2</v>
      </c>
      <c r="I1125" t="s">
        <v>31</v>
      </c>
      <c r="J1125" t="s">
        <v>21</v>
      </c>
      <c r="K1125" t="s">
        <v>22</v>
      </c>
      <c r="L1125" t="s">
        <v>64</v>
      </c>
      <c r="M1125">
        <v>2</v>
      </c>
      <c r="N1125" t="s">
        <v>33</v>
      </c>
      <c r="O1125" t="s">
        <v>25</v>
      </c>
      <c r="P1125" t="s">
        <v>26</v>
      </c>
    </row>
    <row r="1126" spans="1:16" x14ac:dyDescent="0.25">
      <c r="A1126" t="s">
        <v>2830</v>
      </c>
      <c r="B1126" s="6">
        <v>44637</v>
      </c>
      <c r="C1126">
        <v>1499</v>
      </c>
      <c r="D1126" t="s">
        <v>2831</v>
      </c>
      <c r="E1126" t="s">
        <v>18</v>
      </c>
      <c r="F1126" t="s">
        <v>19</v>
      </c>
      <c r="G1126">
        <v>17625.919999999998</v>
      </c>
      <c r="H1126">
        <v>10414.459999999999</v>
      </c>
      <c r="I1126" t="s">
        <v>31</v>
      </c>
      <c r="J1126" t="s">
        <v>21</v>
      </c>
      <c r="K1126" t="s">
        <v>80</v>
      </c>
      <c r="L1126" t="s">
        <v>55</v>
      </c>
      <c r="M1126">
        <v>2</v>
      </c>
      <c r="N1126" t="s">
        <v>24</v>
      </c>
      <c r="O1126" t="s">
        <v>25</v>
      </c>
      <c r="P1126" t="s">
        <v>26</v>
      </c>
    </row>
    <row r="1127" spans="1:16" x14ac:dyDescent="0.25">
      <c r="A1127" t="s">
        <v>2832</v>
      </c>
      <c r="B1127" s="6">
        <v>44586</v>
      </c>
      <c r="C1127">
        <v>6916</v>
      </c>
      <c r="D1127" t="s">
        <v>2833</v>
      </c>
      <c r="E1127" t="s">
        <v>38</v>
      </c>
      <c r="F1127" t="s">
        <v>19</v>
      </c>
      <c r="G1127">
        <v>12761.38</v>
      </c>
      <c r="H1127">
        <v>6251.79</v>
      </c>
      <c r="I1127" t="s">
        <v>53</v>
      </c>
      <c r="J1127" t="s">
        <v>54</v>
      </c>
      <c r="K1127" t="s">
        <v>80</v>
      </c>
      <c r="L1127" t="s">
        <v>23</v>
      </c>
      <c r="M1127">
        <v>1</v>
      </c>
      <c r="N1127" t="s">
        <v>24</v>
      </c>
      <c r="O1127" t="s">
        <v>25</v>
      </c>
      <c r="P1127" t="s">
        <v>49</v>
      </c>
    </row>
    <row r="1128" spans="1:16" x14ac:dyDescent="0.25">
      <c r="A1128" t="s">
        <v>2834</v>
      </c>
      <c r="B1128" s="6">
        <v>45108</v>
      </c>
      <c r="C1128">
        <v>7978</v>
      </c>
      <c r="D1128" t="s">
        <v>2788</v>
      </c>
      <c r="E1128" t="s">
        <v>38</v>
      </c>
      <c r="F1128" t="s">
        <v>30</v>
      </c>
      <c r="G1128">
        <v>76617.19</v>
      </c>
      <c r="H1128">
        <v>42080.83</v>
      </c>
      <c r="I1128" t="s">
        <v>53</v>
      </c>
      <c r="J1128" t="s">
        <v>54</v>
      </c>
      <c r="K1128" t="s">
        <v>32</v>
      </c>
      <c r="L1128" t="s">
        <v>55</v>
      </c>
      <c r="M1128">
        <v>5</v>
      </c>
      <c r="N1128" t="s">
        <v>33</v>
      </c>
      <c r="O1128" t="s">
        <v>25</v>
      </c>
      <c r="P1128" t="s">
        <v>49</v>
      </c>
    </row>
    <row r="1129" spans="1:16" x14ac:dyDescent="0.25">
      <c r="A1129" t="s">
        <v>2835</v>
      </c>
      <c r="B1129" s="6">
        <v>44422</v>
      </c>
      <c r="C1129">
        <v>8167</v>
      </c>
      <c r="D1129" t="s">
        <v>2836</v>
      </c>
      <c r="E1129" t="s">
        <v>38</v>
      </c>
      <c r="F1129" t="s">
        <v>30</v>
      </c>
      <c r="G1129">
        <v>27977.99</v>
      </c>
      <c r="H1129">
        <v>13423.36</v>
      </c>
      <c r="I1129" t="s">
        <v>68</v>
      </c>
      <c r="J1129" t="s">
        <v>41</v>
      </c>
      <c r="K1129" t="s">
        <v>42</v>
      </c>
      <c r="L1129" t="s">
        <v>43</v>
      </c>
      <c r="M1129">
        <v>1</v>
      </c>
      <c r="N1129" t="s">
        <v>24</v>
      </c>
      <c r="O1129" t="s">
        <v>70</v>
      </c>
      <c r="P1129" t="s">
        <v>49</v>
      </c>
    </row>
    <row r="1130" spans="1:16" x14ac:dyDescent="0.25">
      <c r="A1130" t="s">
        <v>2837</v>
      </c>
      <c r="B1130" s="6">
        <v>45498</v>
      </c>
      <c r="C1130">
        <v>7972</v>
      </c>
      <c r="D1130" t="s">
        <v>2839</v>
      </c>
      <c r="E1130" t="s">
        <v>18</v>
      </c>
      <c r="F1130" t="s">
        <v>58</v>
      </c>
      <c r="G1130">
        <v>18273.98</v>
      </c>
      <c r="H1130">
        <v>9430.59</v>
      </c>
      <c r="I1130" t="s">
        <v>68</v>
      </c>
      <c r="J1130" t="s">
        <v>41</v>
      </c>
      <c r="K1130" t="s">
        <v>22</v>
      </c>
      <c r="L1130" t="s">
        <v>55</v>
      </c>
      <c r="M1130">
        <v>1</v>
      </c>
      <c r="N1130" t="s">
        <v>33</v>
      </c>
      <c r="O1130" t="s">
        <v>25</v>
      </c>
      <c r="P1130" t="s">
        <v>49</v>
      </c>
    </row>
    <row r="1131" spans="1:16" x14ac:dyDescent="0.25">
      <c r="A1131" t="s">
        <v>2840</v>
      </c>
      <c r="B1131" s="6">
        <v>45426</v>
      </c>
      <c r="C1131">
        <v>4865</v>
      </c>
      <c r="D1131" t="s">
        <v>2841</v>
      </c>
      <c r="E1131" t="s">
        <v>18</v>
      </c>
      <c r="F1131" t="s">
        <v>58</v>
      </c>
      <c r="G1131">
        <v>47950.32</v>
      </c>
      <c r="H1131">
        <v>26976.09</v>
      </c>
      <c r="I1131" t="s">
        <v>120</v>
      </c>
      <c r="J1131" t="s">
        <v>21</v>
      </c>
      <c r="K1131" t="s">
        <v>42</v>
      </c>
      <c r="L1131" t="s">
        <v>43</v>
      </c>
      <c r="M1131">
        <v>1</v>
      </c>
      <c r="N1131" t="s">
        <v>33</v>
      </c>
      <c r="O1131" t="s">
        <v>70</v>
      </c>
      <c r="P1131" t="s">
        <v>49</v>
      </c>
    </row>
    <row r="1132" spans="1:16" x14ac:dyDescent="0.25">
      <c r="A1132" t="s">
        <v>2842</v>
      </c>
      <c r="B1132" s="6">
        <v>45183</v>
      </c>
      <c r="C1132">
        <v>5876</v>
      </c>
      <c r="D1132" t="s">
        <v>2844</v>
      </c>
      <c r="E1132" t="s">
        <v>38</v>
      </c>
      <c r="F1132" t="s">
        <v>58</v>
      </c>
      <c r="G1132">
        <v>58488.07</v>
      </c>
      <c r="H1132">
        <v>30940.19</v>
      </c>
      <c r="I1132" t="s">
        <v>63</v>
      </c>
      <c r="J1132" t="s">
        <v>54</v>
      </c>
      <c r="K1132" t="s">
        <v>80</v>
      </c>
      <c r="L1132" t="s">
        <v>48</v>
      </c>
      <c r="M1132">
        <v>2</v>
      </c>
      <c r="N1132" t="s">
        <v>24</v>
      </c>
      <c r="O1132" t="s">
        <v>25</v>
      </c>
      <c r="P1132" t="s">
        <v>49</v>
      </c>
    </row>
    <row r="1133" spans="1:16" x14ac:dyDescent="0.25">
      <c r="A1133" t="s">
        <v>2845</v>
      </c>
      <c r="B1133" s="6">
        <v>44846</v>
      </c>
      <c r="C1133">
        <v>2672</v>
      </c>
      <c r="D1133" t="s">
        <v>2847</v>
      </c>
      <c r="E1133" t="s">
        <v>38</v>
      </c>
      <c r="F1133" t="s">
        <v>47</v>
      </c>
      <c r="G1133">
        <v>16621.14</v>
      </c>
      <c r="H1133">
        <v>10655.65</v>
      </c>
      <c r="I1133" t="s">
        <v>63</v>
      </c>
      <c r="J1133" t="s">
        <v>54</v>
      </c>
      <c r="K1133" t="s">
        <v>32</v>
      </c>
      <c r="L1133" t="s">
        <v>23</v>
      </c>
      <c r="M1133">
        <v>4</v>
      </c>
      <c r="N1133" t="s">
        <v>33</v>
      </c>
      <c r="O1133" t="s">
        <v>25</v>
      </c>
      <c r="P1133" t="s">
        <v>34</v>
      </c>
    </row>
    <row r="1134" spans="1:16" x14ac:dyDescent="0.25">
      <c r="A1134" t="s">
        <v>2848</v>
      </c>
      <c r="B1134" s="6">
        <v>44362</v>
      </c>
      <c r="C1134">
        <v>3998</v>
      </c>
      <c r="D1134" t="s">
        <v>2849</v>
      </c>
      <c r="E1134" t="s">
        <v>18</v>
      </c>
      <c r="F1134" t="s">
        <v>39</v>
      </c>
      <c r="G1134">
        <v>26621.95</v>
      </c>
      <c r="H1134">
        <v>17128.78</v>
      </c>
      <c r="I1134" t="s">
        <v>20</v>
      </c>
      <c r="J1134" t="s">
        <v>21</v>
      </c>
      <c r="K1134" t="s">
        <v>42</v>
      </c>
      <c r="L1134" t="s">
        <v>43</v>
      </c>
      <c r="M1134">
        <v>5</v>
      </c>
      <c r="N1134" t="s">
        <v>69</v>
      </c>
      <c r="O1134" t="s">
        <v>70</v>
      </c>
      <c r="P1134" t="s">
        <v>34</v>
      </c>
    </row>
    <row r="1135" spans="1:16" x14ac:dyDescent="0.25">
      <c r="A1135" t="s">
        <v>2850</v>
      </c>
      <c r="B1135" s="6">
        <v>45376</v>
      </c>
      <c r="C1135">
        <v>3286</v>
      </c>
      <c r="D1135" t="s">
        <v>2852</v>
      </c>
      <c r="E1135" t="s">
        <v>18</v>
      </c>
      <c r="F1135" t="s">
        <v>19</v>
      </c>
      <c r="G1135">
        <v>6194.96</v>
      </c>
      <c r="H1135">
        <v>2850.9</v>
      </c>
      <c r="I1135" t="s">
        <v>68</v>
      </c>
      <c r="J1135" t="s">
        <v>41</v>
      </c>
      <c r="K1135" t="s">
        <v>80</v>
      </c>
      <c r="L1135" t="s">
        <v>43</v>
      </c>
      <c r="M1135">
        <v>2</v>
      </c>
      <c r="N1135" t="s">
        <v>33</v>
      </c>
      <c r="O1135" t="s">
        <v>25</v>
      </c>
      <c r="P1135" t="s">
        <v>26</v>
      </c>
    </row>
    <row r="1136" spans="1:16" x14ac:dyDescent="0.25">
      <c r="A1136" t="s">
        <v>2853</v>
      </c>
      <c r="B1136" s="6">
        <v>45613</v>
      </c>
      <c r="C1136">
        <v>2557</v>
      </c>
      <c r="D1136" t="s">
        <v>2855</v>
      </c>
      <c r="E1136" t="s">
        <v>18</v>
      </c>
      <c r="F1136" t="s">
        <v>58</v>
      </c>
      <c r="G1136">
        <v>20878.5</v>
      </c>
      <c r="H1136">
        <v>12252.95</v>
      </c>
      <c r="I1136" t="s">
        <v>31</v>
      </c>
      <c r="J1136" t="s">
        <v>21</v>
      </c>
      <c r="K1136" t="s">
        <v>80</v>
      </c>
      <c r="L1136" t="s">
        <v>23</v>
      </c>
      <c r="M1136">
        <v>1</v>
      </c>
      <c r="N1136" t="s">
        <v>33</v>
      </c>
      <c r="O1136" t="s">
        <v>25</v>
      </c>
      <c r="P1136" t="s">
        <v>26</v>
      </c>
    </row>
    <row r="1137" spans="1:16" x14ac:dyDescent="0.25">
      <c r="A1137" t="s">
        <v>2856</v>
      </c>
      <c r="B1137" s="6">
        <v>45075</v>
      </c>
      <c r="C1137">
        <v>9326</v>
      </c>
      <c r="D1137" t="s">
        <v>2858</v>
      </c>
      <c r="E1137" t="s">
        <v>18</v>
      </c>
      <c r="F1137" t="s">
        <v>30</v>
      </c>
      <c r="G1137">
        <v>82246.02</v>
      </c>
      <c r="H1137">
        <v>51015.57</v>
      </c>
      <c r="I1137" t="s">
        <v>31</v>
      </c>
      <c r="J1137" t="s">
        <v>21</v>
      </c>
      <c r="K1137" t="s">
        <v>80</v>
      </c>
      <c r="L1137" t="s">
        <v>88</v>
      </c>
      <c r="M1137">
        <v>3</v>
      </c>
      <c r="N1137" t="s">
        <v>24</v>
      </c>
      <c r="O1137" t="s">
        <v>25</v>
      </c>
      <c r="P1137" t="s">
        <v>26</v>
      </c>
    </row>
    <row r="1138" spans="1:16" x14ac:dyDescent="0.25">
      <c r="A1138" t="s">
        <v>2859</v>
      </c>
      <c r="B1138" s="6">
        <v>45411</v>
      </c>
      <c r="C1138">
        <v>8214</v>
      </c>
      <c r="D1138" t="s">
        <v>2860</v>
      </c>
      <c r="E1138" t="s">
        <v>38</v>
      </c>
      <c r="F1138" t="s">
        <v>30</v>
      </c>
      <c r="G1138">
        <v>54937.19</v>
      </c>
      <c r="H1138">
        <v>24848.46</v>
      </c>
      <c r="I1138" t="s">
        <v>120</v>
      </c>
      <c r="J1138" t="s">
        <v>21</v>
      </c>
      <c r="K1138" t="s">
        <v>32</v>
      </c>
      <c r="L1138" t="s">
        <v>55</v>
      </c>
      <c r="M1138">
        <v>1</v>
      </c>
      <c r="N1138" t="s">
        <v>33</v>
      </c>
      <c r="O1138" t="s">
        <v>25</v>
      </c>
      <c r="P1138" t="s">
        <v>34</v>
      </c>
    </row>
    <row r="1139" spans="1:16" x14ac:dyDescent="0.25">
      <c r="A1139" t="s">
        <v>2861</v>
      </c>
      <c r="B1139" s="6">
        <v>45388</v>
      </c>
      <c r="C1139">
        <v>2394</v>
      </c>
      <c r="D1139" t="s">
        <v>2862</v>
      </c>
      <c r="E1139" t="s">
        <v>38</v>
      </c>
      <c r="F1139" t="s">
        <v>58</v>
      </c>
      <c r="G1139">
        <v>45060.26</v>
      </c>
      <c r="H1139">
        <v>21101.75</v>
      </c>
      <c r="I1139" t="s">
        <v>84</v>
      </c>
      <c r="J1139" t="s">
        <v>54</v>
      </c>
      <c r="K1139" t="s">
        <v>22</v>
      </c>
      <c r="L1139" t="s">
        <v>23</v>
      </c>
      <c r="M1139">
        <v>5</v>
      </c>
      <c r="N1139" t="s">
        <v>69</v>
      </c>
      <c r="O1139" t="s">
        <v>70</v>
      </c>
      <c r="P1139" t="s">
        <v>49</v>
      </c>
    </row>
    <row r="1140" spans="1:16" x14ac:dyDescent="0.25">
      <c r="A1140" t="s">
        <v>2863</v>
      </c>
      <c r="B1140" s="6">
        <v>44820</v>
      </c>
      <c r="C1140">
        <v>8591</v>
      </c>
      <c r="D1140" t="s">
        <v>2865</v>
      </c>
      <c r="E1140" t="s">
        <v>38</v>
      </c>
      <c r="F1140" t="s">
        <v>30</v>
      </c>
      <c r="G1140">
        <v>65085.01</v>
      </c>
      <c r="H1140">
        <v>42292.87</v>
      </c>
      <c r="I1140" t="s">
        <v>63</v>
      </c>
      <c r="J1140" t="s">
        <v>54</v>
      </c>
      <c r="K1140" t="s">
        <v>80</v>
      </c>
      <c r="L1140" t="s">
        <v>48</v>
      </c>
      <c r="M1140">
        <v>1</v>
      </c>
      <c r="N1140" t="s">
        <v>33</v>
      </c>
      <c r="O1140" t="s">
        <v>25</v>
      </c>
      <c r="P1140" t="s">
        <v>26</v>
      </c>
    </row>
    <row r="1141" spans="1:16" x14ac:dyDescent="0.25">
      <c r="A1141" t="s">
        <v>2866</v>
      </c>
      <c r="B1141" s="6">
        <v>44128</v>
      </c>
      <c r="C1141">
        <v>2843</v>
      </c>
      <c r="D1141" t="s">
        <v>2867</v>
      </c>
      <c r="E1141" t="s">
        <v>38</v>
      </c>
      <c r="F1141" t="s">
        <v>47</v>
      </c>
      <c r="G1141">
        <v>5879.53</v>
      </c>
      <c r="H1141">
        <v>3227.1</v>
      </c>
      <c r="I1141" t="s">
        <v>120</v>
      </c>
      <c r="J1141" t="s">
        <v>21</v>
      </c>
      <c r="K1141" t="s">
        <v>32</v>
      </c>
      <c r="L1141" t="s">
        <v>23</v>
      </c>
      <c r="M1141">
        <v>4</v>
      </c>
      <c r="N1141" t="s">
        <v>33</v>
      </c>
      <c r="O1141" t="s">
        <v>70</v>
      </c>
      <c r="P1141" t="s">
        <v>49</v>
      </c>
    </row>
    <row r="1142" spans="1:16" x14ac:dyDescent="0.25">
      <c r="A1142" t="s">
        <v>2868</v>
      </c>
      <c r="B1142" s="6">
        <v>44616</v>
      </c>
      <c r="C1142">
        <v>7523</v>
      </c>
      <c r="D1142" t="s">
        <v>2208</v>
      </c>
      <c r="E1142" t="s">
        <v>18</v>
      </c>
      <c r="F1142" t="s">
        <v>39</v>
      </c>
      <c r="G1142">
        <v>16664.05</v>
      </c>
      <c r="H1142">
        <v>7649.36</v>
      </c>
      <c r="I1142" t="s">
        <v>20</v>
      </c>
      <c r="J1142" t="s">
        <v>21</v>
      </c>
      <c r="K1142" t="s">
        <v>80</v>
      </c>
      <c r="L1142" t="s">
        <v>48</v>
      </c>
      <c r="M1142">
        <v>3</v>
      </c>
      <c r="N1142" t="s">
        <v>69</v>
      </c>
      <c r="O1142" t="s">
        <v>25</v>
      </c>
      <c r="P1142" t="s">
        <v>49</v>
      </c>
    </row>
    <row r="1143" spans="1:16" x14ac:dyDescent="0.25">
      <c r="A1143" t="s">
        <v>2869</v>
      </c>
      <c r="B1143" s="6">
        <v>44698</v>
      </c>
      <c r="C1143">
        <v>9383</v>
      </c>
      <c r="D1143" t="s">
        <v>2605</v>
      </c>
      <c r="E1143" t="s">
        <v>38</v>
      </c>
      <c r="F1143" t="s">
        <v>47</v>
      </c>
      <c r="G1143">
        <v>5275.34</v>
      </c>
      <c r="H1143">
        <v>2842.3</v>
      </c>
      <c r="I1143" t="s">
        <v>53</v>
      </c>
      <c r="J1143" t="s">
        <v>54</v>
      </c>
      <c r="K1143" t="s">
        <v>32</v>
      </c>
      <c r="L1143" t="s">
        <v>43</v>
      </c>
      <c r="M1143">
        <v>3</v>
      </c>
      <c r="N1143" t="s">
        <v>33</v>
      </c>
      <c r="O1143" t="s">
        <v>25</v>
      </c>
      <c r="P1143" t="s">
        <v>34</v>
      </c>
    </row>
    <row r="1144" spans="1:16" x14ac:dyDescent="0.25">
      <c r="A1144" t="s">
        <v>2871</v>
      </c>
      <c r="B1144" s="6">
        <v>44839</v>
      </c>
      <c r="C1144">
        <v>3048</v>
      </c>
      <c r="D1144" t="s">
        <v>2872</v>
      </c>
      <c r="E1144" t="s">
        <v>18</v>
      </c>
      <c r="F1144" t="s">
        <v>47</v>
      </c>
      <c r="G1144">
        <v>8781.66</v>
      </c>
      <c r="H1144">
        <v>4959.6499999999996</v>
      </c>
      <c r="I1144" t="s">
        <v>20</v>
      </c>
      <c r="J1144" t="s">
        <v>21</v>
      </c>
      <c r="K1144" t="s">
        <v>32</v>
      </c>
      <c r="L1144" t="s">
        <v>88</v>
      </c>
      <c r="M1144">
        <v>5</v>
      </c>
      <c r="N1144" t="s">
        <v>33</v>
      </c>
      <c r="O1144" t="s">
        <v>70</v>
      </c>
      <c r="P1144" t="s">
        <v>26</v>
      </c>
    </row>
    <row r="1145" spans="1:16" x14ac:dyDescent="0.25">
      <c r="A1145" t="s">
        <v>2873</v>
      </c>
      <c r="B1145" s="6">
        <v>44807</v>
      </c>
      <c r="C1145">
        <v>9637</v>
      </c>
      <c r="D1145" t="s">
        <v>2875</v>
      </c>
      <c r="E1145" t="s">
        <v>38</v>
      </c>
      <c r="F1145" t="s">
        <v>58</v>
      </c>
      <c r="G1145">
        <v>30271.87</v>
      </c>
      <c r="H1145">
        <v>14034.95</v>
      </c>
      <c r="I1145" t="s">
        <v>120</v>
      </c>
      <c r="J1145" t="s">
        <v>21</v>
      </c>
      <c r="K1145" t="s">
        <v>22</v>
      </c>
      <c r="L1145" t="s">
        <v>43</v>
      </c>
      <c r="M1145">
        <v>1</v>
      </c>
      <c r="N1145" t="s">
        <v>33</v>
      </c>
      <c r="O1145" t="s">
        <v>25</v>
      </c>
      <c r="P1145" t="s">
        <v>26</v>
      </c>
    </row>
    <row r="1146" spans="1:16" x14ac:dyDescent="0.25">
      <c r="A1146" t="s">
        <v>2876</v>
      </c>
      <c r="B1146" s="6">
        <v>45234</v>
      </c>
      <c r="C1146">
        <v>3674</v>
      </c>
      <c r="D1146" t="s">
        <v>2877</v>
      </c>
      <c r="E1146" t="s">
        <v>18</v>
      </c>
      <c r="F1146" t="s">
        <v>39</v>
      </c>
      <c r="G1146">
        <v>35174.18</v>
      </c>
      <c r="H1146">
        <v>16587.87</v>
      </c>
      <c r="I1146" t="s">
        <v>31</v>
      </c>
      <c r="J1146" t="s">
        <v>21</v>
      </c>
      <c r="K1146" t="s">
        <v>32</v>
      </c>
      <c r="L1146" t="s">
        <v>64</v>
      </c>
      <c r="M1146">
        <v>4</v>
      </c>
      <c r="N1146" t="s">
        <v>69</v>
      </c>
      <c r="O1146" t="s">
        <v>25</v>
      </c>
      <c r="P1146" t="s">
        <v>26</v>
      </c>
    </row>
    <row r="1147" spans="1:16" x14ac:dyDescent="0.25">
      <c r="A1147" t="s">
        <v>2878</v>
      </c>
      <c r="B1147" s="6">
        <v>45132</v>
      </c>
      <c r="C1147">
        <v>1359</v>
      </c>
      <c r="D1147" t="s">
        <v>2880</v>
      </c>
      <c r="E1147" t="s">
        <v>18</v>
      </c>
      <c r="F1147" t="s">
        <v>39</v>
      </c>
      <c r="G1147">
        <v>26068.799999999999</v>
      </c>
      <c r="H1147">
        <v>16716.09</v>
      </c>
      <c r="I1147" t="s">
        <v>53</v>
      </c>
      <c r="J1147" t="s">
        <v>54</v>
      </c>
      <c r="K1147" t="s">
        <v>42</v>
      </c>
      <c r="L1147" t="s">
        <v>64</v>
      </c>
      <c r="M1147">
        <v>2</v>
      </c>
      <c r="N1147" t="s">
        <v>33</v>
      </c>
      <c r="O1147" t="s">
        <v>70</v>
      </c>
      <c r="P1147" t="s">
        <v>34</v>
      </c>
    </row>
    <row r="1148" spans="1:16" x14ac:dyDescent="0.25">
      <c r="A1148" t="s">
        <v>2881</v>
      </c>
      <c r="B1148" s="6">
        <v>45067</v>
      </c>
      <c r="C1148">
        <v>7822</v>
      </c>
      <c r="D1148" t="s">
        <v>2883</v>
      </c>
      <c r="E1148" t="s">
        <v>38</v>
      </c>
      <c r="F1148" t="s">
        <v>47</v>
      </c>
      <c r="G1148">
        <v>18028.46</v>
      </c>
      <c r="H1148">
        <v>9807.65</v>
      </c>
      <c r="I1148" t="s">
        <v>63</v>
      </c>
      <c r="J1148" t="s">
        <v>54</v>
      </c>
      <c r="K1148" t="s">
        <v>80</v>
      </c>
      <c r="L1148" t="s">
        <v>48</v>
      </c>
      <c r="M1148">
        <v>1</v>
      </c>
      <c r="N1148" t="s">
        <v>24</v>
      </c>
      <c r="O1148" t="s">
        <v>25</v>
      </c>
      <c r="P1148" t="s">
        <v>34</v>
      </c>
    </row>
    <row r="1149" spans="1:16" x14ac:dyDescent="0.25">
      <c r="A1149" t="s">
        <v>2884</v>
      </c>
      <c r="B1149" s="6">
        <v>45206</v>
      </c>
      <c r="C1149">
        <v>1046</v>
      </c>
      <c r="D1149" t="s">
        <v>221</v>
      </c>
      <c r="E1149" t="s">
        <v>38</v>
      </c>
      <c r="F1149" t="s">
        <v>19</v>
      </c>
      <c r="G1149">
        <v>11724.27</v>
      </c>
      <c r="H1149">
        <v>6568.29</v>
      </c>
      <c r="I1149" t="s">
        <v>31</v>
      </c>
      <c r="J1149" t="s">
        <v>21</v>
      </c>
      <c r="K1149" t="s">
        <v>22</v>
      </c>
      <c r="L1149" t="s">
        <v>88</v>
      </c>
      <c r="M1149">
        <v>1</v>
      </c>
      <c r="N1149" t="s">
        <v>33</v>
      </c>
      <c r="O1149" t="s">
        <v>25</v>
      </c>
      <c r="P1149" t="s">
        <v>26</v>
      </c>
    </row>
    <row r="1150" spans="1:16" x14ac:dyDescent="0.25">
      <c r="A1150" t="s">
        <v>2886</v>
      </c>
      <c r="B1150" s="6">
        <v>45612</v>
      </c>
      <c r="C1150">
        <v>5342</v>
      </c>
      <c r="D1150" t="s">
        <v>2887</v>
      </c>
      <c r="E1150" t="s">
        <v>38</v>
      </c>
      <c r="F1150" t="s">
        <v>19</v>
      </c>
      <c r="G1150">
        <v>15548.49</v>
      </c>
      <c r="H1150">
        <v>8671.09</v>
      </c>
      <c r="I1150" t="s">
        <v>120</v>
      </c>
      <c r="J1150" t="s">
        <v>21</v>
      </c>
      <c r="K1150" t="s">
        <v>32</v>
      </c>
      <c r="L1150" t="s">
        <v>48</v>
      </c>
      <c r="M1150">
        <v>5</v>
      </c>
      <c r="N1150" t="s">
        <v>33</v>
      </c>
      <c r="O1150" t="s">
        <v>70</v>
      </c>
      <c r="P1150" t="s">
        <v>34</v>
      </c>
    </row>
    <row r="1151" spans="1:16" x14ac:dyDescent="0.25">
      <c r="A1151" t="s">
        <v>2888</v>
      </c>
      <c r="B1151" s="6">
        <v>44608</v>
      </c>
      <c r="C1151">
        <v>6575</v>
      </c>
      <c r="D1151" t="s">
        <v>2889</v>
      </c>
      <c r="E1151" t="s">
        <v>38</v>
      </c>
      <c r="F1151" t="s">
        <v>39</v>
      </c>
      <c r="G1151">
        <v>47164.29</v>
      </c>
      <c r="H1151">
        <v>28803.98</v>
      </c>
      <c r="I1151" t="s">
        <v>84</v>
      </c>
      <c r="J1151" t="s">
        <v>54</v>
      </c>
      <c r="K1151" t="s">
        <v>22</v>
      </c>
      <c r="L1151" t="s">
        <v>55</v>
      </c>
      <c r="M1151">
        <v>1</v>
      </c>
      <c r="N1151" t="s">
        <v>24</v>
      </c>
      <c r="O1151" t="s">
        <v>70</v>
      </c>
      <c r="P1151" t="s">
        <v>49</v>
      </c>
    </row>
    <row r="1152" spans="1:16" x14ac:dyDescent="0.25">
      <c r="A1152" t="s">
        <v>2890</v>
      </c>
      <c r="B1152" s="6">
        <v>45418</v>
      </c>
      <c r="C1152">
        <v>1728</v>
      </c>
      <c r="D1152" t="s">
        <v>2891</v>
      </c>
      <c r="E1152" t="s">
        <v>38</v>
      </c>
      <c r="F1152" t="s">
        <v>19</v>
      </c>
      <c r="G1152">
        <v>7716.2</v>
      </c>
      <c r="H1152">
        <v>4204.53</v>
      </c>
      <c r="I1152" t="s">
        <v>84</v>
      </c>
      <c r="J1152" t="s">
        <v>54</v>
      </c>
      <c r="K1152" t="s">
        <v>80</v>
      </c>
      <c r="L1152" t="s">
        <v>48</v>
      </c>
      <c r="M1152">
        <v>1</v>
      </c>
      <c r="N1152" t="s">
        <v>33</v>
      </c>
      <c r="O1152" t="s">
        <v>25</v>
      </c>
      <c r="P1152" t="s">
        <v>49</v>
      </c>
    </row>
    <row r="1153" spans="1:16" x14ac:dyDescent="0.25">
      <c r="A1153" t="s">
        <v>2892</v>
      </c>
      <c r="B1153" s="6">
        <v>44560</v>
      </c>
      <c r="C1153">
        <v>3060</v>
      </c>
      <c r="D1153" t="s">
        <v>2893</v>
      </c>
      <c r="E1153" t="s">
        <v>18</v>
      </c>
      <c r="F1153" t="s">
        <v>30</v>
      </c>
      <c r="G1153">
        <v>31601.35</v>
      </c>
      <c r="H1153">
        <v>15863.28</v>
      </c>
      <c r="I1153" t="s">
        <v>68</v>
      </c>
      <c r="J1153" t="s">
        <v>41</v>
      </c>
      <c r="K1153" t="s">
        <v>42</v>
      </c>
      <c r="L1153" t="s">
        <v>43</v>
      </c>
      <c r="M1153">
        <v>1</v>
      </c>
      <c r="N1153" t="s">
        <v>33</v>
      </c>
      <c r="O1153" t="s">
        <v>25</v>
      </c>
      <c r="P1153" t="s">
        <v>26</v>
      </c>
    </row>
    <row r="1154" spans="1:16" x14ac:dyDescent="0.25">
      <c r="A1154" t="s">
        <v>2894</v>
      </c>
      <c r="B1154" s="6">
        <v>45444</v>
      </c>
      <c r="C1154">
        <v>5099</v>
      </c>
      <c r="D1154" t="s">
        <v>2896</v>
      </c>
      <c r="E1154" t="s">
        <v>18</v>
      </c>
      <c r="F1154" t="s">
        <v>30</v>
      </c>
      <c r="G1154">
        <v>19284.95</v>
      </c>
      <c r="H1154">
        <v>12228.62</v>
      </c>
      <c r="I1154" t="s">
        <v>31</v>
      </c>
      <c r="J1154" t="s">
        <v>21</v>
      </c>
      <c r="K1154" t="s">
        <v>80</v>
      </c>
      <c r="L1154" t="s">
        <v>48</v>
      </c>
      <c r="M1154">
        <v>3</v>
      </c>
      <c r="N1154" t="s">
        <v>24</v>
      </c>
      <c r="O1154" t="s">
        <v>70</v>
      </c>
      <c r="P1154" t="s">
        <v>49</v>
      </c>
    </row>
    <row r="1155" spans="1:16" x14ac:dyDescent="0.25">
      <c r="A1155" t="s">
        <v>2897</v>
      </c>
      <c r="B1155" s="6">
        <v>44054</v>
      </c>
      <c r="C1155">
        <v>3651</v>
      </c>
      <c r="D1155" t="s">
        <v>2898</v>
      </c>
      <c r="E1155" t="s">
        <v>18</v>
      </c>
      <c r="F1155" t="s">
        <v>30</v>
      </c>
      <c r="G1155">
        <v>53905.48</v>
      </c>
      <c r="H1155">
        <v>34298.9</v>
      </c>
      <c r="I1155" t="s">
        <v>120</v>
      </c>
      <c r="J1155" t="s">
        <v>21</v>
      </c>
      <c r="K1155" t="s">
        <v>42</v>
      </c>
      <c r="L1155" t="s">
        <v>64</v>
      </c>
      <c r="M1155">
        <v>3</v>
      </c>
      <c r="N1155" t="s">
        <v>24</v>
      </c>
      <c r="O1155" t="s">
        <v>25</v>
      </c>
      <c r="P1155" t="s">
        <v>49</v>
      </c>
    </row>
    <row r="1156" spans="1:16" x14ac:dyDescent="0.25">
      <c r="A1156" t="s">
        <v>2899</v>
      </c>
      <c r="B1156" s="6">
        <v>45455</v>
      </c>
      <c r="C1156">
        <v>4150</v>
      </c>
      <c r="D1156" t="s">
        <v>2900</v>
      </c>
      <c r="E1156" t="s">
        <v>18</v>
      </c>
      <c r="F1156" t="s">
        <v>30</v>
      </c>
      <c r="G1156">
        <v>40346.300000000003</v>
      </c>
      <c r="H1156">
        <v>20112.759999999998</v>
      </c>
      <c r="I1156" t="s">
        <v>40</v>
      </c>
      <c r="J1156" t="s">
        <v>41</v>
      </c>
      <c r="K1156" t="s">
        <v>42</v>
      </c>
      <c r="L1156" t="s">
        <v>88</v>
      </c>
      <c r="M1156">
        <v>4</v>
      </c>
      <c r="N1156" t="s">
        <v>69</v>
      </c>
      <c r="O1156" t="s">
        <v>70</v>
      </c>
      <c r="P1156" t="s">
        <v>49</v>
      </c>
    </row>
    <row r="1157" spans="1:16" x14ac:dyDescent="0.25">
      <c r="A1157" t="s">
        <v>2901</v>
      </c>
      <c r="B1157" s="6">
        <v>44617</v>
      </c>
      <c r="C1157">
        <v>6472</v>
      </c>
      <c r="D1157" t="s">
        <v>2902</v>
      </c>
      <c r="E1157" t="s">
        <v>38</v>
      </c>
      <c r="F1157" t="s">
        <v>39</v>
      </c>
      <c r="G1157">
        <v>17464.52</v>
      </c>
      <c r="H1157">
        <v>8046.6</v>
      </c>
      <c r="I1157" t="s">
        <v>53</v>
      </c>
      <c r="J1157" t="s">
        <v>54</v>
      </c>
      <c r="K1157" t="s">
        <v>80</v>
      </c>
      <c r="L1157" t="s">
        <v>23</v>
      </c>
      <c r="M1157">
        <v>2</v>
      </c>
      <c r="N1157" t="s">
        <v>33</v>
      </c>
      <c r="O1157" t="s">
        <v>25</v>
      </c>
      <c r="P1157" t="s">
        <v>26</v>
      </c>
    </row>
    <row r="1158" spans="1:16" x14ac:dyDescent="0.25">
      <c r="A1158" t="s">
        <v>2903</v>
      </c>
      <c r="B1158" s="6">
        <v>45647</v>
      </c>
      <c r="C1158">
        <v>8765</v>
      </c>
      <c r="D1158" t="s">
        <v>2904</v>
      </c>
      <c r="E1158" t="s">
        <v>38</v>
      </c>
      <c r="F1158" t="s">
        <v>30</v>
      </c>
      <c r="G1158">
        <v>38709.599999999999</v>
      </c>
      <c r="H1158">
        <v>23332.67</v>
      </c>
      <c r="I1158" t="s">
        <v>59</v>
      </c>
      <c r="J1158" t="s">
        <v>41</v>
      </c>
      <c r="K1158" t="s">
        <v>22</v>
      </c>
      <c r="L1158" t="s">
        <v>64</v>
      </c>
      <c r="M1158">
        <v>1</v>
      </c>
      <c r="N1158" t="s">
        <v>33</v>
      </c>
      <c r="O1158" t="s">
        <v>25</v>
      </c>
      <c r="P1158" t="s">
        <v>49</v>
      </c>
    </row>
    <row r="1159" spans="1:16" x14ac:dyDescent="0.25">
      <c r="A1159" t="s">
        <v>2905</v>
      </c>
      <c r="B1159" s="6">
        <v>45549</v>
      </c>
      <c r="C1159">
        <v>9739</v>
      </c>
      <c r="D1159" t="s">
        <v>2906</v>
      </c>
      <c r="E1159" t="s">
        <v>38</v>
      </c>
      <c r="F1159" t="s">
        <v>39</v>
      </c>
      <c r="G1159">
        <v>37294.99</v>
      </c>
      <c r="H1159">
        <v>16828.39</v>
      </c>
      <c r="I1159" t="s">
        <v>68</v>
      </c>
      <c r="J1159" t="s">
        <v>41</v>
      </c>
      <c r="K1159" t="s">
        <v>22</v>
      </c>
      <c r="L1159" t="s">
        <v>55</v>
      </c>
      <c r="M1159">
        <v>4</v>
      </c>
      <c r="N1159" t="s">
        <v>24</v>
      </c>
      <c r="O1159" t="s">
        <v>70</v>
      </c>
      <c r="P1159" t="s">
        <v>34</v>
      </c>
    </row>
    <row r="1160" spans="1:16" x14ac:dyDescent="0.25">
      <c r="A1160" t="s">
        <v>2907</v>
      </c>
      <c r="B1160" s="6">
        <v>45380</v>
      </c>
      <c r="C1160">
        <v>6871</v>
      </c>
      <c r="D1160" t="s">
        <v>1723</v>
      </c>
      <c r="E1160" t="s">
        <v>38</v>
      </c>
      <c r="F1160" t="s">
        <v>58</v>
      </c>
      <c r="G1160">
        <v>53046.04</v>
      </c>
      <c r="H1160">
        <v>33389.99</v>
      </c>
      <c r="I1160" t="s">
        <v>31</v>
      </c>
      <c r="J1160" t="s">
        <v>21</v>
      </c>
      <c r="K1160" t="s">
        <v>42</v>
      </c>
      <c r="L1160" t="s">
        <v>64</v>
      </c>
      <c r="M1160">
        <v>2</v>
      </c>
      <c r="N1160" t="s">
        <v>69</v>
      </c>
      <c r="O1160" t="s">
        <v>25</v>
      </c>
      <c r="P1160" t="s">
        <v>34</v>
      </c>
    </row>
    <row r="1161" spans="1:16" x14ac:dyDescent="0.25">
      <c r="A1161" t="s">
        <v>2908</v>
      </c>
      <c r="B1161" s="6">
        <v>43887</v>
      </c>
      <c r="C1161">
        <v>1876</v>
      </c>
      <c r="D1161" t="s">
        <v>2910</v>
      </c>
      <c r="E1161" t="s">
        <v>18</v>
      </c>
      <c r="F1161" t="s">
        <v>47</v>
      </c>
      <c r="G1161">
        <v>5124.1099999999997</v>
      </c>
      <c r="H1161">
        <v>2540.34</v>
      </c>
      <c r="I1161" t="s">
        <v>40</v>
      </c>
      <c r="J1161" t="s">
        <v>41</v>
      </c>
      <c r="K1161" t="s">
        <v>80</v>
      </c>
      <c r="L1161" t="s">
        <v>88</v>
      </c>
      <c r="M1161">
        <v>2</v>
      </c>
      <c r="N1161" t="s">
        <v>33</v>
      </c>
      <c r="O1161" t="s">
        <v>70</v>
      </c>
      <c r="P1161" t="s">
        <v>49</v>
      </c>
    </row>
    <row r="1162" spans="1:16" x14ac:dyDescent="0.25">
      <c r="A1162" t="s">
        <v>2911</v>
      </c>
      <c r="B1162" s="6">
        <v>45252</v>
      </c>
      <c r="C1162">
        <v>7037</v>
      </c>
      <c r="D1162" t="s">
        <v>2912</v>
      </c>
      <c r="E1162" t="s">
        <v>38</v>
      </c>
      <c r="F1162" t="s">
        <v>58</v>
      </c>
      <c r="G1162">
        <v>59444.27</v>
      </c>
      <c r="H1162">
        <v>28828.43</v>
      </c>
      <c r="I1162" t="s">
        <v>84</v>
      </c>
      <c r="J1162" t="s">
        <v>54</v>
      </c>
      <c r="K1162" t="s">
        <v>32</v>
      </c>
      <c r="L1162" t="s">
        <v>55</v>
      </c>
      <c r="M1162">
        <v>5</v>
      </c>
      <c r="N1162" t="s">
        <v>24</v>
      </c>
      <c r="O1162" t="s">
        <v>25</v>
      </c>
      <c r="P1162" t="s">
        <v>34</v>
      </c>
    </row>
    <row r="1163" spans="1:16" x14ac:dyDescent="0.25">
      <c r="A1163" t="s">
        <v>2913</v>
      </c>
      <c r="B1163" s="6">
        <v>45429</v>
      </c>
      <c r="C1163">
        <v>1515</v>
      </c>
      <c r="D1163" t="s">
        <v>2914</v>
      </c>
      <c r="E1163" t="s">
        <v>38</v>
      </c>
      <c r="F1163" t="s">
        <v>19</v>
      </c>
      <c r="G1163">
        <v>6740.38</v>
      </c>
      <c r="H1163">
        <v>3913.22</v>
      </c>
      <c r="I1163" t="s">
        <v>59</v>
      </c>
      <c r="J1163" t="s">
        <v>41</v>
      </c>
      <c r="K1163" t="s">
        <v>42</v>
      </c>
      <c r="L1163" t="s">
        <v>48</v>
      </c>
      <c r="M1163">
        <v>4</v>
      </c>
      <c r="N1163" t="s">
        <v>33</v>
      </c>
      <c r="O1163" t="s">
        <v>25</v>
      </c>
      <c r="P1163" t="s">
        <v>26</v>
      </c>
    </row>
    <row r="1164" spans="1:16" x14ac:dyDescent="0.25">
      <c r="A1164" t="s">
        <v>2915</v>
      </c>
      <c r="B1164" s="6">
        <v>45370</v>
      </c>
      <c r="C1164">
        <v>5677</v>
      </c>
      <c r="D1164" t="s">
        <v>2916</v>
      </c>
      <c r="E1164" t="s">
        <v>38</v>
      </c>
      <c r="F1164" t="s">
        <v>58</v>
      </c>
      <c r="G1164">
        <v>31162.84</v>
      </c>
      <c r="H1164">
        <v>17892.39</v>
      </c>
      <c r="I1164" t="s">
        <v>68</v>
      </c>
      <c r="J1164" t="s">
        <v>41</v>
      </c>
      <c r="K1164" t="s">
        <v>22</v>
      </c>
      <c r="L1164" t="s">
        <v>64</v>
      </c>
      <c r="M1164">
        <v>4</v>
      </c>
      <c r="N1164" t="s">
        <v>69</v>
      </c>
      <c r="O1164" t="s">
        <v>25</v>
      </c>
      <c r="P1164" t="s">
        <v>26</v>
      </c>
    </row>
    <row r="1165" spans="1:16" x14ac:dyDescent="0.25">
      <c r="A1165" t="s">
        <v>2917</v>
      </c>
      <c r="B1165" s="6">
        <v>45012</v>
      </c>
      <c r="C1165">
        <v>3780</v>
      </c>
      <c r="D1165" t="s">
        <v>2919</v>
      </c>
      <c r="E1165" t="s">
        <v>18</v>
      </c>
      <c r="F1165" t="s">
        <v>19</v>
      </c>
      <c r="G1165">
        <v>8664.48</v>
      </c>
      <c r="H1165">
        <v>5341.83</v>
      </c>
      <c r="I1165" t="s">
        <v>53</v>
      </c>
      <c r="J1165" t="s">
        <v>54</v>
      </c>
      <c r="K1165" t="s">
        <v>80</v>
      </c>
      <c r="L1165" t="s">
        <v>48</v>
      </c>
      <c r="M1165">
        <v>2</v>
      </c>
      <c r="N1165" t="s">
        <v>69</v>
      </c>
      <c r="O1165" t="s">
        <v>70</v>
      </c>
      <c r="P1165" t="s">
        <v>34</v>
      </c>
    </row>
    <row r="1166" spans="1:16" x14ac:dyDescent="0.25">
      <c r="A1166" t="s">
        <v>2920</v>
      </c>
      <c r="B1166" s="6">
        <v>45326</v>
      </c>
      <c r="C1166">
        <v>7341</v>
      </c>
      <c r="D1166" t="s">
        <v>2921</v>
      </c>
      <c r="E1166" t="s">
        <v>18</v>
      </c>
      <c r="F1166" t="s">
        <v>30</v>
      </c>
      <c r="G1166">
        <v>90436.52</v>
      </c>
      <c r="H1166">
        <v>45307.43</v>
      </c>
      <c r="I1166" t="s">
        <v>31</v>
      </c>
      <c r="J1166" t="s">
        <v>21</v>
      </c>
      <c r="K1166" t="s">
        <v>32</v>
      </c>
      <c r="L1166" t="s">
        <v>55</v>
      </c>
      <c r="M1166">
        <v>4</v>
      </c>
      <c r="N1166" t="s">
        <v>24</v>
      </c>
      <c r="O1166" t="s">
        <v>70</v>
      </c>
      <c r="P1166" t="s">
        <v>26</v>
      </c>
    </row>
    <row r="1167" spans="1:16" x14ac:dyDescent="0.25">
      <c r="A1167" t="s">
        <v>2922</v>
      </c>
      <c r="B1167" s="6">
        <v>44516</v>
      </c>
      <c r="C1167">
        <v>6423</v>
      </c>
      <c r="D1167" t="s">
        <v>2527</v>
      </c>
      <c r="E1167" t="s">
        <v>18</v>
      </c>
      <c r="F1167" t="s">
        <v>30</v>
      </c>
      <c r="G1167">
        <v>77846.45</v>
      </c>
      <c r="H1167">
        <v>35214.86</v>
      </c>
      <c r="I1167" t="s">
        <v>84</v>
      </c>
      <c r="J1167" t="s">
        <v>54</v>
      </c>
      <c r="K1167" t="s">
        <v>22</v>
      </c>
      <c r="L1167" t="s">
        <v>43</v>
      </c>
      <c r="M1167">
        <v>1</v>
      </c>
      <c r="N1167" t="s">
        <v>24</v>
      </c>
      <c r="O1167" t="s">
        <v>25</v>
      </c>
      <c r="P1167" t="s">
        <v>34</v>
      </c>
    </row>
    <row r="1168" spans="1:16" x14ac:dyDescent="0.25">
      <c r="A1168" t="s">
        <v>2923</v>
      </c>
      <c r="B1168" s="6">
        <v>45468</v>
      </c>
      <c r="C1168">
        <v>5568</v>
      </c>
      <c r="D1168" t="s">
        <v>2925</v>
      </c>
      <c r="E1168" t="s">
        <v>38</v>
      </c>
      <c r="F1168" t="s">
        <v>47</v>
      </c>
      <c r="G1168">
        <v>7099.9</v>
      </c>
      <c r="H1168">
        <v>4146.38</v>
      </c>
      <c r="I1168" t="s">
        <v>31</v>
      </c>
      <c r="J1168" t="s">
        <v>21</v>
      </c>
      <c r="K1168" t="s">
        <v>42</v>
      </c>
      <c r="L1168" t="s">
        <v>88</v>
      </c>
      <c r="M1168">
        <v>3</v>
      </c>
      <c r="N1168" t="s">
        <v>33</v>
      </c>
      <c r="O1168" t="s">
        <v>70</v>
      </c>
      <c r="P1168" t="s">
        <v>26</v>
      </c>
    </row>
    <row r="1169" spans="1:16" x14ac:dyDescent="0.25">
      <c r="A1169" t="s">
        <v>2926</v>
      </c>
      <c r="B1169" s="6">
        <v>45244</v>
      </c>
      <c r="C1169">
        <v>8378</v>
      </c>
      <c r="D1169" t="s">
        <v>2928</v>
      </c>
      <c r="E1169" t="s">
        <v>18</v>
      </c>
      <c r="F1169" t="s">
        <v>19</v>
      </c>
      <c r="G1169">
        <v>3213.47</v>
      </c>
      <c r="H1169">
        <v>1887.1</v>
      </c>
      <c r="I1169" t="s">
        <v>59</v>
      </c>
      <c r="J1169" t="s">
        <v>41</v>
      </c>
      <c r="K1169" t="s">
        <v>42</v>
      </c>
      <c r="L1169" t="s">
        <v>23</v>
      </c>
      <c r="M1169">
        <v>5</v>
      </c>
      <c r="N1169" t="s">
        <v>33</v>
      </c>
      <c r="O1169" t="s">
        <v>25</v>
      </c>
      <c r="P1169" t="s">
        <v>49</v>
      </c>
    </row>
    <row r="1170" spans="1:16" x14ac:dyDescent="0.25">
      <c r="A1170" t="s">
        <v>2929</v>
      </c>
      <c r="B1170" s="6">
        <v>45610</v>
      </c>
      <c r="C1170">
        <v>7972</v>
      </c>
      <c r="D1170" t="s">
        <v>1151</v>
      </c>
      <c r="E1170" t="s">
        <v>18</v>
      </c>
      <c r="F1170" t="s">
        <v>47</v>
      </c>
      <c r="G1170">
        <v>16949.990000000002</v>
      </c>
      <c r="H1170">
        <v>10218.59</v>
      </c>
      <c r="I1170" t="s">
        <v>120</v>
      </c>
      <c r="J1170" t="s">
        <v>21</v>
      </c>
      <c r="K1170" t="s">
        <v>22</v>
      </c>
      <c r="L1170" t="s">
        <v>88</v>
      </c>
      <c r="M1170">
        <v>3</v>
      </c>
      <c r="N1170" t="s">
        <v>24</v>
      </c>
      <c r="O1170" t="s">
        <v>70</v>
      </c>
      <c r="P1170" t="s">
        <v>34</v>
      </c>
    </row>
    <row r="1171" spans="1:16" x14ac:dyDescent="0.25">
      <c r="A1171" t="s">
        <v>2931</v>
      </c>
      <c r="B1171" s="6">
        <v>44681</v>
      </c>
      <c r="C1171">
        <v>2467</v>
      </c>
      <c r="D1171" t="s">
        <v>2933</v>
      </c>
      <c r="E1171" t="s">
        <v>38</v>
      </c>
      <c r="F1171" t="s">
        <v>19</v>
      </c>
      <c r="G1171">
        <v>16562.22</v>
      </c>
      <c r="H1171">
        <v>8032.77</v>
      </c>
      <c r="I1171" t="s">
        <v>53</v>
      </c>
      <c r="J1171" t="s">
        <v>54</v>
      </c>
      <c r="K1171" t="s">
        <v>32</v>
      </c>
      <c r="L1171" t="s">
        <v>23</v>
      </c>
      <c r="M1171">
        <v>5</v>
      </c>
      <c r="N1171" t="s">
        <v>24</v>
      </c>
      <c r="O1171" t="s">
        <v>25</v>
      </c>
      <c r="P1171" t="s">
        <v>26</v>
      </c>
    </row>
    <row r="1172" spans="1:16" x14ac:dyDescent="0.25">
      <c r="A1172" t="s">
        <v>2934</v>
      </c>
      <c r="B1172" s="6">
        <v>44254</v>
      </c>
      <c r="C1172">
        <v>9191</v>
      </c>
      <c r="D1172" t="s">
        <v>2935</v>
      </c>
      <c r="E1172" t="s">
        <v>18</v>
      </c>
      <c r="F1172" t="s">
        <v>30</v>
      </c>
      <c r="G1172">
        <v>34517.22</v>
      </c>
      <c r="H1172">
        <v>21172.25</v>
      </c>
      <c r="I1172" t="s">
        <v>20</v>
      </c>
      <c r="J1172" t="s">
        <v>21</v>
      </c>
      <c r="K1172" t="s">
        <v>32</v>
      </c>
      <c r="L1172" t="s">
        <v>23</v>
      </c>
      <c r="M1172">
        <v>5</v>
      </c>
      <c r="N1172" t="s">
        <v>69</v>
      </c>
      <c r="O1172" t="s">
        <v>70</v>
      </c>
      <c r="P1172" t="s">
        <v>49</v>
      </c>
    </row>
    <row r="1173" spans="1:16" x14ac:dyDescent="0.25">
      <c r="A1173" t="s">
        <v>2936</v>
      </c>
      <c r="B1173" s="6">
        <v>44256</v>
      </c>
      <c r="C1173">
        <v>4032</v>
      </c>
      <c r="D1173" t="s">
        <v>2938</v>
      </c>
      <c r="E1173" t="s">
        <v>18</v>
      </c>
      <c r="F1173" t="s">
        <v>58</v>
      </c>
      <c r="G1173">
        <v>12326.68</v>
      </c>
      <c r="H1173">
        <v>5552.21</v>
      </c>
      <c r="I1173" t="s">
        <v>20</v>
      </c>
      <c r="J1173" t="s">
        <v>21</v>
      </c>
      <c r="K1173" t="s">
        <v>22</v>
      </c>
      <c r="L1173" t="s">
        <v>48</v>
      </c>
      <c r="M1173">
        <v>5</v>
      </c>
      <c r="N1173" t="s">
        <v>33</v>
      </c>
      <c r="O1173" t="s">
        <v>25</v>
      </c>
      <c r="P1173" t="s">
        <v>26</v>
      </c>
    </row>
    <row r="1174" spans="1:16" x14ac:dyDescent="0.25">
      <c r="A1174" t="s">
        <v>2939</v>
      </c>
      <c r="B1174" s="6">
        <v>45270</v>
      </c>
      <c r="C1174">
        <v>8878</v>
      </c>
      <c r="D1174" t="s">
        <v>2940</v>
      </c>
      <c r="E1174" t="s">
        <v>38</v>
      </c>
      <c r="F1174" t="s">
        <v>30</v>
      </c>
      <c r="G1174">
        <v>28820.33</v>
      </c>
      <c r="H1174">
        <v>16126.36</v>
      </c>
      <c r="I1174" t="s">
        <v>63</v>
      </c>
      <c r="J1174" t="s">
        <v>54</v>
      </c>
      <c r="K1174" t="s">
        <v>42</v>
      </c>
      <c r="L1174" t="s">
        <v>23</v>
      </c>
      <c r="M1174">
        <v>3</v>
      </c>
      <c r="N1174" t="s">
        <v>33</v>
      </c>
      <c r="O1174" t="s">
        <v>25</v>
      </c>
      <c r="P1174" t="s">
        <v>26</v>
      </c>
    </row>
    <row r="1175" spans="1:16" x14ac:dyDescent="0.25">
      <c r="A1175" t="s">
        <v>2941</v>
      </c>
      <c r="B1175" s="6">
        <v>44725</v>
      </c>
      <c r="C1175">
        <v>4997</v>
      </c>
      <c r="D1175" t="s">
        <v>2943</v>
      </c>
      <c r="E1175" t="s">
        <v>18</v>
      </c>
      <c r="F1175" t="s">
        <v>47</v>
      </c>
      <c r="G1175">
        <v>7402.81</v>
      </c>
      <c r="H1175">
        <v>4449.26</v>
      </c>
      <c r="I1175" t="s">
        <v>68</v>
      </c>
      <c r="J1175" t="s">
        <v>41</v>
      </c>
      <c r="K1175" t="s">
        <v>80</v>
      </c>
      <c r="L1175" t="s">
        <v>88</v>
      </c>
      <c r="M1175">
        <v>4</v>
      </c>
      <c r="N1175" t="s">
        <v>24</v>
      </c>
      <c r="O1175" t="s">
        <v>70</v>
      </c>
      <c r="P1175" t="s">
        <v>49</v>
      </c>
    </row>
    <row r="1176" spans="1:16" x14ac:dyDescent="0.25">
      <c r="A1176" t="s">
        <v>2944</v>
      </c>
      <c r="B1176" s="6">
        <v>44863</v>
      </c>
      <c r="C1176">
        <v>2600</v>
      </c>
      <c r="D1176" t="s">
        <v>2946</v>
      </c>
      <c r="E1176" t="s">
        <v>18</v>
      </c>
      <c r="F1176" t="s">
        <v>39</v>
      </c>
      <c r="G1176">
        <v>7120.45</v>
      </c>
      <c r="H1176">
        <v>4248.54</v>
      </c>
      <c r="I1176" t="s">
        <v>20</v>
      </c>
      <c r="J1176" t="s">
        <v>21</v>
      </c>
      <c r="K1176" t="s">
        <v>22</v>
      </c>
      <c r="L1176" t="s">
        <v>64</v>
      </c>
      <c r="M1176">
        <v>4</v>
      </c>
      <c r="N1176" t="s">
        <v>69</v>
      </c>
      <c r="O1176" t="s">
        <v>25</v>
      </c>
      <c r="P1176" t="s">
        <v>34</v>
      </c>
    </row>
    <row r="1177" spans="1:16" x14ac:dyDescent="0.25">
      <c r="A1177" t="s">
        <v>2947</v>
      </c>
      <c r="B1177" s="6">
        <v>44600</v>
      </c>
      <c r="C1177">
        <v>1320</v>
      </c>
      <c r="D1177" t="s">
        <v>2949</v>
      </c>
      <c r="E1177" t="s">
        <v>18</v>
      </c>
      <c r="F1177" t="s">
        <v>30</v>
      </c>
      <c r="G1177">
        <v>32866.160000000003</v>
      </c>
      <c r="H1177">
        <v>21181.87</v>
      </c>
      <c r="I1177" t="s">
        <v>40</v>
      </c>
      <c r="J1177" t="s">
        <v>41</v>
      </c>
      <c r="K1177" t="s">
        <v>80</v>
      </c>
      <c r="L1177" t="s">
        <v>64</v>
      </c>
      <c r="M1177">
        <v>3</v>
      </c>
      <c r="N1177" t="s">
        <v>33</v>
      </c>
      <c r="O1177" t="s">
        <v>25</v>
      </c>
      <c r="P1177" t="s">
        <v>49</v>
      </c>
    </row>
    <row r="1178" spans="1:16" x14ac:dyDescent="0.25">
      <c r="A1178" t="s">
        <v>2950</v>
      </c>
      <c r="B1178" s="6">
        <v>43877</v>
      </c>
      <c r="C1178">
        <v>5623</v>
      </c>
      <c r="D1178" t="s">
        <v>2951</v>
      </c>
      <c r="E1178" t="s">
        <v>18</v>
      </c>
      <c r="F1178" t="s">
        <v>39</v>
      </c>
      <c r="G1178">
        <v>30290.560000000001</v>
      </c>
      <c r="H1178">
        <v>16912.150000000001</v>
      </c>
      <c r="I1178" t="s">
        <v>53</v>
      </c>
      <c r="J1178" t="s">
        <v>54</v>
      </c>
      <c r="K1178" t="s">
        <v>22</v>
      </c>
      <c r="L1178" t="s">
        <v>64</v>
      </c>
      <c r="M1178">
        <v>5</v>
      </c>
      <c r="N1178" t="s">
        <v>69</v>
      </c>
      <c r="O1178" t="s">
        <v>70</v>
      </c>
      <c r="P1178" t="s">
        <v>34</v>
      </c>
    </row>
    <row r="1179" spans="1:16" x14ac:dyDescent="0.25">
      <c r="A1179" t="s">
        <v>2952</v>
      </c>
      <c r="B1179" s="6">
        <v>45115</v>
      </c>
      <c r="C1179">
        <v>4189</v>
      </c>
      <c r="D1179" t="s">
        <v>2954</v>
      </c>
      <c r="E1179" t="s">
        <v>38</v>
      </c>
      <c r="F1179" t="s">
        <v>58</v>
      </c>
      <c r="G1179">
        <v>27057.83</v>
      </c>
      <c r="H1179">
        <v>13270.79</v>
      </c>
      <c r="I1179" t="s">
        <v>120</v>
      </c>
      <c r="J1179" t="s">
        <v>21</v>
      </c>
      <c r="K1179" t="s">
        <v>32</v>
      </c>
      <c r="L1179" t="s">
        <v>64</v>
      </c>
      <c r="M1179">
        <v>5</v>
      </c>
      <c r="N1179" t="s">
        <v>24</v>
      </c>
      <c r="O1179" t="s">
        <v>25</v>
      </c>
      <c r="P1179" t="s">
        <v>34</v>
      </c>
    </row>
    <row r="1180" spans="1:16" x14ac:dyDescent="0.25">
      <c r="A1180" t="s">
        <v>2955</v>
      </c>
      <c r="B1180" s="6">
        <v>43950</v>
      </c>
      <c r="C1180">
        <v>8101</v>
      </c>
      <c r="D1180" t="s">
        <v>2956</v>
      </c>
      <c r="E1180" t="s">
        <v>18</v>
      </c>
      <c r="F1180" t="s">
        <v>30</v>
      </c>
      <c r="G1180">
        <v>41841.83</v>
      </c>
      <c r="H1180">
        <v>27155.4</v>
      </c>
      <c r="I1180" t="s">
        <v>84</v>
      </c>
      <c r="J1180" t="s">
        <v>54</v>
      </c>
      <c r="K1180" t="s">
        <v>80</v>
      </c>
      <c r="L1180" t="s">
        <v>43</v>
      </c>
      <c r="M1180">
        <v>1</v>
      </c>
      <c r="N1180" t="s">
        <v>33</v>
      </c>
      <c r="O1180" t="s">
        <v>25</v>
      </c>
      <c r="P1180" t="s">
        <v>49</v>
      </c>
    </row>
    <row r="1181" spans="1:16" x14ac:dyDescent="0.25">
      <c r="A1181" t="s">
        <v>2957</v>
      </c>
      <c r="B1181" s="6">
        <v>44063</v>
      </c>
      <c r="C1181">
        <v>1382</v>
      </c>
      <c r="D1181" t="s">
        <v>2958</v>
      </c>
      <c r="E1181" t="s">
        <v>18</v>
      </c>
      <c r="F1181" t="s">
        <v>30</v>
      </c>
      <c r="G1181">
        <v>19111.330000000002</v>
      </c>
      <c r="H1181">
        <v>12205.52</v>
      </c>
      <c r="I1181" t="s">
        <v>53</v>
      </c>
      <c r="J1181" t="s">
        <v>54</v>
      </c>
      <c r="K1181" t="s">
        <v>32</v>
      </c>
      <c r="L1181" t="s">
        <v>64</v>
      </c>
      <c r="M1181">
        <v>3</v>
      </c>
      <c r="N1181" t="s">
        <v>24</v>
      </c>
      <c r="O1181" t="s">
        <v>70</v>
      </c>
      <c r="P1181" t="s">
        <v>49</v>
      </c>
    </row>
    <row r="1182" spans="1:16" x14ac:dyDescent="0.25">
      <c r="A1182" t="s">
        <v>2959</v>
      </c>
      <c r="B1182" s="6">
        <v>44602</v>
      </c>
      <c r="C1182">
        <v>1095</v>
      </c>
      <c r="D1182" t="s">
        <v>2961</v>
      </c>
      <c r="E1182" t="s">
        <v>38</v>
      </c>
      <c r="F1182" t="s">
        <v>39</v>
      </c>
      <c r="G1182">
        <v>37839.300000000003</v>
      </c>
      <c r="H1182">
        <v>24147.11</v>
      </c>
      <c r="I1182" t="s">
        <v>20</v>
      </c>
      <c r="J1182" t="s">
        <v>21</v>
      </c>
      <c r="K1182" t="s">
        <v>80</v>
      </c>
      <c r="L1182" t="s">
        <v>88</v>
      </c>
      <c r="M1182">
        <v>3</v>
      </c>
      <c r="N1182" t="s">
        <v>24</v>
      </c>
      <c r="O1182" t="s">
        <v>70</v>
      </c>
      <c r="P1182" t="s">
        <v>26</v>
      </c>
    </row>
    <row r="1183" spans="1:16" x14ac:dyDescent="0.25">
      <c r="A1183" t="s">
        <v>2962</v>
      </c>
      <c r="B1183" s="6">
        <v>43901</v>
      </c>
      <c r="C1183">
        <v>5862</v>
      </c>
      <c r="D1183" t="s">
        <v>2963</v>
      </c>
      <c r="E1183" t="s">
        <v>38</v>
      </c>
      <c r="F1183" t="s">
        <v>39</v>
      </c>
      <c r="G1183">
        <v>20152.55</v>
      </c>
      <c r="H1183">
        <v>12228.8</v>
      </c>
      <c r="I1183" t="s">
        <v>120</v>
      </c>
      <c r="J1183" t="s">
        <v>21</v>
      </c>
      <c r="K1183" t="s">
        <v>22</v>
      </c>
      <c r="L1183" t="s">
        <v>43</v>
      </c>
      <c r="M1183">
        <v>5</v>
      </c>
      <c r="N1183" t="s">
        <v>33</v>
      </c>
      <c r="O1183" t="s">
        <v>25</v>
      </c>
      <c r="P1183" t="s">
        <v>49</v>
      </c>
    </row>
    <row r="1184" spans="1:16" x14ac:dyDescent="0.25">
      <c r="A1184" t="s">
        <v>2964</v>
      </c>
      <c r="B1184" s="6">
        <v>44269</v>
      </c>
      <c r="C1184">
        <v>8823</v>
      </c>
      <c r="D1184" t="s">
        <v>2965</v>
      </c>
      <c r="E1184" t="s">
        <v>38</v>
      </c>
      <c r="F1184" t="s">
        <v>30</v>
      </c>
      <c r="G1184">
        <v>41983.67</v>
      </c>
      <c r="H1184">
        <v>19517.77</v>
      </c>
      <c r="I1184" t="s">
        <v>20</v>
      </c>
      <c r="J1184" t="s">
        <v>21</v>
      </c>
      <c r="K1184" t="s">
        <v>22</v>
      </c>
      <c r="L1184" t="s">
        <v>48</v>
      </c>
      <c r="M1184">
        <v>3</v>
      </c>
      <c r="N1184" t="s">
        <v>24</v>
      </c>
      <c r="O1184" t="s">
        <v>25</v>
      </c>
      <c r="P1184" t="s">
        <v>26</v>
      </c>
    </row>
    <row r="1185" spans="1:16" x14ac:dyDescent="0.25">
      <c r="A1185" t="s">
        <v>2966</v>
      </c>
      <c r="B1185" s="6">
        <v>44810</v>
      </c>
      <c r="C1185">
        <v>6225</v>
      </c>
      <c r="D1185" t="s">
        <v>2968</v>
      </c>
      <c r="E1185" t="s">
        <v>38</v>
      </c>
      <c r="F1185" t="s">
        <v>39</v>
      </c>
      <c r="G1185">
        <v>39268.29</v>
      </c>
      <c r="H1185">
        <v>18663.580000000002</v>
      </c>
      <c r="I1185" t="s">
        <v>84</v>
      </c>
      <c r="J1185" t="s">
        <v>54</v>
      </c>
      <c r="K1185" t="s">
        <v>32</v>
      </c>
      <c r="L1185" t="s">
        <v>23</v>
      </c>
      <c r="M1185">
        <v>3</v>
      </c>
      <c r="N1185" t="s">
        <v>24</v>
      </c>
      <c r="O1185" t="s">
        <v>25</v>
      </c>
      <c r="P1185" t="s">
        <v>49</v>
      </c>
    </row>
    <row r="1186" spans="1:16" x14ac:dyDescent="0.25">
      <c r="A1186" t="s">
        <v>2969</v>
      </c>
      <c r="B1186" s="6">
        <v>45039</v>
      </c>
      <c r="C1186">
        <v>7717</v>
      </c>
      <c r="D1186" t="s">
        <v>2971</v>
      </c>
      <c r="E1186" t="s">
        <v>38</v>
      </c>
      <c r="F1186" t="s">
        <v>58</v>
      </c>
      <c r="G1186">
        <v>59579.63</v>
      </c>
      <c r="H1186">
        <v>32284.51</v>
      </c>
      <c r="I1186" t="s">
        <v>84</v>
      </c>
      <c r="J1186" t="s">
        <v>54</v>
      </c>
      <c r="K1186" t="s">
        <v>32</v>
      </c>
      <c r="L1186" t="s">
        <v>23</v>
      </c>
      <c r="M1186">
        <v>3</v>
      </c>
      <c r="N1186" t="s">
        <v>69</v>
      </c>
      <c r="O1186" t="s">
        <v>25</v>
      </c>
      <c r="P1186" t="s">
        <v>26</v>
      </c>
    </row>
    <row r="1187" spans="1:16" x14ac:dyDescent="0.25">
      <c r="A1187" t="s">
        <v>2972</v>
      </c>
      <c r="B1187" s="6">
        <v>45435</v>
      </c>
      <c r="C1187">
        <v>1957</v>
      </c>
      <c r="D1187" t="s">
        <v>2973</v>
      </c>
      <c r="E1187" t="s">
        <v>18</v>
      </c>
      <c r="F1187" t="s">
        <v>30</v>
      </c>
      <c r="G1187">
        <v>59299.58</v>
      </c>
      <c r="H1187">
        <v>34416.879999999997</v>
      </c>
      <c r="I1187" t="s">
        <v>31</v>
      </c>
      <c r="J1187" t="s">
        <v>21</v>
      </c>
      <c r="K1187" t="s">
        <v>32</v>
      </c>
      <c r="L1187" t="s">
        <v>23</v>
      </c>
      <c r="M1187">
        <v>3</v>
      </c>
      <c r="N1187" t="s">
        <v>24</v>
      </c>
      <c r="O1187" t="s">
        <v>25</v>
      </c>
      <c r="P1187" t="s">
        <v>26</v>
      </c>
    </row>
    <row r="1188" spans="1:16" x14ac:dyDescent="0.25">
      <c r="A1188" t="s">
        <v>2974</v>
      </c>
      <c r="B1188" s="6">
        <v>45483</v>
      </c>
      <c r="C1188">
        <v>8888</v>
      </c>
      <c r="D1188" t="s">
        <v>2975</v>
      </c>
      <c r="E1188" t="s">
        <v>18</v>
      </c>
      <c r="F1188" t="s">
        <v>39</v>
      </c>
      <c r="G1188">
        <v>8385.26</v>
      </c>
      <c r="H1188">
        <v>4362.74</v>
      </c>
      <c r="I1188" t="s">
        <v>68</v>
      </c>
      <c r="J1188" t="s">
        <v>41</v>
      </c>
      <c r="K1188" t="s">
        <v>22</v>
      </c>
      <c r="L1188" t="s">
        <v>55</v>
      </c>
      <c r="M1188">
        <v>1</v>
      </c>
      <c r="N1188" t="s">
        <v>24</v>
      </c>
      <c r="O1188" t="s">
        <v>70</v>
      </c>
      <c r="P1188" t="s">
        <v>49</v>
      </c>
    </row>
    <row r="1189" spans="1:16" x14ac:dyDescent="0.25">
      <c r="A1189" t="s">
        <v>2976</v>
      </c>
      <c r="B1189" s="6">
        <v>44533</v>
      </c>
      <c r="C1189">
        <v>6160</v>
      </c>
      <c r="D1189" t="s">
        <v>2977</v>
      </c>
      <c r="E1189" t="s">
        <v>18</v>
      </c>
      <c r="F1189" t="s">
        <v>47</v>
      </c>
      <c r="G1189">
        <v>7999.4</v>
      </c>
      <c r="H1189">
        <v>4795.6899999999996</v>
      </c>
      <c r="I1189" t="s">
        <v>53</v>
      </c>
      <c r="J1189" t="s">
        <v>54</v>
      </c>
      <c r="K1189" t="s">
        <v>22</v>
      </c>
      <c r="L1189" t="s">
        <v>48</v>
      </c>
      <c r="M1189">
        <v>3</v>
      </c>
      <c r="N1189" t="s">
        <v>33</v>
      </c>
      <c r="O1189" t="s">
        <v>70</v>
      </c>
      <c r="P1189" t="s">
        <v>34</v>
      </c>
    </row>
    <row r="1190" spans="1:16" x14ac:dyDescent="0.25">
      <c r="A1190" t="s">
        <v>2978</v>
      </c>
      <c r="B1190" s="6">
        <v>44067</v>
      </c>
      <c r="C1190">
        <v>8048</v>
      </c>
      <c r="D1190" t="s">
        <v>2979</v>
      </c>
      <c r="E1190" t="s">
        <v>38</v>
      </c>
      <c r="F1190" t="s">
        <v>58</v>
      </c>
      <c r="G1190">
        <v>29860.16</v>
      </c>
      <c r="H1190">
        <v>13464.56</v>
      </c>
      <c r="I1190" t="s">
        <v>84</v>
      </c>
      <c r="J1190" t="s">
        <v>54</v>
      </c>
      <c r="K1190" t="s">
        <v>80</v>
      </c>
      <c r="L1190" t="s">
        <v>88</v>
      </c>
      <c r="M1190">
        <v>1</v>
      </c>
      <c r="N1190" t="s">
        <v>69</v>
      </c>
      <c r="O1190" t="s">
        <v>25</v>
      </c>
      <c r="P1190" t="s">
        <v>34</v>
      </c>
    </row>
    <row r="1191" spans="1:16" x14ac:dyDescent="0.25">
      <c r="A1191" t="s">
        <v>2980</v>
      </c>
      <c r="B1191" s="6">
        <v>44527</v>
      </c>
      <c r="C1191">
        <v>9550</v>
      </c>
      <c r="D1191" t="s">
        <v>2981</v>
      </c>
      <c r="E1191" t="s">
        <v>38</v>
      </c>
      <c r="F1191" t="s">
        <v>19</v>
      </c>
      <c r="G1191">
        <v>8067.74</v>
      </c>
      <c r="H1191">
        <v>4526.54</v>
      </c>
      <c r="I1191" t="s">
        <v>120</v>
      </c>
      <c r="J1191" t="s">
        <v>21</v>
      </c>
      <c r="K1191" t="s">
        <v>32</v>
      </c>
      <c r="L1191" t="s">
        <v>64</v>
      </c>
      <c r="M1191">
        <v>3</v>
      </c>
      <c r="N1191" t="s">
        <v>33</v>
      </c>
      <c r="O1191" t="s">
        <v>25</v>
      </c>
      <c r="P1191" t="s">
        <v>34</v>
      </c>
    </row>
    <row r="1192" spans="1:16" x14ac:dyDescent="0.25">
      <c r="A1192" t="s">
        <v>2982</v>
      </c>
      <c r="B1192" s="6">
        <v>44150</v>
      </c>
      <c r="C1192">
        <v>3314</v>
      </c>
      <c r="D1192" t="s">
        <v>2983</v>
      </c>
      <c r="E1192" t="s">
        <v>38</v>
      </c>
      <c r="F1192" t="s">
        <v>47</v>
      </c>
      <c r="G1192">
        <v>3770.48</v>
      </c>
      <c r="H1192">
        <v>1931.13</v>
      </c>
      <c r="I1192" t="s">
        <v>120</v>
      </c>
      <c r="J1192" t="s">
        <v>21</v>
      </c>
      <c r="K1192" t="s">
        <v>22</v>
      </c>
      <c r="L1192" t="s">
        <v>23</v>
      </c>
      <c r="M1192">
        <v>1</v>
      </c>
      <c r="N1192" t="s">
        <v>33</v>
      </c>
      <c r="O1192" t="s">
        <v>25</v>
      </c>
      <c r="P1192" t="s">
        <v>26</v>
      </c>
    </row>
    <row r="1193" spans="1:16" x14ac:dyDescent="0.25">
      <c r="A1193" t="s">
        <v>2984</v>
      </c>
      <c r="B1193" s="6">
        <v>44912</v>
      </c>
      <c r="C1193">
        <v>2125</v>
      </c>
      <c r="D1193" t="s">
        <v>2985</v>
      </c>
      <c r="E1193" t="s">
        <v>38</v>
      </c>
      <c r="F1193" t="s">
        <v>19</v>
      </c>
      <c r="G1193">
        <v>19727.79</v>
      </c>
      <c r="H1193">
        <v>9719.23</v>
      </c>
      <c r="I1193" t="s">
        <v>84</v>
      </c>
      <c r="J1193" t="s">
        <v>54</v>
      </c>
      <c r="K1193" t="s">
        <v>42</v>
      </c>
      <c r="L1193" t="s">
        <v>64</v>
      </c>
      <c r="M1193">
        <v>3</v>
      </c>
      <c r="N1193" t="s">
        <v>24</v>
      </c>
      <c r="O1193" t="s">
        <v>70</v>
      </c>
      <c r="P1193" t="s">
        <v>26</v>
      </c>
    </row>
    <row r="1194" spans="1:16" x14ac:dyDescent="0.25">
      <c r="A1194" t="s">
        <v>2986</v>
      </c>
      <c r="B1194" s="6">
        <v>43970</v>
      </c>
      <c r="C1194">
        <v>8133</v>
      </c>
      <c r="D1194" t="s">
        <v>1791</v>
      </c>
      <c r="E1194" t="s">
        <v>18</v>
      </c>
      <c r="F1194" t="s">
        <v>30</v>
      </c>
      <c r="G1194">
        <v>59768.31</v>
      </c>
      <c r="H1194">
        <v>32248.639999999999</v>
      </c>
      <c r="I1194" t="s">
        <v>63</v>
      </c>
      <c r="J1194" t="s">
        <v>54</v>
      </c>
      <c r="K1194" t="s">
        <v>32</v>
      </c>
      <c r="L1194" t="s">
        <v>48</v>
      </c>
      <c r="M1194">
        <v>3</v>
      </c>
      <c r="N1194" t="s">
        <v>69</v>
      </c>
      <c r="O1194" t="s">
        <v>70</v>
      </c>
      <c r="P1194" t="s">
        <v>49</v>
      </c>
    </row>
    <row r="1195" spans="1:16" x14ac:dyDescent="0.25">
      <c r="A1195" t="s">
        <v>2987</v>
      </c>
      <c r="B1195" s="6">
        <v>44678</v>
      </c>
      <c r="C1195">
        <v>5881</v>
      </c>
      <c r="D1195" t="s">
        <v>2988</v>
      </c>
      <c r="E1195" t="s">
        <v>38</v>
      </c>
      <c r="F1195" t="s">
        <v>47</v>
      </c>
      <c r="G1195">
        <v>16725.07</v>
      </c>
      <c r="H1195">
        <v>9333.23</v>
      </c>
      <c r="I1195" t="s">
        <v>53</v>
      </c>
      <c r="J1195" t="s">
        <v>54</v>
      </c>
      <c r="K1195" t="s">
        <v>42</v>
      </c>
      <c r="L1195" t="s">
        <v>88</v>
      </c>
      <c r="M1195">
        <v>1</v>
      </c>
      <c r="N1195" t="s">
        <v>33</v>
      </c>
      <c r="O1195" t="s">
        <v>25</v>
      </c>
      <c r="P1195" t="s">
        <v>34</v>
      </c>
    </row>
    <row r="1196" spans="1:16" x14ac:dyDescent="0.25">
      <c r="A1196" t="s">
        <v>2989</v>
      </c>
      <c r="B1196" s="6">
        <v>45107</v>
      </c>
      <c r="C1196">
        <v>6967</v>
      </c>
      <c r="D1196" t="s">
        <v>854</v>
      </c>
      <c r="E1196" t="s">
        <v>38</v>
      </c>
      <c r="F1196" t="s">
        <v>39</v>
      </c>
      <c r="G1196">
        <v>14101.35</v>
      </c>
      <c r="H1196">
        <v>7937.85</v>
      </c>
      <c r="I1196" t="s">
        <v>120</v>
      </c>
      <c r="J1196" t="s">
        <v>21</v>
      </c>
      <c r="K1196" t="s">
        <v>22</v>
      </c>
      <c r="L1196" t="s">
        <v>43</v>
      </c>
      <c r="M1196">
        <v>1</v>
      </c>
      <c r="N1196" t="s">
        <v>24</v>
      </c>
      <c r="O1196" t="s">
        <v>25</v>
      </c>
      <c r="P1196" t="s">
        <v>34</v>
      </c>
    </row>
    <row r="1197" spans="1:16" x14ac:dyDescent="0.25">
      <c r="A1197" t="s">
        <v>2990</v>
      </c>
      <c r="B1197" s="6">
        <v>44576</v>
      </c>
      <c r="C1197">
        <v>2666</v>
      </c>
      <c r="D1197" t="s">
        <v>2991</v>
      </c>
      <c r="E1197" t="s">
        <v>18</v>
      </c>
      <c r="F1197" t="s">
        <v>19</v>
      </c>
      <c r="G1197">
        <v>5935.3</v>
      </c>
      <c r="H1197">
        <v>2769.81</v>
      </c>
      <c r="I1197" t="s">
        <v>53</v>
      </c>
      <c r="J1197" t="s">
        <v>54</v>
      </c>
      <c r="K1197" t="s">
        <v>22</v>
      </c>
      <c r="L1197" t="s">
        <v>64</v>
      </c>
      <c r="M1197">
        <v>5</v>
      </c>
      <c r="N1197" t="s">
        <v>69</v>
      </c>
      <c r="O1197" t="s">
        <v>25</v>
      </c>
      <c r="P1197" t="s">
        <v>49</v>
      </c>
    </row>
    <row r="1198" spans="1:16" x14ac:dyDescent="0.25">
      <c r="A1198" t="s">
        <v>2992</v>
      </c>
      <c r="B1198" s="6">
        <v>45519</v>
      </c>
      <c r="C1198">
        <v>7374</v>
      </c>
      <c r="D1198" t="s">
        <v>2993</v>
      </c>
      <c r="E1198" t="s">
        <v>18</v>
      </c>
      <c r="F1198" t="s">
        <v>47</v>
      </c>
      <c r="G1198">
        <v>16626.330000000002</v>
      </c>
      <c r="H1198">
        <v>8070.91</v>
      </c>
      <c r="I1198" t="s">
        <v>53</v>
      </c>
      <c r="J1198" t="s">
        <v>54</v>
      </c>
      <c r="K1198" t="s">
        <v>22</v>
      </c>
      <c r="L1198" t="s">
        <v>64</v>
      </c>
      <c r="M1198">
        <v>5</v>
      </c>
      <c r="N1198" t="s">
        <v>33</v>
      </c>
      <c r="O1198" t="s">
        <v>25</v>
      </c>
      <c r="P1198" t="s">
        <v>34</v>
      </c>
    </row>
    <row r="1199" spans="1:16" x14ac:dyDescent="0.25">
      <c r="A1199" t="s">
        <v>2994</v>
      </c>
      <c r="B1199" s="6">
        <v>45334</v>
      </c>
      <c r="C1199">
        <v>3215</v>
      </c>
      <c r="D1199" t="s">
        <v>2996</v>
      </c>
      <c r="E1199" t="s">
        <v>18</v>
      </c>
      <c r="F1199" t="s">
        <v>19</v>
      </c>
      <c r="G1199">
        <v>12308.99</v>
      </c>
      <c r="H1199">
        <v>6311.43</v>
      </c>
      <c r="I1199" t="s">
        <v>20</v>
      </c>
      <c r="J1199" t="s">
        <v>21</v>
      </c>
      <c r="K1199" t="s">
        <v>42</v>
      </c>
      <c r="L1199" t="s">
        <v>55</v>
      </c>
      <c r="M1199">
        <v>1</v>
      </c>
      <c r="N1199" t="s">
        <v>33</v>
      </c>
      <c r="O1199" t="s">
        <v>25</v>
      </c>
      <c r="P1199" t="s">
        <v>49</v>
      </c>
    </row>
    <row r="1200" spans="1:16" x14ac:dyDescent="0.25">
      <c r="A1200" t="s">
        <v>2997</v>
      </c>
      <c r="B1200" s="6">
        <v>44655</v>
      </c>
      <c r="C1200">
        <v>5253</v>
      </c>
      <c r="D1200" t="s">
        <v>2999</v>
      </c>
      <c r="E1200" t="s">
        <v>38</v>
      </c>
      <c r="F1200" t="s">
        <v>39</v>
      </c>
      <c r="G1200">
        <v>20934.48</v>
      </c>
      <c r="H1200">
        <v>12006.49</v>
      </c>
      <c r="I1200" t="s">
        <v>68</v>
      </c>
      <c r="J1200" t="s">
        <v>41</v>
      </c>
      <c r="K1200" t="s">
        <v>22</v>
      </c>
      <c r="L1200" t="s">
        <v>64</v>
      </c>
      <c r="M1200">
        <v>3</v>
      </c>
      <c r="N1200" t="s">
        <v>33</v>
      </c>
      <c r="O1200" t="s">
        <v>70</v>
      </c>
      <c r="P1200" t="s">
        <v>26</v>
      </c>
    </row>
    <row r="1201" spans="1:16" x14ac:dyDescent="0.25">
      <c r="A1201" t="s">
        <v>3000</v>
      </c>
      <c r="B1201" s="6">
        <v>44501</v>
      </c>
      <c r="C1201">
        <v>1811</v>
      </c>
      <c r="D1201" t="s">
        <v>3002</v>
      </c>
      <c r="E1201" t="s">
        <v>38</v>
      </c>
      <c r="F1201" t="s">
        <v>58</v>
      </c>
      <c r="G1201">
        <v>29075.94</v>
      </c>
      <c r="H1201">
        <v>16514.48</v>
      </c>
      <c r="I1201" t="s">
        <v>31</v>
      </c>
      <c r="J1201" t="s">
        <v>21</v>
      </c>
      <c r="K1201" t="s">
        <v>42</v>
      </c>
      <c r="L1201" t="s">
        <v>48</v>
      </c>
      <c r="M1201">
        <v>1</v>
      </c>
      <c r="N1201" t="s">
        <v>69</v>
      </c>
      <c r="O1201" t="s">
        <v>70</v>
      </c>
      <c r="P1201" t="s">
        <v>26</v>
      </c>
    </row>
    <row r="1202" spans="1:16" x14ac:dyDescent="0.25">
      <c r="A1202" t="s">
        <v>3003</v>
      </c>
      <c r="B1202" s="6">
        <v>45037</v>
      </c>
      <c r="C1202">
        <v>1199</v>
      </c>
      <c r="D1202" t="s">
        <v>1544</v>
      </c>
      <c r="E1202" t="s">
        <v>18</v>
      </c>
      <c r="F1202" t="s">
        <v>39</v>
      </c>
      <c r="G1202">
        <v>41083.94</v>
      </c>
      <c r="H1202">
        <v>23245.11</v>
      </c>
      <c r="I1202" t="s">
        <v>53</v>
      </c>
      <c r="J1202" t="s">
        <v>54</v>
      </c>
      <c r="K1202" t="s">
        <v>22</v>
      </c>
      <c r="L1202" t="s">
        <v>88</v>
      </c>
      <c r="M1202">
        <v>3</v>
      </c>
      <c r="N1202" t="s">
        <v>33</v>
      </c>
      <c r="O1202" t="s">
        <v>25</v>
      </c>
      <c r="P1202" t="s">
        <v>26</v>
      </c>
    </row>
    <row r="1203" spans="1:16" x14ac:dyDescent="0.25">
      <c r="A1203" t="s">
        <v>3004</v>
      </c>
      <c r="B1203" s="6">
        <v>45437</v>
      </c>
      <c r="C1203">
        <v>2179</v>
      </c>
      <c r="D1203" t="s">
        <v>3005</v>
      </c>
      <c r="E1203" t="s">
        <v>38</v>
      </c>
      <c r="F1203" t="s">
        <v>30</v>
      </c>
      <c r="G1203">
        <v>86641.279999999999</v>
      </c>
      <c r="H1203">
        <v>54754.82</v>
      </c>
      <c r="I1203" t="s">
        <v>84</v>
      </c>
      <c r="J1203" t="s">
        <v>54</v>
      </c>
      <c r="K1203" t="s">
        <v>32</v>
      </c>
      <c r="L1203" t="s">
        <v>48</v>
      </c>
      <c r="M1203">
        <v>3</v>
      </c>
      <c r="N1203" t="s">
        <v>69</v>
      </c>
      <c r="O1203" t="s">
        <v>70</v>
      </c>
      <c r="P1203" t="s">
        <v>26</v>
      </c>
    </row>
    <row r="1204" spans="1:16" x14ac:dyDescent="0.25">
      <c r="A1204" t="s">
        <v>3006</v>
      </c>
      <c r="B1204" s="6">
        <v>45483</v>
      </c>
      <c r="C1204">
        <v>6578</v>
      </c>
      <c r="D1204" t="s">
        <v>3007</v>
      </c>
      <c r="E1204" t="s">
        <v>18</v>
      </c>
      <c r="F1204" t="s">
        <v>39</v>
      </c>
      <c r="G1204">
        <v>7976.49</v>
      </c>
      <c r="H1204">
        <v>4208.2700000000004</v>
      </c>
      <c r="I1204" t="s">
        <v>59</v>
      </c>
      <c r="J1204" t="s">
        <v>41</v>
      </c>
      <c r="K1204" t="s">
        <v>22</v>
      </c>
      <c r="L1204" t="s">
        <v>55</v>
      </c>
      <c r="M1204">
        <v>4</v>
      </c>
      <c r="N1204" t="s">
        <v>69</v>
      </c>
      <c r="O1204" t="s">
        <v>25</v>
      </c>
      <c r="P1204" t="s">
        <v>49</v>
      </c>
    </row>
    <row r="1205" spans="1:16" x14ac:dyDescent="0.25">
      <c r="A1205" t="s">
        <v>3008</v>
      </c>
      <c r="B1205" s="6">
        <v>44842</v>
      </c>
      <c r="C1205">
        <v>2207</v>
      </c>
      <c r="D1205" t="s">
        <v>3009</v>
      </c>
      <c r="E1205" t="s">
        <v>38</v>
      </c>
      <c r="F1205" t="s">
        <v>39</v>
      </c>
      <c r="G1205">
        <v>36798.300000000003</v>
      </c>
      <c r="H1205">
        <v>20073.48</v>
      </c>
      <c r="I1205" t="s">
        <v>63</v>
      </c>
      <c r="J1205" t="s">
        <v>54</v>
      </c>
      <c r="K1205" t="s">
        <v>22</v>
      </c>
      <c r="L1205" t="s">
        <v>48</v>
      </c>
      <c r="M1205">
        <v>2</v>
      </c>
      <c r="N1205" t="s">
        <v>69</v>
      </c>
      <c r="O1205" t="s">
        <v>25</v>
      </c>
      <c r="P1205" t="s">
        <v>49</v>
      </c>
    </row>
    <row r="1206" spans="1:16" x14ac:dyDescent="0.25">
      <c r="A1206" t="s">
        <v>3010</v>
      </c>
      <c r="B1206" s="6">
        <v>44296</v>
      </c>
      <c r="C1206">
        <v>5734</v>
      </c>
      <c r="D1206" t="s">
        <v>3011</v>
      </c>
      <c r="E1206" t="s">
        <v>38</v>
      </c>
      <c r="F1206" t="s">
        <v>47</v>
      </c>
      <c r="G1206">
        <v>8298.69</v>
      </c>
      <c r="H1206">
        <v>5333.04</v>
      </c>
      <c r="I1206" t="s">
        <v>31</v>
      </c>
      <c r="J1206" t="s">
        <v>21</v>
      </c>
      <c r="K1206" t="s">
        <v>42</v>
      </c>
      <c r="L1206" t="s">
        <v>23</v>
      </c>
      <c r="M1206">
        <v>1</v>
      </c>
      <c r="N1206" t="s">
        <v>33</v>
      </c>
      <c r="O1206" t="s">
        <v>25</v>
      </c>
      <c r="P1206" t="s">
        <v>34</v>
      </c>
    </row>
    <row r="1207" spans="1:16" x14ac:dyDescent="0.25">
      <c r="A1207" t="s">
        <v>3012</v>
      </c>
      <c r="B1207" s="6">
        <v>43913</v>
      </c>
      <c r="C1207">
        <v>6700</v>
      </c>
      <c r="D1207" t="s">
        <v>3013</v>
      </c>
      <c r="E1207" t="s">
        <v>18</v>
      </c>
      <c r="F1207" t="s">
        <v>39</v>
      </c>
      <c r="G1207">
        <v>7053.74</v>
      </c>
      <c r="H1207">
        <v>3473.99</v>
      </c>
      <c r="I1207" t="s">
        <v>20</v>
      </c>
      <c r="J1207" t="s">
        <v>21</v>
      </c>
      <c r="K1207" t="s">
        <v>80</v>
      </c>
      <c r="L1207" t="s">
        <v>88</v>
      </c>
      <c r="M1207">
        <v>3</v>
      </c>
      <c r="N1207" t="s">
        <v>33</v>
      </c>
      <c r="O1207" t="s">
        <v>25</v>
      </c>
      <c r="P1207" t="s">
        <v>34</v>
      </c>
    </row>
    <row r="1208" spans="1:16" x14ac:dyDescent="0.25">
      <c r="A1208" t="s">
        <v>3014</v>
      </c>
      <c r="B1208" s="6">
        <v>45248</v>
      </c>
      <c r="C1208">
        <v>3448</v>
      </c>
      <c r="D1208" t="s">
        <v>3015</v>
      </c>
      <c r="E1208" t="s">
        <v>18</v>
      </c>
      <c r="F1208" t="s">
        <v>39</v>
      </c>
      <c r="G1208">
        <v>45603.67</v>
      </c>
      <c r="H1208">
        <v>23328.240000000002</v>
      </c>
      <c r="I1208" t="s">
        <v>84</v>
      </c>
      <c r="J1208" t="s">
        <v>54</v>
      </c>
      <c r="K1208" t="s">
        <v>22</v>
      </c>
      <c r="L1208" t="s">
        <v>55</v>
      </c>
      <c r="M1208">
        <v>1</v>
      </c>
      <c r="N1208" t="s">
        <v>24</v>
      </c>
      <c r="O1208" t="s">
        <v>25</v>
      </c>
      <c r="P1208" t="s">
        <v>26</v>
      </c>
    </row>
    <row r="1209" spans="1:16" x14ac:dyDescent="0.25">
      <c r="A1209" t="s">
        <v>3016</v>
      </c>
      <c r="B1209" s="6">
        <v>43956</v>
      </c>
      <c r="C1209">
        <v>9863</v>
      </c>
      <c r="D1209" t="s">
        <v>3018</v>
      </c>
      <c r="E1209" t="s">
        <v>38</v>
      </c>
      <c r="F1209" t="s">
        <v>47</v>
      </c>
      <c r="G1209">
        <v>6660.34</v>
      </c>
      <c r="H1209">
        <v>3320.81</v>
      </c>
      <c r="I1209" t="s">
        <v>120</v>
      </c>
      <c r="J1209" t="s">
        <v>21</v>
      </c>
      <c r="K1209" t="s">
        <v>32</v>
      </c>
      <c r="L1209" t="s">
        <v>55</v>
      </c>
      <c r="M1209">
        <v>1</v>
      </c>
      <c r="N1209" t="s">
        <v>33</v>
      </c>
      <c r="O1209" t="s">
        <v>25</v>
      </c>
      <c r="P1209" t="s">
        <v>26</v>
      </c>
    </row>
    <row r="1210" spans="1:16" x14ac:dyDescent="0.25">
      <c r="A1210" t="s">
        <v>3019</v>
      </c>
      <c r="B1210" s="6">
        <v>45160</v>
      </c>
      <c r="C1210">
        <v>9897</v>
      </c>
      <c r="D1210" t="s">
        <v>3020</v>
      </c>
      <c r="E1210" t="s">
        <v>38</v>
      </c>
      <c r="F1210" t="s">
        <v>39</v>
      </c>
      <c r="G1210">
        <v>20318.39</v>
      </c>
      <c r="H1210">
        <v>11441.67</v>
      </c>
      <c r="I1210" t="s">
        <v>20</v>
      </c>
      <c r="J1210" t="s">
        <v>21</v>
      </c>
      <c r="K1210" t="s">
        <v>32</v>
      </c>
      <c r="L1210" t="s">
        <v>55</v>
      </c>
      <c r="M1210">
        <v>2</v>
      </c>
      <c r="N1210" t="s">
        <v>24</v>
      </c>
      <c r="O1210" t="s">
        <v>25</v>
      </c>
      <c r="P1210" t="s">
        <v>34</v>
      </c>
    </row>
    <row r="1211" spans="1:16" x14ac:dyDescent="0.25">
      <c r="A1211" t="s">
        <v>3021</v>
      </c>
      <c r="B1211" s="6">
        <v>45415</v>
      </c>
      <c r="C1211">
        <v>3935</v>
      </c>
      <c r="D1211" t="s">
        <v>3022</v>
      </c>
      <c r="E1211" t="s">
        <v>18</v>
      </c>
      <c r="F1211" t="s">
        <v>58</v>
      </c>
      <c r="G1211">
        <v>61103.31</v>
      </c>
      <c r="H1211">
        <v>29225.29</v>
      </c>
      <c r="I1211" t="s">
        <v>53</v>
      </c>
      <c r="J1211" t="s">
        <v>54</v>
      </c>
      <c r="K1211" t="s">
        <v>42</v>
      </c>
      <c r="L1211" t="s">
        <v>88</v>
      </c>
      <c r="M1211">
        <v>5</v>
      </c>
      <c r="N1211" t="s">
        <v>33</v>
      </c>
      <c r="O1211" t="s">
        <v>25</v>
      </c>
      <c r="P1211" t="s">
        <v>34</v>
      </c>
    </row>
    <row r="1212" spans="1:16" x14ac:dyDescent="0.25">
      <c r="A1212" t="s">
        <v>3023</v>
      </c>
      <c r="B1212" s="6">
        <v>44058</v>
      </c>
      <c r="C1212">
        <v>2488</v>
      </c>
      <c r="D1212" t="s">
        <v>3025</v>
      </c>
      <c r="E1212" t="s">
        <v>38</v>
      </c>
      <c r="F1212" t="s">
        <v>30</v>
      </c>
      <c r="G1212">
        <v>41318.620000000003</v>
      </c>
      <c r="H1212">
        <v>20458.09</v>
      </c>
      <c r="I1212" t="s">
        <v>40</v>
      </c>
      <c r="J1212" t="s">
        <v>41</v>
      </c>
      <c r="K1212" t="s">
        <v>22</v>
      </c>
      <c r="L1212" t="s">
        <v>23</v>
      </c>
      <c r="M1212">
        <v>2</v>
      </c>
      <c r="N1212" t="s">
        <v>33</v>
      </c>
      <c r="O1212" t="s">
        <v>70</v>
      </c>
      <c r="P1212" t="s">
        <v>26</v>
      </c>
    </row>
    <row r="1213" spans="1:16" x14ac:dyDescent="0.25">
      <c r="A1213" t="s">
        <v>3026</v>
      </c>
      <c r="B1213" s="6">
        <v>44377</v>
      </c>
      <c r="C1213">
        <v>3039</v>
      </c>
      <c r="D1213" t="s">
        <v>3027</v>
      </c>
      <c r="E1213" t="s">
        <v>38</v>
      </c>
      <c r="F1213" t="s">
        <v>19</v>
      </c>
      <c r="G1213">
        <v>11883.38</v>
      </c>
      <c r="H1213">
        <v>6978.86</v>
      </c>
      <c r="I1213" t="s">
        <v>31</v>
      </c>
      <c r="J1213" t="s">
        <v>21</v>
      </c>
      <c r="K1213" t="s">
        <v>22</v>
      </c>
      <c r="L1213" t="s">
        <v>64</v>
      </c>
      <c r="M1213">
        <v>1</v>
      </c>
      <c r="N1213" t="s">
        <v>24</v>
      </c>
      <c r="O1213" t="s">
        <v>25</v>
      </c>
      <c r="P1213" t="s">
        <v>26</v>
      </c>
    </row>
    <row r="1214" spans="1:16" x14ac:dyDescent="0.25">
      <c r="A1214" t="s">
        <v>3028</v>
      </c>
      <c r="B1214" s="6">
        <v>44132</v>
      </c>
      <c r="C1214">
        <v>8598</v>
      </c>
      <c r="D1214" t="s">
        <v>3029</v>
      </c>
      <c r="E1214" t="s">
        <v>38</v>
      </c>
      <c r="F1214" t="s">
        <v>30</v>
      </c>
      <c r="G1214">
        <v>18169.5</v>
      </c>
      <c r="H1214">
        <v>10686.33</v>
      </c>
      <c r="I1214" t="s">
        <v>120</v>
      </c>
      <c r="J1214" t="s">
        <v>21</v>
      </c>
      <c r="K1214" t="s">
        <v>80</v>
      </c>
      <c r="L1214" t="s">
        <v>43</v>
      </c>
      <c r="M1214">
        <v>5</v>
      </c>
      <c r="N1214" t="s">
        <v>33</v>
      </c>
      <c r="O1214" t="s">
        <v>25</v>
      </c>
      <c r="P1214" t="s">
        <v>34</v>
      </c>
    </row>
    <row r="1215" spans="1:16" x14ac:dyDescent="0.25">
      <c r="A1215" t="s">
        <v>3030</v>
      </c>
      <c r="B1215" s="6">
        <v>45601</v>
      </c>
      <c r="C1215">
        <v>2100</v>
      </c>
      <c r="D1215" t="s">
        <v>3031</v>
      </c>
      <c r="E1215" t="s">
        <v>38</v>
      </c>
      <c r="F1215" t="s">
        <v>30</v>
      </c>
      <c r="G1215">
        <v>52904.93</v>
      </c>
      <c r="H1215">
        <v>25442.76</v>
      </c>
      <c r="I1215" t="s">
        <v>59</v>
      </c>
      <c r="J1215" t="s">
        <v>41</v>
      </c>
      <c r="K1215" t="s">
        <v>80</v>
      </c>
      <c r="L1215" t="s">
        <v>23</v>
      </c>
      <c r="M1215">
        <v>5</v>
      </c>
      <c r="N1215" t="s">
        <v>33</v>
      </c>
      <c r="O1215" t="s">
        <v>70</v>
      </c>
      <c r="P1215" t="s">
        <v>34</v>
      </c>
    </row>
    <row r="1216" spans="1:16" x14ac:dyDescent="0.25">
      <c r="A1216" t="s">
        <v>3032</v>
      </c>
      <c r="B1216" s="6">
        <v>45013</v>
      </c>
      <c r="C1216">
        <v>3662</v>
      </c>
      <c r="D1216" t="s">
        <v>3033</v>
      </c>
      <c r="E1216" t="s">
        <v>18</v>
      </c>
      <c r="F1216" t="s">
        <v>58</v>
      </c>
      <c r="G1216">
        <v>8622.4599999999991</v>
      </c>
      <c r="H1216">
        <v>4830.6499999999996</v>
      </c>
      <c r="I1216" t="s">
        <v>40</v>
      </c>
      <c r="J1216" t="s">
        <v>41</v>
      </c>
      <c r="K1216" t="s">
        <v>42</v>
      </c>
      <c r="L1216" t="s">
        <v>43</v>
      </c>
      <c r="M1216">
        <v>2</v>
      </c>
      <c r="N1216" t="s">
        <v>24</v>
      </c>
      <c r="O1216" t="s">
        <v>70</v>
      </c>
      <c r="P1216" t="s">
        <v>26</v>
      </c>
    </row>
    <row r="1217" spans="1:16" x14ac:dyDescent="0.25">
      <c r="A1217" t="s">
        <v>3034</v>
      </c>
      <c r="B1217" s="6">
        <v>43973</v>
      </c>
      <c r="C1217">
        <v>5567</v>
      </c>
      <c r="D1217" t="s">
        <v>3035</v>
      </c>
      <c r="E1217" t="s">
        <v>18</v>
      </c>
      <c r="F1217" t="s">
        <v>58</v>
      </c>
      <c r="G1217">
        <v>31547.040000000001</v>
      </c>
      <c r="H1217">
        <v>20029.560000000001</v>
      </c>
      <c r="I1217" t="s">
        <v>63</v>
      </c>
      <c r="J1217" t="s">
        <v>54</v>
      </c>
      <c r="K1217" t="s">
        <v>22</v>
      </c>
      <c r="L1217" t="s">
        <v>55</v>
      </c>
      <c r="M1217">
        <v>4</v>
      </c>
      <c r="N1217" t="s">
        <v>69</v>
      </c>
      <c r="O1217" t="s">
        <v>70</v>
      </c>
      <c r="P1217" t="s">
        <v>49</v>
      </c>
    </row>
    <row r="1218" spans="1:16" x14ac:dyDescent="0.25">
      <c r="A1218" t="s">
        <v>3036</v>
      </c>
      <c r="B1218" s="6">
        <v>45248</v>
      </c>
      <c r="C1218">
        <v>3090</v>
      </c>
      <c r="D1218" t="s">
        <v>3037</v>
      </c>
      <c r="E1218" t="s">
        <v>18</v>
      </c>
      <c r="F1218" t="s">
        <v>19</v>
      </c>
      <c r="G1218">
        <v>14597.68</v>
      </c>
      <c r="H1218">
        <v>9426.23</v>
      </c>
      <c r="I1218" t="s">
        <v>20</v>
      </c>
      <c r="J1218" t="s">
        <v>21</v>
      </c>
      <c r="K1218" t="s">
        <v>42</v>
      </c>
      <c r="L1218" t="s">
        <v>48</v>
      </c>
      <c r="M1218">
        <v>2</v>
      </c>
      <c r="N1218" t="s">
        <v>33</v>
      </c>
      <c r="O1218" t="s">
        <v>25</v>
      </c>
      <c r="P1218" t="s">
        <v>49</v>
      </c>
    </row>
    <row r="1219" spans="1:16" x14ac:dyDescent="0.25">
      <c r="A1219" t="s">
        <v>3038</v>
      </c>
      <c r="B1219" s="6">
        <v>44249</v>
      </c>
      <c r="C1219">
        <v>7110</v>
      </c>
      <c r="D1219" t="s">
        <v>3039</v>
      </c>
      <c r="E1219" t="s">
        <v>18</v>
      </c>
      <c r="F1219" t="s">
        <v>47</v>
      </c>
      <c r="G1219">
        <v>3078.22</v>
      </c>
      <c r="H1219">
        <v>1863.46</v>
      </c>
      <c r="I1219" t="s">
        <v>53</v>
      </c>
      <c r="J1219" t="s">
        <v>54</v>
      </c>
      <c r="K1219" t="s">
        <v>32</v>
      </c>
      <c r="L1219" t="s">
        <v>43</v>
      </c>
      <c r="M1219">
        <v>1</v>
      </c>
      <c r="N1219" t="s">
        <v>33</v>
      </c>
      <c r="O1219" t="s">
        <v>70</v>
      </c>
      <c r="P1219" t="s">
        <v>34</v>
      </c>
    </row>
    <row r="1220" spans="1:16" x14ac:dyDescent="0.25">
      <c r="A1220" t="s">
        <v>3040</v>
      </c>
      <c r="B1220" s="6">
        <v>45321</v>
      </c>
      <c r="C1220">
        <v>4781</v>
      </c>
      <c r="D1220" t="s">
        <v>3042</v>
      </c>
      <c r="E1220" t="s">
        <v>38</v>
      </c>
      <c r="F1220" t="s">
        <v>58</v>
      </c>
      <c r="G1220">
        <v>37358.949999999997</v>
      </c>
      <c r="H1220">
        <v>19470.43</v>
      </c>
      <c r="I1220" t="s">
        <v>63</v>
      </c>
      <c r="J1220" t="s">
        <v>54</v>
      </c>
      <c r="K1220" t="s">
        <v>22</v>
      </c>
      <c r="L1220" t="s">
        <v>43</v>
      </c>
      <c r="M1220">
        <v>5</v>
      </c>
      <c r="N1220" t="s">
        <v>33</v>
      </c>
      <c r="O1220" t="s">
        <v>70</v>
      </c>
      <c r="P1220" t="s">
        <v>49</v>
      </c>
    </row>
    <row r="1221" spans="1:16" x14ac:dyDescent="0.25">
      <c r="A1221" t="s">
        <v>3043</v>
      </c>
      <c r="B1221" s="6">
        <v>44180</v>
      </c>
      <c r="C1221">
        <v>2212</v>
      </c>
      <c r="D1221" t="s">
        <v>3045</v>
      </c>
      <c r="E1221" t="s">
        <v>38</v>
      </c>
      <c r="F1221" t="s">
        <v>47</v>
      </c>
      <c r="G1221">
        <v>5608.55</v>
      </c>
      <c r="H1221">
        <v>3494.34</v>
      </c>
      <c r="I1221" t="s">
        <v>63</v>
      </c>
      <c r="J1221" t="s">
        <v>54</v>
      </c>
      <c r="K1221" t="s">
        <v>22</v>
      </c>
      <c r="L1221" t="s">
        <v>23</v>
      </c>
      <c r="M1221">
        <v>5</v>
      </c>
      <c r="N1221" t="s">
        <v>24</v>
      </c>
      <c r="O1221" t="s">
        <v>25</v>
      </c>
      <c r="P1221" t="s">
        <v>26</v>
      </c>
    </row>
    <row r="1222" spans="1:16" x14ac:dyDescent="0.25">
      <c r="A1222" t="s">
        <v>3046</v>
      </c>
      <c r="B1222" s="6">
        <v>45569</v>
      </c>
      <c r="C1222">
        <v>2095</v>
      </c>
      <c r="D1222" t="s">
        <v>3047</v>
      </c>
      <c r="E1222" t="s">
        <v>38</v>
      </c>
      <c r="F1222" t="s">
        <v>39</v>
      </c>
      <c r="G1222">
        <v>18686.349999999999</v>
      </c>
      <c r="H1222">
        <v>8972.57</v>
      </c>
      <c r="I1222" t="s">
        <v>68</v>
      </c>
      <c r="J1222" t="s">
        <v>41</v>
      </c>
      <c r="K1222" t="s">
        <v>22</v>
      </c>
      <c r="L1222" t="s">
        <v>23</v>
      </c>
      <c r="M1222">
        <v>1</v>
      </c>
      <c r="N1222" t="s">
        <v>33</v>
      </c>
      <c r="O1222" t="s">
        <v>25</v>
      </c>
      <c r="P1222" t="s">
        <v>26</v>
      </c>
    </row>
    <row r="1223" spans="1:16" x14ac:dyDescent="0.25">
      <c r="A1223" t="s">
        <v>3048</v>
      </c>
      <c r="B1223" s="6">
        <v>45505</v>
      </c>
      <c r="C1223">
        <v>8544</v>
      </c>
      <c r="D1223" t="s">
        <v>3049</v>
      </c>
      <c r="E1223" t="s">
        <v>18</v>
      </c>
      <c r="F1223" t="s">
        <v>47</v>
      </c>
      <c r="G1223">
        <v>10934.34</v>
      </c>
      <c r="H1223">
        <v>6452.19</v>
      </c>
      <c r="I1223" t="s">
        <v>84</v>
      </c>
      <c r="J1223" t="s">
        <v>54</v>
      </c>
      <c r="K1223" t="s">
        <v>32</v>
      </c>
      <c r="L1223" t="s">
        <v>55</v>
      </c>
      <c r="M1223">
        <v>5</v>
      </c>
      <c r="N1223" t="s">
        <v>24</v>
      </c>
      <c r="O1223" t="s">
        <v>25</v>
      </c>
      <c r="P1223" t="s">
        <v>34</v>
      </c>
    </row>
    <row r="1224" spans="1:16" x14ac:dyDescent="0.25">
      <c r="A1224" t="s">
        <v>3050</v>
      </c>
      <c r="B1224" s="6">
        <v>45422</v>
      </c>
      <c r="C1224">
        <v>1592</v>
      </c>
      <c r="D1224" t="s">
        <v>3052</v>
      </c>
      <c r="E1224" t="s">
        <v>38</v>
      </c>
      <c r="F1224" t="s">
        <v>39</v>
      </c>
      <c r="G1224">
        <v>58282.96</v>
      </c>
      <c r="H1224">
        <v>30791.08</v>
      </c>
      <c r="I1224" t="s">
        <v>84</v>
      </c>
      <c r="J1224" t="s">
        <v>54</v>
      </c>
      <c r="K1224" t="s">
        <v>32</v>
      </c>
      <c r="L1224" t="s">
        <v>48</v>
      </c>
      <c r="M1224">
        <v>3</v>
      </c>
      <c r="N1224" t="s">
        <v>24</v>
      </c>
      <c r="O1224" t="s">
        <v>25</v>
      </c>
      <c r="P1224" t="s">
        <v>26</v>
      </c>
    </row>
    <row r="1225" spans="1:16" x14ac:dyDescent="0.25">
      <c r="A1225" t="s">
        <v>3053</v>
      </c>
      <c r="B1225" s="6">
        <v>45119</v>
      </c>
      <c r="C1225">
        <v>8432</v>
      </c>
      <c r="D1225" t="s">
        <v>3054</v>
      </c>
      <c r="E1225" t="s">
        <v>18</v>
      </c>
      <c r="F1225" t="s">
        <v>58</v>
      </c>
      <c r="G1225">
        <v>14709.19</v>
      </c>
      <c r="H1225">
        <v>7116.14</v>
      </c>
      <c r="I1225" t="s">
        <v>120</v>
      </c>
      <c r="J1225" t="s">
        <v>21</v>
      </c>
      <c r="K1225" t="s">
        <v>32</v>
      </c>
      <c r="L1225" t="s">
        <v>64</v>
      </c>
      <c r="M1225">
        <v>1</v>
      </c>
      <c r="N1225" t="s">
        <v>33</v>
      </c>
      <c r="O1225" t="s">
        <v>70</v>
      </c>
      <c r="P1225" t="s">
        <v>34</v>
      </c>
    </row>
    <row r="1226" spans="1:16" x14ac:dyDescent="0.25">
      <c r="A1226" t="s">
        <v>3055</v>
      </c>
      <c r="B1226" s="6">
        <v>45467</v>
      </c>
      <c r="C1226">
        <v>6252</v>
      </c>
      <c r="D1226" t="s">
        <v>3056</v>
      </c>
      <c r="E1226" t="s">
        <v>38</v>
      </c>
      <c r="F1226" t="s">
        <v>19</v>
      </c>
      <c r="G1226">
        <v>19898.759999999998</v>
      </c>
      <c r="H1226">
        <v>9358.0400000000009</v>
      </c>
      <c r="I1226" t="s">
        <v>53</v>
      </c>
      <c r="J1226" t="s">
        <v>54</v>
      </c>
      <c r="K1226" t="s">
        <v>22</v>
      </c>
      <c r="L1226" t="s">
        <v>43</v>
      </c>
      <c r="M1226">
        <v>4</v>
      </c>
      <c r="N1226" t="s">
        <v>69</v>
      </c>
      <c r="O1226" t="s">
        <v>25</v>
      </c>
      <c r="P1226" t="s">
        <v>49</v>
      </c>
    </row>
    <row r="1227" spans="1:16" x14ac:dyDescent="0.25">
      <c r="A1227" t="s">
        <v>3057</v>
      </c>
      <c r="B1227" s="6">
        <v>44889</v>
      </c>
      <c r="C1227">
        <v>6097</v>
      </c>
      <c r="D1227" t="s">
        <v>3058</v>
      </c>
      <c r="E1227" t="s">
        <v>18</v>
      </c>
      <c r="F1227" t="s">
        <v>19</v>
      </c>
      <c r="G1227">
        <v>13041.22</v>
      </c>
      <c r="H1227">
        <v>7357.58</v>
      </c>
      <c r="I1227" t="s">
        <v>31</v>
      </c>
      <c r="J1227" t="s">
        <v>21</v>
      </c>
      <c r="K1227" t="s">
        <v>80</v>
      </c>
      <c r="L1227" t="s">
        <v>88</v>
      </c>
      <c r="M1227">
        <v>2</v>
      </c>
      <c r="N1227" t="s">
        <v>33</v>
      </c>
      <c r="O1227" t="s">
        <v>25</v>
      </c>
      <c r="P1227" t="s">
        <v>26</v>
      </c>
    </row>
    <row r="1228" spans="1:16" x14ac:dyDescent="0.25">
      <c r="A1228" t="s">
        <v>3059</v>
      </c>
      <c r="B1228" s="6">
        <v>45527</v>
      </c>
      <c r="C1228">
        <v>6990</v>
      </c>
      <c r="D1228" t="s">
        <v>3060</v>
      </c>
      <c r="E1228" t="s">
        <v>18</v>
      </c>
      <c r="F1228" t="s">
        <v>47</v>
      </c>
      <c r="G1228">
        <v>6617.23</v>
      </c>
      <c r="H1228">
        <v>3289.89</v>
      </c>
      <c r="I1228" t="s">
        <v>40</v>
      </c>
      <c r="J1228" t="s">
        <v>41</v>
      </c>
      <c r="K1228" t="s">
        <v>32</v>
      </c>
      <c r="L1228" t="s">
        <v>88</v>
      </c>
      <c r="M1228">
        <v>2</v>
      </c>
      <c r="N1228" t="s">
        <v>69</v>
      </c>
      <c r="O1228" t="s">
        <v>25</v>
      </c>
      <c r="P1228" t="s">
        <v>49</v>
      </c>
    </row>
    <row r="1229" spans="1:16" x14ac:dyDescent="0.25">
      <c r="A1229" t="s">
        <v>3061</v>
      </c>
      <c r="B1229" s="6">
        <v>44904</v>
      </c>
      <c r="C1229">
        <v>9183</v>
      </c>
      <c r="D1229" t="s">
        <v>3062</v>
      </c>
      <c r="E1229" t="s">
        <v>38</v>
      </c>
      <c r="F1229" t="s">
        <v>19</v>
      </c>
      <c r="G1229">
        <v>4687.0200000000004</v>
      </c>
      <c r="H1229">
        <v>3027.94</v>
      </c>
      <c r="I1229" t="s">
        <v>63</v>
      </c>
      <c r="J1229" t="s">
        <v>54</v>
      </c>
      <c r="K1229" t="s">
        <v>42</v>
      </c>
      <c r="L1229" t="s">
        <v>88</v>
      </c>
      <c r="M1229">
        <v>4</v>
      </c>
      <c r="N1229" t="s">
        <v>24</v>
      </c>
      <c r="O1229" t="s">
        <v>25</v>
      </c>
      <c r="P1229" t="s">
        <v>49</v>
      </c>
    </row>
    <row r="1230" spans="1:16" x14ac:dyDescent="0.25">
      <c r="A1230" t="s">
        <v>3063</v>
      </c>
      <c r="B1230" s="6">
        <v>45497</v>
      </c>
      <c r="C1230">
        <v>5395</v>
      </c>
      <c r="D1230" t="s">
        <v>3065</v>
      </c>
      <c r="E1230" t="s">
        <v>38</v>
      </c>
      <c r="F1230" t="s">
        <v>30</v>
      </c>
      <c r="G1230">
        <v>101412.79</v>
      </c>
      <c r="H1230">
        <v>52947.47</v>
      </c>
      <c r="I1230" t="s">
        <v>120</v>
      </c>
      <c r="J1230" t="s">
        <v>21</v>
      </c>
      <c r="K1230" t="s">
        <v>32</v>
      </c>
      <c r="L1230" t="s">
        <v>64</v>
      </c>
      <c r="M1230">
        <v>3</v>
      </c>
      <c r="N1230" t="s">
        <v>24</v>
      </c>
      <c r="O1230" t="s">
        <v>70</v>
      </c>
      <c r="P1230" t="s">
        <v>34</v>
      </c>
    </row>
    <row r="1231" spans="1:16" x14ac:dyDescent="0.25">
      <c r="A1231" t="s">
        <v>3066</v>
      </c>
      <c r="B1231" s="6">
        <v>44959</v>
      </c>
      <c r="C1231">
        <v>4418</v>
      </c>
      <c r="D1231" t="s">
        <v>3067</v>
      </c>
      <c r="E1231" t="s">
        <v>38</v>
      </c>
      <c r="F1231" t="s">
        <v>30</v>
      </c>
      <c r="G1231">
        <v>29300.91</v>
      </c>
      <c r="H1231">
        <v>14223.15</v>
      </c>
      <c r="I1231" t="s">
        <v>84</v>
      </c>
      <c r="J1231" t="s">
        <v>54</v>
      </c>
      <c r="K1231" t="s">
        <v>42</v>
      </c>
      <c r="L1231" t="s">
        <v>88</v>
      </c>
      <c r="M1231">
        <v>1</v>
      </c>
      <c r="N1231" t="s">
        <v>24</v>
      </c>
      <c r="O1231" t="s">
        <v>70</v>
      </c>
      <c r="P1231" t="s">
        <v>49</v>
      </c>
    </row>
    <row r="1232" spans="1:16" x14ac:dyDescent="0.25">
      <c r="A1232" t="s">
        <v>3068</v>
      </c>
      <c r="B1232" s="6">
        <v>44606</v>
      </c>
      <c r="C1232">
        <v>4037</v>
      </c>
      <c r="D1232" t="s">
        <v>3070</v>
      </c>
      <c r="E1232" t="s">
        <v>38</v>
      </c>
      <c r="F1232" t="s">
        <v>47</v>
      </c>
      <c r="G1232">
        <v>11939.17</v>
      </c>
      <c r="H1232">
        <v>6144.13</v>
      </c>
      <c r="I1232" t="s">
        <v>84</v>
      </c>
      <c r="J1232" t="s">
        <v>54</v>
      </c>
      <c r="K1232" t="s">
        <v>42</v>
      </c>
      <c r="L1232" t="s">
        <v>43</v>
      </c>
      <c r="M1232">
        <v>4</v>
      </c>
      <c r="N1232" t="s">
        <v>33</v>
      </c>
      <c r="O1232" t="s">
        <v>70</v>
      </c>
      <c r="P1232" t="s">
        <v>26</v>
      </c>
    </row>
    <row r="1233" spans="1:16" x14ac:dyDescent="0.25">
      <c r="A1233" t="s">
        <v>3071</v>
      </c>
      <c r="B1233" s="6">
        <v>45433</v>
      </c>
      <c r="C1233">
        <v>4925</v>
      </c>
      <c r="D1233" t="s">
        <v>3073</v>
      </c>
      <c r="E1233" t="s">
        <v>38</v>
      </c>
      <c r="F1233" t="s">
        <v>58</v>
      </c>
      <c r="G1233">
        <v>55119.040000000001</v>
      </c>
      <c r="H1233">
        <v>31291.09</v>
      </c>
      <c r="I1233" t="s">
        <v>63</v>
      </c>
      <c r="J1233" t="s">
        <v>54</v>
      </c>
      <c r="K1233" t="s">
        <v>22</v>
      </c>
      <c r="L1233" t="s">
        <v>88</v>
      </c>
      <c r="M1233">
        <v>2</v>
      </c>
      <c r="N1233" t="s">
        <v>33</v>
      </c>
      <c r="O1233" t="s">
        <v>70</v>
      </c>
      <c r="P1233" t="s">
        <v>34</v>
      </c>
    </row>
    <row r="1234" spans="1:16" x14ac:dyDescent="0.25">
      <c r="A1234" t="s">
        <v>3074</v>
      </c>
      <c r="B1234" s="6">
        <v>45225</v>
      </c>
      <c r="C1234">
        <v>5060</v>
      </c>
      <c r="D1234" t="s">
        <v>3075</v>
      </c>
      <c r="E1234" t="s">
        <v>18</v>
      </c>
      <c r="F1234" t="s">
        <v>47</v>
      </c>
      <c r="G1234">
        <v>19681.54</v>
      </c>
      <c r="H1234">
        <v>12071</v>
      </c>
      <c r="I1234" t="s">
        <v>84</v>
      </c>
      <c r="J1234" t="s">
        <v>54</v>
      </c>
      <c r="K1234" t="s">
        <v>42</v>
      </c>
      <c r="L1234" t="s">
        <v>88</v>
      </c>
      <c r="M1234">
        <v>3</v>
      </c>
      <c r="N1234" t="s">
        <v>33</v>
      </c>
      <c r="O1234" t="s">
        <v>70</v>
      </c>
      <c r="P1234" t="s">
        <v>34</v>
      </c>
    </row>
    <row r="1235" spans="1:16" x14ac:dyDescent="0.25">
      <c r="A1235" t="s">
        <v>3076</v>
      </c>
      <c r="B1235" s="6">
        <v>44980</v>
      </c>
      <c r="C1235">
        <v>1296</v>
      </c>
      <c r="D1235" t="s">
        <v>3077</v>
      </c>
      <c r="E1235" t="s">
        <v>18</v>
      </c>
      <c r="F1235" t="s">
        <v>19</v>
      </c>
      <c r="G1235">
        <v>12932.08</v>
      </c>
      <c r="H1235">
        <v>7594.39</v>
      </c>
      <c r="I1235" t="s">
        <v>20</v>
      </c>
      <c r="J1235" t="s">
        <v>21</v>
      </c>
      <c r="K1235" t="s">
        <v>22</v>
      </c>
      <c r="L1235" t="s">
        <v>64</v>
      </c>
      <c r="M1235">
        <v>5</v>
      </c>
      <c r="N1235" t="s">
        <v>69</v>
      </c>
      <c r="O1235" t="s">
        <v>70</v>
      </c>
      <c r="P1235" t="s">
        <v>26</v>
      </c>
    </row>
    <row r="1236" spans="1:16" x14ac:dyDescent="0.25">
      <c r="A1236" t="s">
        <v>3078</v>
      </c>
      <c r="B1236" s="6">
        <v>44974</v>
      </c>
      <c r="C1236">
        <v>5601</v>
      </c>
      <c r="D1236" t="s">
        <v>3079</v>
      </c>
      <c r="E1236" t="s">
        <v>38</v>
      </c>
      <c r="F1236" t="s">
        <v>39</v>
      </c>
      <c r="G1236">
        <v>10489.56</v>
      </c>
      <c r="H1236">
        <v>5481.32</v>
      </c>
      <c r="I1236" t="s">
        <v>68</v>
      </c>
      <c r="J1236" t="s">
        <v>41</v>
      </c>
      <c r="K1236" t="s">
        <v>42</v>
      </c>
      <c r="L1236" t="s">
        <v>48</v>
      </c>
      <c r="M1236">
        <v>2</v>
      </c>
      <c r="N1236" t="s">
        <v>33</v>
      </c>
      <c r="O1236" t="s">
        <v>70</v>
      </c>
      <c r="P1236" t="s">
        <v>34</v>
      </c>
    </row>
    <row r="1237" spans="1:16" x14ac:dyDescent="0.25">
      <c r="A1237" t="s">
        <v>3080</v>
      </c>
      <c r="B1237" s="6">
        <v>44951</v>
      </c>
      <c r="C1237">
        <v>9146</v>
      </c>
      <c r="D1237" t="s">
        <v>3081</v>
      </c>
      <c r="E1237" t="s">
        <v>18</v>
      </c>
      <c r="F1237" t="s">
        <v>19</v>
      </c>
      <c r="G1237">
        <v>17692.740000000002</v>
      </c>
      <c r="H1237">
        <v>8540.64</v>
      </c>
      <c r="I1237" t="s">
        <v>84</v>
      </c>
      <c r="J1237" t="s">
        <v>54</v>
      </c>
      <c r="K1237" t="s">
        <v>22</v>
      </c>
      <c r="L1237" t="s">
        <v>48</v>
      </c>
      <c r="M1237">
        <v>5</v>
      </c>
      <c r="N1237" t="s">
        <v>33</v>
      </c>
      <c r="O1237" t="s">
        <v>25</v>
      </c>
      <c r="P1237" t="s">
        <v>49</v>
      </c>
    </row>
    <row r="1238" spans="1:16" x14ac:dyDescent="0.25">
      <c r="A1238" t="s">
        <v>3082</v>
      </c>
      <c r="B1238" s="6">
        <v>44994</v>
      </c>
      <c r="C1238">
        <v>8044</v>
      </c>
      <c r="D1238" t="s">
        <v>3084</v>
      </c>
      <c r="E1238" t="s">
        <v>38</v>
      </c>
      <c r="F1238" t="s">
        <v>47</v>
      </c>
      <c r="G1238">
        <v>9508.7199999999993</v>
      </c>
      <c r="H1238">
        <v>5052.43</v>
      </c>
      <c r="I1238" t="s">
        <v>68</v>
      </c>
      <c r="J1238" t="s">
        <v>41</v>
      </c>
      <c r="K1238" t="s">
        <v>32</v>
      </c>
      <c r="L1238" t="s">
        <v>64</v>
      </c>
      <c r="M1238">
        <v>1</v>
      </c>
      <c r="N1238" t="s">
        <v>33</v>
      </c>
      <c r="O1238" t="s">
        <v>70</v>
      </c>
      <c r="P1238" t="s">
        <v>49</v>
      </c>
    </row>
    <row r="1239" spans="1:16" x14ac:dyDescent="0.25">
      <c r="A1239" t="s">
        <v>3085</v>
      </c>
      <c r="B1239" s="6">
        <v>45516</v>
      </c>
      <c r="C1239">
        <v>2030</v>
      </c>
      <c r="D1239" t="s">
        <v>3086</v>
      </c>
      <c r="E1239" t="s">
        <v>18</v>
      </c>
      <c r="F1239" t="s">
        <v>19</v>
      </c>
      <c r="G1239">
        <v>15890.43</v>
      </c>
      <c r="H1239">
        <v>8318.6</v>
      </c>
      <c r="I1239" t="s">
        <v>40</v>
      </c>
      <c r="J1239" t="s">
        <v>41</v>
      </c>
      <c r="K1239" t="s">
        <v>22</v>
      </c>
      <c r="L1239" t="s">
        <v>55</v>
      </c>
      <c r="M1239">
        <v>1</v>
      </c>
      <c r="N1239" t="s">
        <v>69</v>
      </c>
      <c r="O1239" t="s">
        <v>25</v>
      </c>
      <c r="P1239" t="s">
        <v>49</v>
      </c>
    </row>
    <row r="1240" spans="1:16" x14ac:dyDescent="0.25">
      <c r="A1240" t="s">
        <v>3087</v>
      </c>
      <c r="B1240" s="6">
        <v>44434</v>
      </c>
      <c r="C1240">
        <v>4192</v>
      </c>
      <c r="D1240" t="s">
        <v>3089</v>
      </c>
      <c r="E1240" t="s">
        <v>18</v>
      </c>
      <c r="F1240" t="s">
        <v>58</v>
      </c>
      <c r="G1240">
        <v>24215.45</v>
      </c>
      <c r="H1240">
        <v>13823.22</v>
      </c>
      <c r="I1240" t="s">
        <v>63</v>
      </c>
      <c r="J1240" t="s">
        <v>54</v>
      </c>
      <c r="K1240" t="s">
        <v>32</v>
      </c>
      <c r="L1240" t="s">
        <v>43</v>
      </c>
      <c r="M1240">
        <v>1</v>
      </c>
      <c r="N1240" t="s">
        <v>24</v>
      </c>
      <c r="O1240" t="s">
        <v>25</v>
      </c>
      <c r="P1240" t="s">
        <v>34</v>
      </c>
    </row>
    <row r="1241" spans="1:16" x14ac:dyDescent="0.25">
      <c r="A1241" t="s">
        <v>3090</v>
      </c>
      <c r="B1241" s="6">
        <v>45011</v>
      </c>
      <c r="C1241">
        <v>4251</v>
      </c>
      <c r="D1241" t="s">
        <v>3091</v>
      </c>
      <c r="E1241" t="s">
        <v>18</v>
      </c>
      <c r="F1241" t="s">
        <v>19</v>
      </c>
      <c r="G1241">
        <v>7328.58</v>
      </c>
      <c r="H1241">
        <v>4210.17</v>
      </c>
      <c r="I1241" t="s">
        <v>31</v>
      </c>
      <c r="J1241" t="s">
        <v>21</v>
      </c>
      <c r="K1241" t="s">
        <v>42</v>
      </c>
      <c r="L1241" t="s">
        <v>48</v>
      </c>
      <c r="M1241">
        <v>2</v>
      </c>
      <c r="N1241" t="s">
        <v>24</v>
      </c>
      <c r="O1241" t="s">
        <v>25</v>
      </c>
      <c r="P1241" t="s">
        <v>49</v>
      </c>
    </row>
    <row r="1242" spans="1:16" x14ac:dyDescent="0.25">
      <c r="A1242" t="s">
        <v>3092</v>
      </c>
      <c r="B1242" s="6">
        <v>45540</v>
      </c>
      <c r="C1242">
        <v>6635</v>
      </c>
      <c r="D1242" t="s">
        <v>3094</v>
      </c>
      <c r="E1242" t="s">
        <v>18</v>
      </c>
      <c r="F1242" t="s">
        <v>58</v>
      </c>
      <c r="G1242">
        <v>51912.08</v>
      </c>
      <c r="H1242">
        <v>33393.589999999997</v>
      </c>
      <c r="I1242" t="s">
        <v>84</v>
      </c>
      <c r="J1242" t="s">
        <v>54</v>
      </c>
      <c r="K1242" t="s">
        <v>42</v>
      </c>
      <c r="L1242" t="s">
        <v>48</v>
      </c>
      <c r="M1242">
        <v>2</v>
      </c>
      <c r="N1242" t="s">
        <v>69</v>
      </c>
      <c r="O1242" t="s">
        <v>25</v>
      </c>
      <c r="P1242" t="s">
        <v>26</v>
      </c>
    </row>
    <row r="1243" spans="1:16" x14ac:dyDescent="0.25">
      <c r="A1243" t="s">
        <v>3095</v>
      </c>
      <c r="B1243" s="6">
        <v>45194</v>
      </c>
      <c r="C1243">
        <v>3855</v>
      </c>
      <c r="D1243" t="s">
        <v>1447</v>
      </c>
      <c r="E1243" t="s">
        <v>18</v>
      </c>
      <c r="F1243" t="s">
        <v>39</v>
      </c>
      <c r="G1243">
        <v>18954.150000000001</v>
      </c>
      <c r="H1243">
        <v>11762.43</v>
      </c>
      <c r="I1243" t="s">
        <v>120</v>
      </c>
      <c r="J1243" t="s">
        <v>21</v>
      </c>
      <c r="K1243" t="s">
        <v>32</v>
      </c>
      <c r="L1243" t="s">
        <v>88</v>
      </c>
      <c r="M1243">
        <v>2</v>
      </c>
      <c r="N1243" t="s">
        <v>33</v>
      </c>
      <c r="O1243" t="s">
        <v>25</v>
      </c>
      <c r="P1243" t="s">
        <v>26</v>
      </c>
    </row>
    <row r="1244" spans="1:16" x14ac:dyDescent="0.25">
      <c r="A1244" t="s">
        <v>3097</v>
      </c>
      <c r="B1244" s="6">
        <v>43856</v>
      </c>
      <c r="C1244">
        <v>8522</v>
      </c>
      <c r="D1244" t="s">
        <v>3098</v>
      </c>
      <c r="E1244" t="s">
        <v>18</v>
      </c>
      <c r="F1244" t="s">
        <v>30</v>
      </c>
      <c r="G1244">
        <v>37001.919999999998</v>
      </c>
      <c r="H1244">
        <v>19530.28</v>
      </c>
      <c r="I1244" t="s">
        <v>20</v>
      </c>
      <c r="J1244" t="s">
        <v>21</v>
      </c>
      <c r="K1244" t="s">
        <v>80</v>
      </c>
      <c r="L1244" t="s">
        <v>55</v>
      </c>
      <c r="M1244">
        <v>5</v>
      </c>
      <c r="N1244" t="s">
        <v>69</v>
      </c>
      <c r="O1244" t="s">
        <v>70</v>
      </c>
      <c r="P1244" t="s">
        <v>26</v>
      </c>
    </row>
    <row r="1245" spans="1:16" x14ac:dyDescent="0.25">
      <c r="A1245" t="s">
        <v>3099</v>
      </c>
      <c r="B1245" s="6">
        <v>44399</v>
      </c>
      <c r="C1245">
        <v>6803</v>
      </c>
      <c r="D1245" t="s">
        <v>3100</v>
      </c>
      <c r="E1245" t="s">
        <v>18</v>
      </c>
      <c r="F1245" t="s">
        <v>58</v>
      </c>
      <c r="G1245">
        <v>41859.870000000003</v>
      </c>
      <c r="H1245">
        <v>23510.81</v>
      </c>
      <c r="I1245" t="s">
        <v>63</v>
      </c>
      <c r="J1245" t="s">
        <v>54</v>
      </c>
      <c r="K1245" t="s">
        <v>32</v>
      </c>
      <c r="L1245" t="s">
        <v>48</v>
      </c>
      <c r="M1245">
        <v>1</v>
      </c>
      <c r="N1245" t="s">
        <v>69</v>
      </c>
      <c r="O1245" t="s">
        <v>25</v>
      </c>
      <c r="P1245" t="s">
        <v>49</v>
      </c>
    </row>
    <row r="1246" spans="1:16" x14ac:dyDescent="0.25">
      <c r="A1246" t="s">
        <v>3101</v>
      </c>
      <c r="B1246" s="6">
        <v>45059</v>
      </c>
      <c r="C1246">
        <v>8839</v>
      </c>
      <c r="D1246" t="s">
        <v>3103</v>
      </c>
      <c r="E1246" t="s">
        <v>18</v>
      </c>
      <c r="F1246" t="s">
        <v>19</v>
      </c>
      <c r="G1246">
        <v>11319.48</v>
      </c>
      <c r="H1246">
        <v>6800.18</v>
      </c>
      <c r="I1246" t="s">
        <v>84</v>
      </c>
      <c r="J1246" t="s">
        <v>54</v>
      </c>
      <c r="K1246" t="s">
        <v>32</v>
      </c>
      <c r="L1246" t="s">
        <v>23</v>
      </c>
      <c r="M1246">
        <v>2</v>
      </c>
      <c r="N1246" t="s">
        <v>69</v>
      </c>
      <c r="O1246" t="s">
        <v>70</v>
      </c>
      <c r="P1246" t="s">
        <v>49</v>
      </c>
    </row>
    <row r="1247" spans="1:16" x14ac:dyDescent="0.25">
      <c r="A1247" t="s">
        <v>3104</v>
      </c>
      <c r="B1247" s="6">
        <v>45552</v>
      </c>
      <c r="C1247">
        <v>2738</v>
      </c>
      <c r="D1247" t="s">
        <v>3105</v>
      </c>
      <c r="E1247" t="s">
        <v>38</v>
      </c>
      <c r="F1247" t="s">
        <v>47</v>
      </c>
      <c r="G1247">
        <v>5317.46</v>
      </c>
      <c r="H1247">
        <v>2556.6</v>
      </c>
      <c r="I1247" t="s">
        <v>68</v>
      </c>
      <c r="J1247" t="s">
        <v>41</v>
      </c>
      <c r="K1247" t="s">
        <v>32</v>
      </c>
      <c r="L1247" t="s">
        <v>48</v>
      </c>
      <c r="M1247">
        <v>2</v>
      </c>
      <c r="N1247" t="s">
        <v>33</v>
      </c>
      <c r="O1247" t="s">
        <v>70</v>
      </c>
      <c r="P1247" t="s">
        <v>34</v>
      </c>
    </row>
    <row r="1248" spans="1:16" x14ac:dyDescent="0.25">
      <c r="A1248" t="s">
        <v>3106</v>
      </c>
      <c r="B1248" s="6">
        <v>45099</v>
      </c>
      <c r="C1248">
        <v>7088</v>
      </c>
      <c r="D1248" t="s">
        <v>3108</v>
      </c>
      <c r="E1248" t="s">
        <v>18</v>
      </c>
      <c r="F1248" t="s">
        <v>47</v>
      </c>
      <c r="G1248">
        <v>18978.759999999998</v>
      </c>
      <c r="H1248">
        <v>9459.94</v>
      </c>
      <c r="I1248" t="s">
        <v>63</v>
      </c>
      <c r="J1248" t="s">
        <v>54</v>
      </c>
      <c r="K1248" t="s">
        <v>80</v>
      </c>
      <c r="L1248" t="s">
        <v>23</v>
      </c>
      <c r="M1248">
        <v>1</v>
      </c>
      <c r="N1248" t="s">
        <v>69</v>
      </c>
      <c r="O1248" t="s">
        <v>25</v>
      </c>
      <c r="P1248" t="s">
        <v>26</v>
      </c>
    </row>
    <row r="1249" spans="1:16" x14ac:dyDescent="0.25">
      <c r="A1249" t="s">
        <v>3109</v>
      </c>
      <c r="B1249" s="6">
        <v>44682</v>
      </c>
      <c r="C1249">
        <v>8955</v>
      </c>
      <c r="D1249" t="s">
        <v>3110</v>
      </c>
      <c r="E1249" t="s">
        <v>38</v>
      </c>
      <c r="F1249" t="s">
        <v>19</v>
      </c>
      <c r="G1249">
        <v>8186.6</v>
      </c>
      <c r="H1249">
        <v>4599.05</v>
      </c>
      <c r="I1249" t="s">
        <v>84</v>
      </c>
      <c r="J1249" t="s">
        <v>54</v>
      </c>
      <c r="K1249" t="s">
        <v>42</v>
      </c>
      <c r="L1249" t="s">
        <v>55</v>
      </c>
      <c r="M1249">
        <v>5</v>
      </c>
      <c r="N1249" t="s">
        <v>33</v>
      </c>
      <c r="O1249" t="s">
        <v>25</v>
      </c>
      <c r="P1249" t="s">
        <v>49</v>
      </c>
    </row>
    <row r="1250" spans="1:16" x14ac:dyDescent="0.25">
      <c r="A1250" t="s">
        <v>3111</v>
      </c>
      <c r="B1250" s="6">
        <v>45187</v>
      </c>
      <c r="C1250">
        <v>7542</v>
      </c>
      <c r="D1250" t="s">
        <v>3113</v>
      </c>
      <c r="E1250" t="s">
        <v>18</v>
      </c>
      <c r="F1250" t="s">
        <v>58</v>
      </c>
      <c r="G1250">
        <v>40190.69</v>
      </c>
      <c r="H1250">
        <v>23874.03</v>
      </c>
      <c r="I1250" t="s">
        <v>53</v>
      </c>
      <c r="J1250" t="s">
        <v>54</v>
      </c>
      <c r="K1250" t="s">
        <v>42</v>
      </c>
      <c r="L1250" t="s">
        <v>64</v>
      </c>
      <c r="M1250">
        <v>1</v>
      </c>
      <c r="N1250" t="s">
        <v>33</v>
      </c>
      <c r="O1250" t="s">
        <v>25</v>
      </c>
      <c r="P1250" t="s">
        <v>34</v>
      </c>
    </row>
    <row r="1251" spans="1:16" x14ac:dyDescent="0.25">
      <c r="A1251" t="s">
        <v>3114</v>
      </c>
      <c r="B1251" s="6">
        <v>43920</v>
      </c>
      <c r="C1251">
        <v>2102</v>
      </c>
      <c r="D1251" t="s">
        <v>2240</v>
      </c>
      <c r="E1251" t="s">
        <v>38</v>
      </c>
      <c r="F1251" t="s">
        <v>39</v>
      </c>
      <c r="G1251">
        <v>8868.4</v>
      </c>
      <c r="H1251">
        <v>5724.29</v>
      </c>
      <c r="I1251" t="s">
        <v>53</v>
      </c>
      <c r="J1251" t="s">
        <v>54</v>
      </c>
      <c r="K1251" t="s">
        <v>42</v>
      </c>
      <c r="L1251" t="s">
        <v>55</v>
      </c>
      <c r="M1251">
        <v>1</v>
      </c>
      <c r="N1251" t="s">
        <v>24</v>
      </c>
      <c r="O1251" t="s">
        <v>70</v>
      </c>
      <c r="P1251" t="s">
        <v>34</v>
      </c>
    </row>
    <row r="1252" spans="1:16" x14ac:dyDescent="0.25">
      <c r="A1252" t="s">
        <v>3115</v>
      </c>
      <c r="B1252" s="6">
        <v>45338</v>
      </c>
      <c r="C1252">
        <v>7159</v>
      </c>
      <c r="D1252" t="s">
        <v>3116</v>
      </c>
      <c r="E1252" t="s">
        <v>18</v>
      </c>
      <c r="F1252" t="s">
        <v>58</v>
      </c>
      <c r="G1252">
        <v>44796.87</v>
      </c>
      <c r="H1252">
        <v>24198.01</v>
      </c>
      <c r="I1252" t="s">
        <v>53</v>
      </c>
      <c r="J1252" t="s">
        <v>54</v>
      </c>
      <c r="K1252" t="s">
        <v>80</v>
      </c>
      <c r="L1252" t="s">
        <v>88</v>
      </c>
      <c r="M1252">
        <v>2</v>
      </c>
      <c r="N1252" t="s">
        <v>33</v>
      </c>
      <c r="O1252" t="s">
        <v>70</v>
      </c>
      <c r="P1252" t="s">
        <v>26</v>
      </c>
    </row>
    <row r="1253" spans="1:16" x14ac:dyDescent="0.25">
      <c r="A1253" t="s">
        <v>3117</v>
      </c>
      <c r="B1253" s="6">
        <v>44204</v>
      </c>
      <c r="C1253">
        <v>9128</v>
      </c>
      <c r="D1253" t="s">
        <v>3118</v>
      </c>
      <c r="E1253" t="s">
        <v>18</v>
      </c>
      <c r="F1253" t="s">
        <v>30</v>
      </c>
      <c r="G1253">
        <v>22363.23</v>
      </c>
      <c r="H1253">
        <v>13022.7</v>
      </c>
      <c r="I1253" t="s">
        <v>63</v>
      </c>
      <c r="J1253" t="s">
        <v>54</v>
      </c>
      <c r="K1253" t="s">
        <v>32</v>
      </c>
      <c r="L1253" t="s">
        <v>88</v>
      </c>
      <c r="M1253">
        <v>1</v>
      </c>
      <c r="N1253" t="s">
        <v>69</v>
      </c>
      <c r="O1253" t="s">
        <v>25</v>
      </c>
      <c r="P1253" t="s">
        <v>49</v>
      </c>
    </row>
    <row r="1254" spans="1:16" x14ac:dyDescent="0.25">
      <c r="A1254" t="s">
        <v>3119</v>
      </c>
      <c r="B1254" s="6">
        <v>45258</v>
      </c>
      <c r="C1254">
        <v>7651</v>
      </c>
      <c r="D1254" t="s">
        <v>3121</v>
      </c>
      <c r="E1254" t="s">
        <v>18</v>
      </c>
      <c r="F1254" t="s">
        <v>39</v>
      </c>
      <c r="G1254">
        <v>35453.61</v>
      </c>
      <c r="H1254">
        <v>19664.13</v>
      </c>
      <c r="I1254" t="s">
        <v>84</v>
      </c>
      <c r="J1254" t="s">
        <v>54</v>
      </c>
      <c r="K1254" t="s">
        <v>32</v>
      </c>
      <c r="L1254" t="s">
        <v>55</v>
      </c>
      <c r="M1254">
        <v>2</v>
      </c>
      <c r="N1254" t="s">
        <v>33</v>
      </c>
      <c r="O1254" t="s">
        <v>70</v>
      </c>
      <c r="P1254" t="s">
        <v>26</v>
      </c>
    </row>
    <row r="1255" spans="1:16" x14ac:dyDescent="0.25">
      <c r="A1255" t="s">
        <v>3122</v>
      </c>
      <c r="B1255" s="6">
        <v>44421</v>
      </c>
      <c r="C1255">
        <v>7379</v>
      </c>
      <c r="D1255" t="s">
        <v>3124</v>
      </c>
      <c r="E1255" t="s">
        <v>18</v>
      </c>
      <c r="F1255" t="s">
        <v>47</v>
      </c>
      <c r="G1255">
        <v>8419.8700000000008</v>
      </c>
      <c r="H1255">
        <v>4360.01</v>
      </c>
      <c r="I1255" t="s">
        <v>84</v>
      </c>
      <c r="J1255" t="s">
        <v>54</v>
      </c>
      <c r="K1255" t="s">
        <v>80</v>
      </c>
      <c r="L1255" t="s">
        <v>48</v>
      </c>
      <c r="M1255">
        <v>5</v>
      </c>
      <c r="N1255" t="s">
        <v>33</v>
      </c>
      <c r="O1255" t="s">
        <v>25</v>
      </c>
      <c r="P1255" t="s">
        <v>49</v>
      </c>
    </row>
    <row r="1256" spans="1:16" x14ac:dyDescent="0.25">
      <c r="A1256" t="s">
        <v>3125</v>
      </c>
      <c r="B1256" s="6">
        <v>45649</v>
      </c>
      <c r="C1256">
        <v>4326</v>
      </c>
      <c r="D1256" t="s">
        <v>3126</v>
      </c>
      <c r="E1256" t="s">
        <v>18</v>
      </c>
      <c r="F1256" t="s">
        <v>19</v>
      </c>
      <c r="G1256">
        <v>11473.09</v>
      </c>
      <c r="H1256">
        <v>6608.42</v>
      </c>
      <c r="I1256" t="s">
        <v>40</v>
      </c>
      <c r="J1256" t="s">
        <v>41</v>
      </c>
      <c r="K1256" t="s">
        <v>80</v>
      </c>
      <c r="L1256" t="s">
        <v>88</v>
      </c>
      <c r="M1256">
        <v>3</v>
      </c>
      <c r="N1256" t="s">
        <v>33</v>
      </c>
      <c r="O1256" t="s">
        <v>70</v>
      </c>
      <c r="P1256" t="s">
        <v>49</v>
      </c>
    </row>
    <row r="1257" spans="1:16" x14ac:dyDescent="0.25">
      <c r="A1257" t="s">
        <v>3127</v>
      </c>
      <c r="B1257" s="6">
        <v>44260</v>
      </c>
      <c r="C1257">
        <v>1748</v>
      </c>
      <c r="D1257" t="s">
        <v>3128</v>
      </c>
      <c r="E1257" t="s">
        <v>18</v>
      </c>
      <c r="F1257" t="s">
        <v>19</v>
      </c>
      <c r="G1257">
        <v>4466.96</v>
      </c>
      <c r="H1257">
        <v>2072</v>
      </c>
      <c r="I1257" t="s">
        <v>31</v>
      </c>
      <c r="J1257" t="s">
        <v>21</v>
      </c>
      <c r="K1257" t="s">
        <v>22</v>
      </c>
      <c r="L1257" t="s">
        <v>88</v>
      </c>
      <c r="M1257">
        <v>4</v>
      </c>
      <c r="N1257" t="s">
        <v>69</v>
      </c>
      <c r="O1257" t="s">
        <v>25</v>
      </c>
      <c r="P1257" t="s">
        <v>34</v>
      </c>
    </row>
    <row r="1258" spans="1:16" x14ac:dyDescent="0.25">
      <c r="A1258" t="s">
        <v>3129</v>
      </c>
      <c r="B1258" s="6">
        <v>44565</v>
      </c>
      <c r="C1258">
        <v>1019</v>
      </c>
      <c r="D1258" t="s">
        <v>3130</v>
      </c>
      <c r="E1258" t="s">
        <v>18</v>
      </c>
      <c r="F1258" t="s">
        <v>19</v>
      </c>
      <c r="G1258">
        <v>9602.5400000000009</v>
      </c>
      <c r="H1258">
        <v>5399.05</v>
      </c>
      <c r="I1258" t="s">
        <v>120</v>
      </c>
      <c r="J1258" t="s">
        <v>21</v>
      </c>
      <c r="K1258" t="s">
        <v>80</v>
      </c>
      <c r="L1258" t="s">
        <v>88</v>
      </c>
      <c r="M1258">
        <v>3</v>
      </c>
      <c r="N1258" t="s">
        <v>24</v>
      </c>
      <c r="O1258" t="s">
        <v>70</v>
      </c>
      <c r="P1258" t="s">
        <v>34</v>
      </c>
    </row>
    <row r="1259" spans="1:16" x14ac:dyDescent="0.25">
      <c r="A1259" t="s">
        <v>3131</v>
      </c>
      <c r="B1259" s="6">
        <v>45085</v>
      </c>
      <c r="C1259">
        <v>7877</v>
      </c>
      <c r="D1259" t="s">
        <v>3132</v>
      </c>
      <c r="E1259" t="s">
        <v>18</v>
      </c>
      <c r="F1259" t="s">
        <v>30</v>
      </c>
      <c r="G1259">
        <v>55411.08</v>
      </c>
      <c r="H1259">
        <v>28786.71</v>
      </c>
      <c r="I1259" t="s">
        <v>84</v>
      </c>
      <c r="J1259" t="s">
        <v>54</v>
      </c>
      <c r="K1259" t="s">
        <v>22</v>
      </c>
      <c r="L1259" t="s">
        <v>88</v>
      </c>
      <c r="M1259">
        <v>3</v>
      </c>
      <c r="N1259" t="s">
        <v>33</v>
      </c>
      <c r="O1259" t="s">
        <v>25</v>
      </c>
      <c r="P1259" t="s">
        <v>34</v>
      </c>
    </row>
    <row r="1260" spans="1:16" x14ac:dyDescent="0.25">
      <c r="A1260" t="s">
        <v>3133</v>
      </c>
      <c r="B1260" s="6">
        <v>44028</v>
      </c>
      <c r="C1260">
        <v>7989</v>
      </c>
      <c r="D1260" t="s">
        <v>3135</v>
      </c>
      <c r="E1260" t="s">
        <v>18</v>
      </c>
      <c r="F1260" t="s">
        <v>30</v>
      </c>
      <c r="G1260">
        <v>74061.61</v>
      </c>
      <c r="H1260">
        <v>39865.58</v>
      </c>
      <c r="I1260" t="s">
        <v>63</v>
      </c>
      <c r="J1260" t="s">
        <v>54</v>
      </c>
      <c r="K1260" t="s">
        <v>22</v>
      </c>
      <c r="L1260" t="s">
        <v>48</v>
      </c>
      <c r="M1260">
        <v>5</v>
      </c>
      <c r="N1260" t="s">
        <v>24</v>
      </c>
      <c r="O1260" t="s">
        <v>25</v>
      </c>
      <c r="P1260" t="s">
        <v>49</v>
      </c>
    </row>
    <row r="1261" spans="1:16" x14ac:dyDescent="0.25">
      <c r="A1261" t="s">
        <v>3136</v>
      </c>
      <c r="B1261" s="6">
        <v>45230</v>
      </c>
      <c r="C1261">
        <v>1130</v>
      </c>
      <c r="D1261" t="s">
        <v>3137</v>
      </c>
      <c r="E1261" t="s">
        <v>18</v>
      </c>
      <c r="F1261" t="s">
        <v>58</v>
      </c>
      <c r="G1261">
        <v>29830.43</v>
      </c>
      <c r="H1261">
        <v>14080.69</v>
      </c>
      <c r="I1261" t="s">
        <v>53</v>
      </c>
      <c r="J1261" t="s">
        <v>54</v>
      </c>
      <c r="K1261" t="s">
        <v>32</v>
      </c>
      <c r="L1261" t="s">
        <v>64</v>
      </c>
      <c r="M1261">
        <v>4</v>
      </c>
      <c r="N1261" t="s">
        <v>24</v>
      </c>
      <c r="O1261" t="s">
        <v>25</v>
      </c>
      <c r="P1261" t="s">
        <v>26</v>
      </c>
    </row>
    <row r="1262" spans="1:16" x14ac:dyDescent="0.25">
      <c r="A1262" t="s">
        <v>3138</v>
      </c>
      <c r="B1262" s="6">
        <v>45609</v>
      </c>
      <c r="C1262">
        <v>6495</v>
      </c>
      <c r="D1262" t="s">
        <v>3139</v>
      </c>
      <c r="E1262" t="s">
        <v>38</v>
      </c>
      <c r="F1262" t="s">
        <v>30</v>
      </c>
      <c r="G1262">
        <v>35112.85</v>
      </c>
      <c r="H1262">
        <v>17778.990000000002</v>
      </c>
      <c r="I1262" t="s">
        <v>59</v>
      </c>
      <c r="J1262" t="s">
        <v>41</v>
      </c>
      <c r="K1262" t="s">
        <v>80</v>
      </c>
      <c r="L1262" t="s">
        <v>23</v>
      </c>
      <c r="M1262">
        <v>3</v>
      </c>
      <c r="N1262" t="s">
        <v>69</v>
      </c>
      <c r="O1262" t="s">
        <v>70</v>
      </c>
      <c r="P1262" t="s">
        <v>34</v>
      </c>
    </row>
    <row r="1263" spans="1:16" x14ac:dyDescent="0.25">
      <c r="A1263" t="s">
        <v>3140</v>
      </c>
      <c r="B1263" s="6">
        <v>45448</v>
      </c>
      <c r="C1263">
        <v>2987</v>
      </c>
      <c r="D1263" t="s">
        <v>3142</v>
      </c>
      <c r="E1263" t="s">
        <v>38</v>
      </c>
      <c r="F1263" t="s">
        <v>19</v>
      </c>
      <c r="G1263">
        <v>14695.11</v>
      </c>
      <c r="H1263">
        <v>8386.44</v>
      </c>
      <c r="I1263" t="s">
        <v>120</v>
      </c>
      <c r="J1263" t="s">
        <v>21</v>
      </c>
      <c r="K1263" t="s">
        <v>32</v>
      </c>
      <c r="L1263" t="s">
        <v>43</v>
      </c>
      <c r="M1263">
        <v>2</v>
      </c>
      <c r="N1263" t="s">
        <v>69</v>
      </c>
      <c r="O1263" t="s">
        <v>70</v>
      </c>
      <c r="P1263" t="s">
        <v>34</v>
      </c>
    </row>
    <row r="1264" spans="1:16" x14ac:dyDescent="0.25">
      <c r="A1264" t="s">
        <v>3143</v>
      </c>
      <c r="B1264" s="6">
        <v>45065</v>
      </c>
      <c r="C1264">
        <v>5322</v>
      </c>
      <c r="D1264" t="s">
        <v>3145</v>
      </c>
      <c r="E1264" t="s">
        <v>18</v>
      </c>
      <c r="F1264" t="s">
        <v>39</v>
      </c>
      <c r="G1264">
        <v>33606.050000000003</v>
      </c>
      <c r="H1264">
        <v>19666.41</v>
      </c>
      <c r="I1264" t="s">
        <v>53</v>
      </c>
      <c r="J1264" t="s">
        <v>54</v>
      </c>
      <c r="K1264" t="s">
        <v>32</v>
      </c>
      <c r="L1264" t="s">
        <v>23</v>
      </c>
      <c r="M1264">
        <v>2</v>
      </c>
      <c r="N1264" t="s">
        <v>33</v>
      </c>
      <c r="O1264" t="s">
        <v>25</v>
      </c>
      <c r="P1264" t="s">
        <v>34</v>
      </c>
    </row>
    <row r="1265" spans="1:16" x14ac:dyDescent="0.25">
      <c r="A1265" t="s">
        <v>3146</v>
      </c>
      <c r="B1265" s="6">
        <v>45586</v>
      </c>
      <c r="C1265">
        <v>9735</v>
      </c>
      <c r="D1265" t="s">
        <v>3147</v>
      </c>
      <c r="E1265" t="s">
        <v>38</v>
      </c>
      <c r="F1265" t="s">
        <v>30</v>
      </c>
      <c r="G1265">
        <v>28923.61</v>
      </c>
      <c r="H1265">
        <v>13927.84</v>
      </c>
      <c r="I1265" t="s">
        <v>84</v>
      </c>
      <c r="J1265" t="s">
        <v>54</v>
      </c>
      <c r="K1265" t="s">
        <v>22</v>
      </c>
      <c r="L1265" t="s">
        <v>43</v>
      </c>
      <c r="M1265">
        <v>4</v>
      </c>
      <c r="N1265" t="s">
        <v>33</v>
      </c>
      <c r="O1265" t="s">
        <v>70</v>
      </c>
      <c r="P1265" t="s">
        <v>26</v>
      </c>
    </row>
    <row r="1266" spans="1:16" x14ac:dyDescent="0.25">
      <c r="A1266" t="s">
        <v>3148</v>
      </c>
      <c r="B1266" s="6">
        <v>44827</v>
      </c>
      <c r="C1266">
        <v>4157</v>
      </c>
      <c r="D1266" t="s">
        <v>3149</v>
      </c>
      <c r="E1266" t="s">
        <v>38</v>
      </c>
      <c r="F1266" t="s">
        <v>30</v>
      </c>
      <c r="G1266">
        <v>43508.77</v>
      </c>
      <c r="H1266">
        <v>26404.33</v>
      </c>
      <c r="I1266" t="s">
        <v>68</v>
      </c>
      <c r="J1266" t="s">
        <v>41</v>
      </c>
      <c r="K1266" t="s">
        <v>42</v>
      </c>
      <c r="L1266" t="s">
        <v>88</v>
      </c>
      <c r="M1266">
        <v>4</v>
      </c>
      <c r="N1266" t="s">
        <v>69</v>
      </c>
      <c r="O1266" t="s">
        <v>25</v>
      </c>
      <c r="P1266" t="s">
        <v>26</v>
      </c>
    </row>
    <row r="1267" spans="1:16" x14ac:dyDescent="0.25">
      <c r="A1267" t="s">
        <v>3150</v>
      </c>
      <c r="B1267" s="6">
        <v>44783</v>
      </c>
      <c r="C1267">
        <v>7250</v>
      </c>
      <c r="D1267" t="s">
        <v>3151</v>
      </c>
      <c r="E1267" t="s">
        <v>18</v>
      </c>
      <c r="F1267" t="s">
        <v>58</v>
      </c>
      <c r="G1267">
        <v>16188.15</v>
      </c>
      <c r="H1267">
        <v>9262.66</v>
      </c>
      <c r="I1267" t="s">
        <v>63</v>
      </c>
      <c r="J1267" t="s">
        <v>54</v>
      </c>
      <c r="K1267" t="s">
        <v>22</v>
      </c>
      <c r="L1267" t="s">
        <v>55</v>
      </c>
      <c r="M1267">
        <v>2</v>
      </c>
      <c r="N1267" t="s">
        <v>69</v>
      </c>
      <c r="O1267" t="s">
        <v>70</v>
      </c>
      <c r="P1267" t="s">
        <v>26</v>
      </c>
    </row>
    <row r="1268" spans="1:16" x14ac:dyDescent="0.25">
      <c r="A1268" t="s">
        <v>3152</v>
      </c>
      <c r="B1268" s="6">
        <v>45462</v>
      </c>
      <c r="C1268">
        <v>6836</v>
      </c>
      <c r="D1268" t="s">
        <v>3153</v>
      </c>
      <c r="E1268" t="s">
        <v>38</v>
      </c>
      <c r="F1268" t="s">
        <v>58</v>
      </c>
      <c r="G1268">
        <v>22562.46</v>
      </c>
      <c r="H1268">
        <v>12780.96</v>
      </c>
      <c r="I1268" t="s">
        <v>63</v>
      </c>
      <c r="J1268" t="s">
        <v>54</v>
      </c>
      <c r="K1268" t="s">
        <v>80</v>
      </c>
      <c r="L1268" t="s">
        <v>55</v>
      </c>
      <c r="M1268">
        <v>5</v>
      </c>
      <c r="N1268" t="s">
        <v>69</v>
      </c>
      <c r="O1268" t="s">
        <v>70</v>
      </c>
      <c r="P1268" t="s">
        <v>26</v>
      </c>
    </row>
    <row r="1269" spans="1:16" x14ac:dyDescent="0.25">
      <c r="A1269" t="s">
        <v>3154</v>
      </c>
      <c r="B1269" s="6">
        <v>44192</v>
      </c>
      <c r="C1269">
        <v>5888</v>
      </c>
      <c r="D1269" t="s">
        <v>3155</v>
      </c>
      <c r="E1269" t="s">
        <v>18</v>
      </c>
      <c r="F1269" t="s">
        <v>58</v>
      </c>
      <c r="G1269">
        <v>9898.24</v>
      </c>
      <c r="H1269">
        <v>5102.0600000000004</v>
      </c>
      <c r="I1269" t="s">
        <v>40</v>
      </c>
      <c r="J1269" t="s">
        <v>41</v>
      </c>
      <c r="K1269" t="s">
        <v>80</v>
      </c>
      <c r="L1269" t="s">
        <v>23</v>
      </c>
      <c r="M1269">
        <v>1</v>
      </c>
      <c r="N1269" t="s">
        <v>33</v>
      </c>
      <c r="O1269" t="s">
        <v>70</v>
      </c>
      <c r="P1269" t="s">
        <v>49</v>
      </c>
    </row>
    <row r="1270" spans="1:16" x14ac:dyDescent="0.25">
      <c r="A1270" t="s">
        <v>3156</v>
      </c>
      <c r="B1270" s="6">
        <v>44405</v>
      </c>
      <c r="C1270">
        <v>3223</v>
      </c>
      <c r="D1270" t="s">
        <v>3157</v>
      </c>
      <c r="E1270" t="s">
        <v>18</v>
      </c>
      <c r="F1270" t="s">
        <v>39</v>
      </c>
      <c r="G1270">
        <v>36019.449999999997</v>
      </c>
      <c r="H1270">
        <v>17612.810000000001</v>
      </c>
      <c r="I1270" t="s">
        <v>63</v>
      </c>
      <c r="J1270" t="s">
        <v>54</v>
      </c>
      <c r="K1270" t="s">
        <v>80</v>
      </c>
      <c r="L1270" t="s">
        <v>88</v>
      </c>
      <c r="M1270">
        <v>2</v>
      </c>
      <c r="N1270" t="s">
        <v>33</v>
      </c>
      <c r="O1270" t="s">
        <v>25</v>
      </c>
      <c r="P1270" t="s">
        <v>26</v>
      </c>
    </row>
    <row r="1271" spans="1:16" x14ac:dyDescent="0.25">
      <c r="A1271" t="s">
        <v>3158</v>
      </c>
      <c r="B1271" s="6">
        <v>45504</v>
      </c>
      <c r="C1271">
        <v>7492</v>
      </c>
      <c r="D1271" t="s">
        <v>3160</v>
      </c>
      <c r="E1271" t="s">
        <v>18</v>
      </c>
      <c r="F1271" t="s">
        <v>19</v>
      </c>
      <c r="G1271">
        <v>5960.56</v>
      </c>
      <c r="H1271">
        <v>3625.77</v>
      </c>
      <c r="I1271" t="s">
        <v>63</v>
      </c>
      <c r="J1271" t="s">
        <v>54</v>
      </c>
      <c r="K1271" t="s">
        <v>42</v>
      </c>
      <c r="L1271" t="s">
        <v>48</v>
      </c>
      <c r="M1271">
        <v>2</v>
      </c>
      <c r="N1271" t="s">
        <v>24</v>
      </c>
      <c r="O1271" t="s">
        <v>25</v>
      </c>
      <c r="P1271" t="s">
        <v>49</v>
      </c>
    </row>
    <row r="1272" spans="1:16" x14ac:dyDescent="0.25">
      <c r="A1272" t="s">
        <v>3161</v>
      </c>
      <c r="B1272" s="6">
        <v>45258</v>
      </c>
      <c r="C1272">
        <v>8983</v>
      </c>
      <c r="D1272" t="s">
        <v>3162</v>
      </c>
      <c r="E1272" t="s">
        <v>38</v>
      </c>
      <c r="F1272" t="s">
        <v>47</v>
      </c>
      <c r="G1272">
        <v>11743.68</v>
      </c>
      <c r="H1272">
        <v>5435.94</v>
      </c>
      <c r="I1272" t="s">
        <v>68</v>
      </c>
      <c r="J1272" t="s">
        <v>41</v>
      </c>
      <c r="K1272" t="s">
        <v>42</v>
      </c>
      <c r="L1272" t="s">
        <v>23</v>
      </c>
      <c r="M1272">
        <v>1</v>
      </c>
      <c r="N1272" t="s">
        <v>33</v>
      </c>
      <c r="O1272" t="s">
        <v>70</v>
      </c>
      <c r="P1272" t="s">
        <v>26</v>
      </c>
    </row>
    <row r="1273" spans="1:16" x14ac:dyDescent="0.25">
      <c r="A1273" t="s">
        <v>3163</v>
      </c>
      <c r="B1273" s="6">
        <v>45316</v>
      </c>
      <c r="C1273">
        <v>3653</v>
      </c>
      <c r="D1273" t="s">
        <v>3165</v>
      </c>
      <c r="E1273" t="s">
        <v>38</v>
      </c>
      <c r="F1273" t="s">
        <v>19</v>
      </c>
      <c r="G1273">
        <v>14431.2</v>
      </c>
      <c r="H1273">
        <v>7470.57</v>
      </c>
      <c r="I1273" t="s">
        <v>84</v>
      </c>
      <c r="J1273" t="s">
        <v>54</v>
      </c>
      <c r="K1273" t="s">
        <v>80</v>
      </c>
      <c r="L1273" t="s">
        <v>88</v>
      </c>
      <c r="M1273">
        <v>2</v>
      </c>
      <c r="N1273" t="s">
        <v>33</v>
      </c>
      <c r="O1273" t="s">
        <v>25</v>
      </c>
      <c r="P1273" t="s">
        <v>26</v>
      </c>
    </row>
    <row r="1274" spans="1:16" x14ac:dyDescent="0.25">
      <c r="A1274" t="s">
        <v>3166</v>
      </c>
      <c r="B1274" s="6">
        <v>44000</v>
      </c>
      <c r="C1274">
        <v>2766</v>
      </c>
      <c r="D1274" t="s">
        <v>3168</v>
      </c>
      <c r="E1274" t="s">
        <v>18</v>
      </c>
      <c r="F1274" t="s">
        <v>58</v>
      </c>
      <c r="G1274">
        <v>11672.41</v>
      </c>
      <c r="H1274">
        <v>5275.84</v>
      </c>
      <c r="I1274" t="s">
        <v>20</v>
      </c>
      <c r="J1274" t="s">
        <v>21</v>
      </c>
      <c r="K1274" t="s">
        <v>22</v>
      </c>
      <c r="L1274" t="s">
        <v>23</v>
      </c>
      <c r="M1274">
        <v>2</v>
      </c>
      <c r="N1274" t="s">
        <v>33</v>
      </c>
      <c r="O1274" t="s">
        <v>25</v>
      </c>
      <c r="P1274" t="s">
        <v>26</v>
      </c>
    </row>
    <row r="1275" spans="1:16" x14ac:dyDescent="0.25">
      <c r="A1275" t="s">
        <v>3169</v>
      </c>
      <c r="B1275" s="6">
        <v>44795</v>
      </c>
      <c r="C1275">
        <v>1175</v>
      </c>
      <c r="D1275" t="s">
        <v>3170</v>
      </c>
      <c r="E1275" t="s">
        <v>38</v>
      </c>
      <c r="F1275" t="s">
        <v>19</v>
      </c>
      <c r="G1275">
        <v>15910.59</v>
      </c>
      <c r="H1275">
        <v>7611.61</v>
      </c>
      <c r="I1275" t="s">
        <v>20</v>
      </c>
      <c r="J1275" t="s">
        <v>21</v>
      </c>
      <c r="K1275" t="s">
        <v>80</v>
      </c>
      <c r="L1275" t="s">
        <v>43</v>
      </c>
      <c r="M1275">
        <v>5</v>
      </c>
      <c r="N1275" t="s">
        <v>33</v>
      </c>
      <c r="O1275" t="s">
        <v>70</v>
      </c>
      <c r="P1275" t="s">
        <v>26</v>
      </c>
    </row>
    <row r="1276" spans="1:16" x14ac:dyDescent="0.25">
      <c r="A1276" t="s">
        <v>3171</v>
      </c>
      <c r="B1276" s="6">
        <v>45034</v>
      </c>
      <c r="C1276">
        <v>2281</v>
      </c>
      <c r="D1276" t="s">
        <v>3172</v>
      </c>
      <c r="E1276" t="s">
        <v>18</v>
      </c>
      <c r="F1276" t="s">
        <v>58</v>
      </c>
      <c r="G1276">
        <v>35947.879999999997</v>
      </c>
      <c r="H1276">
        <v>21458.84</v>
      </c>
      <c r="I1276" t="s">
        <v>68</v>
      </c>
      <c r="J1276" t="s">
        <v>41</v>
      </c>
      <c r="K1276" t="s">
        <v>42</v>
      </c>
      <c r="L1276" t="s">
        <v>64</v>
      </c>
      <c r="M1276">
        <v>2</v>
      </c>
      <c r="N1276" t="s">
        <v>33</v>
      </c>
      <c r="O1276" t="s">
        <v>25</v>
      </c>
      <c r="P1276" t="s">
        <v>49</v>
      </c>
    </row>
    <row r="1277" spans="1:16" x14ac:dyDescent="0.25">
      <c r="A1277" t="s">
        <v>3173</v>
      </c>
      <c r="B1277" s="6">
        <v>45161</v>
      </c>
      <c r="C1277">
        <v>1268</v>
      </c>
      <c r="D1277" t="s">
        <v>3175</v>
      </c>
      <c r="E1277" t="s">
        <v>18</v>
      </c>
      <c r="F1277" t="s">
        <v>58</v>
      </c>
      <c r="G1277">
        <v>21395.26</v>
      </c>
      <c r="H1277">
        <v>10325.540000000001</v>
      </c>
      <c r="I1277" t="s">
        <v>68</v>
      </c>
      <c r="J1277" t="s">
        <v>41</v>
      </c>
      <c r="K1277" t="s">
        <v>32</v>
      </c>
      <c r="L1277" t="s">
        <v>48</v>
      </c>
      <c r="M1277">
        <v>2</v>
      </c>
      <c r="N1277" t="s">
        <v>33</v>
      </c>
      <c r="O1277" t="s">
        <v>70</v>
      </c>
      <c r="P1277" t="s">
        <v>26</v>
      </c>
    </row>
    <row r="1278" spans="1:16" x14ac:dyDescent="0.25">
      <c r="A1278" t="s">
        <v>3176</v>
      </c>
      <c r="B1278" s="6">
        <v>45630</v>
      </c>
      <c r="C1278">
        <v>8578</v>
      </c>
      <c r="D1278" t="s">
        <v>3177</v>
      </c>
      <c r="E1278" t="s">
        <v>18</v>
      </c>
      <c r="F1278" t="s">
        <v>39</v>
      </c>
      <c r="G1278">
        <v>51669</v>
      </c>
      <c r="H1278">
        <v>28172.91</v>
      </c>
      <c r="I1278" t="s">
        <v>84</v>
      </c>
      <c r="J1278" t="s">
        <v>54</v>
      </c>
      <c r="K1278" t="s">
        <v>80</v>
      </c>
      <c r="L1278" t="s">
        <v>88</v>
      </c>
      <c r="M1278">
        <v>3</v>
      </c>
      <c r="N1278" t="s">
        <v>33</v>
      </c>
      <c r="O1278" t="s">
        <v>70</v>
      </c>
      <c r="P1278" t="s">
        <v>49</v>
      </c>
    </row>
    <row r="1279" spans="1:16" x14ac:dyDescent="0.25">
      <c r="A1279" t="s">
        <v>3178</v>
      </c>
      <c r="B1279" s="6">
        <v>44015</v>
      </c>
      <c r="C1279">
        <v>9873</v>
      </c>
      <c r="D1279" t="s">
        <v>3179</v>
      </c>
      <c r="E1279" t="s">
        <v>18</v>
      </c>
      <c r="F1279" t="s">
        <v>47</v>
      </c>
      <c r="G1279">
        <v>5180.79</v>
      </c>
      <c r="H1279">
        <v>3285.14</v>
      </c>
      <c r="I1279" t="s">
        <v>68</v>
      </c>
      <c r="J1279" t="s">
        <v>41</v>
      </c>
      <c r="K1279" t="s">
        <v>32</v>
      </c>
      <c r="L1279" t="s">
        <v>48</v>
      </c>
      <c r="M1279">
        <v>4</v>
      </c>
      <c r="N1279" t="s">
        <v>24</v>
      </c>
      <c r="O1279" t="s">
        <v>25</v>
      </c>
      <c r="P1279" t="s">
        <v>26</v>
      </c>
    </row>
    <row r="1280" spans="1:16" x14ac:dyDescent="0.25">
      <c r="A1280" t="s">
        <v>3180</v>
      </c>
      <c r="B1280" s="6">
        <v>45591</v>
      </c>
      <c r="C1280">
        <v>6623</v>
      </c>
      <c r="D1280" t="s">
        <v>3181</v>
      </c>
      <c r="E1280" t="s">
        <v>38</v>
      </c>
      <c r="F1280" t="s">
        <v>30</v>
      </c>
      <c r="G1280">
        <v>61165.22</v>
      </c>
      <c r="H1280">
        <v>34054.06</v>
      </c>
      <c r="I1280" t="s">
        <v>53</v>
      </c>
      <c r="J1280" t="s">
        <v>54</v>
      </c>
      <c r="K1280" t="s">
        <v>42</v>
      </c>
      <c r="L1280" t="s">
        <v>43</v>
      </c>
      <c r="M1280">
        <v>2</v>
      </c>
      <c r="N1280" t="s">
        <v>69</v>
      </c>
      <c r="O1280" t="s">
        <v>25</v>
      </c>
      <c r="P1280" t="s">
        <v>49</v>
      </c>
    </row>
    <row r="1281" spans="1:16" x14ac:dyDescent="0.25">
      <c r="A1281" t="s">
        <v>3182</v>
      </c>
      <c r="B1281" s="6">
        <v>43926</v>
      </c>
      <c r="C1281">
        <v>3129</v>
      </c>
      <c r="D1281" t="s">
        <v>3183</v>
      </c>
      <c r="E1281" t="s">
        <v>18</v>
      </c>
      <c r="F1281" t="s">
        <v>19</v>
      </c>
      <c r="G1281">
        <v>4271.68</v>
      </c>
      <c r="H1281">
        <v>1962.53</v>
      </c>
      <c r="I1281" t="s">
        <v>84</v>
      </c>
      <c r="J1281" t="s">
        <v>54</v>
      </c>
      <c r="K1281" t="s">
        <v>80</v>
      </c>
      <c r="L1281" t="s">
        <v>43</v>
      </c>
      <c r="M1281">
        <v>1</v>
      </c>
      <c r="N1281" t="s">
        <v>33</v>
      </c>
      <c r="O1281" t="s">
        <v>25</v>
      </c>
      <c r="P1281" t="s">
        <v>49</v>
      </c>
    </row>
    <row r="1282" spans="1:16" x14ac:dyDescent="0.25">
      <c r="A1282" t="s">
        <v>3184</v>
      </c>
      <c r="B1282" s="6">
        <v>44964</v>
      </c>
      <c r="C1282">
        <v>1810</v>
      </c>
      <c r="D1282" t="s">
        <v>3185</v>
      </c>
      <c r="E1282" t="s">
        <v>38</v>
      </c>
      <c r="F1282" t="s">
        <v>30</v>
      </c>
      <c r="G1282">
        <v>38258.67</v>
      </c>
      <c r="H1282">
        <v>17492.27</v>
      </c>
      <c r="I1282" t="s">
        <v>31</v>
      </c>
      <c r="J1282" t="s">
        <v>21</v>
      </c>
      <c r="K1282" t="s">
        <v>32</v>
      </c>
      <c r="L1282" t="s">
        <v>43</v>
      </c>
      <c r="M1282">
        <v>2</v>
      </c>
      <c r="N1282" t="s">
        <v>33</v>
      </c>
      <c r="O1282" t="s">
        <v>25</v>
      </c>
      <c r="P1282" t="s">
        <v>49</v>
      </c>
    </row>
    <row r="1283" spans="1:16" x14ac:dyDescent="0.25">
      <c r="A1283" t="s">
        <v>3186</v>
      </c>
      <c r="B1283" s="6">
        <v>44983</v>
      </c>
      <c r="C1283">
        <v>2671</v>
      </c>
      <c r="D1283" t="s">
        <v>3187</v>
      </c>
      <c r="E1283" t="s">
        <v>18</v>
      </c>
      <c r="F1283" t="s">
        <v>39</v>
      </c>
      <c r="G1283">
        <v>14710.33</v>
      </c>
      <c r="H1283">
        <v>9283.15</v>
      </c>
      <c r="I1283" t="s">
        <v>31</v>
      </c>
      <c r="J1283" t="s">
        <v>21</v>
      </c>
      <c r="K1283" t="s">
        <v>80</v>
      </c>
      <c r="L1283" t="s">
        <v>48</v>
      </c>
      <c r="M1283">
        <v>3</v>
      </c>
      <c r="N1283" t="s">
        <v>33</v>
      </c>
      <c r="O1283" t="s">
        <v>25</v>
      </c>
      <c r="P1283" t="s">
        <v>26</v>
      </c>
    </row>
    <row r="1284" spans="1:16" x14ac:dyDescent="0.25">
      <c r="A1284" t="s">
        <v>3188</v>
      </c>
      <c r="B1284" s="6">
        <v>44254</v>
      </c>
      <c r="C1284">
        <v>3886</v>
      </c>
      <c r="D1284" t="s">
        <v>3189</v>
      </c>
      <c r="E1284" t="s">
        <v>38</v>
      </c>
      <c r="F1284" t="s">
        <v>47</v>
      </c>
      <c r="G1284">
        <v>11208.87</v>
      </c>
      <c r="H1284">
        <v>6579.83</v>
      </c>
      <c r="I1284" t="s">
        <v>53</v>
      </c>
      <c r="J1284" t="s">
        <v>54</v>
      </c>
      <c r="K1284" t="s">
        <v>42</v>
      </c>
      <c r="L1284" t="s">
        <v>43</v>
      </c>
      <c r="M1284">
        <v>4</v>
      </c>
      <c r="N1284" t="s">
        <v>69</v>
      </c>
      <c r="O1284" t="s">
        <v>25</v>
      </c>
      <c r="P1284" t="s">
        <v>26</v>
      </c>
    </row>
    <row r="1285" spans="1:16" x14ac:dyDescent="0.25">
      <c r="A1285" t="s">
        <v>3190</v>
      </c>
      <c r="B1285" s="6">
        <v>45395</v>
      </c>
      <c r="C1285">
        <v>5823</v>
      </c>
      <c r="D1285" t="s">
        <v>3191</v>
      </c>
      <c r="E1285" t="s">
        <v>38</v>
      </c>
      <c r="F1285" t="s">
        <v>19</v>
      </c>
      <c r="G1285">
        <v>12401.09</v>
      </c>
      <c r="H1285">
        <v>7824.7</v>
      </c>
      <c r="I1285" t="s">
        <v>20</v>
      </c>
      <c r="J1285" t="s">
        <v>21</v>
      </c>
      <c r="K1285" t="s">
        <v>22</v>
      </c>
      <c r="L1285" t="s">
        <v>88</v>
      </c>
      <c r="M1285">
        <v>5</v>
      </c>
      <c r="N1285" t="s">
        <v>69</v>
      </c>
      <c r="O1285" t="s">
        <v>25</v>
      </c>
      <c r="P1285" t="s">
        <v>49</v>
      </c>
    </row>
    <row r="1286" spans="1:16" x14ac:dyDescent="0.25">
      <c r="A1286" t="s">
        <v>3192</v>
      </c>
      <c r="B1286" s="6">
        <v>45012</v>
      </c>
      <c r="C1286">
        <v>7130</v>
      </c>
      <c r="D1286" t="s">
        <v>3193</v>
      </c>
      <c r="E1286" t="s">
        <v>38</v>
      </c>
      <c r="F1286" t="s">
        <v>58</v>
      </c>
      <c r="G1286">
        <v>41791.4</v>
      </c>
      <c r="H1286">
        <v>24526.16</v>
      </c>
      <c r="I1286" t="s">
        <v>120</v>
      </c>
      <c r="J1286" t="s">
        <v>21</v>
      </c>
      <c r="K1286" t="s">
        <v>22</v>
      </c>
      <c r="L1286" t="s">
        <v>43</v>
      </c>
      <c r="M1286">
        <v>3</v>
      </c>
      <c r="N1286" t="s">
        <v>33</v>
      </c>
      <c r="O1286" t="s">
        <v>70</v>
      </c>
      <c r="P1286" t="s">
        <v>34</v>
      </c>
    </row>
    <row r="1287" spans="1:16" x14ac:dyDescent="0.25">
      <c r="A1287" t="s">
        <v>3194</v>
      </c>
      <c r="B1287" s="6">
        <v>44886</v>
      </c>
      <c r="C1287">
        <v>4427</v>
      </c>
      <c r="D1287" t="s">
        <v>3195</v>
      </c>
      <c r="E1287" t="s">
        <v>18</v>
      </c>
      <c r="F1287" t="s">
        <v>47</v>
      </c>
      <c r="G1287">
        <v>17214.43</v>
      </c>
      <c r="H1287">
        <v>9804.42</v>
      </c>
      <c r="I1287" t="s">
        <v>84</v>
      </c>
      <c r="J1287" t="s">
        <v>54</v>
      </c>
      <c r="K1287" t="s">
        <v>42</v>
      </c>
      <c r="L1287" t="s">
        <v>64</v>
      </c>
      <c r="M1287">
        <v>2</v>
      </c>
      <c r="N1287" t="s">
        <v>33</v>
      </c>
      <c r="O1287" t="s">
        <v>25</v>
      </c>
      <c r="P1287" t="s">
        <v>34</v>
      </c>
    </row>
    <row r="1288" spans="1:16" x14ac:dyDescent="0.25">
      <c r="A1288" t="s">
        <v>3196</v>
      </c>
      <c r="B1288" s="6">
        <v>44640</v>
      </c>
      <c r="C1288">
        <v>7854</v>
      </c>
      <c r="D1288" t="s">
        <v>3197</v>
      </c>
      <c r="E1288" t="s">
        <v>18</v>
      </c>
      <c r="F1288" t="s">
        <v>58</v>
      </c>
      <c r="G1288">
        <v>40775.42</v>
      </c>
      <c r="H1288">
        <v>21197.43</v>
      </c>
      <c r="I1288" t="s">
        <v>20</v>
      </c>
      <c r="J1288" t="s">
        <v>21</v>
      </c>
      <c r="K1288" t="s">
        <v>22</v>
      </c>
      <c r="L1288" t="s">
        <v>23</v>
      </c>
      <c r="M1288">
        <v>5</v>
      </c>
      <c r="N1288" t="s">
        <v>33</v>
      </c>
      <c r="O1288" t="s">
        <v>70</v>
      </c>
      <c r="P1288" t="s">
        <v>49</v>
      </c>
    </row>
    <row r="1289" spans="1:16" x14ac:dyDescent="0.25">
      <c r="A1289" t="s">
        <v>3198</v>
      </c>
      <c r="B1289" s="6">
        <v>44598</v>
      </c>
      <c r="C1289">
        <v>7725</v>
      </c>
      <c r="D1289" t="s">
        <v>3199</v>
      </c>
      <c r="E1289" t="s">
        <v>18</v>
      </c>
      <c r="F1289" t="s">
        <v>58</v>
      </c>
      <c r="G1289">
        <v>9555.5400000000009</v>
      </c>
      <c r="H1289">
        <v>5430.25</v>
      </c>
      <c r="I1289" t="s">
        <v>20</v>
      </c>
      <c r="J1289" t="s">
        <v>21</v>
      </c>
      <c r="K1289" t="s">
        <v>42</v>
      </c>
      <c r="L1289" t="s">
        <v>48</v>
      </c>
      <c r="M1289">
        <v>5</v>
      </c>
      <c r="N1289" t="s">
        <v>33</v>
      </c>
      <c r="O1289" t="s">
        <v>25</v>
      </c>
      <c r="P1289" t="s">
        <v>34</v>
      </c>
    </row>
    <row r="1290" spans="1:16" x14ac:dyDescent="0.25">
      <c r="A1290" t="s">
        <v>3200</v>
      </c>
      <c r="B1290" s="6">
        <v>44515</v>
      </c>
      <c r="C1290">
        <v>3947</v>
      </c>
      <c r="D1290" t="s">
        <v>3201</v>
      </c>
      <c r="E1290" t="s">
        <v>18</v>
      </c>
      <c r="F1290" t="s">
        <v>19</v>
      </c>
      <c r="G1290">
        <v>8292.7999999999993</v>
      </c>
      <c r="H1290">
        <v>3857.81</v>
      </c>
      <c r="I1290" t="s">
        <v>20</v>
      </c>
      <c r="J1290" t="s">
        <v>21</v>
      </c>
      <c r="K1290" t="s">
        <v>42</v>
      </c>
      <c r="L1290" t="s">
        <v>43</v>
      </c>
      <c r="M1290">
        <v>5</v>
      </c>
      <c r="N1290" t="s">
        <v>33</v>
      </c>
      <c r="O1290" t="s">
        <v>70</v>
      </c>
      <c r="P1290" t="s">
        <v>34</v>
      </c>
    </row>
    <row r="1291" spans="1:16" x14ac:dyDescent="0.25">
      <c r="A1291" t="s">
        <v>3202</v>
      </c>
      <c r="B1291" s="6">
        <v>44472</v>
      </c>
      <c r="C1291">
        <v>1714</v>
      </c>
      <c r="D1291" t="s">
        <v>1285</v>
      </c>
      <c r="E1291" t="s">
        <v>38</v>
      </c>
      <c r="F1291" t="s">
        <v>19</v>
      </c>
      <c r="G1291">
        <v>12057.93</v>
      </c>
      <c r="H1291">
        <v>7479.94</v>
      </c>
      <c r="I1291" t="s">
        <v>63</v>
      </c>
      <c r="J1291" t="s">
        <v>54</v>
      </c>
      <c r="K1291" t="s">
        <v>32</v>
      </c>
      <c r="L1291" t="s">
        <v>48</v>
      </c>
      <c r="M1291">
        <v>2</v>
      </c>
      <c r="N1291" t="s">
        <v>33</v>
      </c>
      <c r="O1291" t="s">
        <v>70</v>
      </c>
      <c r="P1291" t="s">
        <v>26</v>
      </c>
    </row>
    <row r="1292" spans="1:16" x14ac:dyDescent="0.25">
      <c r="A1292" t="s">
        <v>3203</v>
      </c>
      <c r="B1292" s="6">
        <v>44236</v>
      </c>
      <c r="C1292">
        <v>5850</v>
      </c>
      <c r="D1292" t="s">
        <v>3205</v>
      </c>
      <c r="E1292" t="s">
        <v>18</v>
      </c>
      <c r="F1292" t="s">
        <v>47</v>
      </c>
      <c r="G1292">
        <v>7261.35</v>
      </c>
      <c r="H1292">
        <v>4049.4</v>
      </c>
      <c r="I1292" t="s">
        <v>68</v>
      </c>
      <c r="J1292" t="s">
        <v>41</v>
      </c>
      <c r="K1292" t="s">
        <v>80</v>
      </c>
      <c r="L1292" t="s">
        <v>43</v>
      </c>
      <c r="M1292">
        <v>4</v>
      </c>
      <c r="N1292" t="s">
        <v>24</v>
      </c>
      <c r="O1292" t="s">
        <v>70</v>
      </c>
      <c r="P1292" t="s">
        <v>34</v>
      </c>
    </row>
    <row r="1293" spans="1:16" x14ac:dyDescent="0.25">
      <c r="A1293" t="s">
        <v>3206</v>
      </c>
      <c r="B1293" s="6">
        <v>44364</v>
      </c>
      <c r="C1293">
        <v>9802</v>
      </c>
      <c r="D1293" t="s">
        <v>2898</v>
      </c>
      <c r="E1293" t="s">
        <v>18</v>
      </c>
      <c r="F1293" t="s">
        <v>19</v>
      </c>
      <c r="G1293">
        <v>5831.35</v>
      </c>
      <c r="H1293">
        <v>3777.34</v>
      </c>
      <c r="I1293" t="s">
        <v>68</v>
      </c>
      <c r="J1293" t="s">
        <v>41</v>
      </c>
      <c r="K1293" t="s">
        <v>32</v>
      </c>
      <c r="L1293" t="s">
        <v>48</v>
      </c>
      <c r="M1293">
        <v>1</v>
      </c>
      <c r="N1293" t="s">
        <v>33</v>
      </c>
      <c r="O1293" t="s">
        <v>25</v>
      </c>
      <c r="P1293" t="s">
        <v>49</v>
      </c>
    </row>
    <row r="1294" spans="1:16" x14ac:dyDescent="0.25">
      <c r="A1294" t="s">
        <v>3207</v>
      </c>
      <c r="B1294" s="6">
        <v>45052</v>
      </c>
      <c r="C1294">
        <v>9532</v>
      </c>
      <c r="D1294" t="s">
        <v>126</v>
      </c>
      <c r="E1294" t="s">
        <v>38</v>
      </c>
      <c r="F1294" t="s">
        <v>30</v>
      </c>
      <c r="G1294">
        <v>59205.02</v>
      </c>
      <c r="H1294">
        <v>38006.81</v>
      </c>
      <c r="I1294" t="s">
        <v>59</v>
      </c>
      <c r="J1294" t="s">
        <v>41</v>
      </c>
      <c r="K1294" t="s">
        <v>80</v>
      </c>
      <c r="L1294" t="s">
        <v>88</v>
      </c>
      <c r="M1294">
        <v>4</v>
      </c>
      <c r="N1294" t="s">
        <v>24</v>
      </c>
      <c r="O1294" t="s">
        <v>70</v>
      </c>
      <c r="P1294" t="s">
        <v>26</v>
      </c>
    </row>
    <row r="1295" spans="1:16" x14ac:dyDescent="0.25">
      <c r="A1295" t="s">
        <v>3208</v>
      </c>
      <c r="B1295" s="6">
        <v>44654</v>
      </c>
      <c r="C1295">
        <v>3308</v>
      </c>
      <c r="D1295" t="s">
        <v>2064</v>
      </c>
      <c r="E1295" t="s">
        <v>38</v>
      </c>
      <c r="F1295" t="s">
        <v>58</v>
      </c>
      <c r="G1295">
        <v>37920.54</v>
      </c>
      <c r="H1295">
        <v>18422.14</v>
      </c>
      <c r="I1295" t="s">
        <v>31</v>
      </c>
      <c r="J1295" t="s">
        <v>21</v>
      </c>
      <c r="K1295" t="s">
        <v>32</v>
      </c>
      <c r="L1295" t="s">
        <v>23</v>
      </c>
      <c r="M1295">
        <v>1</v>
      </c>
      <c r="N1295" t="s">
        <v>33</v>
      </c>
      <c r="O1295" t="s">
        <v>25</v>
      </c>
      <c r="P1295" t="s">
        <v>34</v>
      </c>
    </row>
    <row r="1296" spans="1:16" x14ac:dyDescent="0.25">
      <c r="A1296" t="s">
        <v>3210</v>
      </c>
      <c r="B1296" s="6">
        <v>45349</v>
      </c>
      <c r="C1296">
        <v>8956</v>
      </c>
      <c r="D1296" t="s">
        <v>3211</v>
      </c>
      <c r="E1296" t="s">
        <v>18</v>
      </c>
      <c r="F1296" t="s">
        <v>30</v>
      </c>
      <c r="G1296">
        <v>27860.21</v>
      </c>
      <c r="H1296">
        <v>17344.099999999999</v>
      </c>
      <c r="I1296" t="s">
        <v>53</v>
      </c>
      <c r="J1296" t="s">
        <v>54</v>
      </c>
      <c r="K1296" t="s">
        <v>80</v>
      </c>
      <c r="L1296" t="s">
        <v>23</v>
      </c>
      <c r="M1296">
        <v>4</v>
      </c>
      <c r="N1296" t="s">
        <v>24</v>
      </c>
      <c r="O1296" t="s">
        <v>25</v>
      </c>
      <c r="P1296" t="s">
        <v>49</v>
      </c>
    </row>
    <row r="1297" spans="1:16" x14ac:dyDescent="0.25">
      <c r="A1297" t="s">
        <v>3212</v>
      </c>
      <c r="B1297" s="6">
        <v>45190</v>
      </c>
      <c r="C1297">
        <v>2816</v>
      </c>
      <c r="D1297" t="s">
        <v>3214</v>
      </c>
      <c r="E1297" t="s">
        <v>18</v>
      </c>
      <c r="F1297" t="s">
        <v>30</v>
      </c>
      <c r="G1297">
        <v>22303.5</v>
      </c>
      <c r="H1297">
        <v>13940.51</v>
      </c>
      <c r="I1297" t="s">
        <v>84</v>
      </c>
      <c r="J1297" t="s">
        <v>54</v>
      </c>
      <c r="K1297" t="s">
        <v>80</v>
      </c>
      <c r="L1297" t="s">
        <v>64</v>
      </c>
      <c r="M1297">
        <v>1</v>
      </c>
      <c r="N1297" t="s">
        <v>24</v>
      </c>
      <c r="O1297" t="s">
        <v>70</v>
      </c>
      <c r="P1297" t="s">
        <v>49</v>
      </c>
    </row>
    <row r="1298" spans="1:16" x14ac:dyDescent="0.25">
      <c r="A1298" t="s">
        <v>3215</v>
      </c>
      <c r="B1298" s="6">
        <v>44279</v>
      </c>
      <c r="C1298">
        <v>6515</v>
      </c>
      <c r="D1298" t="s">
        <v>3216</v>
      </c>
      <c r="E1298" t="s">
        <v>18</v>
      </c>
      <c r="F1298" t="s">
        <v>39</v>
      </c>
      <c r="G1298">
        <v>25450.09</v>
      </c>
      <c r="H1298">
        <v>12412.27</v>
      </c>
      <c r="I1298" t="s">
        <v>63</v>
      </c>
      <c r="J1298" t="s">
        <v>54</v>
      </c>
      <c r="K1298" t="s">
        <v>22</v>
      </c>
      <c r="L1298" t="s">
        <v>55</v>
      </c>
      <c r="M1298">
        <v>3</v>
      </c>
      <c r="N1298" t="s">
        <v>24</v>
      </c>
      <c r="O1298" t="s">
        <v>25</v>
      </c>
      <c r="P1298" t="s">
        <v>26</v>
      </c>
    </row>
    <row r="1299" spans="1:16" x14ac:dyDescent="0.25">
      <c r="A1299" t="s">
        <v>3217</v>
      </c>
      <c r="B1299" s="6">
        <v>44927</v>
      </c>
      <c r="C1299">
        <v>3651</v>
      </c>
      <c r="D1299" t="s">
        <v>3218</v>
      </c>
      <c r="E1299" t="s">
        <v>38</v>
      </c>
      <c r="F1299" t="s">
        <v>47</v>
      </c>
      <c r="G1299">
        <v>17982.28</v>
      </c>
      <c r="H1299">
        <v>10307.24</v>
      </c>
      <c r="I1299" t="s">
        <v>84</v>
      </c>
      <c r="J1299" t="s">
        <v>54</v>
      </c>
      <c r="K1299" t="s">
        <v>22</v>
      </c>
      <c r="L1299" t="s">
        <v>55</v>
      </c>
      <c r="M1299">
        <v>4</v>
      </c>
      <c r="N1299" t="s">
        <v>33</v>
      </c>
      <c r="O1299" t="s">
        <v>70</v>
      </c>
      <c r="P1299" t="s">
        <v>26</v>
      </c>
    </row>
    <row r="1300" spans="1:16" x14ac:dyDescent="0.25">
      <c r="A1300" t="s">
        <v>3219</v>
      </c>
      <c r="B1300" s="6">
        <v>45382</v>
      </c>
      <c r="C1300">
        <v>4388</v>
      </c>
      <c r="D1300" t="s">
        <v>3220</v>
      </c>
      <c r="E1300" t="s">
        <v>38</v>
      </c>
      <c r="F1300" t="s">
        <v>47</v>
      </c>
      <c r="G1300">
        <v>10232.52</v>
      </c>
      <c r="H1300">
        <v>6411.21</v>
      </c>
      <c r="I1300" t="s">
        <v>59</v>
      </c>
      <c r="J1300" t="s">
        <v>41</v>
      </c>
      <c r="K1300" t="s">
        <v>32</v>
      </c>
      <c r="L1300" t="s">
        <v>23</v>
      </c>
      <c r="M1300">
        <v>4</v>
      </c>
      <c r="N1300" t="s">
        <v>33</v>
      </c>
      <c r="O1300" t="s">
        <v>70</v>
      </c>
      <c r="P1300" t="s">
        <v>49</v>
      </c>
    </row>
    <row r="1301" spans="1:16" x14ac:dyDescent="0.25">
      <c r="A1301" t="s">
        <v>3221</v>
      </c>
      <c r="B1301" s="6">
        <v>45498</v>
      </c>
      <c r="C1301">
        <v>7515</v>
      </c>
      <c r="D1301" t="s">
        <v>3222</v>
      </c>
      <c r="E1301" t="s">
        <v>38</v>
      </c>
      <c r="F1301" t="s">
        <v>47</v>
      </c>
      <c r="G1301">
        <v>5714.15</v>
      </c>
      <c r="H1301">
        <v>3067.42</v>
      </c>
      <c r="I1301" t="s">
        <v>63</v>
      </c>
      <c r="J1301" t="s">
        <v>54</v>
      </c>
      <c r="K1301" t="s">
        <v>42</v>
      </c>
      <c r="L1301" t="s">
        <v>55</v>
      </c>
      <c r="M1301">
        <v>1</v>
      </c>
      <c r="N1301" t="s">
        <v>69</v>
      </c>
      <c r="O1301" t="s">
        <v>25</v>
      </c>
      <c r="P1301" t="s">
        <v>49</v>
      </c>
    </row>
    <row r="1302" spans="1:16" x14ac:dyDescent="0.25">
      <c r="A1302" t="s">
        <v>3223</v>
      </c>
      <c r="B1302" s="6">
        <v>44508</v>
      </c>
      <c r="C1302">
        <v>2624</v>
      </c>
      <c r="D1302" t="s">
        <v>3224</v>
      </c>
      <c r="E1302" t="s">
        <v>18</v>
      </c>
      <c r="F1302" t="s">
        <v>58</v>
      </c>
      <c r="G1302">
        <v>17786.349999999999</v>
      </c>
      <c r="H1302">
        <v>8668.48</v>
      </c>
      <c r="I1302" t="s">
        <v>20</v>
      </c>
      <c r="J1302" t="s">
        <v>21</v>
      </c>
      <c r="K1302" t="s">
        <v>22</v>
      </c>
      <c r="L1302" t="s">
        <v>43</v>
      </c>
      <c r="M1302">
        <v>4</v>
      </c>
      <c r="N1302" t="s">
        <v>33</v>
      </c>
      <c r="O1302" t="s">
        <v>70</v>
      </c>
      <c r="P1302" t="s">
        <v>49</v>
      </c>
    </row>
    <row r="1303" spans="1:16" x14ac:dyDescent="0.25">
      <c r="A1303" t="s">
        <v>3225</v>
      </c>
      <c r="B1303" s="6">
        <v>45544</v>
      </c>
      <c r="C1303">
        <v>2556</v>
      </c>
      <c r="D1303" t="s">
        <v>3226</v>
      </c>
      <c r="E1303" t="s">
        <v>18</v>
      </c>
      <c r="F1303" t="s">
        <v>39</v>
      </c>
      <c r="G1303">
        <v>19633.34</v>
      </c>
      <c r="H1303">
        <v>11305.46</v>
      </c>
      <c r="I1303" t="s">
        <v>68</v>
      </c>
      <c r="J1303" t="s">
        <v>41</v>
      </c>
      <c r="K1303" t="s">
        <v>42</v>
      </c>
      <c r="L1303" t="s">
        <v>43</v>
      </c>
      <c r="M1303">
        <v>2</v>
      </c>
      <c r="N1303" t="s">
        <v>33</v>
      </c>
      <c r="O1303" t="s">
        <v>70</v>
      </c>
      <c r="P1303" t="s">
        <v>49</v>
      </c>
    </row>
    <row r="1304" spans="1:16" x14ac:dyDescent="0.25">
      <c r="A1304" t="s">
        <v>3227</v>
      </c>
      <c r="B1304" s="6">
        <v>44235</v>
      </c>
      <c r="C1304">
        <v>3087</v>
      </c>
      <c r="D1304" t="s">
        <v>3229</v>
      </c>
      <c r="E1304" t="s">
        <v>38</v>
      </c>
      <c r="F1304" t="s">
        <v>47</v>
      </c>
      <c r="G1304">
        <v>8571.17</v>
      </c>
      <c r="H1304">
        <v>5496.73</v>
      </c>
      <c r="I1304" t="s">
        <v>31</v>
      </c>
      <c r="J1304" t="s">
        <v>21</v>
      </c>
      <c r="K1304" t="s">
        <v>22</v>
      </c>
      <c r="L1304" t="s">
        <v>64</v>
      </c>
      <c r="M1304">
        <v>5</v>
      </c>
      <c r="N1304" t="s">
        <v>24</v>
      </c>
      <c r="O1304" t="s">
        <v>25</v>
      </c>
      <c r="P1304" t="s">
        <v>49</v>
      </c>
    </row>
    <row r="1305" spans="1:16" x14ac:dyDescent="0.25">
      <c r="A1305" t="s">
        <v>3230</v>
      </c>
      <c r="B1305" s="6">
        <v>45080</v>
      </c>
      <c r="C1305">
        <v>9150</v>
      </c>
      <c r="D1305" t="s">
        <v>156</v>
      </c>
      <c r="E1305" t="s">
        <v>18</v>
      </c>
      <c r="F1305" t="s">
        <v>19</v>
      </c>
      <c r="G1305">
        <v>19525.830000000002</v>
      </c>
      <c r="H1305">
        <v>8851.59</v>
      </c>
      <c r="I1305" t="s">
        <v>84</v>
      </c>
      <c r="J1305" t="s">
        <v>54</v>
      </c>
      <c r="K1305" t="s">
        <v>32</v>
      </c>
      <c r="L1305" t="s">
        <v>48</v>
      </c>
      <c r="M1305">
        <v>4</v>
      </c>
      <c r="N1305" t="s">
        <v>33</v>
      </c>
      <c r="O1305" t="s">
        <v>70</v>
      </c>
      <c r="P1305" t="s">
        <v>34</v>
      </c>
    </row>
    <row r="1306" spans="1:16" x14ac:dyDescent="0.25">
      <c r="A1306" t="s">
        <v>3231</v>
      </c>
      <c r="B1306" s="6">
        <v>44610</v>
      </c>
      <c r="C1306">
        <v>6303</v>
      </c>
      <c r="D1306" t="s">
        <v>3232</v>
      </c>
      <c r="E1306" t="s">
        <v>38</v>
      </c>
      <c r="F1306" t="s">
        <v>30</v>
      </c>
      <c r="G1306">
        <v>26902.22</v>
      </c>
      <c r="H1306">
        <v>15424.35</v>
      </c>
      <c r="I1306" t="s">
        <v>20</v>
      </c>
      <c r="J1306" t="s">
        <v>21</v>
      </c>
      <c r="K1306" t="s">
        <v>32</v>
      </c>
      <c r="L1306" t="s">
        <v>88</v>
      </c>
      <c r="M1306">
        <v>3</v>
      </c>
      <c r="N1306" t="s">
        <v>33</v>
      </c>
      <c r="O1306" t="s">
        <v>25</v>
      </c>
      <c r="P1306" t="s">
        <v>34</v>
      </c>
    </row>
    <row r="1307" spans="1:16" x14ac:dyDescent="0.25">
      <c r="A1307" t="s">
        <v>3233</v>
      </c>
      <c r="B1307" s="6">
        <v>45361</v>
      </c>
      <c r="C1307">
        <v>1368</v>
      </c>
      <c r="D1307" t="s">
        <v>3234</v>
      </c>
      <c r="E1307" t="s">
        <v>38</v>
      </c>
      <c r="F1307" t="s">
        <v>19</v>
      </c>
      <c r="G1307">
        <v>9234.6200000000008</v>
      </c>
      <c r="H1307">
        <v>5033.2</v>
      </c>
      <c r="I1307" t="s">
        <v>20</v>
      </c>
      <c r="J1307" t="s">
        <v>21</v>
      </c>
      <c r="K1307" t="s">
        <v>80</v>
      </c>
      <c r="L1307" t="s">
        <v>64</v>
      </c>
      <c r="M1307">
        <v>5</v>
      </c>
      <c r="N1307" t="s">
        <v>69</v>
      </c>
      <c r="O1307" t="s">
        <v>25</v>
      </c>
      <c r="P1307" t="s">
        <v>34</v>
      </c>
    </row>
    <row r="1308" spans="1:16" x14ac:dyDescent="0.25">
      <c r="A1308" t="s">
        <v>3235</v>
      </c>
      <c r="B1308" s="6">
        <v>45210</v>
      </c>
      <c r="C1308">
        <v>8492</v>
      </c>
      <c r="D1308" t="s">
        <v>3236</v>
      </c>
      <c r="E1308" t="s">
        <v>38</v>
      </c>
      <c r="F1308" t="s">
        <v>30</v>
      </c>
      <c r="G1308">
        <v>71389.84</v>
      </c>
      <c r="H1308">
        <v>39236.29</v>
      </c>
      <c r="I1308" t="s">
        <v>120</v>
      </c>
      <c r="J1308" t="s">
        <v>21</v>
      </c>
      <c r="K1308" t="s">
        <v>42</v>
      </c>
      <c r="L1308" t="s">
        <v>48</v>
      </c>
      <c r="M1308">
        <v>5</v>
      </c>
      <c r="N1308" t="s">
        <v>69</v>
      </c>
      <c r="O1308" t="s">
        <v>25</v>
      </c>
      <c r="P1308" t="s">
        <v>34</v>
      </c>
    </row>
    <row r="1309" spans="1:16" x14ac:dyDescent="0.25">
      <c r="A1309" t="s">
        <v>3237</v>
      </c>
      <c r="B1309" s="6">
        <v>45185</v>
      </c>
      <c r="C1309">
        <v>2843</v>
      </c>
      <c r="D1309" t="s">
        <v>3238</v>
      </c>
      <c r="E1309" t="s">
        <v>38</v>
      </c>
      <c r="F1309" t="s">
        <v>58</v>
      </c>
      <c r="G1309">
        <v>34631.93</v>
      </c>
      <c r="H1309">
        <v>17585.919999999998</v>
      </c>
      <c r="I1309" t="s">
        <v>84</v>
      </c>
      <c r="J1309" t="s">
        <v>54</v>
      </c>
      <c r="K1309" t="s">
        <v>80</v>
      </c>
      <c r="L1309" t="s">
        <v>43</v>
      </c>
      <c r="M1309">
        <v>3</v>
      </c>
      <c r="N1309" t="s">
        <v>33</v>
      </c>
      <c r="O1309" t="s">
        <v>70</v>
      </c>
      <c r="P1309" t="s">
        <v>49</v>
      </c>
    </row>
    <row r="1310" spans="1:16" x14ac:dyDescent="0.25">
      <c r="A1310" t="s">
        <v>3239</v>
      </c>
      <c r="B1310" s="6">
        <v>44861</v>
      </c>
      <c r="C1310">
        <v>1458</v>
      </c>
      <c r="D1310" t="s">
        <v>3240</v>
      </c>
      <c r="E1310" t="s">
        <v>38</v>
      </c>
      <c r="F1310" t="s">
        <v>47</v>
      </c>
      <c r="G1310">
        <v>4593.8999999999996</v>
      </c>
      <c r="H1310">
        <v>2076.33</v>
      </c>
      <c r="I1310" t="s">
        <v>68</v>
      </c>
      <c r="J1310" t="s">
        <v>41</v>
      </c>
      <c r="K1310" t="s">
        <v>32</v>
      </c>
      <c r="L1310" t="s">
        <v>48</v>
      </c>
      <c r="M1310">
        <v>5</v>
      </c>
      <c r="N1310" t="s">
        <v>69</v>
      </c>
      <c r="O1310" t="s">
        <v>70</v>
      </c>
      <c r="P1310" t="s">
        <v>34</v>
      </c>
    </row>
    <row r="1311" spans="1:16" x14ac:dyDescent="0.25">
      <c r="A1311" t="s">
        <v>3241</v>
      </c>
      <c r="B1311" s="6">
        <v>45375</v>
      </c>
      <c r="C1311">
        <v>3286</v>
      </c>
      <c r="D1311" t="s">
        <v>3243</v>
      </c>
      <c r="E1311" t="s">
        <v>38</v>
      </c>
      <c r="F1311" t="s">
        <v>47</v>
      </c>
      <c r="G1311">
        <v>2801.77</v>
      </c>
      <c r="H1311">
        <v>1485.06</v>
      </c>
      <c r="I1311" t="s">
        <v>68</v>
      </c>
      <c r="J1311" t="s">
        <v>41</v>
      </c>
      <c r="K1311" t="s">
        <v>22</v>
      </c>
      <c r="L1311" t="s">
        <v>55</v>
      </c>
      <c r="M1311">
        <v>5</v>
      </c>
      <c r="N1311" t="s">
        <v>33</v>
      </c>
      <c r="O1311" t="s">
        <v>25</v>
      </c>
      <c r="P1311" t="s">
        <v>34</v>
      </c>
    </row>
    <row r="1312" spans="1:16" x14ac:dyDescent="0.25">
      <c r="A1312" t="s">
        <v>3244</v>
      </c>
      <c r="B1312" s="6">
        <v>44107</v>
      </c>
      <c r="C1312">
        <v>4112</v>
      </c>
      <c r="D1312" t="s">
        <v>3245</v>
      </c>
      <c r="E1312" t="s">
        <v>18</v>
      </c>
      <c r="F1312" t="s">
        <v>19</v>
      </c>
      <c r="G1312">
        <v>7454.93</v>
      </c>
      <c r="H1312">
        <v>3809.65</v>
      </c>
      <c r="I1312" t="s">
        <v>63</v>
      </c>
      <c r="J1312" t="s">
        <v>54</v>
      </c>
      <c r="K1312" t="s">
        <v>32</v>
      </c>
      <c r="L1312" t="s">
        <v>43</v>
      </c>
      <c r="M1312">
        <v>5</v>
      </c>
      <c r="N1312" t="s">
        <v>24</v>
      </c>
      <c r="O1312" t="s">
        <v>25</v>
      </c>
      <c r="P1312" t="s">
        <v>49</v>
      </c>
    </row>
    <row r="1313" spans="1:16" x14ac:dyDescent="0.25">
      <c r="A1313" t="s">
        <v>3246</v>
      </c>
      <c r="B1313" s="6">
        <v>45413</v>
      </c>
      <c r="C1313">
        <v>3447</v>
      </c>
      <c r="D1313" t="s">
        <v>3247</v>
      </c>
      <c r="E1313" t="s">
        <v>38</v>
      </c>
      <c r="F1313" t="s">
        <v>39</v>
      </c>
      <c r="G1313">
        <v>30950.62</v>
      </c>
      <c r="H1313">
        <v>19592.97</v>
      </c>
      <c r="I1313" t="s">
        <v>40</v>
      </c>
      <c r="J1313" t="s">
        <v>41</v>
      </c>
      <c r="K1313" t="s">
        <v>22</v>
      </c>
      <c r="L1313" t="s">
        <v>55</v>
      </c>
      <c r="M1313">
        <v>2</v>
      </c>
      <c r="N1313" t="s">
        <v>33</v>
      </c>
      <c r="O1313" t="s">
        <v>25</v>
      </c>
      <c r="P1313" t="s">
        <v>34</v>
      </c>
    </row>
    <row r="1314" spans="1:16" x14ac:dyDescent="0.25">
      <c r="A1314" t="s">
        <v>3248</v>
      </c>
      <c r="B1314" s="6">
        <v>45597</v>
      </c>
      <c r="C1314">
        <v>4330</v>
      </c>
      <c r="D1314" t="s">
        <v>3249</v>
      </c>
      <c r="E1314" t="s">
        <v>18</v>
      </c>
      <c r="F1314" t="s">
        <v>58</v>
      </c>
      <c r="G1314">
        <v>52141.17</v>
      </c>
      <c r="H1314">
        <v>33373.64</v>
      </c>
      <c r="I1314" t="s">
        <v>120</v>
      </c>
      <c r="J1314" t="s">
        <v>21</v>
      </c>
      <c r="K1314" t="s">
        <v>80</v>
      </c>
      <c r="L1314" t="s">
        <v>88</v>
      </c>
      <c r="M1314">
        <v>1</v>
      </c>
      <c r="N1314" t="s">
        <v>24</v>
      </c>
      <c r="O1314" t="s">
        <v>70</v>
      </c>
      <c r="P1314" t="s">
        <v>26</v>
      </c>
    </row>
    <row r="1315" spans="1:16" x14ac:dyDescent="0.25">
      <c r="A1315" t="s">
        <v>3250</v>
      </c>
      <c r="B1315" s="6">
        <v>45442</v>
      </c>
      <c r="C1315">
        <v>8353</v>
      </c>
      <c r="D1315" t="s">
        <v>3252</v>
      </c>
      <c r="E1315" t="s">
        <v>18</v>
      </c>
      <c r="F1315" t="s">
        <v>19</v>
      </c>
      <c r="G1315">
        <v>10114.200000000001</v>
      </c>
      <c r="H1315">
        <v>5522.05</v>
      </c>
      <c r="I1315" t="s">
        <v>40</v>
      </c>
      <c r="J1315" t="s">
        <v>41</v>
      </c>
      <c r="K1315" t="s">
        <v>22</v>
      </c>
      <c r="L1315" t="s">
        <v>48</v>
      </c>
      <c r="M1315">
        <v>1</v>
      </c>
      <c r="N1315" t="s">
        <v>24</v>
      </c>
      <c r="O1315" t="s">
        <v>25</v>
      </c>
      <c r="P1315" t="s">
        <v>49</v>
      </c>
    </row>
    <row r="1316" spans="1:16" x14ac:dyDescent="0.25">
      <c r="A1316" t="s">
        <v>3253</v>
      </c>
      <c r="B1316" s="6">
        <v>45510</v>
      </c>
      <c r="C1316">
        <v>3013</v>
      </c>
      <c r="D1316" t="s">
        <v>3255</v>
      </c>
      <c r="E1316" t="s">
        <v>18</v>
      </c>
      <c r="F1316" t="s">
        <v>58</v>
      </c>
      <c r="G1316">
        <v>15510.25</v>
      </c>
      <c r="H1316">
        <v>9830.19</v>
      </c>
      <c r="I1316" t="s">
        <v>68</v>
      </c>
      <c r="J1316" t="s">
        <v>41</v>
      </c>
      <c r="K1316" t="s">
        <v>42</v>
      </c>
      <c r="L1316" t="s">
        <v>88</v>
      </c>
      <c r="M1316">
        <v>2</v>
      </c>
      <c r="N1316" t="s">
        <v>24</v>
      </c>
      <c r="O1316" t="s">
        <v>70</v>
      </c>
      <c r="P1316" t="s">
        <v>34</v>
      </c>
    </row>
    <row r="1317" spans="1:16" x14ac:dyDescent="0.25">
      <c r="A1317" t="s">
        <v>3256</v>
      </c>
      <c r="B1317" s="6">
        <v>44767</v>
      </c>
      <c r="C1317">
        <v>3700</v>
      </c>
      <c r="D1317" t="s">
        <v>3258</v>
      </c>
      <c r="E1317" t="s">
        <v>38</v>
      </c>
      <c r="F1317" t="s">
        <v>39</v>
      </c>
      <c r="G1317">
        <v>38019.949999999997</v>
      </c>
      <c r="H1317">
        <v>19981.990000000002</v>
      </c>
      <c r="I1317" t="s">
        <v>31</v>
      </c>
      <c r="J1317" t="s">
        <v>21</v>
      </c>
      <c r="K1317" t="s">
        <v>32</v>
      </c>
      <c r="L1317" t="s">
        <v>55</v>
      </c>
      <c r="M1317">
        <v>3</v>
      </c>
      <c r="N1317" t="s">
        <v>69</v>
      </c>
      <c r="O1317" t="s">
        <v>70</v>
      </c>
      <c r="P1317" t="s">
        <v>34</v>
      </c>
    </row>
    <row r="1318" spans="1:16" x14ac:dyDescent="0.25">
      <c r="A1318" t="s">
        <v>3259</v>
      </c>
      <c r="B1318" s="6">
        <v>44653</v>
      </c>
      <c r="C1318">
        <v>3962</v>
      </c>
      <c r="D1318" t="s">
        <v>3260</v>
      </c>
      <c r="E1318" t="s">
        <v>18</v>
      </c>
      <c r="F1318" t="s">
        <v>39</v>
      </c>
      <c r="G1318">
        <v>20322.46</v>
      </c>
      <c r="H1318">
        <v>10493.65</v>
      </c>
      <c r="I1318" t="s">
        <v>68</v>
      </c>
      <c r="J1318" t="s">
        <v>41</v>
      </c>
      <c r="K1318" t="s">
        <v>32</v>
      </c>
      <c r="L1318" t="s">
        <v>48</v>
      </c>
      <c r="M1318">
        <v>3</v>
      </c>
      <c r="N1318" t="s">
        <v>33</v>
      </c>
      <c r="O1318" t="s">
        <v>25</v>
      </c>
      <c r="P1318" t="s">
        <v>34</v>
      </c>
    </row>
    <row r="1319" spans="1:16" x14ac:dyDescent="0.25">
      <c r="A1319" t="s">
        <v>3261</v>
      </c>
      <c r="B1319" s="6">
        <v>44728</v>
      </c>
      <c r="C1319">
        <v>4650</v>
      </c>
      <c r="D1319" t="s">
        <v>3255</v>
      </c>
      <c r="E1319" t="s">
        <v>38</v>
      </c>
      <c r="F1319" t="s">
        <v>39</v>
      </c>
      <c r="G1319">
        <v>21319.8</v>
      </c>
      <c r="H1319">
        <v>10004.91</v>
      </c>
      <c r="I1319" t="s">
        <v>53</v>
      </c>
      <c r="J1319" t="s">
        <v>54</v>
      </c>
      <c r="K1319" t="s">
        <v>32</v>
      </c>
      <c r="L1319" t="s">
        <v>43</v>
      </c>
      <c r="M1319">
        <v>2</v>
      </c>
      <c r="N1319" t="s">
        <v>33</v>
      </c>
      <c r="O1319" t="s">
        <v>25</v>
      </c>
      <c r="P1319" t="s">
        <v>26</v>
      </c>
    </row>
    <row r="1320" spans="1:16" x14ac:dyDescent="0.25">
      <c r="A1320" t="s">
        <v>3262</v>
      </c>
      <c r="B1320" s="6">
        <v>44614</v>
      </c>
      <c r="C1320">
        <v>1923</v>
      </c>
      <c r="D1320" t="s">
        <v>3263</v>
      </c>
      <c r="E1320" t="s">
        <v>18</v>
      </c>
      <c r="F1320" t="s">
        <v>39</v>
      </c>
      <c r="G1320">
        <v>23590.3</v>
      </c>
      <c r="H1320">
        <v>12476.37</v>
      </c>
      <c r="I1320" t="s">
        <v>59</v>
      </c>
      <c r="J1320" t="s">
        <v>41</v>
      </c>
      <c r="K1320" t="s">
        <v>32</v>
      </c>
      <c r="L1320" t="s">
        <v>55</v>
      </c>
      <c r="M1320">
        <v>1</v>
      </c>
      <c r="N1320" t="s">
        <v>69</v>
      </c>
      <c r="O1320" t="s">
        <v>70</v>
      </c>
      <c r="P1320" t="s">
        <v>26</v>
      </c>
    </row>
    <row r="1321" spans="1:16" x14ac:dyDescent="0.25">
      <c r="A1321" t="s">
        <v>3264</v>
      </c>
      <c r="B1321" s="6">
        <v>45545</v>
      </c>
      <c r="C1321">
        <v>7973</v>
      </c>
      <c r="D1321" t="s">
        <v>3266</v>
      </c>
      <c r="E1321" t="s">
        <v>38</v>
      </c>
      <c r="F1321" t="s">
        <v>58</v>
      </c>
      <c r="G1321">
        <v>26094.99</v>
      </c>
      <c r="H1321">
        <v>14590.11</v>
      </c>
      <c r="I1321" t="s">
        <v>40</v>
      </c>
      <c r="J1321" t="s">
        <v>41</v>
      </c>
      <c r="K1321" t="s">
        <v>32</v>
      </c>
      <c r="L1321" t="s">
        <v>43</v>
      </c>
      <c r="M1321">
        <v>3</v>
      </c>
      <c r="N1321" t="s">
        <v>24</v>
      </c>
      <c r="O1321" t="s">
        <v>70</v>
      </c>
      <c r="P1321" t="s">
        <v>34</v>
      </c>
    </row>
    <row r="1322" spans="1:16" x14ac:dyDescent="0.25">
      <c r="A1322" t="s">
        <v>3267</v>
      </c>
      <c r="B1322" s="6">
        <v>45014</v>
      </c>
      <c r="C1322">
        <v>6673</v>
      </c>
      <c r="D1322" t="s">
        <v>3268</v>
      </c>
      <c r="E1322" t="s">
        <v>18</v>
      </c>
      <c r="F1322" t="s">
        <v>58</v>
      </c>
      <c r="G1322">
        <v>39529.75</v>
      </c>
      <c r="H1322">
        <v>20260.009999999998</v>
      </c>
      <c r="I1322" t="s">
        <v>20</v>
      </c>
      <c r="J1322" t="s">
        <v>21</v>
      </c>
      <c r="K1322" t="s">
        <v>80</v>
      </c>
      <c r="L1322" t="s">
        <v>55</v>
      </c>
      <c r="M1322">
        <v>5</v>
      </c>
      <c r="N1322" t="s">
        <v>33</v>
      </c>
      <c r="O1322" t="s">
        <v>25</v>
      </c>
      <c r="P1322" t="s">
        <v>26</v>
      </c>
    </row>
    <row r="1323" spans="1:16" x14ac:dyDescent="0.25">
      <c r="A1323" t="s">
        <v>3269</v>
      </c>
      <c r="B1323" s="6">
        <v>44157</v>
      </c>
      <c r="C1323">
        <v>6951</v>
      </c>
      <c r="D1323" t="s">
        <v>2914</v>
      </c>
      <c r="E1323" t="s">
        <v>38</v>
      </c>
      <c r="F1323" t="s">
        <v>39</v>
      </c>
      <c r="G1323">
        <v>24098.799999999999</v>
      </c>
      <c r="H1323">
        <v>12089.53</v>
      </c>
      <c r="I1323" t="s">
        <v>63</v>
      </c>
      <c r="J1323" t="s">
        <v>54</v>
      </c>
      <c r="K1323" t="s">
        <v>80</v>
      </c>
      <c r="L1323" t="s">
        <v>88</v>
      </c>
      <c r="M1323">
        <v>3</v>
      </c>
      <c r="N1323" t="s">
        <v>24</v>
      </c>
      <c r="O1323" t="s">
        <v>70</v>
      </c>
      <c r="P1323" t="s">
        <v>49</v>
      </c>
    </row>
    <row r="1324" spans="1:16" x14ac:dyDescent="0.25">
      <c r="A1324" t="s">
        <v>3270</v>
      </c>
      <c r="B1324" s="6">
        <v>45443</v>
      </c>
      <c r="C1324">
        <v>8557</v>
      </c>
      <c r="D1324" t="s">
        <v>3272</v>
      </c>
      <c r="E1324" t="s">
        <v>18</v>
      </c>
      <c r="F1324" t="s">
        <v>39</v>
      </c>
      <c r="G1324">
        <v>28142.15</v>
      </c>
      <c r="H1324">
        <v>14354.07</v>
      </c>
      <c r="I1324" t="s">
        <v>63</v>
      </c>
      <c r="J1324" t="s">
        <v>54</v>
      </c>
      <c r="K1324" t="s">
        <v>80</v>
      </c>
      <c r="L1324" t="s">
        <v>23</v>
      </c>
      <c r="M1324">
        <v>3</v>
      </c>
      <c r="N1324" t="s">
        <v>33</v>
      </c>
      <c r="O1324" t="s">
        <v>70</v>
      </c>
      <c r="P1324" t="s">
        <v>26</v>
      </c>
    </row>
    <row r="1325" spans="1:16" x14ac:dyDescent="0.25">
      <c r="A1325" t="s">
        <v>3273</v>
      </c>
      <c r="B1325" s="6">
        <v>45040</v>
      </c>
      <c r="C1325">
        <v>3044</v>
      </c>
      <c r="D1325" t="s">
        <v>3274</v>
      </c>
      <c r="E1325" t="s">
        <v>18</v>
      </c>
      <c r="F1325" t="s">
        <v>30</v>
      </c>
      <c r="G1325">
        <v>59000.28</v>
      </c>
      <c r="H1325">
        <v>36861.57</v>
      </c>
      <c r="I1325" t="s">
        <v>63</v>
      </c>
      <c r="J1325" t="s">
        <v>54</v>
      </c>
      <c r="K1325" t="s">
        <v>22</v>
      </c>
      <c r="L1325" t="s">
        <v>48</v>
      </c>
      <c r="M1325">
        <v>2</v>
      </c>
      <c r="N1325" t="s">
        <v>33</v>
      </c>
      <c r="O1325" t="s">
        <v>70</v>
      </c>
      <c r="P1325" t="s">
        <v>49</v>
      </c>
    </row>
    <row r="1326" spans="1:16" x14ac:dyDescent="0.25">
      <c r="A1326" t="s">
        <v>3275</v>
      </c>
      <c r="B1326" s="6">
        <v>45186</v>
      </c>
      <c r="C1326">
        <v>3868</v>
      </c>
      <c r="D1326" t="s">
        <v>3276</v>
      </c>
      <c r="E1326" t="s">
        <v>18</v>
      </c>
      <c r="F1326" t="s">
        <v>47</v>
      </c>
      <c r="G1326">
        <v>5958</v>
      </c>
      <c r="H1326">
        <v>2888.54</v>
      </c>
      <c r="I1326" t="s">
        <v>59</v>
      </c>
      <c r="J1326" t="s">
        <v>41</v>
      </c>
      <c r="K1326" t="s">
        <v>80</v>
      </c>
      <c r="L1326" t="s">
        <v>23</v>
      </c>
      <c r="M1326">
        <v>1</v>
      </c>
      <c r="N1326" t="s">
        <v>33</v>
      </c>
      <c r="O1326" t="s">
        <v>25</v>
      </c>
      <c r="P1326" t="s">
        <v>26</v>
      </c>
    </row>
    <row r="1327" spans="1:16" x14ac:dyDescent="0.25">
      <c r="A1327" t="s">
        <v>3277</v>
      </c>
      <c r="B1327" s="6">
        <v>44551</v>
      </c>
      <c r="C1327">
        <v>7694</v>
      </c>
      <c r="D1327" t="s">
        <v>3278</v>
      </c>
      <c r="E1327" t="s">
        <v>38</v>
      </c>
      <c r="F1327" t="s">
        <v>39</v>
      </c>
      <c r="G1327">
        <v>35136.11</v>
      </c>
      <c r="H1327">
        <v>17305.990000000002</v>
      </c>
      <c r="I1327" t="s">
        <v>63</v>
      </c>
      <c r="J1327" t="s">
        <v>54</v>
      </c>
      <c r="K1327" t="s">
        <v>42</v>
      </c>
      <c r="L1327" t="s">
        <v>48</v>
      </c>
      <c r="M1327">
        <v>2</v>
      </c>
      <c r="N1327" t="s">
        <v>24</v>
      </c>
      <c r="O1327" t="s">
        <v>70</v>
      </c>
      <c r="P1327" t="s">
        <v>49</v>
      </c>
    </row>
    <row r="1328" spans="1:16" x14ac:dyDescent="0.25">
      <c r="A1328" t="s">
        <v>3279</v>
      </c>
      <c r="B1328" s="6">
        <v>44414</v>
      </c>
      <c r="C1328">
        <v>8837</v>
      </c>
      <c r="D1328" t="s">
        <v>3280</v>
      </c>
      <c r="E1328" t="s">
        <v>18</v>
      </c>
      <c r="F1328" t="s">
        <v>30</v>
      </c>
      <c r="G1328">
        <v>34022.33</v>
      </c>
      <c r="H1328">
        <v>21225.56</v>
      </c>
      <c r="I1328" t="s">
        <v>84</v>
      </c>
      <c r="J1328" t="s">
        <v>54</v>
      </c>
      <c r="K1328" t="s">
        <v>80</v>
      </c>
      <c r="L1328" t="s">
        <v>55</v>
      </c>
      <c r="M1328">
        <v>4</v>
      </c>
      <c r="N1328" t="s">
        <v>33</v>
      </c>
      <c r="O1328" t="s">
        <v>25</v>
      </c>
      <c r="P1328" t="s">
        <v>26</v>
      </c>
    </row>
    <row r="1329" spans="1:16" x14ac:dyDescent="0.25">
      <c r="A1329" t="s">
        <v>3281</v>
      </c>
      <c r="B1329" s="6">
        <v>43989</v>
      </c>
      <c r="C1329">
        <v>4439</v>
      </c>
      <c r="D1329" t="s">
        <v>3282</v>
      </c>
      <c r="E1329" t="s">
        <v>38</v>
      </c>
      <c r="F1329" t="s">
        <v>30</v>
      </c>
      <c r="G1329">
        <v>16476.21</v>
      </c>
      <c r="H1329">
        <v>9406.6</v>
      </c>
      <c r="I1329" t="s">
        <v>120</v>
      </c>
      <c r="J1329" t="s">
        <v>21</v>
      </c>
      <c r="K1329" t="s">
        <v>42</v>
      </c>
      <c r="L1329" t="s">
        <v>64</v>
      </c>
      <c r="M1329">
        <v>4</v>
      </c>
      <c r="N1329" t="s">
        <v>33</v>
      </c>
      <c r="O1329" t="s">
        <v>70</v>
      </c>
      <c r="P1329" t="s">
        <v>26</v>
      </c>
    </row>
    <row r="1330" spans="1:16" x14ac:dyDescent="0.25">
      <c r="A1330" t="s">
        <v>3283</v>
      </c>
      <c r="B1330" s="6">
        <v>43849</v>
      </c>
      <c r="C1330">
        <v>1790</v>
      </c>
      <c r="D1330" t="s">
        <v>3272</v>
      </c>
      <c r="E1330" t="s">
        <v>38</v>
      </c>
      <c r="F1330" t="s">
        <v>30</v>
      </c>
      <c r="G1330">
        <v>35263.06</v>
      </c>
      <c r="H1330">
        <v>19940.830000000002</v>
      </c>
      <c r="I1330" t="s">
        <v>31</v>
      </c>
      <c r="J1330" t="s">
        <v>21</v>
      </c>
      <c r="K1330" t="s">
        <v>32</v>
      </c>
      <c r="L1330" t="s">
        <v>48</v>
      </c>
      <c r="M1330">
        <v>3</v>
      </c>
      <c r="N1330" t="s">
        <v>33</v>
      </c>
      <c r="O1330" t="s">
        <v>70</v>
      </c>
      <c r="P1330" t="s">
        <v>49</v>
      </c>
    </row>
    <row r="1331" spans="1:16" x14ac:dyDescent="0.25">
      <c r="A1331" t="s">
        <v>3284</v>
      </c>
      <c r="B1331" s="6">
        <v>45379</v>
      </c>
      <c r="C1331">
        <v>5830</v>
      </c>
      <c r="D1331" t="s">
        <v>689</v>
      </c>
      <c r="E1331" t="s">
        <v>38</v>
      </c>
      <c r="F1331" t="s">
        <v>30</v>
      </c>
      <c r="G1331">
        <v>40270.35</v>
      </c>
      <c r="H1331">
        <v>25675.43</v>
      </c>
      <c r="I1331" t="s">
        <v>31</v>
      </c>
      <c r="J1331" t="s">
        <v>21</v>
      </c>
      <c r="K1331" t="s">
        <v>42</v>
      </c>
      <c r="L1331" t="s">
        <v>43</v>
      </c>
      <c r="M1331">
        <v>5</v>
      </c>
      <c r="N1331" t="s">
        <v>24</v>
      </c>
      <c r="O1331" t="s">
        <v>25</v>
      </c>
      <c r="P1331" t="s">
        <v>34</v>
      </c>
    </row>
    <row r="1332" spans="1:16" x14ac:dyDescent="0.25">
      <c r="A1332" t="s">
        <v>3286</v>
      </c>
      <c r="B1332" s="6">
        <v>45460</v>
      </c>
      <c r="C1332">
        <v>6710</v>
      </c>
      <c r="D1332" t="s">
        <v>3287</v>
      </c>
      <c r="E1332" t="s">
        <v>18</v>
      </c>
      <c r="F1332" t="s">
        <v>47</v>
      </c>
      <c r="G1332">
        <v>21477.15</v>
      </c>
      <c r="H1332">
        <v>12851.49</v>
      </c>
      <c r="I1332" t="s">
        <v>53</v>
      </c>
      <c r="J1332" t="s">
        <v>54</v>
      </c>
      <c r="K1332" t="s">
        <v>22</v>
      </c>
      <c r="L1332" t="s">
        <v>23</v>
      </c>
      <c r="M1332">
        <v>2</v>
      </c>
      <c r="N1332" t="s">
        <v>33</v>
      </c>
      <c r="O1332" t="s">
        <v>70</v>
      </c>
      <c r="P1332" t="s">
        <v>34</v>
      </c>
    </row>
    <row r="1333" spans="1:16" x14ac:dyDescent="0.25">
      <c r="A1333" t="s">
        <v>3288</v>
      </c>
      <c r="B1333" s="6">
        <v>45250</v>
      </c>
      <c r="C1333">
        <v>3255</v>
      </c>
      <c r="D1333" t="s">
        <v>3290</v>
      </c>
      <c r="E1333" t="s">
        <v>38</v>
      </c>
      <c r="F1333" t="s">
        <v>19</v>
      </c>
      <c r="G1333">
        <v>12843.01</v>
      </c>
      <c r="H1333">
        <v>6261.05</v>
      </c>
      <c r="I1333" t="s">
        <v>31</v>
      </c>
      <c r="J1333" t="s">
        <v>21</v>
      </c>
      <c r="K1333" t="s">
        <v>80</v>
      </c>
      <c r="L1333" t="s">
        <v>55</v>
      </c>
      <c r="M1333">
        <v>4</v>
      </c>
      <c r="N1333" t="s">
        <v>33</v>
      </c>
      <c r="O1333" t="s">
        <v>25</v>
      </c>
      <c r="P1333" t="s">
        <v>49</v>
      </c>
    </row>
    <row r="1334" spans="1:16" x14ac:dyDescent="0.25">
      <c r="A1334" t="s">
        <v>3291</v>
      </c>
      <c r="B1334" s="6">
        <v>45428</v>
      </c>
      <c r="C1334">
        <v>7970</v>
      </c>
      <c r="D1334" t="s">
        <v>3293</v>
      </c>
      <c r="E1334" t="s">
        <v>38</v>
      </c>
      <c r="F1334" t="s">
        <v>47</v>
      </c>
      <c r="G1334">
        <v>15008.58</v>
      </c>
      <c r="H1334">
        <v>7233.76</v>
      </c>
      <c r="I1334" t="s">
        <v>120</v>
      </c>
      <c r="J1334" t="s">
        <v>21</v>
      </c>
      <c r="K1334" t="s">
        <v>80</v>
      </c>
      <c r="L1334" t="s">
        <v>43</v>
      </c>
      <c r="M1334">
        <v>1</v>
      </c>
      <c r="N1334" t="s">
        <v>33</v>
      </c>
      <c r="O1334" t="s">
        <v>70</v>
      </c>
      <c r="P1334" t="s">
        <v>49</v>
      </c>
    </row>
    <row r="1335" spans="1:16" x14ac:dyDescent="0.25">
      <c r="A1335" t="s">
        <v>3294</v>
      </c>
      <c r="B1335" s="6">
        <v>45566</v>
      </c>
      <c r="C1335">
        <v>2342</v>
      </c>
      <c r="D1335" t="s">
        <v>3295</v>
      </c>
      <c r="E1335" t="s">
        <v>18</v>
      </c>
      <c r="F1335" t="s">
        <v>30</v>
      </c>
      <c r="G1335">
        <v>84768.13</v>
      </c>
      <c r="H1335">
        <v>54859.22</v>
      </c>
      <c r="I1335" t="s">
        <v>84</v>
      </c>
      <c r="J1335" t="s">
        <v>54</v>
      </c>
      <c r="K1335" t="s">
        <v>22</v>
      </c>
      <c r="L1335" t="s">
        <v>88</v>
      </c>
      <c r="M1335">
        <v>3</v>
      </c>
      <c r="N1335" t="s">
        <v>24</v>
      </c>
      <c r="O1335" t="s">
        <v>70</v>
      </c>
      <c r="P1335" t="s">
        <v>26</v>
      </c>
    </row>
    <row r="1336" spans="1:16" x14ac:dyDescent="0.25">
      <c r="A1336" t="s">
        <v>3296</v>
      </c>
      <c r="B1336" s="6">
        <v>45585</v>
      </c>
      <c r="C1336">
        <v>3734</v>
      </c>
      <c r="D1336" t="s">
        <v>3297</v>
      </c>
      <c r="E1336" t="s">
        <v>18</v>
      </c>
      <c r="F1336" t="s">
        <v>19</v>
      </c>
      <c r="G1336">
        <v>12445.97</v>
      </c>
      <c r="H1336">
        <v>7037.18</v>
      </c>
      <c r="I1336" t="s">
        <v>31</v>
      </c>
      <c r="J1336" t="s">
        <v>21</v>
      </c>
      <c r="K1336" t="s">
        <v>42</v>
      </c>
      <c r="L1336" t="s">
        <v>88</v>
      </c>
      <c r="M1336">
        <v>2</v>
      </c>
      <c r="N1336" t="s">
        <v>24</v>
      </c>
      <c r="O1336" t="s">
        <v>25</v>
      </c>
      <c r="P1336" t="s">
        <v>34</v>
      </c>
    </row>
    <row r="1337" spans="1:16" x14ac:dyDescent="0.25">
      <c r="A1337" t="s">
        <v>3298</v>
      </c>
      <c r="B1337" s="6">
        <v>44883</v>
      </c>
      <c r="C1337">
        <v>6129</v>
      </c>
      <c r="D1337" t="s">
        <v>3299</v>
      </c>
      <c r="E1337" t="s">
        <v>18</v>
      </c>
      <c r="F1337" t="s">
        <v>47</v>
      </c>
      <c r="G1337">
        <v>11931.8</v>
      </c>
      <c r="H1337">
        <v>6478.2</v>
      </c>
      <c r="I1337" t="s">
        <v>20</v>
      </c>
      <c r="J1337" t="s">
        <v>21</v>
      </c>
      <c r="K1337" t="s">
        <v>22</v>
      </c>
      <c r="L1337" t="s">
        <v>48</v>
      </c>
      <c r="M1337">
        <v>3</v>
      </c>
      <c r="N1337" t="s">
        <v>33</v>
      </c>
      <c r="O1337" t="s">
        <v>70</v>
      </c>
      <c r="P1337" t="s">
        <v>26</v>
      </c>
    </row>
    <row r="1338" spans="1:16" x14ac:dyDescent="0.25">
      <c r="A1338" t="s">
        <v>3300</v>
      </c>
      <c r="B1338" s="6">
        <v>44496</v>
      </c>
      <c r="C1338">
        <v>1170</v>
      </c>
      <c r="D1338" t="s">
        <v>3301</v>
      </c>
      <c r="E1338" t="s">
        <v>18</v>
      </c>
      <c r="F1338" t="s">
        <v>58</v>
      </c>
      <c r="G1338">
        <v>36945.64</v>
      </c>
      <c r="H1338">
        <v>20561.27</v>
      </c>
      <c r="I1338" t="s">
        <v>20</v>
      </c>
      <c r="J1338" t="s">
        <v>21</v>
      </c>
      <c r="K1338" t="s">
        <v>80</v>
      </c>
      <c r="L1338" t="s">
        <v>88</v>
      </c>
      <c r="M1338">
        <v>2</v>
      </c>
      <c r="N1338" t="s">
        <v>24</v>
      </c>
      <c r="O1338" t="s">
        <v>25</v>
      </c>
      <c r="P1338" t="s">
        <v>26</v>
      </c>
    </row>
    <row r="1339" spans="1:16" x14ac:dyDescent="0.25">
      <c r="A1339" t="s">
        <v>3302</v>
      </c>
      <c r="B1339" s="6">
        <v>44102</v>
      </c>
      <c r="C1339">
        <v>9765</v>
      </c>
      <c r="D1339" t="s">
        <v>3304</v>
      </c>
      <c r="E1339" t="s">
        <v>18</v>
      </c>
      <c r="F1339" t="s">
        <v>58</v>
      </c>
      <c r="G1339">
        <v>35690.99</v>
      </c>
      <c r="H1339">
        <v>21180.31</v>
      </c>
      <c r="I1339" t="s">
        <v>53</v>
      </c>
      <c r="J1339" t="s">
        <v>54</v>
      </c>
      <c r="K1339" t="s">
        <v>22</v>
      </c>
      <c r="L1339" t="s">
        <v>88</v>
      </c>
      <c r="M1339">
        <v>3</v>
      </c>
      <c r="N1339" t="s">
        <v>33</v>
      </c>
      <c r="O1339" t="s">
        <v>25</v>
      </c>
      <c r="P1339" t="s">
        <v>26</v>
      </c>
    </row>
    <row r="1340" spans="1:16" x14ac:dyDescent="0.25">
      <c r="A1340" t="s">
        <v>3305</v>
      </c>
      <c r="B1340" s="6">
        <v>45648</v>
      </c>
      <c r="C1340">
        <v>9129</v>
      </c>
      <c r="D1340" t="s">
        <v>3306</v>
      </c>
      <c r="E1340" t="s">
        <v>18</v>
      </c>
      <c r="F1340" t="s">
        <v>39</v>
      </c>
      <c r="G1340">
        <v>24388.48</v>
      </c>
      <c r="H1340">
        <v>12935.93</v>
      </c>
      <c r="I1340" t="s">
        <v>20</v>
      </c>
      <c r="J1340" t="s">
        <v>21</v>
      </c>
      <c r="K1340" t="s">
        <v>80</v>
      </c>
      <c r="L1340" t="s">
        <v>55</v>
      </c>
      <c r="M1340">
        <v>2</v>
      </c>
      <c r="N1340" t="s">
        <v>24</v>
      </c>
      <c r="O1340" t="s">
        <v>25</v>
      </c>
      <c r="P1340" t="s">
        <v>49</v>
      </c>
    </row>
    <row r="1341" spans="1:16" x14ac:dyDescent="0.25">
      <c r="A1341" t="s">
        <v>3307</v>
      </c>
      <c r="B1341" s="6">
        <v>44513</v>
      </c>
      <c r="C1341">
        <v>1116</v>
      </c>
      <c r="D1341" t="s">
        <v>3308</v>
      </c>
      <c r="E1341" t="s">
        <v>38</v>
      </c>
      <c r="F1341" t="s">
        <v>58</v>
      </c>
      <c r="G1341">
        <v>28711.42</v>
      </c>
      <c r="H1341">
        <v>18521.32</v>
      </c>
      <c r="I1341" t="s">
        <v>63</v>
      </c>
      <c r="J1341" t="s">
        <v>54</v>
      </c>
      <c r="K1341" t="s">
        <v>80</v>
      </c>
      <c r="L1341" t="s">
        <v>55</v>
      </c>
      <c r="M1341">
        <v>3</v>
      </c>
      <c r="N1341" t="s">
        <v>24</v>
      </c>
      <c r="O1341" t="s">
        <v>25</v>
      </c>
      <c r="P1341" t="s">
        <v>49</v>
      </c>
    </row>
    <row r="1342" spans="1:16" x14ac:dyDescent="0.25">
      <c r="A1342" t="s">
        <v>3309</v>
      </c>
      <c r="B1342" s="6">
        <v>44754</v>
      </c>
      <c r="C1342">
        <v>8984</v>
      </c>
      <c r="D1342" t="s">
        <v>3310</v>
      </c>
      <c r="E1342" t="s">
        <v>18</v>
      </c>
      <c r="F1342" t="s">
        <v>39</v>
      </c>
      <c r="G1342">
        <v>22539.91</v>
      </c>
      <c r="H1342">
        <v>13703.61</v>
      </c>
      <c r="I1342" t="s">
        <v>84</v>
      </c>
      <c r="J1342" t="s">
        <v>54</v>
      </c>
      <c r="K1342" t="s">
        <v>22</v>
      </c>
      <c r="L1342" t="s">
        <v>55</v>
      </c>
      <c r="M1342">
        <v>4</v>
      </c>
      <c r="N1342" t="s">
        <v>33</v>
      </c>
      <c r="O1342" t="s">
        <v>25</v>
      </c>
      <c r="P1342" t="s">
        <v>49</v>
      </c>
    </row>
    <row r="1343" spans="1:16" x14ac:dyDescent="0.25">
      <c r="A1343" t="s">
        <v>3311</v>
      </c>
      <c r="B1343" s="6">
        <v>45049</v>
      </c>
      <c r="C1343">
        <v>8965</v>
      </c>
      <c r="D1343" t="s">
        <v>3312</v>
      </c>
      <c r="E1343" t="s">
        <v>18</v>
      </c>
      <c r="F1343" t="s">
        <v>58</v>
      </c>
      <c r="G1343">
        <v>28642.62</v>
      </c>
      <c r="H1343">
        <v>17788.560000000001</v>
      </c>
      <c r="I1343" t="s">
        <v>31</v>
      </c>
      <c r="J1343" t="s">
        <v>21</v>
      </c>
      <c r="K1343" t="s">
        <v>80</v>
      </c>
      <c r="L1343" t="s">
        <v>48</v>
      </c>
      <c r="M1343">
        <v>4</v>
      </c>
      <c r="N1343" t="s">
        <v>33</v>
      </c>
      <c r="O1343" t="s">
        <v>25</v>
      </c>
      <c r="P1343" t="s">
        <v>26</v>
      </c>
    </row>
    <row r="1344" spans="1:16" x14ac:dyDescent="0.25">
      <c r="A1344" t="s">
        <v>3313</v>
      </c>
      <c r="B1344" s="6">
        <v>45423</v>
      </c>
      <c r="C1344">
        <v>7753</v>
      </c>
      <c r="D1344" t="s">
        <v>3314</v>
      </c>
      <c r="E1344" t="s">
        <v>18</v>
      </c>
      <c r="F1344" t="s">
        <v>58</v>
      </c>
      <c r="G1344">
        <v>13940.39</v>
      </c>
      <c r="H1344">
        <v>6565.49</v>
      </c>
      <c r="I1344" t="s">
        <v>84</v>
      </c>
      <c r="J1344" t="s">
        <v>54</v>
      </c>
      <c r="K1344" t="s">
        <v>80</v>
      </c>
      <c r="L1344" t="s">
        <v>88</v>
      </c>
      <c r="M1344">
        <v>2</v>
      </c>
      <c r="N1344" t="s">
        <v>33</v>
      </c>
      <c r="O1344" t="s">
        <v>70</v>
      </c>
      <c r="P1344" t="s">
        <v>49</v>
      </c>
    </row>
    <row r="1345" spans="1:16" x14ac:dyDescent="0.25">
      <c r="A1345" t="s">
        <v>3315</v>
      </c>
      <c r="B1345" s="6">
        <v>44022</v>
      </c>
      <c r="C1345">
        <v>1613</v>
      </c>
      <c r="D1345" t="s">
        <v>3316</v>
      </c>
      <c r="E1345" t="s">
        <v>18</v>
      </c>
      <c r="F1345" t="s">
        <v>47</v>
      </c>
      <c r="G1345">
        <v>6112.12</v>
      </c>
      <c r="H1345">
        <v>3418.95</v>
      </c>
      <c r="I1345" t="s">
        <v>59</v>
      </c>
      <c r="J1345" t="s">
        <v>41</v>
      </c>
      <c r="K1345" t="s">
        <v>32</v>
      </c>
      <c r="L1345" t="s">
        <v>64</v>
      </c>
      <c r="M1345">
        <v>2</v>
      </c>
      <c r="N1345" t="s">
        <v>33</v>
      </c>
      <c r="O1345" t="s">
        <v>25</v>
      </c>
      <c r="P1345" t="s">
        <v>34</v>
      </c>
    </row>
    <row r="1346" spans="1:16" x14ac:dyDescent="0.25">
      <c r="A1346" t="s">
        <v>3317</v>
      </c>
      <c r="B1346" s="6">
        <v>44979</v>
      </c>
      <c r="C1346">
        <v>5246</v>
      </c>
      <c r="D1346" t="s">
        <v>3318</v>
      </c>
      <c r="E1346" t="s">
        <v>38</v>
      </c>
      <c r="F1346" t="s">
        <v>47</v>
      </c>
      <c r="G1346">
        <v>11269.21</v>
      </c>
      <c r="H1346">
        <v>6263.13</v>
      </c>
      <c r="I1346" t="s">
        <v>63</v>
      </c>
      <c r="J1346" t="s">
        <v>54</v>
      </c>
      <c r="K1346" t="s">
        <v>32</v>
      </c>
      <c r="L1346" t="s">
        <v>43</v>
      </c>
      <c r="M1346">
        <v>3</v>
      </c>
      <c r="N1346" t="s">
        <v>24</v>
      </c>
      <c r="O1346" t="s">
        <v>70</v>
      </c>
      <c r="P1346" t="s">
        <v>49</v>
      </c>
    </row>
    <row r="1347" spans="1:16" x14ac:dyDescent="0.25">
      <c r="A1347" t="s">
        <v>3319</v>
      </c>
      <c r="B1347" s="6">
        <v>44917</v>
      </c>
      <c r="C1347">
        <v>1058</v>
      </c>
      <c r="D1347" t="s">
        <v>3321</v>
      </c>
      <c r="E1347" t="s">
        <v>18</v>
      </c>
      <c r="F1347" t="s">
        <v>39</v>
      </c>
      <c r="G1347">
        <v>15256.08</v>
      </c>
      <c r="H1347">
        <v>8502.4599999999991</v>
      </c>
      <c r="I1347" t="s">
        <v>63</v>
      </c>
      <c r="J1347" t="s">
        <v>54</v>
      </c>
      <c r="K1347" t="s">
        <v>42</v>
      </c>
      <c r="L1347" t="s">
        <v>43</v>
      </c>
      <c r="M1347">
        <v>5</v>
      </c>
      <c r="N1347" t="s">
        <v>24</v>
      </c>
      <c r="O1347" t="s">
        <v>25</v>
      </c>
      <c r="P1347" t="s">
        <v>34</v>
      </c>
    </row>
    <row r="1348" spans="1:16" x14ac:dyDescent="0.25">
      <c r="A1348" t="s">
        <v>3322</v>
      </c>
      <c r="B1348" s="6">
        <v>45460</v>
      </c>
      <c r="C1348">
        <v>8433</v>
      </c>
      <c r="D1348" t="s">
        <v>3323</v>
      </c>
      <c r="E1348" t="s">
        <v>18</v>
      </c>
      <c r="F1348" t="s">
        <v>58</v>
      </c>
      <c r="G1348">
        <v>49120.95</v>
      </c>
      <c r="H1348">
        <v>23315.61</v>
      </c>
      <c r="I1348" t="s">
        <v>120</v>
      </c>
      <c r="J1348" t="s">
        <v>21</v>
      </c>
      <c r="K1348" t="s">
        <v>42</v>
      </c>
      <c r="L1348" t="s">
        <v>23</v>
      </c>
      <c r="M1348">
        <v>1</v>
      </c>
      <c r="N1348" t="s">
        <v>24</v>
      </c>
      <c r="O1348" t="s">
        <v>25</v>
      </c>
      <c r="P1348" t="s">
        <v>49</v>
      </c>
    </row>
    <row r="1349" spans="1:16" x14ac:dyDescent="0.25">
      <c r="A1349" t="s">
        <v>3324</v>
      </c>
      <c r="B1349" s="6">
        <v>45430</v>
      </c>
      <c r="C1349">
        <v>4327</v>
      </c>
      <c r="D1349" t="s">
        <v>3326</v>
      </c>
      <c r="E1349" t="s">
        <v>38</v>
      </c>
      <c r="F1349" t="s">
        <v>19</v>
      </c>
      <c r="G1349">
        <v>16156.04</v>
      </c>
      <c r="H1349">
        <v>9178.7199999999993</v>
      </c>
      <c r="I1349" t="s">
        <v>68</v>
      </c>
      <c r="J1349" t="s">
        <v>41</v>
      </c>
      <c r="K1349" t="s">
        <v>22</v>
      </c>
      <c r="L1349" t="s">
        <v>43</v>
      </c>
      <c r="M1349">
        <v>4</v>
      </c>
      <c r="N1349" t="s">
        <v>33</v>
      </c>
      <c r="O1349" t="s">
        <v>25</v>
      </c>
      <c r="P1349" t="s">
        <v>49</v>
      </c>
    </row>
    <row r="1350" spans="1:16" x14ac:dyDescent="0.25">
      <c r="A1350" t="s">
        <v>3327</v>
      </c>
      <c r="B1350" s="6">
        <v>44404</v>
      </c>
      <c r="C1350">
        <v>8780</v>
      </c>
      <c r="D1350" t="s">
        <v>3328</v>
      </c>
      <c r="E1350" t="s">
        <v>38</v>
      </c>
      <c r="F1350" t="s">
        <v>39</v>
      </c>
      <c r="G1350">
        <v>6340.58</v>
      </c>
      <c r="H1350">
        <v>3171.65</v>
      </c>
      <c r="I1350" t="s">
        <v>31</v>
      </c>
      <c r="J1350" t="s">
        <v>21</v>
      </c>
      <c r="K1350" t="s">
        <v>32</v>
      </c>
      <c r="L1350" t="s">
        <v>48</v>
      </c>
      <c r="M1350">
        <v>1</v>
      </c>
      <c r="N1350" t="s">
        <v>24</v>
      </c>
      <c r="O1350" t="s">
        <v>70</v>
      </c>
      <c r="P1350" t="s">
        <v>26</v>
      </c>
    </row>
    <row r="1351" spans="1:16" x14ac:dyDescent="0.25">
      <c r="A1351" t="s">
        <v>3329</v>
      </c>
      <c r="B1351" s="6">
        <v>45506</v>
      </c>
      <c r="C1351">
        <v>4052</v>
      </c>
      <c r="D1351" t="s">
        <v>3330</v>
      </c>
      <c r="E1351" t="s">
        <v>18</v>
      </c>
      <c r="F1351" t="s">
        <v>58</v>
      </c>
      <c r="G1351">
        <v>21232.71</v>
      </c>
      <c r="H1351">
        <v>11035.41</v>
      </c>
      <c r="I1351" t="s">
        <v>59</v>
      </c>
      <c r="J1351" t="s">
        <v>41</v>
      </c>
      <c r="K1351" t="s">
        <v>32</v>
      </c>
      <c r="L1351" t="s">
        <v>55</v>
      </c>
      <c r="M1351">
        <v>3</v>
      </c>
      <c r="N1351" t="s">
        <v>33</v>
      </c>
      <c r="O1351" t="s">
        <v>70</v>
      </c>
      <c r="P1351" t="s">
        <v>26</v>
      </c>
    </row>
    <row r="1352" spans="1:16" x14ac:dyDescent="0.25">
      <c r="A1352" t="s">
        <v>3331</v>
      </c>
      <c r="B1352" s="6">
        <v>45157</v>
      </c>
      <c r="C1352">
        <v>3194</v>
      </c>
      <c r="D1352" t="s">
        <v>3332</v>
      </c>
      <c r="E1352" t="s">
        <v>18</v>
      </c>
      <c r="F1352" t="s">
        <v>58</v>
      </c>
      <c r="G1352">
        <v>15469.49</v>
      </c>
      <c r="H1352">
        <v>7826.01</v>
      </c>
      <c r="I1352" t="s">
        <v>40</v>
      </c>
      <c r="J1352" t="s">
        <v>41</v>
      </c>
      <c r="K1352" t="s">
        <v>22</v>
      </c>
      <c r="L1352" t="s">
        <v>55</v>
      </c>
      <c r="M1352">
        <v>4</v>
      </c>
      <c r="N1352" t="s">
        <v>24</v>
      </c>
      <c r="O1352" t="s">
        <v>70</v>
      </c>
      <c r="P1352" t="s">
        <v>34</v>
      </c>
    </row>
    <row r="1353" spans="1:16" x14ac:dyDescent="0.25">
      <c r="A1353" t="s">
        <v>3333</v>
      </c>
      <c r="B1353" s="6">
        <v>44684</v>
      </c>
      <c r="C1353">
        <v>2233</v>
      </c>
      <c r="D1353" t="s">
        <v>3334</v>
      </c>
      <c r="E1353" t="s">
        <v>18</v>
      </c>
      <c r="F1353" t="s">
        <v>58</v>
      </c>
      <c r="G1353">
        <v>37189.46</v>
      </c>
      <c r="H1353">
        <v>22050.28</v>
      </c>
      <c r="I1353" t="s">
        <v>63</v>
      </c>
      <c r="J1353" t="s">
        <v>54</v>
      </c>
      <c r="K1353" t="s">
        <v>42</v>
      </c>
      <c r="L1353" t="s">
        <v>55</v>
      </c>
      <c r="M1353">
        <v>2</v>
      </c>
      <c r="N1353" t="s">
        <v>33</v>
      </c>
      <c r="O1353" t="s">
        <v>25</v>
      </c>
      <c r="P1353" t="s">
        <v>34</v>
      </c>
    </row>
    <row r="1354" spans="1:16" x14ac:dyDescent="0.25">
      <c r="A1354" t="s">
        <v>3335</v>
      </c>
      <c r="B1354" s="6">
        <v>45126</v>
      </c>
      <c r="C1354">
        <v>7666</v>
      </c>
      <c r="D1354" t="s">
        <v>3336</v>
      </c>
      <c r="E1354" t="s">
        <v>18</v>
      </c>
      <c r="F1354" t="s">
        <v>19</v>
      </c>
      <c r="G1354">
        <v>8498.48</v>
      </c>
      <c r="H1354">
        <v>4458.63</v>
      </c>
      <c r="I1354" t="s">
        <v>84</v>
      </c>
      <c r="J1354" t="s">
        <v>54</v>
      </c>
      <c r="K1354" t="s">
        <v>80</v>
      </c>
      <c r="L1354" t="s">
        <v>88</v>
      </c>
      <c r="M1354">
        <v>2</v>
      </c>
      <c r="N1354" t="s">
        <v>33</v>
      </c>
      <c r="O1354" t="s">
        <v>25</v>
      </c>
      <c r="P1354" t="s">
        <v>49</v>
      </c>
    </row>
    <row r="1355" spans="1:16" x14ac:dyDescent="0.25">
      <c r="A1355" t="s">
        <v>3337</v>
      </c>
      <c r="B1355" s="6">
        <v>44104</v>
      </c>
      <c r="C1355">
        <v>1845</v>
      </c>
      <c r="D1355" t="s">
        <v>3339</v>
      </c>
      <c r="E1355" t="s">
        <v>18</v>
      </c>
      <c r="F1355" t="s">
        <v>58</v>
      </c>
      <c r="G1355">
        <v>11339.62</v>
      </c>
      <c r="H1355">
        <v>5970.47</v>
      </c>
      <c r="I1355" t="s">
        <v>20</v>
      </c>
      <c r="J1355" t="s">
        <v>21</v>
      </c>
      <c r="K1355" t="s">
        <v>80</v>
      </c>
      <c r="L1355" t="s">
        <v>55</v>
      </c>
      <c r="M1355">
        <v>4</v>
      </c>
      <c r="N1355" t="s">
        <v>33</v>
      </c>
      <c r="O1355" t="s">
        <v>25</v>
      </c>
      <c r="P1355" t="s">
        <v>26</v>
      </c>
    </row>
    <row r="1356" spans="1:16" x14ac:dyDescent="0.25">
      <c r="A1356" t="s">
        <v>3340</v>
      </c>
      <c r="B1356" s="6">
        <v>44274</v>
      </c>
      <c r="C1356">
        <v>1520</v>
      </c>
      <c r="D1356" t="s">
        <v>3326</v>
      </c>
      <c r="E1356" t="s">
        <v>38</v>
      </c>
      <c r="F1356" t="s">
        <v>19</v>
      </c>
      <c r="G1356">
        <v>12581.51</v>
      </c>
      <c r="H1356">
        <v>6256.65</v>
      </c>
      <c r="I1356" t="s">
        <v>120</v>
      </c>
      <c r="J1356" t="s">
        <v>21</v>
      </c>
      <c r="K1356" t="s">
        <v>80</v>
      </c>
      <c r="L1356" t="s">
        <v>48</v>
      </c>
      <c r="M1356">
        <v>2</v>
      </c>
      <c r="N1356" t="s">
        <v>33</v>
      </c>
      <c r="O1356" t="s">
        <v>25</v>
      </c>
      <c r="P1356" t="s">
        <v>34</v>
      </c>
    </row>
    <row r="1357" spans="1:16" x14ac:dyDescent="0.25">
      <c r="A1357" t="s">
        <v>3342</v>
      </c>
      <c r="B1357" s="6">
        <v>44805</v>
      </c>
      <c r="C1357">
        <v>6128</v>
      </c>
      <c r="D1357" t="s">
        <v>2620</v>
      </c>
      <c r="E1357" t="s">
        <v>18</v>
      </c>
      <c r="F1357" t="s">
        <v>58</v>
      </c>
      <c r="G1357">
        <v>7663.13</v>
      </c>
      <c r="H1357">
        <v>4206.96</v>
      </c>
      <c r="I1357" t="s">
        <v>40</v>
      </c>
      <c r="J1357" t="s">
        <v>41</v>
      </c>
      <c r="K1357" t="s">
        <v>32</v>
      </c>
      <c r="L1357" t="s">
        <v>88</v>
      </c>
      <c r="M1357">
        <v>5</v>
      </c>
      <c r="N1357" t="s">
        <v>69</v>
      </c>
      <c r="O1357" t="s">
        <v>25</v>
      </c>
      <c r="P1357" t="s">
        <v>34</v>
      </c>
    </row>
    <row r="1358" spans="1:16" x14ac:dyDescent="0.25">
      <c r="A1358" t="s">
        <v>3343</v>
      </c>
      <c r="B1358" s="6">
        <v>45309</v>
      </c>
      <c r="C1358">
        <v>8396</v>
      </c>
      <c r="D1358" t="s">
        <v>3345</v>
      </c>
      <c r="E1358" t="s">
        <v>18</v>
      </c>
      <c r="F1358" t="s">
        <v>58</v>
      </c>
      <c r="G1358">
        <v>20893.75</v>
      </c>
      <c r="H1358">
        <v>9858.33</v>
      </c>
      <c r="I1358" t="s">
        <v>53</v>
      </c>
      <c r="J1358" t="s">
        <v>54</v>
      </c>
      <c r="K1358" t="s">
        <v>80</v>
      </c>
      <c r="L1358" t="s">
        <v>43</v>
      </c>
      <c r="M1358">
        <v>1</v>
      </c>
      <c r="N1358" t="s">
        <v>24</v>
      </c>
      <c r="O1358" t="s">
        <v>25</v>
      </c>
      <c r="P1358" t="s">
        <v>26</v>
      </c>
    </row>
    <row r="1359" spans="1:16" x14ac:dyDescent="0.25">
      <c r="A1359" t="s">
        <v>3346</v>
      </c>
      <c r="B1359" s="6">
        <v>44326</v>
      </c>
      <c r="C1359">
        <v>5576</v>
      </c>
      <c r="D1359" t="s">
        <v>2276</v>
      </c>
      <c r="E1359" t="s">
        <v>38</v>
      </c>
      <c r="F1359" t="s">
        <v>58</v>
      </c>
      <c r="G1359">
        <v>31719.32</v>
      </c>
      <c r="H1359">
        <v>20609.900000000001</v>
      </c>
      <c r="I1359" t="s">
        <v>120</v>
      </c>
      <c r="J1359" t="s">
        <v>21</v>
      </c>
      <c r="K1359" t="s">
        <v>22</v>
      </c>
      <c r="L1359" t="s">
        <v>43</v>
      </c>
      <c r="M1359">
        <v>2</v>
      </c>
      <c r="N1359" t="s">
        <v>24</v>
      </c>
      <c r="O1359" t="s">
        <v>70</v>
      </c>
      <c r="P1359" t="s">
        <v>26</v>
      </c>
    </row>
    <row r="1360" spans="1:16" x14ac:dyDescent="0.25">
      <c r="A1360" t="s">
        <v>3348</v>
      </c>
      <c r="B1360" s="6">
        <v>44770</v>
      </c>
      <c r="C1360">
        <v>3370</v>
      </c>
      <c r="D1360" t="s">
        <v>3349</v>
      </c>
      <c r="E1360" t="s">
        <v>18</v>
      </c>
      <c r="F1360" t="s">
        <v>30</v>
      </c>
      <c r="G1360">
        <v>67449.070000000007</v>
      </c>
      <c r="H1360">
        <v>34306.43</v>
      </c>
      <c r="I1360" t="s">
        <v>20</v>
      </c>
      <c r="J1360" t="s">
        <v>21</v>
      </c>
      <c r="K1360" t="s">
        <v>32</v>
      </c>
      <c r="L1360" t="s">
        <v>23</v>
      </c>
      <c r="M1360">
        <v>3</v>
      </c>
      <c r="N1360" t="s">
        <v>33</v>
      </c>
      <c r="O1360" t="s">
        <v>70</v>
      </c>
      <c r="P1360" t="s">
        <v>26</v>
      </c>
    </row>
    <row r="1361" spans="1:16" x14ac:dyDescent="0.25">
      <c r="A1361" t="s">
        <v>3350</v>
      </c>
      <c r="B1361" s="6">
        <v>44969</v>
      </c>
      <c r="C1361">
        <v>1278</v>
      </c>
      <c r="D1361" t="s">
        <v>3352</v>
      </c>
      <c r="E1361" t="s">
        <v>38</v>
      </c>
      <c r="F1361" t="s">
        <v>58</v>
      </c>
      <c r="G1361">
        <v>26617.94</v>
      </c>
      <c r="H1361">
        <v>16360.94</v>
      </c>
      <c r="I1361" t="s">
        <v>63</v>
      </c>
      <c r="J1361" t="s">
        <v>54</v>
      </c>
      <c r="K1361" t="s">
        <v>80</v>
      </c>
      <c r="L1361" t="s">
        <v>23</v>
      </c>
      <c r="M1361">
        <v>4</v>
      </c>
      <c r="N1361" t="s">
        <v>24</v>
      </c>
      <c r="O1361" t="s">
        <v>25</v>
      </c>
      <c r="P1361" t="s">
        <v>26</v>
      </c>
    </row>
    <row r="1362" spans="1:16" x14ac:dyDescent="0.25">
      <c r="A1362" t="s">
        <v>3353</v>
      </c>
      <c r="B1362" s="6">
        <v>43897</v>
      </c>
      <c r="C1362">
        <v>7700</v>
      </c>
      <c r="D1362" t="s">
        <v>3355</v>
      </c>
      <c r="E1362" t="s">
        <v>18</v>
      </c>
      <c r="F1362" t="s">
        <v>39</v>
      </c>
      <c r="G1362">
        <v>25650.91</v>
      </c>
      <c r="H1362">
        <v>14634.76</v>
      </c>
      <c r="I1362" t="s">
        <v>84</v>
      </c>
      <c r="J1362" t="s">
        <v>54</v>
      </c>
      <c r="K1362" t="s">
        <v>42</v>
      </c>
      <c r="L1362" t="s">
        <v>48</v>
      </c>
      <c r="M1362">
        <v>5</v>
      </c>
      <c r="N1362" t="s">
        <v>33</v>
      </c>
      <c r="O1362" t="s">
        <v>70</v>
      </c>
      <c r="P1362" t="s">
        <v>26</v>
      </c>
    </row>
    <row r="1363" spans="1:16" x14ac:dyDescent="0.25">
      <c r="A1363" t="s">
        <v>3356</v>
      </c>
      <c r="B1363" s="6">
        <v>44838</v>
      </c>
      <c r="C1363">
        <v>2834</v>
      </c>
      <c r="D1363" t="s">
        <v>3357</v>
      </c>
      <c r="E1363" t="s">
        <v>38</v>
      </c>
      <c r="F1363" t="s">
        <v>47</v>
      </c>
      <c r="G1363">
        <v>3555.83</v>
      </c>
      <c r="H1363">
        <v>1675.34</v>
      </c>
      <c r="I1363" t="s">
        <v>53</v>
      </c>
      <c r="J1363" t="s">
        <v>54</v>
      </c>
      <c r="K1363" t="s">
        <v>22</v>
      </c>
      <c r="L1363" t="s">
        <v>88</v>
      </c>
      <c r="M1363">
        <v>5</v>
      </c>
      <c r="N1363" t="s">
        <v>24</v>
      </c>
      <c r="O1363" t="s">
        <v>70</v>
      </c>
      <c r="P1363" t="s">
        <v>26</v>
      </c>
    </row>
    <row r="1364" spans="1:16" x14ac:dyDescent="0.25">
      <c r="A1364" t="s">
        <v>3358</v>
      </c>
      <c r="B1364" s="6">
        <v>45651</v>
      </c>
      <c r="C1364">
        <v>9779</v>
      </c>
      <c r="D1364" t="s">
        <v>3360</v>
      </c>
      <c r="E1364" t="s">
        <v>38</v>
      </c>
      <c r="F1364" t="s">
        <v>47</v>
      </c>
      <c r="G1364">
        <v>5335.54</v>
      </c>
      <c r="H1364">
        <v>2994.31</v>
      </c>
      <c r="I1364" t="s">
        <v>40</v>
      </c>
      <c r="J1364" t="s">
        <v>41</v>
      </c>
      <c r="K1364" t="s">
        <v>80</v>
      </c>
      <c r="L1364" t="s">
        <v>23</v>
      </c>
      <c r="M1364">
        <v>2</v>
      </c>
      <c r="N1364" t="s">
        <v>24</v>
      </c>
      <c r="O1364" t="s">
        <v>70</v>
      </c>
      <c r="P1364" t="s">
        <v>26</v>
      </c>
    </row>
    <row r="1365" spans="1:16" x14ac:dyDescent="0.25">
      <c r="A1365" t="s">
        <v>3361</v>
      </c>
      <c r="B1365" s="6">
        <v>44823</v>
      </c>
      <c r="C1365">
        <v>8181</v>
      </c>
      <c r="D1365" t="s">
        <v>3362</v>
      </c>
      <c r="E1365" t="s">
        <v>18</v>
      </c>
      <c r="F1365" t="s">
        <v>39</v>
      </c>
      <c r="G1365">
        <v>39231.78</v>
      </c>
      <c r="H1365">
        <v>18513.759999999998</v>
      </c>
      <c r="I1365" t="s">
        <v>120</v>
      </c>
      <c r="J1365" t="s">
        <v>21</v>
      </c>
      <c r="K1365" t="s">
        <v>22</v>
      </c>
      <c r="L1365" t="s">
        <v>64</v>
      </c>
      <c r="M1365">
        <v>3</v>
      </c>
      <c r="N1365" t="s">
        <v>24</v>
      </c>
      <c r="O1365" t="s">
        <v>25</v>
      </c>
      <c r="P1365" t="s">
        <v>26</v>
      </c>
    </row>
    <row r="1366" spans="1:16" x14ac:dyDescent="0.25">
      <c r="A1366" t="s">
        <v>3363</v>
      </c>
      <c r="B1366" s="6">
        <v>45197</v>
      </c>
      <c r="C1366">
        <v>7439</v>
      </c>
      <c r="D1366" t="s">
        <v>3364</v>
      </c>
      <c r="E1366" t="s">
        <v>18</v>
      </c>
      <c r="F1366" t="s">
        <v>58</v>
      </c>
      <c r="G1366">
        <v>53603.91</v>
      </c>
      <c r="H1366">
        <v>32542.11</v>
      </c>
      <c r="I1366" t="s">
        <v>63</v>
      </c>
      <c r="J1366" t="s">
        <v>54</v>
      </c>
      <c r="K1366" t="s">
        <v>32</v>
      </c>
      <c r="L1366" t="s">
        <v>88</v>
      </c>
      <c r="M1366">
        <v>5</v>
      </c>
      <c r="N1366" t="s">
        <v>33</v>
      </c>
      <c r="O1366" t="s">
        <v>25</v>
      </c>
      <c r="P1366" t="s">
        <v>34</v>
      </c>
    </row>
    <row r="1367" spans="1:16" x14ac:dyDescent="0.25">
      <c r="A1367" t="s">
        <v>3365</v>
      </c>
      <c r="B1367" s="6">
        <v>44490</v>
      </c>
      <c r="C1367">
        <v>7721</v>
      </c>
      <c r="D1367" t="s">
        <v>3366</v>
      </c>
      <c r="E1367" t="s">
        <v>38</v>
      </c>
      <c r="F1367" t="s">
        <v>30</v>
      </c>
      <c r="G1367">
        <v>20416.22</v>
      </c>
      <c r="H1367">
        <v>9952.8700000000008</v>
      </c>
      <c r="I1367" t="s">
        <v>68</v>
      </c>
      <c r="J1367" t="s">
        <v>41</v>
      </c>
      <c r="K1367" t="s">
        <v>22</v>
      </c>
      <c r="L1367" t="s">
        <v>23</v>
      </c>
      <c r="M1367">
        <v>1</v>
      </c>
      <c r="N1367" t="s">
        <v>69</v>
      </c>
      <c r="O1367" t="s">
        <v>25</v>
      </c>
      <c r="P1367" t="s">
        <v>49</v>
      </c>
    </row>
    <row r="1368" spans="1:16" x14ac:dyDescent="0.25">
      <c r="A1368" t="s">
        <v>3367</v>
      </c>
      <c r="B1368" s="6">
        <v>43999</v>
      </c>
      <c r="C1368">
        <v>4410</v>
      </c>
      <c r="D1368" t="s">
        <v>3368</v>
      </c>
      <c r="E1368" t="s">
        <v>18</v>
      </c>
      <c r="F1368" t="s">
        <v>58</v>
      </c>
      <c r="G1368">
        <v>6054.9</v>
      </c>
      <c r="H1368">
        <v>2749.68</v>
      </c>
      <c r="I1368" t="s">
        <v>31</v>
      </c>
      <c r="J1368" t="s">
        <v>21</v>
      </c>
      <c r="K1368" t="s">
        <v>80</v>
      </c>
      <c r="L1368" t="s">
        <v>23</v>
      </c>
      <c r="M1368">
        <v>3</v>
      </c>
      <c r="N1368" t="s">
        <v>24</v>
      </c>
      <c r="O1368" t="s">
        <v>70</v>
      </c>
      <c r="P1368" t="s">
        <v>34</v>
      </c>
    </row>
    <row r="1369" spans="1:16" x14ac:dyDescent="0.25">
      <c r="A1369" t="s">
        <v>3369</v>
      </c>
      <c r="B1369" s="6">
        <v>44097</v>
      </c>
      <c r="C1369">
        <v>2474</v>
      </c>
      <c r="D1369" t="s">
        <v>3370</v>
      </c>
      <c r="E1369" t="s">
        <v>18</v>
      </c>
      <c r="F1369" t="s">
        <v>30</v>
      </c>
      <c r="G1369">
        <v>27364.45</v>
      </c>
      <c r="H1369">
        <v>14537.06</v>
      </c>
      <c r="I1369" t="s">
        <v>63</v>
      </c>
      <c r="J1369" t="s">
        <v>54</v>
      </c>
      <c r="K1369" t="s">
        <v>22</v>
      </c>
      <c r="L1369" t="s">
        <v>55</v>
      </c>
      <c r="M1369">
        <v>5</v>
      </c>
      <c r="N1369" t="s">
        <v>69</v>
      </c>
      <c r="O1369" t="s">
        <v>70</v>
      </c>
      <c r="P1369" t="s">
        <v>34</v>
      </c>
    </row>
    <row r="1370" spans="1:16" x14ac:dyDescent="0.25">
      <c r="A1370" t="s">
        <v>3371</v>
      </c>
      <c r="B1370" s="6">
        <v>45363</v>
      </c>
      <c r="C1370">
        <v>9101</v>
      </c>
      <c r="D1370" t="s">
        <v>3372</v>
      </c>
      <c r="E1370" t="s">
        <v>18</v>
      </c>
      <c r="F1370" t="s">
        <v>19</v>
      </c>
      <c r="G1370">
        <v>21300.47</v>
      </c>
      <c r="H1370">
        <v>12746.9</v>
      </c>
      <c r="I1370" t="s">
        <v>31</v>
      </c>
      <c r="J1370" t="s">
        <v>21</v>
      </c>
      <c r="K1370" t="s">
        <v>80</v>
      </c>
      <c r="L1370" t="s">
        <v>48</v>
      </c>
      <c r="M1370">
        <v>5</v>
      </c>
      <c r="N1370" t="s">
        <v>33</v>
      </c>
      <c r="O1370" t="s">
        <v>25</v>
      </c>
      <c r="P1370" t="s">
        <v>49</v>
      </c>
    </row>
    <row r="1371" spans="1:16" x14ac:dyDescent="0.25">
      <c r="A1371" t="s">
        <v>3373</v>
      </c>
      <c r="B1371" s="6">
        <v>45572</v>
      </c>
      <c r="C1371">
        <v>8864</v>
      </c>
      <c r="D1371" t="s">
        <v>3374</v>
      </c>
      <c r="E1371" t="s">
        <v>38</v>
      </c>
      <c r="F1371" t="s">
        <v>47</v>
      </c>
      <c r="G1371">
        <v>11034.52</v>
      </c>
      <c r="H1371">
        <v>5055.2</v>
      </c>
      <c r="I1371" t="s">
        <v>84</v>
      </c>
      <c r="J1371" t="s">
        <v>54</v>
      </c>
      <c r="K1371" t="s">
        <v>22</v>
      </c>
      <c r="L1371" t="s">
        <v>43</v>
      </c>
      <c r="M1371">
        <v>5</v>
      </c>
      <c r="N1371" t="s">
        <v>24</v>
      </c>
      <c r="O1371" t="s">
        <v>70</v>
      </c>
      <c r="P1371" t="s">
        <v>26</v>
      </c>
    </row>
    <row r="1372" spans="1:16" x14ac:dyDescent="0.25">
      <c r="A1372" t="s">
        <v>3375</v>
      </c>
      <c r="B1372" s="6">
        <v>44425</v>
      </c>
      <c r="C1372">
        <v>2574</v>
      </c>
      <c r="D1372" t="s">
        <v>3376</v>
      </c>
      <c r="E1372" t="s">
        <v>18</v>
      </c>
      <c r="F1372" t="s">
        <v>19</v>
      </c>
      <c r="G1372">
        <v>8278.26</v>
      </c>
      <c r="H1372">
        <v>4821.51</v>
      </c>
      <c r="I1372" t="s">
        <v>63</v>
      </c>
      <c r="J1372" t="s">
        <v>54</v>
      </c>
      <c r="K1372" t="s">
        <v>42</v>
      </c>
      <c r="L1372" t="s">
        <v>48</v>
      </c>
      <c r="M1372">
        <v>3</v>
      </c>
      <c r="N1372" t="s">
        <v>33</v>
      </c>
      <c r="O1372" t="s">
        <v>25</v>
      </c>
      <c r="P1372" t="s">
        <v>49</v>
      </c>
    </row>
    <row r="1373" spans="1:16" x14ac:dyDescent="0.25">
      <c r="A1373" t="s">
        <v>3377</v>
      </c>
      <c r="B1373" s="6">
        <v>44156</v>
      </c>
      <c r="C1373">
        <v>1197</v>
      </c>
      <c r="D1373" t="s">
        <v>3378</v>
      </c>
      <c r="E1373" t="s">
        <v>18</v>
      </c>
      <c r="F1373" t="s">
        <v>58</v>
      </c>
      <c r="G1373">
        <v>12055.33</v>
      </c>
      <c r="H1373">
        <v>6205.94</v>
      </c>
      <c r="I1373" t="s">
        <v>59</v>
      </c>
      <c r="J1373" t="s">
        <v>41</v>
      </c>
      <c r="K1373" t="s">
        <v>32</v>
      </c>
      <c r="L1373" t="s">
        <v>88</v>
      </c>
      <c r="M1373">
        <v>4</v>
      </c>
      <c r="N1373" t="s">
        <v>33</v>
      </c>
      <c r="O1373" t="s">
        <v>25</v>
      </c>
      <c r="P1373" t="s">
        <v>34</v>
      </c>
    </row>
    <row r="1374" spans="1:16" x14ac:dyDescent="0.25">
      <c r="A1374" t="s">
        <v>3379</v>
      </c>
      <c r="B1374" s="6">
        <v>44922</v>
      </c>
      <c r="C1374">
        <v>7626</v>
      </c>
      <c r="D1374" t="s">
        <v>3380</v>
      </c>
      <c r="E1374" t="s">
        <v>38</v>
      </c>
      <c r="F1374" t="s">
        <v>30</v>
      </c>
      <c r="G1374">
        <v>33178.519999999997</v>
      </c>
      <c r="H1374">
        <v>19682.25</v>
      </c>
      <c r="I1374" t="s">
        <v>40</v>
      </c>
      <c r="J1374" t="s">
        <v>41</v>
      </c>
      <c r="K1374" t="s">
        <v>22</v>
      </c>
      <c r="L1374" t="s">
        <v>55</v>
      </c>
      <c r="M1374">
        <v>5</v>
      </c>
      <c r="N1374" t="s">
        <v>33</v>
      </c>
      <c r="O1374" t="s">
        <v>70</v>
      </c>
      <c r="P1374" t="s">
        <v>49</v>
      </c>
    </row>
    <row r="1375" spans="1:16" x14ac:dyDescent="0.25">
      <c r="A1375" t="s">
        <v>3381</v>
      </c>
      <c r="B1375" s="6">
        <v>44973</v>
      </c>
      <c r="C1375">
        <v>9306</v>
      </c>
      <c r="D1375" t="s">
        <v>3383</v>
      </c>
      <c r="E1375" t="s">
        <v>18</v>
      </c>
      <c r="F1375" t="s">
        <v>19</v>
      </c>
      <c r="G1375">
        <v>23252.22</v>
      </c>
      <c r="H1375">
        <v>13498.46</v>
      </c>
      <c r="I1375" t="s">
        <v>63</v>
      </c>
      <c r="J1375" t="s">
        <v>54</v>
      </c>
      <c r="K1375" t="s">
        <v>80</v>
      </c>
      <c r="L1375" t="s">
        <v>43</v>
      </c>
      <c r="M1375">
        <v>3</v>
      </c>
      <c r="N1375" t="s">
        <v>69</v>
      </c>
      <c r="O1375" t="s">
        <v>25</v>
      </c>
      <c r="P1375" t="s">
        <v>34</v>
      </c>
    </row>
    <row r="1376" spans="1:16" x14ac:dyDescent="0.25">
      <c r="A1376" t="s">
        <v>3384</v>
      </c>
      <c r="B1376" s="6">
        <v>45546</v>
      </c>
      <c r="C1376">
        <v>6320</v>
      </c>
      <c r="D1376" t="s">
        <v>3385</v>
      </c>
      <c r="E1376" t="s">
        <v>18</v>
      </c>
      <c r="F1376" t="s">
        <v>39</v>
      </c>
      <c r="G1376">
        <v>33644.660000000003</v>
      </c>
      <c r="H1376">
        <v>20453.72</v>
      </c>
      <c r="I1376" t="s">
        <v>84</v>
      </c>
      <c r="J1376" t="s">
        <v>54</v>
      </c>
      <c r="K1376" t="s">
        <v>42</v>
      </c>
      <c r="L1376" t="s">
        <v>48</v>
      </c>
      <c r="M1376">
        <v>2</v>
      </c>
      <c r="N1376" t="s">
        <v>33</v>
      </c>
      <c r="O1376" t="s">
        <v>25</v>
      </c>
      <c r="P1376" t="s">
        <v>26</v>
      </c>
    </row>
    <row r="1377" spans="1:16" x14ac:dyDescent="0.25">
      <c r="A1377" t="s">
        <v>3386</v>
      </c>
      <c r="B1377" s="6">
        <v>44643</v>
      </c>
      <c r="C1377">
        <v>2551</v>
      </c>
      <c r="D1377" t="s">
        <v>3387</v>
      </c>
      <c r="E1377" t="s">
        <v>18</v>
      </c>
      <c r="F1377" t="s">
        <v>58</v>
      </c>
      <c r="G1377">
        <v>34093.72</v>
      </c>
      <c r="H1377">
        <v>17606.099999999999</v>
      </c>
      <c r="I1377" t="s">
        <v>53</v>
      </c>
      <c r="J1377" t="s">
        <v>54</v>
      </c>
      <c r="K1377" t="s">
        <v>22</v>
      </c>
      <c r="L1377" t="s">
        <v>48</v>
      </c>
      <c r="M1377">
        <v>4</v>
      </c>
      <c r="N1377" t="s">
        <v>69</v>
      </c>
      <c r="O1377" t="s">
        <v>70</v>
      </c>
      <c r="P1377" t="s">
        <v>49</v>
      </c>
    </row>
    <row r="1378" spans="1:16" x14ac:dyDescent="0.25">
      <c r="A1378" t="s">
        <v>3388</v>
      </c>
      <c r="B1378" s="6">
        <v>44765</v>
      </c>
      <c r="C1378">
        <v>1519</v>
      </c>
      <c r="D1378" t="s">
        <v>3389</v>
      </c>
      <c r="E1378" t="s">
        <v>18</v>
      </c>
      <c r="F1378" t="s">
        <v>30</v>
      </c>
      <c r="G1378">
        <v>34439.49</v>
      </c>
      <c r="H1378">
        <v>16688.64</v>
      </c>
      <c r="I1378" t="s">
        <v>59</v>
      </c>
      <c r="J1378" t="s">
        <v>41</v>
      </c>
      <c r="K1378" t="s">
        <v>22</v>
      </c>
      <c r="L1378" t="s">
        <v>88</v>
      </c>
      <c r="M1378">
        <v>4</v>
      </c>
      <c r="N1378" t="s">
        <v>33</v>
      </c>
      <c r="O1378" t="s">
        <v>25</v>
      </c>
      <c r="P1378" t="s">
        <v>26</v>
      </c>
    </row>
    <row r="1379" spans="1:16" x14ac:dyDescent="0.25">
      <c r="A1379" t="s">
        <v>3390</v>
      </c>
      <c r="B1379" s="6">
        <v>43876</v>
      </c>
      <c r="C1379">
        <v>4285</v>
      </c>
      <c r="D1379" t="s">
        <v>3392</v>
      </c>
      <c r="E1379" t="s">
        <v>18</v>
      </c>
      <c r="F1379" t="s">
        <v>58</v>
      </c>
      <c r="G1379">
        <v>21756.400000000001</v>
      </c>
      <c r="H1379">
        <v>14099.04</v>
      </c>
      <c r="I1379" t="s">
        <v>31</v>
      </c>
      <c r="J1379" t="s">
        <v>21</v>
      </c>
      <c r="K1379" t="s">
        <v>80</v>
      </c>
      <c r="L1379" t="s">
        <v>55</v>
      </c>
      <c r="M1379">
        <v>3</v>
      </c>
      <c r="N1379" t="s">
        <v>33</v>
      </c>
      <c r="O1379" t="s">
        <v>25</v>
      </c>
      <c r="P1379" t="s">
        <v>34</v>
      </c>
    </row>
    <row r="1380" spans="1:16" x14ac:dyDescent="0.25">
      <c r="A1380" t="s">
        <v>3393</v>
      </c>
      <c r="B1380" s="6">
        <v>45146</v>
      </c>
      <c r="C1380">
        <v>6326</v>
      </c>
      <c r="D1380" t="s">
        <v>3395</v>
      </c>
      <c r="E1380" t="s">
        <v>18</v>
      </c>
      <c r="F1380" t="s">
        <v>39</v>
      </c>
      <c r="G1380">
        <v>33239.69</v>
      </c>
      <c r="H1380">
        <v>20089.43</v>
      </c>
      <c r="I1380" t="s">
        <v>40</v>
      </c>
      <c r="J1380" t="s">
        <v>41</v>
      </c>
      <c r="K1380" t="s">
        <v>42</v>
      </c>
      <c r="L1380" t="s">
        <v>88</v>
      </c>
      <c r="M1380">
        <v>4</v>
      </c>
      <c r="N1380" t="s">
        <v>24</v>
      </c>
      <c r="O1380" t="s">
        <v>70</v>
      </c>
      <c r="P1380" t="s">
        <v>34</v>
      </c>
    </row>
    <row r="1381" spans="1:16" x14ac:dyDescent="0.25">
      <c r="A1381" t="s">
        <v>3396</v>
      </c>
      <c r="B1381" s="6">
        <v>44674</v>
      </c>
      <c r="C1381">
        <v>5912</v>
      </c>
      <c r="D1381" t="s">
        <v>3397</v>
      </c>
      <c r="E1381" t="s">
        <v>38</v>
      </c>
      <c r="F1381" t="s">
        <v>47</v>
      </c>
      <c r="G1381">
        <v>12815.22</v>
      </c>
      <c r="H1381">
        <v>5831.32</v>
      </c>
      <c r="I1381" t="s">
        <v>20</v>
      </c>
      <c r="J1381" t="s">
        <v>21</v>
      </c>
      <c r="K1381" t="s">
        <v>22</v>
      </c>
      <c r="L1381" t="s">
        <v>88</v>
      </c>
      <c r="M1381">
        <v>2</v>
      </c>
      <c r="N1381" t="s">
        <v>33</v>
      </c>
      <c r="O1381" t="s">
        <v>25</v>
      </c>
      <c r="P1381" t="s">
        <v>49</v>
      </c>
    </row>
    <row r="1382" spans="1:16" x14ac:dyDescent="0.25">
      <c r="A1382" t="s">
        <v>3398</v>
      </c>
      <c r="B1382" s="6">
        <v>44638</v>
      </c>
      <c r="C1382">
        <v>4848</v>
      </c>
      <c r="D1382" t="s">
        <v>2855</v>
      </c>
      <c r="E1382" t="s">
        <v>38</v>
      </c>
      <c r="F1382" t="s">
        <v>47</v>
      </c>
      <c r="G1382">
        <v>9479.18</v>
      </c>
      <c r="H1382">
        <v>5065.3999999999996</v>
      </c>
      <c r="I1382" t="s">
        <v>20</v>
      </c>
      <c r="J1382" t="s">
        <v>21</v>
      </c>
      <c r="K1382" t="s">
        <v>80</v>
      </c>
      <c r="L1382" t="s">
        <v>64</v>
      </c>
      <c r="M1382">
        <v>5</v>
      </c>
      <c r="N1382" t="s">
        <v>33</v>
      </c>
      <c r="O1382" t="s">
        <v>70</v>
      </c>
      <c r="P1382" t="s">
        <v>26</v>
      </c>
    </row>
    <row r="1383" spans="1:16" x14ac:dyDescent="0.25">
      <c r="A1383" t="s">
        <v>3399</v>
      </c>
      <c r="B1383" s="6">
        <v>45020</v>
      </c>
      <c r="C1383">
        <v>8422</v>
      </c>
      <c r="D1383" t="s">
        <v>3400</v>
      </c>
      <c r="E1383" t="s">
        <v>18</v>
      </c>
      <c r="F1383" t="s">
        <v>47</v>
      </c>
      <c r="G1383">
        <v>10197.450000000001</v>
      </c>
      <c r="H1383">
        <v>6316.92</v>
      </c>
      <c r="I1383" t="s">
        <v>20</v>
      </c>
      <c r="J1383" t="s">
        <v>21</v>
      </c>
      <c r="K1383" t="s">
        <v>80</v>
      </c>
      <c r="L1383" t="s">
        <v>88</v>
      </c>
      <c r="M1383">
        <v>4</v>
      </c>
      <c r="N1383" t="s">
        <v>69</v>
      </c>
      <c r="O1383" t="s">
        <v>70</v>
      </c>
      <c r="P1383" t="s">
        <v>34</v>
      </c>
    </row>
    <row r="1384" spans="1:16" x14ac:dyDescent="0.25">
      <c r="A1384" t="s">
        <v>3401</v>
      </c>
      <c r="B1384" s="6">
        <v>45501</v>
      </c>
      <c r="C1384">
        <v>8241</v>
      </c>
      <c r="D1384" t="s">
        <v>3402</v>
      </c>
      <c r="E1384" t="s">
        <v>38</v>
      </c>
      <c r="F1384" t="s">
        <v>47</v>
      </c>
      <c r="G1384">
        <v>11602.82</v>
      </c>
      <c r="H1384">
        <v>5902.24</v>
      </c>
      <c r="I1384" t="s">
        <v>40</v>
      </c>
      <c r="J1384" t="s">
        <v>41</v>
      </c>
      <c r="K1384" t="s">
        <v>80</v>
      </c>
      <c r="L1384" t="s">
        <v>55</v>
      </c>
      <c r="M1384">
        <v>2</v>
      </c>
      <c r="N1384" t="s">
        <v>24</v>
      </c>
      <c r="O1384" t="s">
        <v>70</v>
      </c>
      <c r="P1384" t="s">
        <v>34</v>
      </c>
    </row>
    <row r="1385" spans="1:16" x14ac:dyDescent="0.25">
      <c r="A1385" t="s">
        <v>3403</v>
      </c>
      <c r="B1385" s="6">
        <v>44458</v>
      </c>
      <c r="C1385">
        <v>9201</v>
      </c>
      <c r="D1385" t="s">
        <v>3405</v>
      </c>
      <c r="E1385" t="s">
        <v>38</v>
      </c>
      <c r="F1385" t="s">
        <v>47</v>
      </c>
      <c r="G1385">
        <v>15216.13</v>
      </c>
      <c r="H1385">
        <v>9810</v>
      </c>
      <c r="I1385" t="s">
        <v>53</v>
      </c>
      <c r="J1385" t="s">
        <v>54</v>
      </c>
      <c r="K1385" t="s">
        <v>32</v>
      </c>
      <c r="L1385" t="s">
        <v>23</v>
      </c>
      <c r="M1385">
        <v>3</v>
      </c>
      <c r="N1385" t="s">
        <v>69</v>
      </c>
      <c r="O1385" t="s">
        <v>70</v>
      </c>
      <c r="P1385" t="s">
        <v>34</v>
      </c>
    </row>
    <row r="1386" spans="1:16" x14ac:dyDescent="0.25">
      <c r="A1386" t="s">
        <v>3406</v>
      </c>
      <c r="B1386" s="6">
        <v>45485</v>
      </c>
      <c r="C1386">
        <v>3496</v>
      </c>
      <c r="D1386" t="s">
        <v>3407</v>
      </c>
      <c r="E1386" t="s">
        <v>18</v>
      </c>
      <c r="F1386" t="s">
        <v>39</v>
      </c>
      <c r="G1386">
        <v>17965.39</v>
      </c>
      <c r="H1386">
        <v>9292.7000000000007</v>
      </c>
      <c r="I1386" t="s">
        <v>84</v>
      </c>
      <c r="J1386" t="s">
        <v>54</v>
      </c>
      <c r="K1386" t="s">
        <v>80</v>
      </c>
      <c r="L1386" t="s">
        <v>88</v>
      </c>
      <c r="M1386">
        <v>5</v>
      </c>
      <c r="N1386" t="s">
        <v>24</v>
      </c>
      <c r="O1386" t="s">
        <v>25</v>
      </c>
      <c r="P1386" t="s">
        <v>34</v>
      </c>
    </row>
    <row r="1387" spans="1:16" x14ac:dyDescent="0.25">
      <c r="A1387" t="s">
        <v>3408</v>
      </c>
      <c r="B1387" s="6">
        <v>44915</v>
      </c>
      <c r="C1387">
        <v>5637</v>
      </c>
      <c r="D1387" t="s">
        <v>3409</v>
      </c>
      <c r="E1387" t="s">
        <v>18</v>
      </c>
      <c r="F1387" t="s">
        <v>58</v>
      </c>
      <c r="G1387">
        <v>43628.82</v>
      </c>
      <c r="H1387">
        <v>20514.93</v>
      </c>
      <c r="I1387" t="s">
        <v>63</v>
      </c>
      <c r="J1387" t="s">
        <v>54</v>
      </c>
      <c r="K1387" t="s">
        <v>80</v>
      </c>
      <c r="L1387" t="s">
        <v>23</v>
      </c>
      <c r="M1387">
        <v>5</v>
      </c>
      <c r="N1387" t="s">
        <v>24</v>
      </c>
      <c r="O1387" t="s">
        <v>25</v>
      </c>
      <c r="P1387" t="s">
        <v>34</v>
      </c>
    </row>
    <row r="1388" spans="1:16" x14ac:dyDescent="0.25">
      <c r="A1388" t="s">
        <v>3410</v>
      </c>
      <c r="B1388" s="6">
        <v>44734</v>
      </c>
      <c r="C1388">
        <v>5710</v>
      </c>
      <c r="D1388" t="s">
        <v>3412</v>
      </c>
      <c r="E1388" t="s">
        <v>18</v>
      </c>
      <c r="F1388" t="s">
        <v>30</v>
      </c>
      <c r="G1388">
        <v>77823.77</v>
      </c>
      <c r="H1388">
        <v>43242.55</v>
      </c>
      <c r="I1388" t="s">
        <v>84</v>
      </c>
      <c r="J1388" t="s">
        <v>54</v>
      </c>
      <c r="K1388" t="s">
        <v>42</v>
      </c>
      <c r="L1388" t="s">
        <v>43</v>
      </c>
      <c r="M1388">
        <v>4</v>
      </c>
      <c r="N1388" t="s">
        <v>24</v>
      </c>
      <c r="O1388" t="s">
        <v>70</v>
      </c>
      <c r="P1388" t="s">
        <v>34</v>
      </c>
    </row>
    <row r="1389" spans="1:16" x14ac:dyDescent="0.25">
      <c r="A1389" t="s">
        <v>3413</v>
      </c>
      <c r="B1389" s="6">
        <v>43882</v>
      </c>
      <c r="C1389">
        <v>3977</v>
      </c>
      <c r="D1389" t="s">
        <v>3414</v>
      </c>
      <c r="E1389" t="s">
        <v>18</v>
      </c>
      <c r="F1389" t="s">
        <v>39</v>
      </c>
      <c r="G1389">
        <v>11081.64</v>
      </c>
      <c r="H1389">
        <v>6933.03</v>
      </c>
      <c r="I1389" t="s">
        <v>63</v>
      </c>
      <c r="J1389" t="s">
        <v>54</v>
      </c>
      <c r="K1389" t="s">
        <v>42</v>
      </c>
      <c r="L1389" t="s">
        <v>23</v>
      </c>
      <c r="M1389">
        <v>3</v>
      </c>
      <c r="N1389" t="s">
        <v>33</v>
      </c>
      <c r="O1389" t="s">
        <v>70</v>
      </c>
      <c r="P1389" t="s">
        <v>26</v>
      </c>
    </row>
    <row r="1390" spans="1:16" x14ac:dyDescent="0.25">
      <c r="A1390" t="s">
        <v>3415</v>
      </c>
      <c r="B1390" s="6">
        <v>44143</v>
      </c>
      <c r="C1390">
        <v>7944</v>
      </c>
      <c r="D1390" t="s">
        <v>3417</v>
      </c>
      <c r="E1390" t="s">
        <v>18</v>
      </c>
      <c r="F1390" t="s">
        <v>19</v>
      </c>
      <c r="G1390">
        <v>8687.83</v>
      </c>
      <c r="H1390">
        <v>4326.05</v>
      </c>
      <c r="I1390" t="s">
        <v>68</v>
      </c>
      <c r="J1390" t="s">
        <v>41</v>
      </c>
      <c r="K1390" t="s">
        <v>32</v>
      </c>
      <c r="L1390" t="s">
        <v>55</v>
      </c>
      <c r="M1390">
        <v>5</v>
      </c>
      <c r="N1390" t="s">
        <v>33</v>
      </c>
      <c r="O1390" t="s">
        <v>70</v>
      </c>
      <c r="P1390" t="s">
        <v>26</v>
      </c>
    </row>
    <row r="1391" spans="1:16" x14ac:dyDescent="0.25">
      <c r="A1391" t="s">
        <v>3418</v>
      </c>
      <c r="B1391" s="6">
        <v>45208</v>
      </c>
      <c r="C1391">
        <v>1810</v>
      </c>
      <c r="D1391" t="s">
        <v>490</v>
      </c>
      <c r="E1391" t="s">
        <v>18</v>
      </c>
      <c r="F1391" t="s">
        <v>58</v>
      </c>
      <c r="G1391">
        <v>15608.11</v>
      </c>
      <c r="H1391">
        <v>7885.29</v>
      </c>
      <c r="I1391" t="s">
        <v>84</v>
      </c>
      <c r="J1391" t="s">
        <v>54</v>
      </c>
      <c r="K1391" t="s">
        <v>22</v>
      </c>
      <c r="L1391" t="s">
        <v>23</v>
      </c>
      <c r="M1391">
        <v>3</v>
      </c>
      <c r="N1391" t="s">
        <v>69</v>
      </c>
      <c r="O1391" t="s">
        <v>25</v>
      </c>
      <c r="P1391" t="s">
        <v>26</v>
      </c>
    </row>
    <row r="1392" spans="1:16" x14ac:dyDescent="0.25">
      <c r="A1392" t="s">
        <v>3419</v>
      </c>
      <c r="B1392" s="6">
        <v>44069</v>
      </c>
      <c r="C1392">
        <v>7798</v>
      </c>
      <c r="D1392" t="s">
        <v>2271</v>
      </c>
      <c r="E1392" t="s">
        <v>18</v>
      </c>
      <c r="F1392" t="s">
        <v>30</v>
      </c>
      <c r="G1392">
        <v>62090.3</v>
      </c>
      <c r="H1392">
        <v>29244.06</v>
      </c>
      <c r="I1392" t="s">
        <v>84</v>
      </c>
      <c r="J1392" t="s">
        <v>54</v>
      </c>
      <c r="K1392" t="s">
        <v>80</v>
      </c>
      <c r="L1392" t="s">
        <v>23</v>
      </c>
      <c r="M1392">
        <v>3</v>
      </c>
      <c r="N1392" t="s">
        <v>24</v>
      </c>
      <c r="O1392" t="s">
        <v>70</v>
      </c>
      <c r="P1392" t="s">
        <v>26</v>
      </c>
    </row>
    <row r="1393" spans="1:16" x14ac:dyDescent="0.25">
      <c r="A1393" t="s">
        <v>3421</v>
      </c>
      <c r="B1393" s="6">
        <v>45252</v>
      </c>
      <c r="C1393">
        <v>9583</v>
      </c>
      <c r="D1393" t="s">
        <v>3422</v>
      </c>
      <c r="E1393" t="s">
        <v>38</v>
      </c>
      <c r="F1393" t="s">
        <v>58</v>
      </c>
      <c r="G1393">
        <v>46105.13</v>
      </c>
      <c r="H1393">
        <v>29242.31</v>
      </c>
      <c r="I1393" t="s">
        <v>120</v>
      </c>
      <c r="J1393" t="s">
        <v>21</v>
      </c>
      <c r="K1393" t="s">
        <v>22</v>
      </c>
      <c r="L1393" t="s">
        <v>55</v>
      </c>
      <c r="M1393">
        <v>2</v>
      </c>
      <c r="N1393" t="s">
        <v>69</v>
      </c>
      <c r="O1393" t="s">
        <v>25</v>
      </c>
      <c r="P1393" t="s">
        <v>34</v>
      </c>
    </row>
    <row r="1394" spans="1:16" x14ac:dyDescent="0.25">
      <c r="A1394" t="s">
        <v>3423</v>
      </c>
      <c r="B1394" s="6">
        <v>45012</v>
      </c>
      <c r="C1394">
        <v>9658</v>
      </c>
      <c r="D1394" t="s">
        <v>2940</v>
      </c>
      <c r="E1394" t="s">
        <v>38</v>
      </c>
      <c r="F1394" t="s">
        <v>58</v>
      </c>
      <c r="G1394">
        <v>31436.04</v>
      </c>
      <c r="H1394">
        <v>14167.99</v>
      </c>
      <c r="I1394" t="s">
        <v>31</v>
      </c>
      <c r="J1394" t="s">
        <v>21</v>
      </c>
      <c r="K1394" t="s">
        <v>32</v>
      </c>
      <c r="L1394" t="s">
        <v>64</v>
      </c>
      <c r="M1394">
        <v>5</v>
      </c>
      <c r="N1394" t="s">
        <v>24</v>
      </c>
      <c r="O1394" t="s">
        <v>70</v>
      </c>
      <c r="P1394" t="s">
        <v>34</v>
      </c>
    </row>
    <row r="1395" spans="1:16" x14ac:dyDescent="0.25">
      <c r="A1395" t="s">
        <v>3424</v>
      </c>
      <c r="B1395" s="6">
        <v>44184</v>
      </c>
      <c r="C1395">
        <v>2819</v>
      </c>
      <c r="D1395" t="s">
        <v>3425</v>
      </c>
      <c r="E1395" t="s">
        <v>38</v>
      </c>
      <c r="F1395" t="s">
        <v>58</v>
      </c>
      <c r="G1395">
        <v>39699.07</v>
      </c>
      <c r="H1395">
        <v>19092.3</v>
      </c>
      <c r="I1395" t="s">
        <v>53</v>
      </c>
      <c r="J1395" t="s">
        <v>54</v>
      </c>
      <c r="K1395" t="s">
        <v>32</v>
      </c>
      <c r="L1395" t="s">
        <v>48</v>
      </c>
      <c r="M1395">
        <v>5</v>
      </c>
      <c r="N1395" t="s">
        <v>69</v>
      </c>
      <c r="O1395" t="s">
        <v>25</v>
      </c>
      <c r="P1395" t="s">
        <v>34</v>
      </c>
    </row>
    <row r="1396" spans="1:16" x14ac:dyDescent="0.25">
      <c r="A1396" t="s">
        <v>3426</v>
      </c>
      <c r="B1396" s="6">
        <v>45175</v>
      </c>
      <c r="C1396">
        <v>4714</v>
      </c>
      <c r="D1396" t="s">
        <v>3428</v>
      </c>
      <c r="E1396" t="s">
        <v>18</v>
      </c>
      <c r="F1396" t="s">
        <v>19</v>
      </c>
      <c r="G1396">
        <v>13782.65</v>
      </c>
      <c r="H1396">
        <v>7357.8</v>
      </c>
      <c r="I1396" t="s">
        <v>53</v>
      </c>
      <c r="J1396" t="s">
        <v>54</v>
      </c>
      <c r="K1396" t="s">
        <v>22</v>
      </c>
      <c r="L1396" t="s">
        <v>55</v>
      </c>
      <c r="M1396">
        <v>2</v>
      </c>
      <c r="N1396" t="s">
        <v>24</v>
      </c>
      <c r="O1396" t="s">
        <v>25</v>
      </c>
      <c r="P1396" t="s">
        <v>49</v>
      </c>
    </row>
    <row r="1397" spans="1:16" x14ac:dyDescent="0.25">
      <c r="A1397" t="s">
        <v>3429</v>
      </c>
      <c r="B1397" s="6">
        <v>44818</v>
      </c>
      <c r="C1397">
        <v>1241</v>
      </c>
      <c r="D1397" t="s">
        <v>3431</v>
      </c>
      <c r="E1397" t="s">
        <v>18</v>
      </c>
      <c r="F1397" t="s">
        <v>39</v>
      </c>
      <c r="G1397">
        <v>28493.95</v>
      </c>
      <c r="H1397">
        <v>16635.509999999998</v>
      </c>
      <c r="I1397" t="s">
        <v>31</v>
      </c>
      <c r="J1397" t="s">
        <v>21</v>
      </c>
      <c r="K1397" t="s">
        <v>42</v>
      </c>
      <c r="L1397" t="s">
        <v>23</v>
      </c>
      <c r="M1397">
        <v>2</v>
      </c>
      <c r="N1397" t="s">
        <v>33</v>
      </c>
      <c r="O1397" t="s">
        <v>25</v>
      </c>
      <c r="P1397" t="s">
        <v>26</v>
      </c>
    </row>
    <row r="1398" spans="1:16" x14ac:dyDescent="0.25">
      <c r="A1398" t="s">
        <v>3432</v>
      </c>
      <c r="B1398" s="6">
        <v>44027</v>
      </c>
      <c r="C1398">
        <v>7265</v>
      </c>
      <c r="D1398" t="s">
        <v>3434</v>
      </c>
      <c r="E1398" t="s">
        <v>38</v>
      </c>
      <c r="F1398" t="s">
        <v>39</v>
      </c>
      <c r="G1398">
        <v>31453.4</v>
      </c>
      <c r="H1398">
        <v>15786.97</v>
      </c>
      <c r="I1398" t="s">
        <v>63</v>
      </c>
      <c r="J1398" t="s">
        <v>54</v>
      </c>
      <c r="K1398" t="s">
        <v>80</v>
      </c>
      <c r="L1398" t="s">
        <v>55</v>
      </c>
      <c r="M1398">
        <v>4</v>
      </c>
      <c r="N1398" t="s">
        <v>69</v>
      </c>
      <c r="O1398" t="s">
        <v>70</v>
      </c>
      <c r="P1398" t="s">
        <v>34</v>
      </c>
    </row>
    <row r="1399" spans="1:16" x14ac:dyDescent="0.25">
      <c r="A1399" t="s">
        <v>3435</v>
      </c>
      <c r="B1399" s="6">
        <v>44383</v>
      </c>
      <c r="C1399">
        <v>2465</v>
      </c>
      <c r="D1399" t="s">
        <v>3437</v>
      </c>
      <c r="E1399" t="s">
        <v>38</v>
      </c>
      <c r="F1399" t="s">
        <v>19</v>
      </c>
      <c r="G1399">
        <v>4382.25</v>
      </c>
      <c r="H1399">
        <v>2073.19</v>
      </c>
      <c r="I1399" t="s">
        <v>84</v>
      </c>
      <c r="J1399" t="s">
        <v>54</v>
      </c>
      <c r="K1399" t="s">
        <v>80</v>
      </c>
      <c r="L1399" t="s">
        <v>88</v>
      </c>
      <c r="M1399">
        <v>2</v>
      </c>
      <c r="N1399" t="s">
        <v>33</v>
      </c>
      <c r="O1399" t="s">
        <v>25</v>
      </c>
      <c r="P1399" t="s">
        <v>26</v>
      </c>
    </row>
    <row r="1400" spans="1:16" x14ac:dyDescent="0.25">
      <c r="A1400" t="s">
        <v>3438</v>
      </c>
      <c r="B1400" s="6">
        <v>45624</v>
      </c>
      <c r="C1400">
        <v>5227</v>
      </c>
      <c r="D1400" t="s">
        <v>3439</v>
      </c>
      <c r="E1400" t="s">
        <v>18</v>
      </c>
      <c r="F1400" t="s">
        <v>58</v>
      </c>
      <c r="G1400">
        <v>27654.85</v>
      </c>
      <c r="H1400">
        <v>13616.59</v>
      </c>
      <c r="I1400" t="s">
        <v>53</v>
      </c>
      <c r="J1400" t="s">
        <v>54</v>
      </c>
      <c r="K1400" t="s">
        <v>22</v>
      </c>
      <c r="L1400" t="s">
        <v>43</v>
      </c>
      <c r="M1400">
        <v>5</v>
      </c>
      <c r="N1400" t="s">
        <v>69</v>
      </c>
      <c r="O1400" t="s">
        <v>25</v>
      </c>
      <c r="P1400" t="s">
        <v>34</v>
      </c>
    </row>
    <row r="1401" spans="1:16" x14ac:dyDescent="0.25">
      <c r="A1401" t="s">
        <v>3440</v>
      </c>
      <c r="B1401" s="6">
        <v>44202</v>
      </c>
      <c r="C1401">
        <v>2755</v>
      </c>
      <c r="D1401" t="s">
        <v>3441</v>
      </c>
      <c r="E1401" t="s">
        <v>38</v>
      </c>
      <c r="F1401" t="s">
        <v>30</v>
      </c>
      <c r="G1401">
        <v>47472.63</v>
      </c>
      <c r="H1401">
        <v>29048.400000000001</v>
      </c>
      <c r="I1401" t="s">
        <v>120</v>
      </c>
      <c r="J1401" t="s">
        <v>21</v>
      </c>
      <c r="K1401" t="s">
        <v>22</v>
      </c>
      <c r="L1401" t="s">
        <v>88</v>
      </c>
      <c r="M1401">
        <v>2</v>
      </c>
      <c r="N1401" t="s">
        <v>33</v>
      </c>
      <c r="O1401" t="s">
        <v>25</v>
      </c>
      <c r="P1401" t="s">
        <v>26</v>
      </c>
    </row>
    <row r="1402" spans="1:16" x14ac:dyDescent="0.25">
      <c r="A1402" t="s">
        <v>3442</v>
      </c>
      <c r="B1402" s="6">
        <v>45573</v>
      </c>
      <c r="C1402">
        <v>5764</v>
      </c>
      <c r="D1402" t="s">
        <v>3443</v>
      </c>
      <c r="E1402" t="s">
        <v>38</v>
      </c>
      <c r="F1402" t="s">
        <v>39</v>
      </c>
      <c r="G1402">
        <v>45789.3</v>
      </c>
      <c r="H1402">
        <v>22849.48</v>
      </c>
      <c r="I1402" t="s">
        <v>84</v>
      </c>
      <c r="J1402" t="s">
        <v>54</v>
      </c>
      <c r="K1402" t="s">
        <v>42</v>
      </c>
      <c r="L1402" t="s">
        <v>23</v>
      </c>
      <c r="M1402">
        <v>3</v>
      </c>
      <c r="N1402" t="s">
        <v>24</v>
      </c>
      <c r="O1402" t="s">
        <v>25</v>
      </c>
      <c r="P1402" t="s">
        <v>34</v>
      </c>
    </row>
    <row r="1403" spans="1:16" x14ac:dyDescent="0.25">
      <c r="A1403" t="s">
        <v>3444</v>
      </c>
      <c r="B1403" s="6">
        <v>44817</v>
      </c>
      <c r="C1403">
        <v>5252</v>
      </c>
      <c r="D1403" t="s">
        <v>3446</v>
      </c>
      <c r="E1403" t="s">
        <v>18</v>
      </c>
      <c r="F1403" t="s">
        <v>47</v>
      </c>
      <c r="G1403">
        <v>10358.76</v>
      </c>
      <c r="H1403">
        <v>6360.82</v>
      </c>
      <c r="I1403" t="s">
        <v>63</v>
      </c>
      <c r="J1403" t="s">
        <v>54</v>
      </c>
      <c r="K1403" t="s">
        <v>80</v>
      </c>
      <c r="L1403" t="s">
        <v>55</v>
      </c>
      <c r="M1403">
        <v>3</v>
      </c>
      <c r="N1403" t="s">
        <v>24</v>
      </c>
      <c r="O1403" t="s">
        <v>25</v>
      </c>
      <c r="P1403" t="s">
        <v>34</v>
      </c>
    </row>
    <row r="1404" spans="1:16" x14ac:dyDescent="0.25">
      <c r="A1404" t="s">
        <v>3447</v>
      </c>
      <c r="B1404" s="6">
        <v>45521</v>
      </c>
      <c r="C1404">
        <v>6398</v>
      </c>
      <c r="D1404" t="s">
        <v>3448</v>
      </c>
      <c r="E1404" t="s">
        <v>18</v>
      </c>
      <c r="F1404" t="s">
        <v>58</v>
      </c>
      <c r="G1404">
        <v>16196.87</v>
      </c>
      <c r="H1404">
        <v>9207.19</v>
      </c>
      <c r="I1404" t="s">
        <v>20</v>
      </c>
      <c r="J1404" t="s">
        <v>21</v>
      </c>
      <c r="K1404" t="s">
        <v>80</v>
      </c>
      <c r="L1404" t="s">
        <v>43</v>
      </c>
      <c r="M1404">
        <v>1</v>
      </c>
      <c r="N1404" t="s">
        <v>33</v>
      </c>
      <c r="O1404" t="s">
        <v>25</v>
      </c>
      <c r="P1404" t="s">
        <v>34</v>
      </c>
    </row>
    <row r="1405" spans="1:16" x14ac:dyDescent="0.25">
      <c r="A1405" t="s">
        <v>3449</v>
      </c>
      <c r="B1405" s="6">
        <v>45233</v>
      </c>
      <c r="C1405">
        <v>3634</v>
      </c>
      <c r="D1405" t="s">
        <v>3451</v>
      </c>
      <c r="E1405" t="s">
        <v>18</v>
      </c>
      <c r="F1405" t="s">
        <v>58</v>
      </c>
      <c r="G1405">
        <v>30335.01</v>
      </c>
      <c r="H1405">
        <v>13765.18</v>
      </c>
      <c r="I1405" t="s">
        <v>40</v>
      </c>
      <c r="J1405" t="s">
        <v>41</v>
      </c>
      <c r="K1405" t="s">
        <v>42</v>
      </c>
      <c r="L1405" t="s">
        <v>88</v>
      </c>
      <c r="M1405">
        <v>4</v>
      </c>
      <c r="N1405" t="s">
        <v>24</v>
      </c>
      <c r="O1405" t="s">
        <v>70</v>
      </c>
      <c r="P1405" t="s">
        <v>34</v>
      </c>
    </row>
    <row r="1406" spans="1:16" x14ac:dyDescent="0.25">
      <c r="A1406" t="s">
        <v>3452</v>
      </c>
      <c r="B1406" s="6">
        <v>44945</v>
      </c>
      <c r="C1406">
        <v>2059</v>
      </c>
      <c r="D1406" t="s">
        <v>3454</v>
      </c>
      <c r="E1406" t="s">
        <v>38</v>
      </c>
      <c r="F1406" t="s">
        <v>19</v>
      </c>
      <c r="G1406">
        <v>5721.61</v>
      </c>
      <c r="H1406">
        <v>3101.91</v>
      </c>
      <c r="I1406" t="s">
        <v>120</v>
      </c>
      <c r="J1406" t="s">
        <v>21</v>
      </c>
      <c r="K1406" t="s">
        <v>22</v>
      </c>
      <c r="L1406" t="s">
        <v>43</v>
      </c>
      <c r="M1406">
        <v>4</v>
      </c>
      <c r="N1406" t="s">
        <v>33</v>
      </c>
      <c r="O1406" t="s">
        <v>25</v>
      </c>
      <c r="P1406" t="s">
        <v>34</v>
      </c>
    </row>
    <row r="1407" spans="1:16" x14ac:dyDescent="0.25">
      <c r="A1407" t="s">
        <v>3455</v>
      </c>
      <c r="B1407" s="6">
        <v>45044</v>
      </c>
      <c r="C1407">
        <v>2002</v>
      </c>
      <c r="D1407" t="s">
        <v>3456</v>
      </c>
      <c r="E1407" t="s">
        <v>18</v>
      </c>
      <c r="F1407" t="s">
        <v>30</v>
      </c>
      <c r="G1407">
        <v>22002.14</v>
      </c>
      <c r="H1407">
        <v>11300.52</v>
      </c>
      <c r="I1407" t="s">
        <v>120</v>
      </c>
      <c r="J1407" t="s">
        <v>21</v>
      </c>
      <c r="K1407" t="s">
        <v>32</v>
      </c>
      <c r="L1407" t="s">
        <v>43</v>
      </c>
      <c r="M1407">
        <v>1</v>
      </c>
      <c r="N1407" t="s">
        <v>24</v>
      </c>
      <c r="O1407" t="s">
        <v>70</v>
      </c>
      <c r="P1407" t="s">
        <v>34</v>
      </c>
    </row>
    <row r="1408" spans="1:16" x14ac:dyDescent="0.25">
      <c r="A1408" t="s">
        <v>3457</v>
      </c>
      <c r="B1408" s="6">
        <v>44797</v>
      </c>
      <c r="C1408">
        <v>3966</v>
      </c>
      <c r="D1408" t="s">
        <v>3458</v>
      </c>
      <c r="E1408" t="s">
        <v>38</v>
      </c>
      <c r="F1408" t="s">
        <v>30</v>
      </c>
      <c r="G1408">
        <v>11727.13</v>
      </c>
      <c r="H1408">
        <v>6596.8</v>
      </c>
      <c r="I1408" t="s">
        <v>59</v>
      </c>
      <c r="J1408" t="s">
        <v>41</v>
      </c>
      <c r="K1408" t="s">
        <v>42</v>
      </c>
      <c r="L1408" t="s">
        <v>88</v>
      </c>
      <c r="M1408">
        <v>4</v>
      </c>
      <c r="N1408" t="s">
        <v>24</v>
      </c>
      <c r="O1408" t="s">
        <v>25</v>
      </c>
      <c r="P1408" t="s">
        <v>26</v>
      </c>
    </row>
    <row r="1409" spans="1:16" x14ac:dyDescent="0.25">
      <c r="A1409" t="s">
        <v>3459</v>
      </c>
      <c r="B1409" s="6">
        <v>45315</v>
      </c>
      <c r="C1409">
        <v>7825</v>
      </c>
      <c r="D1409" t="s">
        <v>3461</v>
      </c>
      <c r="E1409" t="s">
        <v>38</v>
      </c>
      <c r="F1409" t="s">
        <v>30</v>
      </c>
      <c r="G1409">
        <v>28405.34</v>
      </c>
      <c r="H1409">
        <v>12840.84</v>
      </c>
      <c r="I1409" t="s">
        <v>68</v>
      </c>
      <c r="J1409" t="s">
        <v>41</v>
      </c>
      <c r="K1409" t="s">
        <v>80</v>
      </c>
      <c r="L1409" t="s">
        <v>48</v>
      </c>
      <c r="M1409">
        <v>2</v>
      </c>
      <c r="N1409" t="s">
        <v>33</v>
      </c>
      <c r="O1409" t="s">
        <v>70</v>
      </c>
      <c r="P1409" t="s">
        <v>49</v>
      </c>
    </row>
    <row r="1410" spans="1:16" x14ac:dyDescent="0.25">
      <c r="A1410" t="s">
        <v>3462</v>
      </c>
      <c r="B1410" s="6">
        <v>45132</v>
      </c>
      <c r="C1410">
        <v>7841</v>
      </c>
      <c r="D1410" t="s">
        <v>3463</v>
      </c>
      <c r="E1410" t="s">
        <v>18</v>
      </c>
      <c r="F1410" t="s">
        <v>58</v>
      </c>
      <c r="G1410">
        <v>29326.35</v>
      </c>
      <c r="H1410">
        <v>13932.25</v>
      </c>
      <c r="I1410" t="s">
        <v>53</v>
      </c>
      <c r="J1410" t="s">
        <v>54</v>
      </c>
      <c r="K1410" t="s">
        <v>80</v>
      </c>
      <c r="L1410" t="s">
        <v>48</v>
      </c>
      <c r="M1410">
        <v>5</v>
      </c>
      <c r="N1410" t="s">
        <v>69</v>
      </c>
      <c r="O1410" t="s">
        <v>70</v>
      </c>
      <c r="P1410" t="s">
        <v>34</v>
      </c>
    </row>
    <row r="1411" spans="1:16" x14ac:dyDescent="0.25">
      <c r="A1411" t="s">
        <v>3464</v>
      </c>
      <c r="B1411" s="6">
        <v>44829</v>
      </c>
      <c r="C1411">
        <v>4829</v>
      </c>
      <c r="D1411" t="s">
        <v>3466</v>
      </c>
      <c r="E1411" t="s">
        <v>18</v>
      </c>
      <c r="F1411" t="s">
        <v>58</v>
      </c>
      <c r="G1411">
        <v>7596.58</v>
      </c>
      <c r="H1411">
        <v>3926.84</v>
      </c>
      <c r="I1411" t="s">
        <v>40</v>
      </c>
      <c r="J1411" t="s">
        <v>41</v>
      </c>
      <c r="K1411" t="s">
        <v>42</v>
      </c>
      <c r="L1411" t="s">
        <v>23</v>
      </c>
      <c r="M1411">
        <v>3</v>
      </c>
      <c r="N1411" t="s">
        <v>33</v>
      </c>
      <c r="O1411" t="s">
        <v>70</v>
      </c>
      <c r="P1411" t="s">
        <v>49</v>
      </c>
    </row>
    <row r="1412" spans="1:16" x14ac:dyDescent="0.25">
      <c r="A1412" t="s">
        <v>3467</v>
      </c>
      <c r="B1412" s="6">
        <v>45222</v>
      </c>
      <c r="C1412">
        <v>2373</v>
      </c>
      <c r="D1412" t="s">
        <v>3468</v>
      </c>
      <c r="E1412" t="s">
        <v>38</v>
      </c>
      <c r="F1412" t="s">
        <v>19</v>
      </c>
      <c r="G1412">
        <v>13966.32</v>
      </c>
      <c r="H1412">
        <v>7540.06</v>
      </c>
      <c r="I1412" t="s">
        <v>31</v>
      </c>
      <c r="J1412" t="s">
        <v>21</v>
      </c>
      <c r="K1412" t="s">
        <v>42</v>
      </c>
      <c r="L1412" t="s">
        <v>55</v>
      </c>
      <c r="M1412">
        <v>3</v>
      </c>
      <c r="N1412" t="s">
        <v>33</v>
      </c>
      <c r="O1412" t="s">
        <v>70</v>
      </c>
      <c r="P1412" t="s">
        <v>34</v>
      </c>
    </row>
    <row r="1413" spans="1:16" x14ac:dyDescent="0.25">
      <c r="A1413" t="s">
        <v>3469</v>
      </c>
      <c r="B1413" s="6">
        <v>45164</v>
      </c>
      <c r="C1413">
        <v>6554</v>
      </c>
      <c r="D1413" t="s">
        <v>3471</v>
      </c>
      <c r="E1413" t="s">
        <v>38</v>
      </c>
      <c r="F1413" t="s">
        <v>19</v>
      </c>
      <c r="G1413">
        <v>9926.3700000000008</v>
      </c>
      <c r="H1413">
        <v>5333.11</v>
      </c>
      <c r="I1413" t="s">
        <v>63</v>
      </c>
      <c r="J1413" t="s">
        <v>54</v>
      </c>
      <c r="K1413" t="s">
        <v>22</v>
      </c>
      <c r="L1413" t="s">
        <v>43</v>
      </c>
      <c r="M1413">
        <v>1</v>
      </c>
      <c r="N1413" t="s">
        <v>33</v>
      </c>
      <c r="O1413" t="s">
        <v>70</v>
      </c>
      <c r="P1413" t="s">
        <v>34</v>
      </c>
    </row>
    <row r="1414" spans="1:16" x14ac:dyDescent="0.25">
      <c r="A1414" t="s">
        <v>3472</v>
      </c>
      <c r="B1414" s="6">
        <v>45358</v>
      </c>
      <c r="C1414">
        <v>4379</v>
      </c>
      <c r="D1414" t="s">
        <v>138</v>
      </c>
      <c r="E1414" t="s">
        <v>18</v>
      </c>
      <c r="F1414" t="s">
        <v>30</v>
      </c>
      <c r="G1414">
        <v>24530.17</v>
      </c>
      <c r="H1414">
        <v>11902.35</v>
      </c>
      <c r="I1414" t="s">
        <v>63</v>
      </c>
      <c r="J1414" t="s">
        <v>54</v>
      </c>
      <c r="K1414" t="s">
        <v>32</v>
      </c>
      <c r="L1414" t="s">
        <v>64</v>
      </c>
      <c r="M1414">
        <v>1</v>
      </c>
      <c r="N1414" t="s">
        <v>33</v>
      </c>
      <c r="O1414" t="s">
        <v>25</v>
      </c>
      <c r="P1414" t="s">
        <v>34</v>
      </c>
    </row>
    <row r="1415" spans="1:16" x14ac:dyDescent="0.25">
      <c r="A1415" t="s">
        <v>3473</v>
      </c>
      <c r="B1415" s="6">
        <v>44623</v>
      </c>
      <c r="C1415">
        <v>2746</v>
      </c>
      <c r="D1415" t="s">
        <v>3475</v>
      </c>
      <c r="E1415" t="s">
        <v>38</v>
      </c>
      <c r="F1415" t="s">
        <v>47</v>
      </c>
      <c r="G1415">
        <v>3416.08</v>
      </c>
      <c r="H1415">
        <v>2069.7600000000002</v>
      </c>
      <c r="I1415" t="s">
        <v>40</v>
      </c>
      <c r="J1415" t="s">
        <v>41</v>
      </c>
      <c r="K1415" t="s">
        <v>32</v>
      </c>
      <c r="L1415" t="s">
        <v>43</v>
      </c>
      <c r="M1415">
        <v>5</v>
      </c>
      <c r="N1415" t="s">
        <v>33</v>
      </c>
      <c r="O1415" t="s">
        <v>25</v>
      </c>
      <c r="P1415" t="s">
        <v>49</v>
      </c>
    </row>
    <row r="1416" spans="1:16" x14ac:dyDescent="0.25">
      <c r="A1416" t="s">
        <v>3476</v>
      </c>
      <c r="B1416" s="6">
        <v>44615</v>
      </c>
      <c r="C1416">
        <v>1128</v>
      </c>
      <c r="D1416" t="s">
        <v>3478</v>
      </c>
      <c r="E1416" t="s">
        <v>18</v>
      </c>
      <c r="F1416" t="s">
        <v>39</v>
      </c>
      <c r="G1416">
        <v>31546.76</v>
      </c>
      <c r="H1416">
        <v>19284.36</v>
      </c>
      <c r="I1416" t="s">
        <v>84</v>
      </c>
      <c r="J1416" t="s">
        <v>54</v>
      </c>
      <c r="K1416" t="s">
        <v>32</v>
      </c>
      <c r="L1416" t="s">
        <v>55</v>
      </c>
      <c r="M1416">
        <v>2</v>
      </c>
      <c r="N1416" t="s">
        <v>24</v>
      </c>
      <c r="O1416" t="s">
        <v>70</v>
      </c>
      <c r="P1416" t="s">
        <v>49</v>
      </c>
    </row>
    <row r="1417" spans="1:16" x14ac:dyDescent="0.25">
      <c r="A1417" t="s">
        <v>3479</v>
      </c>
      <c r="B1417" s="6">
        <v>45428</v>
      </c>
      <c r="C1417">
        <v>7512</v>
      </c>
      <c r="D1417" t="s">
        <v>3480</v>
      </c>
      <c r="E1417" t="s">
        <v>38</v>
      </c>
      <c r="F1417" t="s">
        <v>58</v>
      </c>
      <c r="G1417">
        <v>32914.82</v>
      </c>
      <c r="H1417">
        <v>15321.4</v>
      </c>
      <c r="I1417" t="s">
        <v>20</v>
      </c>
      <c r="J1417" t="s">
        <v>21</v>
      </c>
      <c r="K1417" t="s">
        <v>80</v>
      </c>
      <c r="L1417" t="s">
        <v>43</v>
      </c>
      <c r="M1417">
        <v>1</v>
      </c>
      <c r="N1417" t="s">
        <v>69</v>
      </c>
      <c r="O1417" t="s">
        <v>25</v>
      </c>
      <c r="P1417" t="s">
        <v>26</v>
      </c>
    </row>
    <row r="1418" spans="1:16" x14ac:dyDescent="0.25">
      <c r="A1418" t="s">
        <v>3481</v>
      </c>
      <c r="B1418" s="6">
        <v>44217</v>
      </c>
      <c r="C1418">
        <v>1176</v>
      </c>
      <c r="D1418" t="s">
        <v>2067</v>
      </c>
      <c r="E1418" t="s">
        <v>18</v>
      </c>
      <c r="F1418" t="s">
        <v>39</v>
      </c>
      <c r="G1418">
        <v>10588.73</v>
      </c>
      <c r="H1418">
        <v>5184.84</v>
      </c>
      <c r="I1418" t="s">
        <v>68</v>
      </c>
      <c r="J1418" t="s">
        <v>41</v>
      </c>
      <c r="K1418" t="s">
        <v>32</v>
      </c>
      <c r="L1418" t="s">
        <v>64</v>
      </c>
      <c r="M1418">
        <v>4</v>
      </c>
      <c r="N1418" t="s">
        <v>33</v>
      </c>
      <c r="O1418" t="s">
        <v>70</v>
      </c>
      <c r="P1418" t="s">
        <v>34</v>
      </c>
    </row>
    <row r="1419" spans="1:16" x14ac:dyDescent="0.25">
      <c r="A1419" t="s">
        <v>3482</v>
      </c>
      <c r="B1419" s="6">
        <v>44850</v>
      </c>
      <c r="C1419">
        <v>8267</v>
      </c>
      <c r="D1419" t="s">
        <v>3484</v>
      </c>
      <c r="E1419" t="s">
        <v>38</v>
      </c>
      <c r="F1419" t="s">
        <v>47</v>
      </c>
      <c r="G1419">
        <v>14736.1</v>
      </c>
      <c r="H1419">
        <v>9330.5400000000009</v>
      </c>
      <c r="I1419" t="s">
        <v>20</v>
      </c>
      <c r="J1419" t="s">
        <v>21</v>
      </c>
      <c r="K1419" t="s">
        <v>22</v>
      </c>
      <c r="L1419" t="s">
        <v>43</v>
      </c>
      <c r="M1419">
        <v>2</v>
      </c>
      <c r="N1419" t="s">
        <v>69</v>
      </c>
      <c r="O1419" t="s">
        <v>25</v>
      </c>
      <c r="P1419" t="s">
        <v>34</v>
      </c>
    </row>
    <row r="1420" spans="1:16" x14ac:dyDescent="0.25">
      <c r="A1420" t="s">
        <v>3485</v>
      </c>
      <c r="B1420" s="6">
        <v>44376</v>
      </c>
      <c r="C1420">
        <v>6325</v>
      </c>
      <c r="D1420" t="s">
        <v>3487</v>
      </c>
      <c r="E1420" t="s">
        <v>18</v>
      </c>
      <c r="F1420" t="s">
        <v>39</v>
      </c>
      <c r="G1420">
        <v>25553.61</v>
      </c>
      <c r="H1420">
        <v>12618.29</v>
      </c>
      <c r="I1420" t="s">
        <v>120</v>
      </c>
      <c r="J1420" t="s">
        <v>21</v>
      </c>
      <c r="K1420" t="s">
        <v>32</v>
      </c>
      <c r="L1420" t="s">
        <v>23</v>
      </c>
      <c r="M1420">
        <v>4</v>
      </c>
      <c r="N1420" t="s">
        <v>24</v>
      </c>
      <c r="O1420" t="s">
        <v>70</v>
      </c>
      <c r="P1420" t="s">
        <v>34</v>
      </c>
    </row>
    <row r="1421" spans="1:16" x14ac:dyDescent="0.25">
      <c r="A1421" t="s">
        <v>3488</v>
      </c>
      <c r="B1421" s="6">
        <v>45125</v>
      </c>
      <c r="C1421">
        <v>6702</v>
      </c>
      <c r="D1421" t="s">
        <v>3489</v>
      </c>
      <c r="E1421" t="s">
        <v>18</v>
      </c>
      <c r="F1421" t="s">
        <v>58</v>
      </c>
      <c r="G1421">
        <v>26279.63</v>
      </c>
      <c r="H1421">
        <v>15885.53</v>
      </c>
      <c r="I1421" t="s">
        <v>63</v>
      </c>
      <c r="J1421" t="s">
        <v>54</v>
      </c>
      <c r="K1421" t="s">
        <v>80</v>
      </c>
      <c r="L1421" t="s">
        <v>55</v>
      </c>
      <c r="M1421">
        <v>2</v>
      </c>
      <c r="N1421" t="s">
        <v>69</v>
      </c>
      <c r="O1421" t="s">
        <v>70</v>
      </c>
      <c r="P1421" t="s">
        <v>34</v>
      </c>
    </row>
    <row r="1422" spans="1:16" x14ac:dyDescent="0.25">
      <c r="A1422" t="s">
        <v>3490</v>
      </c>
      <c r="B1422" s="6">
        <v>45012</v>
      </c>
      <c r="C1422">
        <v>5976</v>
      </c>
      <c r="D1422" t="s">
        <v>3491</v>
      </c>
      <c r="E1422" t="s">
        <v>38</v>
      </c>
      <c r="F1422" t="s">
        <v>47</v>
      </c>
      <c r="G1422">
        <v>20307.23</v>
      </c>
      <c r="H1422">
        <v>11526.84</v>
      </c>
      <c r="I1422" t="s">
        <v>53</v>
      </c>
      <c r="J1422" t="s">
        <v>54</v>
      </c>
      <c r="K1422" t="s">
        <v>42</v>
      </c>
      <c r="L1422" t="s">
        <v>43</v>
      </c>
      <c r="M1422">
        <v>5</v>
      </c>
      <c r="N1422" t="s">
        <v>33</v>
      </c>
      <c r="O1422" t="s">
        <v>25</v>
      </c>
      <c r="P1422" t="s">
        <v>26</v>
      </c>
    </row>
    <row r="1423" spans="1:16" x14ac:dyDescent="0.25">
      <c r="A1423" t="s">
        <v>3492</v>
      </c>
      <c r="B1423" s="6">
        <v>45506</v>
      </c>
      <c r="C1423">
        <v>6953</v>
      </c>
      <c r="D1423" t="s">
        <v>3493</v>
      </c>
      <c r="E1423" t="s">
        <v>38</v>
      </c>
      <c r="F1423" t="s">
        <v>30</v>
      </c>
      <c r="G1423">
        <v>92241.99</v>
      </c>
      <c r="H1423">
        <v>41909.230000000003</v>
      </c>
      <c r="I1423" t="s">
        <v>31</v>
      </c>
      <c r="J1423" t="s">
        <v>21</v>
      </c>
      <c r="K1423" t="s">
        <v>22</v>
      </c>
      <c r="L1423" t="s">
        <v>43</v>
      </c>
      <c r="M1423">
        <v>1</v>
      </c>
      <c r="N1423" t="s">
        <v>24</v>
      </c>
      <c r="O1423" t="s">
        <v>70</v>
      </c>
      <c r="P1423" t="s">
        <v>49</v>
      </c>
    </row>
    <row r="1424" spans="1:16" x14ac:dyDescent="0.25">
      <c r="A1424" t="s">
        <v>3494</v>
      </c>
      <c r="B1424" s="6">
        <v>44236</v>
      </c>
      <c r="C1424">
        <v>5903</v>
      </c>
      <c r="D1424" t="s">
        <v>3495</v>
      </c>
      <c r="E1424" t="s">
        <v>18</v>
      </c>
      <c r="F1424" t="s">
        <v>30</v>
      </c>
      <c r="G1424">
        <v>36489.129999999997</v>
      </c>
      <c r="H1424">
        <v>18459.8</v>
      </c>
      <c r="I1424" t="s">
        <v>68</v>
      </c>
      <c r="J1424" t="s">
        <v>41</v>
      </c>
      <c r="K1424" t="s">
        <v>22</v>
      </c>
      <c r="L1424" t="s">
        <v>43</v>
      </c>
      <c r="M1424">
        <v>2</v>
      </c>
      <c r="N1424" t="s">
        <v>33</v>
      </c>
      <c r="O1424" t="s">
        <v>25</v>
      </c>
      <c r="P1424" t="s">
        <v>26</v>
      </c>
    </row>
    <row r="1425" spans="1:16" x14ac:dyDescent="0.25">
      <c r="A1425" t="s">
        <v>3496</v>
      </c>
      <c r="B1425" s="6">
        <v>44380</v>
      </c>
      <c r="C1425">
        <v>1667</v>
      </c>
      <c r="D1425" t="s">
        <v>3497</v>
      </c>
      <c r="E1425" t="s">
        <v>18</v>
      </c>
      <c r="F1425" t="s">
        <v>58</v>
      </c>
      <c r="G1425">
        <v>38713.83</v>
      </c>
      <c r="H1425">
        <v>24435.15</v>
      </c>
      <c r="I1425" t="s">
        <v>63</v>
      </c>
      <c r="J1425" t="s">
        <v>54</v>
      </c>
      <c r="K1425" t="s">
        <v>42</v>
      </c>
      <c r="L1425" t="s">
        <v>88</v>
      </c>
      <c r="M1425">
        <v>1</v>
      </c>
      <c r="N1425" t="s">
        <v>33</v>
      </c>
      <c r="O1425" t="s">
        <v>70</v>
      </c>
      <c r="P1425" t="s">
        <v>26</v>
      </c>
    </row>
    <row r="1426" spans="1:16" x14ac:dyDescent="0.25">
      <c r="A1426" t="s">
        <v>3498</v>
      </c>
      <c r="B1426" s="6">
        <v>45309</v>
      </c>
      <c r="C1426">
        <v>7632</v>
      </c>
      <c r="D1426" t="s">
        <v>3499</v>
      </c>
      <c r="E1426" t="s">
        <v>38</v>
      </c>
      <c r="F1426" t="s">
        <v>39</v>
      </c>
      <c r="G1426">
        <v>28068.47</v>
      </c>
      <c r="H1426">
        <v>13799.31</v>
      </c>
      <c r="I1426" t="s">
        <v>59</v>
      </c>
      <c r="J1426" t="s">
        <v>41</v>
      </c>
      <c r="K1426" t="s">
        <v>32</v>
      </c>
      <c r="L1426" t="s">
        <v>23</v>
      </c>
      <c r="M1426">
        <v>2</v>
      </c>
      <c r="N1426" t="s">
        <v>69</v>
      </c>
      <c r="O1426" t="s">
        <v>25</v>
      </c>
      <c r="P1426" t="s">
        <v>26</v>
      </c>
    </row>
    <row r="1427" spans="1:16" x14ac:dyDescent="0.25">
      <c r="A1427" t="s">
        <v>3500</v>
      </c>
      <c r="B1427" s="6">
        <v>44472</v>
      </c>
      <c r="C1427">
        <v>6682</v>
      </c>
      <c r="D1427" t="s">
        <v>3501</v>
      </c>
      <c r="E1427" t="s">
        <v>18</v>
      </c>
      <c r="F1427" t="s">
        <v>30</v>
      </c>
      <c r="G1427">
        <v>21357.54</v>
      </c>
      <c r="H1427">
        <v>13163.31</v>
      </c>
      <c r="I1427" t="s">
        <v>63</v>
      </c>
      <c r="J1427" t="s">
        <v>54</v>
      </c>
      <c r="K1427" t="s">
        <v>42</v>
      </c>
      <c r="L1427" t="s">
        <v>88</v>
      </c>
      <c r="M1427">
        <v>1</v>
      </c>
      <c r="N1427" t="s">
        <v>33</v>
      </c>
      <c r="O1427" t="s">
        <v>25</v>
      </c>
      <c r="P1427" t="s">
        <v>34</v>
      </c>
    </row>
    <row r="1428" spans="1:16" x14ac:dyDescent="0.25">
      <c r="A1428" t="s">
        <v>3502</v>
      </c>
      <c r="B1428" s="6">
        <v>45605</v>
      </c>
      <c r="C1428">
        <v>3193</v>
      </c>
      <c r="D1428" t="s">
        <v>3504</v>
      </c>
      <c r="E1428" t="s">
        <v>18</v>
      </c>
      <c r="F1428" t="s">
        <v>39</v>
      </c>
      <c r="G1428">
        <v>13613.56</v>
      </c>
      <c r="H1428">
        <v>6786.98</v>
      </c>
      <c r="I1428" t="s">
        <v>31</v>
      </c>
      <c r="J1428" t="s">
        <v>21</v>
      </c>
      <c r="K1428" t="s">
        <v>80</v>
      </c>
      <c r="L1428" t="s">
        <v>64</v>
      </c>
      <c r="M1428">
        <v>2</v>
      </c>
      <c r="N1428" t="s">
        <v>33</v>
      </c>
      <c r="O1428" t="s">
        <v>25</v>
      </c>
      <c r="P1428" t="s">
        <v>49</v>
      </c>
    </row>
    <row r="1429" spans="1:16" x14ac:dyDescent="0.25">
      <c r="A1429" t="s">
        <v>3505</v>
      </c>
      <c r="B1429" s="6">
        <v>43924</v>
      </c>
      <c r="C1429">
        <v>5394</v>
      </c>
      <c r="D1429" t="s">
        <v>3236</v>
      </c>
      <c r="E1429" t="s">
        <v>18</v>
      </c>
      <c r="F1429" t="s">
        <v>58</v>
      </c>
      <c r="G1429">
        <v>26059.7</v>
      </c>
      <c r="H1429">
        <v>16426.400000000001</v>
      </c>
      <c r="I1429" t="s">
        <v>63</v>
      </c>
      <c r="J1429" t="s">
        <v>54</v>
      </c>
      <c r="K1429" t="s">
        <v>42</v>
      </c>
      <c r="L1429" t="s">
        <v>43</v>
      </c>
      <c r="M1429">
        <v>1</v>
      </c>
      <c r="N1429" t="s">
        <v>24</v>
      </c>
      <c r="O1429" t="s">
        <v>25</v>
      </c>
      <c r="P1429" t="s">
        <v>34</v>
      </c>
    </row>
    <row r="1430" spans="1:16" x14ac:dyDescent="0.25">
      <c r="A1430" t="s">
        <v>3506</v>
      </c>
      <c r="B1430" s="6">
        <v>44767</v>
      </c>
      <c r="C1430">
        <v>7939</v>
      </c>
      <c r="D1430" t="s">
        <v>1925</v>
      </c>
      <c r="E1430" t="s">
        <v>38</v>
      </c>
      <c r="F1430" t="s">
        <v>58</v>
      </c>
      <c r="G1430">
        <v>30621.29</v>
      </c>
      <c r="H1430">
        <v>14705.23</v>
      </c>
      <c r="I1430" t="s">
        <v>63</v>
      </c>
      <c r="J1430" t="s">
        <v>54</v>
      </c>
      <c r="K1430" t="s">
        <v>80</v>
      </c>
      <c r="L1430" t="s">
        <v>88</v>
      </c>
      <c r="M1430">
        <v>4</v>
      </c>
      <c r="N1430" t="s">
        <v>33</v>
      </c>
      <c r="O1430" t="s">
        <v>70</v>
      </c>
      <c r="P1430" t="s">
        <v>49</v>
      </c>
    </row>
    <row r="1431" spans="1:16" x14ac:dyDescent="0.25">
      <c r="A1431" t="s">
        <v>3507</v>
      </c>
      <c r="B1431" s="6">
        <v>44679</v>
      </c>
      <c r="C1431">
        <v>1073</v>
      </c>
      <c r="D1431" t="s">
        <v>3509</v>
      </c>
      <c r="E1431" t="s">
        <v>18</v>
      </c>
      <c r="F1431" t="s">
        <v>30</v>
      </c>
      <c r="G1431">
        <v>72202.399999999994</v>
      </c>
      <c r="H1431">
        <v>45189.45</v>
      </c>
      <c r="I1431" t="s">
        <v>84</v>
      </c>
      <c r="J1431" t="s">
        <v>54</v>
      </c>
      <c r="K1431" t="s">
        <v>42</v>
      </c>
      <c r="L1431" t="s">
        <v>88</v>
      </c>
      <c r="M1431">
        <v>2</v>
      </c>
      <c r="N1431" t="s">
        <v>33</v>
      </c>
      <c r="O1431" t="s">
        <v>25</v>
      </c>
      <c r="P1431" t="s">
        <v>49</v>
      </c>
    </row>
    <row r="1432" spans="1:16" x14ac:dyDescent="0.25">
      <c r="A1432" t="s">
        <v>3510</v>
      </c>
      <c r="B1432" s="6">
        <v>45473</v>
      </c>
      <c r="C1432">
        <v>6206</v>
      </c>
      <c r="D1432" t="s">
        <v>3511</v>
      </c>
      <c r="E1432" t="s">
        <v>18</v>
      </c>
      <c r="F1432" t="s">
        <v>19</v>
      </c>
      <c r="G1432">
        <v>11142.2</v>
      </c>
      <c r="H1432">
        <v>6618.01</v>
      </c>
      <c r="I1432" t="s">
        <v>53</v>
      </c>
      <c r="J1432" t="s">
        <v>54</v>
      </c>
      <c r="K1432" t="s">
        <v>32</v>
      </c>
      <c r="L1432" t="s">
        <v>55</v>
      </c>
      <c r="M1432">
        <v>5</v>
      </c>
      <c r="N1432" t="s">
        <v>24</v>
      </c>
      <c r="O1432" t="s">
        <v>25</v>
      </c>
      <c r="P1432" t="s">
        <v>49</v>
      </c>
    </row>
    <row r="1433" spans="1:16" x14ac:dyDescent="0.25">
      <c r="A1433" t="s">
        <v>3512</v>
      </c>
      <c r="B1433" s="6">
        <v>45229</v>
      </c>
      <c r="C1433">
        <v>3288</v>
      </c>
      <c r="D1433" t="s">
        <v>3513</v>
      </c>
      <c r="E1433" t="s">
        <v>38</v>
      </c>
      <c r="F1433" t="s">
        <v>47</v>
      </c>
      <c r="G1433">
        <v>7181.8</v>
      </c>
      <c r="H1433">
        <v>4630.57</v>
      </c>
      <c r="I1433" t="s">
        <v>40</v>
      </c>
      <c r="J1433" t="s">
        <v>41</v>
      </c>
      <c r="K1433" t="s">
        <v>42</v>
      </c>
      <c r="L1433" t="s">
        <v>48</v>
      </c>
      <c r="M1433">
        <v>3</v>
      </c>
      <c r="N1433" t="s">
        <v>69</v>
      </c>
      <c r="O1433" t="s">
        <v>25</v>
      </c>
      <c r="P1433" t="s">
        <v>26</v>
      </c>
    </row>
    <row r="1434" spans="1:16" x14ac:dyDescent="0.25">
      <c r="A1434" t="s">
        <v>3514</v>
      </c>
      <c r="B1434" s="6">
        <v>44907</v>
      </c>
      <c r="C1434">
        <v>9842</v>
      </c>
      <c r="D1434" t="s">
        <v>3515</v>
      </c>
      <c r="E1434" t="s">
        <v>18</v>
      </c>
      <c r="F1434" t="s">
        <v>19</v>
      </c>
      <c r="G1434">
        <v>12065.16</v>
      </c>
      <c r="H1434">
        <v>7205.2</v>
      </c>
      <c r="I1434" t="s">
        <v>20</v>
      </c>
      <c r="J1434" t="s">
        <v>21</v>
      </c>
      <c r="K1434" t="s">
        <v>22</v>
      </c>
      <c r="L1434" t="s">
        <v>88</v>
      </c>
      <c r="M1434">
        <v>5</v>
      </c>
      <c r="N1434" t="s">
        <v>24</v>
      </c>
      <c r="O1434" t="s">
        <v>25</v>
      </c>
      <c r="P1434" t="s">
        <v>34</v>
      </c>
    </row>
    <row r="1435" spans="1:16" x14ac:dyDescent="0.25">
      <c r="A1435" t="s">
        <v>3516</v>
      </c>
      <c r="B1435" s="6">
        <v>44317</v>
      </c>
      <c r="C1435">
        <v>8045</v>
      </c>
      <c r="D1435" t="s">
        <v>3517</v>
      </c>
      <c r="E1435" t="s">
        <v>38</v>
      </c>
      <c r="F1435" t="s">
        <v>58</v>
      </c>
      <c r="G1435">
        <v>9796.4</v>
      </c>
      <c r="H1435">
        <v>6118.06</v>
      </c>
      <c r="I1435" t="s">
        <v>31</v>
      </c>
      <c r="J1435" t="s">
        <v>21</v>
      </c>
      <c r="K1435" t="s">
        <v>22</v>
      </c>
      <c r="L1435" t="s">
        <v>23</v>
      </c>
      <c r="M1435">
        <v>3</v>
      </c>
      <c r="N1435" t="s">
        <v>24</v>
      </c>
      <c r="O1435" t="s">
        <v>25</v>
      </c>
      <c r="P1435" t="s">
        <v>34</v>
      </c>
    </row>
    <row r="1436" spans="1:16" x14ac:dyDescent="0.25">
      <c r="A1436" t="s">
        <v>3518</v>
      </c>
      <c r="B1436" s="6">
        <v>45252</v>
      </c>
      <c r="C1436">
        <v>6886</v>
      </c>
      <c r="D1436" t="s">
        <v>3519</v>
      </c>
      <c r="E1436" t="s">
        <v>18</v>
      </c>
      <c r="F1436" t="s">
        <v>58</v>
      </c>
      <c r="G1436">
        <v>33372.769999999997</v>
      </c>
      <c r="H1436">
        <v>18631.919999999998</v>
      </c>
      <c r="I1436" t="s">
        <v>59</v>
      </c>
      <c r="J1436" t="s">
        <v>41</v>
      </c>
      <c r="K1436" t="s">
        <v>42</v>
      </c>
      <c r="L1436" t="s">
        <v>48</v>
      </c>
      <c r="M1436">
        <v>4</v>
      </c>
      <c r="N1436" t="s">
        <v>24</v>
      </c>
      <c r="O1436" t="s">
        <v>25</v>
      </c>
      <c r="P1436" t="s">
        <v>34</v>
      </c>
    </row>
    <row r="1437" spans="1:16" x14ac:dyDescent="0.25">
      <c r="A1437" t="s">
        <v>3520</v>
      </c>
      <c r="B1437" s="6">
        <v>44808</v>
      </c>
      <c r="C1437">
        <v>3757</v>
      </c>
      <c r="D1437" t="s">
        <v>3522</v>
      </c>
      <c r="E1437" t="s">
        <v>38</v>
      </c>
      <c r="F1437" t="s">
        <v>19</v>
      </c>
      <c r="G1437">
        <v>7924.58</v>
      </c>
      <c r="H1437">
        <v>3909.52</v>
      </c>
      <c r="I1437" t="s">
        <v>20</v>
      </c>
      <c r="J1437" t="s">
        <v>21</v>
      </c>
      <c r="K1437" t="s">
        <v>42</v>
      </c>
      <c r="L1437" t="s">
        <v>48</v>
      </c>
      <c r="M1437">
        <v>3</v>
      </c>
      <c r="N1437" t="s">
        <v>33</v>
      </c>
      <c r="O1437" t="s">
        <v>25</v>
      </c>
      <c r="P1437" t="s">
        <v>26</v>
      </c>
    </row>
    <row r="1438" spans="1:16" x14ac:dyDescent="0.25">
      <c r="A1438" t="s">
        <v>3523</v>
      </c>
      <c r="B1438" s="6">
        <v>44616</v>
      </c>
      <c r="C1438">
        <v>4004</v>
      </c>
      <c r="D1438" t="s">
        <v>3524</v>
      </c>
      <c r="E1438" t="s">
        <v>38</v>
      </c>
      <c r="F1438" t="s">
        <v>58</v>
      </c>
      <c r="G1438">
        <v>34985.440000000002</v>
      </c>
      <c r="H1438">
        <v>20387.330000000002</v>
      </c>
      <c r="I1438" t="s">
        <v>20</v>
      </c>
      <c r="J1438" t="s">
        <v>21</v>
      </c>
      <c r="K1438" t="s">
        <v>80</v>
      </c>
      <c r="L1438" t="s">
        <v>23</v>
      </c>
      <c r="M1438">
        <v>3</v>
      </c>
      <c r="N1438" t="s">
        <v>33</v>
      </c>
      <c r="O1438" t="s">
        <v>25</v>
      </c>
      <c r="P1438" t="s">
        <v>26</v>
      </c>
    </row>
    <row r="1439" spans="1:16" x14ac:dyDescent="0.25">
      <c r="A1439" t="s">
        <v>3525</v>
      </c>
      <c r="B1439" s="6">
        <v>44973</v>
      </c>
      <c r="C1439">
        <v>3662</v>
      </c>
      <c r="D1439" t="s">
        <v>3526</v>
      </c>
      <c r="E1439" t="s">
        <v>18</v>
      </c>
      <c r="F1439" t="s">
        <v>47</v>
      </c>
      <c r="G1439">
        <v>16129.59</v>
      </c>
      <c r="H1439">
        <v>7539.58</v>
      </c>
      <c r="I1439" t="s">
        <v>120</v>
      </c>
      <c r="J1439" t="s">
        <v>21</v>
      </c>
      <c r="K1439" t="s">
        <v>32</v>
      </c>
      <c r="L1439" t="s">
        <v>43</v>
      </c>
      <c r="M1439">
        <v>1</v>
      </c>
      <c r="N1439" t="s">
        <v>24</v>
      </c>
      <c r="O1439" t="s">
        <v>70</v>
      </c>
      <c r="P1439" t="s">
        <v>49</v>
      </c>
    </row>
    <row r="1440" spans="1:16" x14ac:dyDescent="0.25">
      <c r="A1440" t="s">
        <v>3527</v>
      </c>
      <c r="B1440" s="6">
        <v>44630</v>
      </c>
      <c r="C1440">
        <v>7529</v>
      </c>
      <c r="D1440" t="s">
        <v>3528</v>
      </c>
      <c r="E1440" t="s">
        <v>18</v>
      </c>
      <c r="F1440" t="s">
        <v>47</v>
      </c>
      <c r="G1440">
        <v>6934.14</v>
      </c>
      <c r="H1440">
        <v>4272.88</v>
      </c>
      <c r="I1440" t="s">
        <v>63</v>
      </c>
      <c r="J1440" t="s">
        <v>54</v>
      </c>
      <c r="K1440" t="s">
        <v>42</v>
      </c>
      <c r="L1440" t="s">
        <v>55</v>
      </c>
      <c r="M1440">
        <v>5</v>
      </c>
      <c r="N1440" t="s">
        <v>33</v>
      </c>
      <c r="O1440" t="s">
        <v>25</v>
      </c>
      <c r="P1440" t="s">
        <v>26</v>
      </c>
    </row>
    <row r="1441" spans="1:16" x14ac:dyDescent="0.25">
      <c r="A1441" t="s">
        <v>3529</v>
      </c>
      <c r="B1441" s="6">
        <v>43949</v>
      </c>
      <c r="C1441">
        <v>2226</v>
      </c>
      <c r="D1441" t="s">
        <v>3530</v>
      </c>
      <c r="E1441" t="s">
        <v>18</v>
      </c>
      <c r="F1441" t="s">
        <v>19</v>
      </c>
      <c r="G1441">
        <v>10643.4</v>
      </c>
      <c r="H1441">
        <v>4969.2</v>
      </c>
      <c r="I1441" t="s">
        <v>120</v>
      </c>
      <c r="J1441" t="s">
        <v>21</v>
      </c>
      <c r="K1441" t="s">
        <v>32</v>
      </c>
      <c r="L1441" t="s">
        <v>23</v>
      </c>
      <c r="M1441">
        <v>3</v>
      </c>
      <c r="N1441" t="s">
        <v>24</v>
      </c>
      <c r="O1441" t="s">
        <v>25</v>
      </c>
      <c r="P1441" t="s">
        <v>26</v>
      </c>
    </row>
    <row r="1442" spans="1:16" x14ac:dyDescent="0.25">
      <c r="A1442" t="s">
        <v>3531</v>
      </c>
      <c r="B1442" s="6">
        <v>44134</v>
      </c>
      <c r="C1442">
        <v>7263</v>
      </c>
      <c r="D1442" t="s">
        <v>3489</v>
      </c>
      <c r="E1442" t="s">
        <v>18</v>
      </c>
      <c r="F1442" t="s">
        <v>47</v>
      </c>
      <c r="G1442">
        <v>10066.81</v>
      </c>
      <c r="H1442">
        <v>5375.42</v>
      </c>
      <c r="I1442" t="s">
        <v>53</v>
      </c>
      <c r="J1442" t="s">
        <v>54</v>
      </c>
      <c r="K1442" t="s">
        <v>22</v>
      </c>
      <c r="L1442" t="s">
        <v>43</v>
      </c>
      <c r="M1442">
        <v>2</v>
      </c>
      <c r="N1442" t="s">
        <v>24</v>
      </c>
      <c r="O1442" t="s">
        <v>70</v>
      </c>
      <c r="P1442" t="s">
        <v>34</v>
      </c>
    </row>
    <row r="1443" spans="1:16" x14ac:dyDescent="0.25">
      <c r="A1443" t="s">
        <v>3533</v>
      </c>
      <c r="B1443" s="6">
        <v>45141</v>
      </c>
      <c r="C1443">
        <v>8766</v>
      </c>
      <c r="D1443" t="s">
        <v>3535</v>
      </c>
      <c r="E1443" t="s">
        <v>38</v>
      </c>
      <c r="F1443" t="s">
        <v>58</v>
      </c>
      <c r="G1443">
        <v>55477.95</v>
      </c>
      <c r="H1443">
        <v>29302.59</v>
      </c>
      <c r="I1443" t="s">
        <v>53</v>
      </c>
      <c r="J1443" t="s">
        <v>54</v>
      </c>
      <c r="K1443" t="s">
        <v>32</v>
      </c>
      <c r="L1443" t="s">
        <v>48</v>
      </c>
      <c r="M1443">
        <v>5</v>
      </c>
      <c r="N1443" t="s">
        <v>24</v>
      </c>
      <c r="O1443" t="s">
        <v>25</v>
      </c>
      <c r="P1443" t="s">
        <v>26</v>
      </c>
    </row>
    <row r="1444" spans="1:16" x14ac:dyDescent="0.25">
      <c r="A1444" t="s">
        <v>3536</v>
      </c>
      <c r="B1444" s="6">
        <v>44413</v>
      </c>
      <c r="C1444">
        <v>8285</v>
      </c>
      <c r="D1444" t="s">
        <v>3537</v>
      </c>
      <c r="E1444" t="s">
        <v>38</v>
      </c>
      <c r="F1444" t="s">
        <v>30</v>
      </c>
      <c r="G1444">
        <v>51093.11</v>
      </c>
      <c r="H1444">
        <v>31753.24</v>
      </c>
      <c r="I1444" t="s">
        <v>20</v>
      </c>
      <c r="J1444" t="s">
        <v>21</v>
      </c>
      <c r="K1444" t="s">
        <v>22</v>
      </c>
      <c r="L1444" t="s">
        <v>23</v>
      </c>
      <c r="M1444">
        <v>2</v>
      </c>
      <c r="N1444" t="s">
        <v>24</v>
      </c>
      <c r="O1444" t="s">
        <v>25</v>
      </c>
      <c r="P1444" t="s">
        <v>49</v>
      </c>
    </row>
    <row r="1445" spans="1:16" x14ac:dyDescent="0.25">
      <c r="A1445" t="s">
        <v>3538</v>
      </c>
      <c r="B1445" s="6">
        <v>45514</v>
      </c>
      <c r="C1445">
        <v>3248</v>
      </c>
      <c r="D1445" t="s">
        <v>3539</v>
      </c>
      <c r="E1445" t="s">
        <v>18</v>
      </c>
      <c r="F1445" t="s">
        <v>39</v>
      </c>
      <c r="G1445">
        <v>28695.69</v>
      </c>
      <c r="H1445">
        <v>15146.1</v>
      </c>
      <c r="I1445" t="s">
        <v>40</v>
      </c>
      <c r="J1445" t="s">
        <v>41</v>
      </c>
      <c r="K1445" t="s">
        <v>42</v>
      </c>
      <c r="L1445" t="s">
        <v>88</v>
      </c>
      <c r="M1445">
        <v>1</v>
      </c>
      <c r="N1445" t="s">
        <v>69</v>
      </c>
      <c r="O1445" t="s">
        <v>25</v>
      </c>
      <c r="P1445" t="s">
        <v>26</v>
      </c>
    </row>
    <row r="1446" spans="1:16" x14ac:dyDescent="0.25">
      <c r="A1446" t="s">
        <v>3540</v>
      </c>
      <c r="B1446" s="6">
        <v>45171</v>
      </c>
      <c r="C1446">
        <v>1518</v>
      </c>
      <c r="D1446" t="s">
        <v>2565</v>
      </c>
      <c r="E1446" t="s">
        <v>38</v>
      </c>
      <c r="F1446" t="s">
        <v>47</v>
      </c>
      <c r="G1446">
        <v>15218.14</v>
      </c>
      <c r="H1446">
        <v>7482.54</v>
      </c>
      <c r="I1446" t="s">
        <v>31</v>
      </c>
      <c r="J1446" t="s">
        <v>21</v>
      </c>
      <c r="K1446" t="s">
        <v>42</v>
      </c>
      <c r="L1446" t="s">
        <v>43</v>
      </c>
      <c r="M1446">
        <v>3</v>
      </c>
      <c r="N1446" t="s">
        <v>33</v>
      </c>
      <c r="O1446" t="s">
        <v>70</v>
      </c>
      <c r="P1446" t="s">
        <v>34</v>
      </c>
    </row>
    <row r="1447" spans="1:16" x14ac:dyDescent="0.25">
      <c r="A1447" t="s">
        <v>3541</v>
      </c>
      <c r="B1447" s="6">
        <v>45343</v>
      </c>
      <c r="C1447">
        <v>8231</v>
      </c>
      <c r="D1447" t="s">
        <v>3542</v>
      </c>
      <c r="E1447" t="s">
        <v>18</v>
      </c>
      <c r="F1447" t="s">
        <v>30</v>
      </c>
      <c r="G1447">
        <v>79550.990000000005</v>
      </c>
      <c r="H1447">
        <v>49097.18</v>
      </c>
      <c r="I1447" t="s">
        <v>68</v>
      </c>
      <c r="J1447" t="s">
        <v>41</v>
      </c>
      <c r="K1447" t="s">
        <v>80</v>
      </c>
      <c r="L1447" t="s">
        <v>43</v>
      </c>
      <c r="M1447">
        <v>5</v>
      </c>
      <c r="N1447" t="s">
        <v>24</v>
      </c>
      <c r="O1447" t="s">
        <v>25</v>
      </c>
      <c r="P1447" t="s">
        <v>49</v>
      </c>
    </row>
    <row r="1448" spans="1:16" x14ac:dyDescent="0.25">
      <c r="A1448" t="s">
        <v>3543</v>
      </c>
      <c r="B1448" s="6">
        <v>44354</v>
      </c>
      <c r="C1448">
        <v>5379</v>
      </c>
      <c r="D1448" t="s">
        <v>1982</v>
      </c>
      <c r="E1448" t="s">
        <v>18</v>
      </c>
      <c r="F1448" t="s">
        <v>39</v>
      </c>
      <c r="G1448">
        <v>33010.480000000003</v>
      </c>
      <c r="H1448">
        <v>15965.31</v>
      </c>
      <c r="I1448" t="s">
        <v>63</v>
      </c>
      <c r="J1448" t="s">
        <v>54</v>
      </c>
      <c r="K1448" t="s">
        <v>42</v>
      </c>
      <c r="L1448" t="s">
        <v>88</v>
      </c>
      <c r="M1448">
        <v>4</v>
      </c>
      <c r="N1448" t="s">
        <v>24</v>
      </c>
      <c r="O1448" t="s">
        <v>70</v>
      </c>
      <c r="P1448" t="s">
        <v>49</v>
      </c>
    </row>
    <row r="1449" spans="1:16" x14ac:dyDescent="0.25">
      <c r="A1449" t="s">
        <v>3544</v>
      </c>
      <c r="B1449" s="6">
        <v>44932</v>
      </c>
      <c r="C1449">
        <v>6880</v>
      </c>
      <c r="D1449" t="s">
        <v>539</v>
      </c>
      <c r="E1449" t="s">
        <v>38</v>
      </c>
      <c r="F1449" t="s">
        <v>39</v>
      </c>
      <c r="G1449">
        <v>28030.78</v>
      </c>
      <c r="H1449">
        <v>14686.58</v>
      </c>
      <c r="I1449" t="s">
        <v>40</v>
      </c>
      <c r="J1449" t="s">
        <v>41</v>
      </c>
      <c r="K1449" t="s">
        <v>32</v>
      </c>
      <c r="L1449" t="s">
        <v>64</v>
      </c>
      <c r="M1449">
        <v>2</v>
      </c>
      <c r="N1449" t="s">
        <v>33</v>
      </c>
      <c r="O1449" t="s">
        <v>25</v>
      </c>
      <c r="P1449" t="s">
        <v>34</v>
      </c>
    </row>
    <row r="1450" spans="1:16" x14ac:dyDescent="0.25">
      <c r="A1450" t="s">
        <v>3545</v>
      </c>
      <c r="B1450" s="6">
        <v>44923</v>
      </c>
      <c r="C1450">
        <v>2035</v>
      </c>
      <c r="D1450" t="s">
        <v>1782</v>
      </c>
      <c r="E1450" t="s">
        <v>18</v>
      </c>
      <c r="F1450" t="s">
        <v>58</v>
      </c>
      <c r="G1450">
        <v>44232.36</v>
      </c>
      <c r="H1450">
        <v>19932.98</v>
      </c>
      <c r="I1450" t="s">
        <v>20</v>
      </c>
      <c r="J1450" t="s">
        <v>21</v>
      </c>
      <c r="K1450" t="s">
        <v>42</v>
      </c>
      <c r="L1450" t="s">
        <v>23</v>
      </c>
      <c r="M1450">
        <v>5</v>
      </c>
      <c r="N1450" t="s">
        <v>69</v>
      </c>
      <c r="O1450" t="s">
        <v>70</v>
      </c>
      <c r="P1450" t="s">
        <v>34</v>
      </c>
    </row>
    <row r="1451" spans="1:16" x14ac:dyDescent="0.25">
      <c r="A1451" t="s">
        <v>3546</v>
      </c>
      <c r="B1451" s="6">
        <v>44704</v>
      </c>
      <c r="C1451">
        <v>6263</v>
      </c>
      <c r="D1451" t="s">
        <v>3548</v>
      </c>
      <c r="E1451" t="s">
        <v>18</v>
      </c>
      <c r="F1451" t="s">
        <v>58</v>
      </c>
      <c r="G1451">
        <v>38903.480000000003</v>
      </c>
      <c r="H1451">
        <v>17759.45</v>
      </c>
      <c r="I1451" t="s">
        <v>120</v>
      </c>
      <c r="J1451" t="s">
        <v>21</v>
      </c>
      <c r="K1451" t="s">
        <v>32</v>
      </c>
      <c r="L1451" t="s">
        <v>64</v>
      </c>
      <c r="M1451">
        <v>5</v>
      </c>
      <c r="N1451" t="s">
        <v>33</v>
      </c>
      <c r="O1451" t="s">
        <v>70</v>
      </c>
      <c r="P1451" t="s">
        <v>26</v>
      </c>
    </row>
    <row r="1452" spans="1:16" x14ac:dyDescent="0.25">
      <c r="A1452" t="s">
        <v>3549</v>
      </c>
      <c r="B1452" s="6">
        <v>45442</v>
      </c>
      <c r="C1452">
        <v>8464</v>
      </c>
      <c r="D1452" t="s">
        <v>3550</v>
      </c>
      <c r="E1452" t="s">
        <v>38</v>
      </c>
      <c r="F1452" t="s">
        <v>19</v>
      </c>
      <c r="G1452">
        <v>11248.81</v>
      </c>
      <c r="H1452">
        <v>6090.19</v>
      </c>
      <c r="I1452" t="s">
        <v>84</v>
      </c>
      <c r="J1452" t="s">
        <v>54</v>
      </c>
      <c r="K1452" t="s">
        <v>80</v>
      </c>
      <c r="L1452" t="s">
        <v>48</v>
      </c>
      <c r="M1452">
        <v>4</v>
      </c>
      <c r="N1452" t="s">
        <v>33</v>
      </c>
      <c r="O1452" t="s">
        <v>70</v>
      </c>
      <c r="P1452" t="s">
        <v>49</v>
      </c>
    </row>
    <row r="1453" spans="1:16" x14ac:dyDescent="0.25">
      <c r="A1453" t="s">
        <v>3551</v>
      </c>
      <c r="B1453" s="6">
        <v>44774</v>
      </c>
      <c r="C1453">
        <v>3152</v>
      </c>
      <c r="D1453" t="s">
        <v>3552</v>
      </c>
      <c r="E1453" t="s">
        <v>38</v>
      </c>
      <c r="F1453" t="s">
        <v>47</v>
      </c>
      <c r="G1453">
        <v>8953.2999999999993</v>
      </c>
      <c r="H1453">
        <v>4752.6499999999996</v>
      </c>
      <c r="I1453" t="s">
        <v>59</v>
      </c>
      <c r="J1453" t="s">
        <v>41</v>
      </c>
      <c r="K1453" t="s">
        <v>22</v>
      </c>
      <c r="L1453" t="s">
        <v>88</v>
      </c>
      <c r="M1453">
        <v>3</v>
      </c>
      <c r="N1453" t="s">
        <v>69</v>
      </c>
      <c r="O1453" t="s">
        <v>25</v>
      </c>
      <c r="P1453" t="s">
        <v>34</v>
      </c>
    </row>
    <row r="1454" spans="1:16" x14ac:dyDescent="0.25">
      <c r="A1454" t="s">
        <v>3553</v>
      </c>
      <c r="B1454" s="6">
        <v>43861</v>
      </c>
      <c r="C1454">
        <v>8418</v>
      </c>
      <c r="D1454" t="s">
        <v>3555</v>
      </c>
      <c r="E1454" t="s">
        <v>38</v>
      </c>
      <c r="F1454" t="s">
        <v>30</v>
      </c>
      <c r="G1454">
        <v>44712.4</v>
      </c>
      <c r="H1454">
        <v>21613.41</v>
      </c>
      <c r="I1454" t="s">
        <v>40</v>
      </c>
      <c r="J1454" t="s">
        <v>41</v>
      </c>
      <c r="K1454" t="s">
        <v>22</v>
      </c>
      <c r="L1454" t="s">
        <v>55</v>
      </c>
      <c r="M1454">
        <v>5</v>
      </c>
      <c r="N1454" t="s">
        <v>33</v>
      </c>
      <c r="O1454" t="s">
        <v>25</v>
      </c>
      <c r="P1454" t="s">
        <v>34</v>
      </c>
    </row>
    <row r="1455" spans="1:16" x14ac:dyDescent="0.25">
      <c r="A1455" t="s">
        <v>3556</v>
      </c>
      <c r="B1455" s="6">
        <v>44682</v>
      </c>
      <c r="C1455">
        <v>7748</v>
      </c>
      <c r="D1455" t="s">
        <v>3557</v>
      </c>
      <c r="E1455" t="s">
        <v>38</v>
      </c>
      <c r="F1455" t="s">
        <v>39</v>
      </c>
      <c r="G1455">
        <v>8097.78</v>
      </c>
      <c r="H1455">
        <v>5100.67</v>
      </c>
      <c r="I1455" t="s">
        <v>31</v>
      </c>
      <c r="J1455" t="s">
        <v>21</v>
      </c>
      <c r="K1455" t="s">
        <v>32</v>
      </c>
      <c r="L1455" t="s">
        <v>48</v>
      </c>
      <c r="M1455">
        <v>2</v>
      </c>
      <c r="N1455" t="s">
        <v>33</v>
      </c>
      <c r="O1455" t="s">
        <v>70</v>
      </c>
      <c r="P1455" t="s">
        <v>49</v>
      </c>
    </row>
    <row r="1456" spans="1:16" x14ac:dyDescent="0.25">
      <c r="A1456" t="s">
        <v>3558</v>
      </c>
      <c r="B1456" s="6">
        <v>45152</v>
      </c>
      <c r="C1456">
        <v>4456</v>
      </c>
      <c r="D1456" t="s">
        <v>3559</v>
      </c>
      <c r="E1456" t="s">
        <v>18</v>
      </c>
      <c r="F1456" t="s">
        <v>58</v>
      </c>
      <c r="G1456">
        <v>43981.36</v>
      </c>
      <c r="H1456">
        <v>23934.68</v>
      </c>
      <c r="I1456" t="s">
        <v>20</v>
      </c>
      <c r="J1456" t="s">
        <v>21</v>
      </c>
      <c r="K1456" t="s">
        <v>22</v>
      </c>
      <c r="L1456" t="s">
        <v>43</v>
      </c>
      <c r="M1456">
        <v>2</v>
      </c>
      <c r="N1456" t="s">
        <v>33</v>
      </c>
      <c r="O1456" t="s">
        <v>25</v>
      </c>
      <c r="P1456" t="s">
        <v>34</v>
      </c>
    </row>
    <row r="1457" spans="1:16" x14ac:dyDescent="0.25">
      <c r="A1457" t="s">
        <v>3560</v>
      </c>
      <c r="B1457" s="6">
        <v>44968</v>
      </c>
      <c r="C1457">
        <v>1264</v>
      </c>
      <c r="D1457" t="s">
        <v>3562</v>
      </c>
      <c r="E1457" t="s">
        <v>38</v>
      </c>
      <c r="F1457" t="s">
        <v>47</v>
      </c>
      <c r="G1457">
        <v>7634.04</v>
      </c>
      <c r="H1457">
        <v>4209.51</v>
      </c>
      <c r="I1457" t="s">
        <v>59</v>
      </c>
      <c r="J1457" t="s">
        <v>41</v>
      </c>
      <c r="K1457" t="s">
        <v>42</v>
      </c>
      <c r="L1457" t="s">
        <v>23</v>
      </c>
      <c r="M1457">
        <v>5</v>
      </c>
      <c r="N1457" t="s">
        <v>24</v>
      </c>
      <c r="O1457" t="s">
        <v>70</v>
      </c>
      <c r="P1457" t="s">
        <v>26</v>
      </c>
    </row>
    <row r="1458" spans="1:16" x14ac:dyDescent="0.25">
      <c r="A1458" t="s">
        <v>3563</v>
      </c>
      <c r="B1458" s="6">
        <v>44545</v>
      </c>
      <c r="C1458">
        <v>9438</v>
      </c>
      <c r="D1458" t="s">
        <v>3564</v>
      </c>
      <c r="E1458" t="s">
        <v>38</v>
      </c>
      <c r="F1458" t="s">
        <v>30</v>
      </c>
      <c r="G1458">
        <v>85762.65</v>
      </c>
      <c r="H1458">
        <v>39006.06</v>
      </c>
      <c r="I1458" t="s">
        <v>63</v>
      </c>
      <c r="J1458" t="s">
        <v>54</v>
      </c>
      <c r="K1458" t="s">
        <v>42</v>
      </c>
      <c r="L1458" t="s">
        <v>48</v>
      </c>
      <c r="M1458">
        <v>3</v>
      </c>
      <c r="N1458" t="s">
        <v>69</v>
      </c>
      <c r="O1458" t="s">
        <v>70</v>
      </c>
      <c r="P1458" t="s">
        <v>49</v>
      </c>
    </row>
    <row r="1459" spans="1:16" x14ac:dyDescent="0.25">
      <c r="A1459" t="s">
        <v>3565</v>
      </c>
      <c r="B1459" s="6">
        <v>44430</v>
      </c>
      <c r="C1459">
        <v>5298</v>
      </c>
      <c r="D1459" t="s">
        <v>3566</v>
      </c>
      <c r="E1459" t="s">
        <v>38</v>
      </c>
      <c r="F1459" t="s">
        <v>58</v>
      </c>
      <c r="G1459">
        <v>37030.879999999997</v>
      </c>
      <c r="H1459">
        <v>22328.45</v>
      </c>
      <c r="I1459" t="s">
        <v>63</v>
      </c>
      <c r="J1459" t="s">
        <v>54</v>
      </c>
      <c r="K1459" t="s">
        <v>80</v>
      </c>
      <c r="L1459" t="s">
        <v>48</v>
      </c>
      <c r="M1459">
        <v>4</v>
      </c>
      <c r="N1459" t="s">
        <v>33</v>
      </c>
      <c r="O1459" t="s">
        <v>25</v>
      </c>
      <c r="P1459" t="s">
        <v>26</v>
      </c>
    </row>
    <row r="1460" spans="1:16" x14ac:dyDescent="0.25">
      <c r="A1460" t="s">
        <v>3567</v>
      </c>
      <c r="B1460" s="6">
        <v>44543</v>
      </c>
      <c r="C1460">
        <v>8775</v>
      </c>
      <c r="D1460" t="s">
        <v>3568</v>
      </c>
      <c r="E1460" t="s">
        <v>18</v>
      </c>
      <c r="F1460" t="s">
        <v>39</v>
      </c>
      <c r="G1460">
        <v>24311.49</v>
      </c>
      <c r="H1460">
        <v>13761.36</v>
      </c>
      <c r="I1460" t="s">
        <v>68</v>
      </c>
      <c r="J1460" t="s">
        <v>41</v>
      </c>
      <c r="K1460" t="s">
        <v>32</v>
      </c>
      <c r="L1460" t="s">
        <v>43</v>
      </c>
      <c r="M1460">
        <v>5</v>
      </c>
      <c r="N1460" t="s">
        <v>33</v>
      </c>
      <c r="O1460" t="s">
        <v>70</v>
      </c>
      <c r="P1460" t="s">
        <v>49</v>
      </c>
    </row>
    <row r="1461" spans="1:16" x14ac:dyDescent="0.25">
      <c r="A1461" t="s">
        <v>3569</v>
      </c>
      <c r="B1461" s="6">
        <v>44556</v>
      </c>
      <c r="C1461">
        <v>4343</v>
      </c>
      <c r="D1461" t="s">
        <v>3571</v>
      </c>
      <c r="E1461" t="s">
        <v>18</v>
      </c>
      <c r="F1461" t="s">
        <v>58</v>
      </c>
      <c r="G1461">
        <v>16036.36</v>
      </c>
      <c r="H1461">
        <v>8683.82</v>
      </c>
      <c r="I1461" t="s">
        <v>59</v>
      </c>
      <c r="J1461" t="s">
        <v>41</v>
      </c>
      <c r="K1461" t="s">
        <v>22</v>
      </c>
      <c r="L1461" t="s">
        <v>43</v>
      </c>
      <c r="M1461">
        <v>4</v>
      </c>
      <c r="N1461" t="s">
        <v>69</v>
      </c>
      <c r="O1461" t="s">
        <v>25</v>
      </c>
      <c r="P1461" t="s">
        <v>34</v>
      </c>
    </row>
    <row r="1462" spans="1:16" x14ac:dyDescent="0.25">
      <c r="A1462" t="s">
        <v>3572</v>
      </c>
      <c r="B1462" s="6">
        <v>44187</v>
      </c>
      <c r="C1462">
        <v>9774</v>
      </c>
      <c r="D1462" t="s">
        <v>3574</v>
      </c>
      <c r="E1462" t="s">
        <v>18</v>
      </c>
      <c r="F1462" t="s">
        <v>39</v>
      </c>
      <c r="G1462">
        <v>35182.54</v>
      </c>
      <c r="H1462">
        <v>16445.009999999998</v>
      </c>
      <c r="I1462" t="s">
        <v>84</v>
      </c>
      <c r="J1462" t="s">
        <v>54</v>
      </c>
      <c r="K1462" t="s">
        <v>32</v>
      </c>
      <c r="L1462" t="s">
        <v>88</v>
      </c>
      <c r="M1462">
        <v>3</v>
      </c>
      <c r="N1462" t="s">
        <v>24</v>
      </c>
      <c r="O1462" t="s">
        <v>70</v>
      </c>
      <c r="P1462" t="s">
        <v>49</v>
      </c>
    </row>
    <row r="1463" spans="1:16" x14ac:dyDescent="0.25">
      <c r="A1463" t="s">
        <v>3575</v>
      </c>
      <c r="B1463" s="6">
        <v>45141</v>
      </c>
      <c r="C1463">
        <v>1438</v>
      </c>
      <c r="D1463" t="s">
        <v>2716</v>
      </c>
      <c r="E1463" t="s">
        <v>38</v>
      </c>
      <c r="F1463" t="s">
        <v>39</v>
      </c>
      <c r="G1463">
        <v>36930.01</v>
      </c>
      <c r="H1463">
        <v>17087.59</v>
      </c>
      <c r="I1463" t="s">
        <v>53</v>
      </c>
      <c r="J1463" t="s">
        <v>54</v>
      </c>
      <c r="K1463" t="s">
        <v>42</v>
      </c>
      <c r="L1463" t="s">
        <v>43</v>
      </c>
      <c r="M1463">
        <v>4</v>
      </c>
      <c r="N1463" t="s">
        <v>33</v>
      </c>
      <c r="O1463" t="s">
        <v>25</v>
      </c>
      <c r="P1463" t="s">
        <v>49</v>
      </c>
    </row>
    <row r="1464" spans="1:16" x14ac:dyDescent="0.25">
      <c r="A1464" t="s">
        <v>3576</v>
      </c>
      <c r="B1464" s="6">
        <v>45434</v>
      </c>
      <c r="C1464">
        <v>5019</v>
      </c>
      <c r="D1464" t="s">
        <v>2522</v>
      </c>
      <c r="E1464" t="s">
        <v>18</v>
      </c>
      <c r="F1464" t="s">
        <v>39</v>
      </c>
      <c r="G1464">
        <v>37516.71</v>
      </c>
      <c r="H1464">
        <v>22756.21</v>
      </c>
      <c r="I1464" t="s">
        <v>120</v>
      </c>
      <c r="J1464" t="s">
        <v>21</v>
      </c>
      <c r="K1464" t="s">
        <v>22</v>
      </c>
      <c r="L1464" t="s">
        <v>64</v>
      </c>
      <c r="M1464">
        <v>5</v>
      </c>
      <c r="N1464" t="s">
        <v>33</v>
      </c>
      <c r="O1464" t="s">
        <v>25</v>
      </c>
      <c r="P1464" t="s">
        <v>26</v>
      </c>
    </row>
    <row r="1465" spans="1:16" x14ac:dyDescent="0.25">
      <c r="A1465" t="s">
        <v>3578</v>
      </c>
      <c r="B1465" s="6">
        <v>44675</v>
      </c>
      <c r="C1465">
        <v>2866</v>
      </c>
      <c r="D1465" t="s">
        <v>3579</v>
      </c>
      <c r="E1465" t="s">
        <v>38</v>
      </c>
      <c r="F1465" t="s">
        <v>47</v>
      </c>
      <c r="G1465">
        <v>16245.42</v>
      </c>
      <c r="H1465">
        <v>9024.99</v>
      </c>
      <c r="I1465" t="s">
        <v>53</v>
      </c>
      <c r="J1465" t="s">
        <v>54</v>
      </c>
      <c r="K1465" t="s">
        <v>22</v>
      </c>
      <c r="L1465" t="s">
        <v>55</v>
      </c>
      <c r="M1465">
        <v>4</v>
      </c>
      <c r="N1465" t="s">
        <v>24</v>
      </c>
      <c r="O1465" t="s">
        <v>25</v>
      </c>
      <c r="P1465" t="s">
        <v>49</v>
      </c>
    </row>
    <row r="1466" spans="1:16" x14ac:dyDescent="0.25">
      <c r="A1466" t="s">
        <v>3580</v>
      </c>
      <c r="B1466" s="6">
        <v>45553</v>
      </c>
      <c r="C1466">
        <v>6383</v>
      </c>
      <c r="D1466" t="s">
        <v>3581</v>
      </c>
      <c r="E1466" t="s">
        <v>18</v>
      </c>
      <c r="F1466" t="s">
        <v>58</v>
      </c>
      <c r="G1466">
        <v>14427.55</v>
      </c>
      <c r="H1466">
        <v>7787.32</v>
      </c>
      <c r="I1466" t="s">
        <v>40</v>
      </c>
      <c r="J1466" t="s">
        <v>41</v>
      </c>
      <c r="K1466" t="s">
        <v>22</v>
      </c>
      <c r="L1466" t="s">
        <v>55</v>
      </c>
      <c r="M1466">
        <v>4</v>
      </c>
      <c r="N1466" t="s">
        <v>33</v>
      </c>
      <c r="O1466" t="s">
        <v>25</v>
      </c>
      <c r="P1466" t="s">
        <v>26</v>
      </c>
    </row>
    <row r="1467" spans="1:16" x14ac:dyDescent="0.25">
      <c r="A1467" t="s">
        <v>3582</v>
      </c>
      <c r="B1467" s="6">
        <v>45396</v>
      </c>
      <c r="C1467">
        <v>9407</v>
      </c>
      <c r="D1467" t="s">
        <v>3583</v>
      </c>
      <c r="E1467" t="s">
        <v>18</v>
      </c>
      <c r="F1467" t="s">
        <v>58</v>
      </c>
      <c r="G1467">
        <v>40725.769999999997</v>
      </c>
      <c r="H1467">
        <v>25643.02</v>
      </c>
      <c r="I1467" t="s">
        <v>53</v>
      </c>
      <c r="J1467" t="s">
        <v>54</v>
      </c>
      <c r="K1467" t="s">
        <v>22</v>
      </c>
      <c r="L1467" t="s">
        <v>64</v>
      </c>
      <c r="M1467">
        <v>2</v>
      </c>
      <c r="N1467" t="s">
        <v>33</v>
      </c>
      <c r="O1467" t="s">
        <v>25</v>
      </c>
      <c r="P1467" t="s">
        <v>49</v>
      </c>
    </row>
    <row r="1468" spans="1:16" x14ac:dyDescent="0.25">
      <c r="A1468" t="s">
        <v>3584</v>
      </c>
      <c r="B1468" s="6">
        <v>45443</v>
      </c>
      <c r="C1468">
        <v>9627</v>
      </c>
      <c r="D1468" t="s">
        <v>229</v>
      </c>
      <c r="E1468" t="s">
        <v>38</v>
      </c>
      <c r="F1468" t="s">
        <v>58</v>
      </c>
      <c r="G1468">
        <v>33594.22</v>
      </c>
      <c r="H1468">
        <v>15320.25</v>
      </c>
      <c r="I1468" t="s">
        <v>40</v>
      </c>
      <c r="J1468" t="s">
        <v>41</v>
      </c>
      <c r="K1468" t="s">
        <v>22</v>
      </c>
      <c r="L1468" t="s">
        <v>64</v>
      </c>
      <c r="M1468">
        <v>2</v>
      </c>
      <c r="N1468" t="s">
        <v>24</v>
      </c>
      <c r="O1468" t="s">
        <v>70</v>
      </c>
      <c r="P1468" t="s">
        <v>34</v>
      </c>
    </row>
    <row r="1469" spans="1:16" x14ac:dyDescent="0.25">
      <c r="A1469" t="s">
        <v>3585</v>
      </c>
      <c r="B1469" s="6">
        <v>45068</v>
      </c>
      <c r="C1469">
        <v>2233</v>
      </c>
      <c r="D1469" t="s">
        <v>3586</v>
      </c>
      <c r="E1469" t="s">
        <v>38</v>
      </c>
      <c r="F1469" t="s">
        <v>19</v>
      </c>
      <c r="G1469">
        <v>9770.09</v>
      </c>
      <c r="H1469">
        <v>5223.0600000000004</v>
      </c>
      <c r="I1469" t="s">
        <v>68</v>
      </c>
      <c r="J1469" t="s">
        <v>41</v>
      </c>
      <c r="K1469" t="s">
        <v>22</v>
      </c>
      <c r="L1469" t="s">
        <v>48</v>
      </c>
      <c r="M1469">
        <v>5</v>
      </c>
      <c r="N1469" t="s">
        <v>69</v>
      </c>
      <c r="O1469" t="s">
        <v>25</v>
      </c>
      <c r="P1469" t="s">
        <v>26</v>
      </c>
    </row>
    <row r="1470" spans="1:16" x14ac:dyDescent="0.25">
      <c r="A1470" t="s">
        <v>3587</v>
      </c>
      <c r="B1470" s="6">
        <v>44482</v>
      </c>
      <c r="C1470">
        <v>9689</v>
      </c>
      <c r="D1470" t="s">
        <v>3588</v>
      </c>
      <c r="E1470" t="s">
        <v>18</v>
      </c>
      <c r="F1470" t="s">
        <v>39</v>
      </c>
      <c r="G1470">
        <v>35437.019999999997</v>
      </c>
      <c r="H1470">
        <v>17648.400000000001</v>
      </c>
      <c r="I1470" t="s">
        <v>53</v>
      </c>
      <c r="J1470" t="s">
        <v>54</v>
      </c>
      <c r="K1470" t="s">
        <v>22</v>
      </c>
      <c r="L1470" t="s">
        <v>64</v>
      </c>
      <c r="M1470">
        <v>1</v>
      </c>
      <c r="N1470" t="s">
        <v>24</v>
      </c>
      <c r="O1470" t="s">
        <v>70</v>
      </c>
      <c r="P1470" t="s">
        <v>34</v>
      </c>
    </row>
    <row r="1471" spans="1:16" x14ac:dyDescent="0.25">
      <c r="A1471" t="s">
        <v>3589</v>
      </c>
      <c r="B1471" s="6">
        <v>44501</v>
      </c>
      <c r="C1471">
        <v>4012</v>
      </c>
      <c r="D1471" t="s">
        <v>2891</v>
      </c>
      <c r="E1471" t="s">
        <v>38</v>
      </c>
      <c r="F1471" t="s">
        <v>39</v>
      </c>
      <c r="G1471">
        <v>18382.71</v>
      </c>
      <c r="H1471">
        <v>10191.08</v>
      </c>
      <c r="I1471" t="s">
        <v>53</v>
      </c>
      <c r="J1471" t="s">
        <v>54</v>
      </c>
      <c r="K1471" t="s">
        <v>80</v>
      </c>
      <c r="L1471" t="s">
        <v>55</v>
      </c>
      <c r="M1471">
        <v>1</v>
      </c>
      <c r="N1471" t="s">
        <v>33</v>
      </c>
      <c r="O1471" t="s">
        <v>70</v>
      </c>
      <c r="P1471" t="s">
        <v>34</v>
      </c>
    </row>
    <row r="1472" spans="1:16" x14ac:dyDescent="0.25">
      <c r="A1472" t="s">
        <v>3590</v>
      </c>
      <c r="B1472" s="6">
        <v>44388</v>
      </c>
      <c r="C1472">
        <v>7681</v>
      </c>
      <c r="D1472" t="s">
        <v>3591</v>
      </c>
      <c r="E1472" t="s">
        <v>18</v>
      </c>
      <c r="F1472" t="s">
        <v>58</v>
      </c>
      <c r="G1472">
        <v>18912.060000000001</v>
      </c>
      <c r="H1472">
        <v>12061.31</v>
      </c>
      <c r="I1472" t="s">
        <v>40</v>
      </c>
      <c r="J1472" t="s">
        <v>41</v>
      </c>
      <c r="K1472" t="s">
        <v>32</v>
      </c>
      <c r="L1472" t="s">
        <v>23</v>
      </c>
      <c r="M1472">
        <v>4</v>
      </c>
      <c r="N1472" t="s">
        <v>33</v>
      </c>
      <c r="O1472" t="s">
        <v>25</v>
      </c>
      <c r="P1472" t="s">
        <v>49</v>
      </c>
    </row>
    <row r="1473" spans="1:16" x14ac:dyDescent="0.25">
      <c r="A1473" t="s">
        <v>3592</v>
      </c>
      <c r="B1473" s="6">
        <v>45652</v>
      </c>
      <c r="C1473">
        <v>5094</v>
      </c>
      <c r="D1473" t="s">
        <v>3009</v>
      </c>
      <c r="E1473" t="s">
        <v>38</v>
      </c>
      <c r="F1473" t="s">
        <v>30</v>
      </c>
      <c r="G1473">
        <v>55667.66</v>
      </c>
      <c r="H1473">
        <v>30047.84</v>
      </c>
      <c r="I1473" t="s">
        <v>40</v>
      </c>
      <c r="J1473" t="s">
        <v>41</v>
      </c>
      <c r="K1473" t="s">
        <v>32</v>
      </c>
      <c r="L1473" t="s">
        <v>88</v>
      </c>
      <c r="M1473">
        <v>2</v>
      </c>
      <c r="N1473" t="s">
        <v>33</v>
      </c>
      <c r="O1473" t="s">
        <v>25</v>
      </c>
      <c r="P1473" t="s">
        <v>49</v>
      </c>
    </row>
    <row r="1474" spans="1:16" x14ac:dyDescent="0.25">
      <c r="A1474" t="s">
        <v>3593</v>
      </c>
      <c r="B1474" s="6">
        <v>45144</v>
      </c>
      <c r="C1474">
        <v>9212</v>
      </c>
      <c r="D1474" t="s">
        <v>3594</v>
      </c>
      <c r="E1474" t="s">
        <v>18</v>
      </c>
      <c r="F1474" t="s">
        <v>39</v>
      </c>
      <c r="G1474">
        <v>41534.01</v>
      </c>
      <c r="H1474">
        <v>25461.62</v>
      </c>
      <c r="I1474" t="s">
        <v>53</v>
      </c>
      <c r="J1474" t="s">
        <v>54</v>
      </c>
      <c r="K1474" t="s">
        <v>42</v>
      </c>
      <c r="L1474" t="s">
        <v>88</v>
      </c>
      <c r="M1474">
        <v>1</v>
      </c>
      <c r="N1474" t="s">
        <v>69</v>
      </c>
      <c r="O1474" t="s">
        <v>70</v>
      </c>
      <c r="P1474" t="s">
        <v>49</v>
      </c>
    </row>
    <row r="1475" spans="1:16" x14ac:dyDescent="0.25">
      <c r="A1475" t="s">
        <v>3595</v>
      </c>
      <c r="B1475" s="6">
        <v>44488</v>
      </c>
      <c r="C1475">
        <v>9165</v>
      </c>
      <c r="D1475" t="s">
        <v>3597</v>
      </c>
      <c r="E1475" t="s">
        <v>18</v>
      </c>
      <c r="F1475" t="s">
        <v>30</v>
      </c>
      <c r="G1475">
        <v>50793.21</v>
      </c>
      <c r="H1475">
        <v>25665.25</v>
      </c>
      <c r="I1475" t="s">
        <v>84</v>
      </c>
      <c r="J1475" t="s">
        <v>54</v>
      </c>
      <c r="K1475" t="s">
        <v>80</v>
      </c>
      <c r="L1475" t="s">
        <v>64</v>
      </c>
      <c r="M1475">
        <v>2</v>
      </c>
      <c r="N1475" t="s">
        <v>69</v>
      </c>
      <c r="O1475" t="s">
        <v>70</v>
      </c>
      <c r="P1475" t="s">
        <v>26</v>
      </c>
    </row>
    <row r="1476" spans="1:16" x14ac:dyDescent="0.25">
      <c r="A1476" t="s">
        <v>3598</v>
      </c>
      <c r="B1476" s="6">
        <v>45246</v>
      </c>
      <c r="C1476">
        <v>7680</v>
      </c>
      <c r="D1476" t="s">
        <v>3599</v>
      </c>
      <c r="E1476" t="s">
        <v>38</v>
      </c>
      <c r="F1476" t="s">
        <v>39</v>
      </c>
      <c r="G1476">
        <v>36314.89</v>
      </c>
      <c r="H1476">
        <v>17281.150000000001</v>
      </c>
      <c r="I1476" t="s">
        <v>53</v>
      </c>
      <c r="J1476" t="s">
        <v>54</v>
      </c>
      <c r="K1476" t="s">
        <v>42</v>
      </c>
      <c r="L1476" t="s">
        <v>43</v>
      </c>
      <c r="M1476">
        <v>4</v>
      </c>
      <c r="N1476" t="s">
        <v>69</v>
      </c>
      <c r="O1476" t="s">
        <v>70</v>
      </c>
      <c r="P1476" t="s">
        <v>49</v>
      </c>
    </row>
    <row r="1477" spans="1:16" x14ac:dyDescent="0.25">
      <c r="A1477" t="s">
        <v>3600</v>
      </c>
      <c r="B1477" s="6">
        <v>45387</v>
      </c>
      <c r="C1477">
        <v>9592</v>
      </c>
      <c r="D1477" t="s">
        <v>3601</v>
      </c>
      <c r="E1477" t="s">
        <v>38</v>
      </c>
      <c r="F1477" t="s">
        <v>19</v>
      </c>
      <c r="G1477">
        <v>5789.55</v>
      </c>
      <c r="H1477">
        <v>3718.33</v>
      </c>
      <c r="I1477" t="s">
        <v>68</v>
      </c>
      <c r="J1477" t="s">
        <v>41</v>
      </c>
      <c r="K1477" t="s">
        <v>32</v>
      </c>
      <c r="L1477" t="s">
        <v>55</v>
      </c>
      <c r="M1477">
        <v>4</v>
      </c>
      <c r="N1477" t="s">
        <v>33</v>
      </c>
      <c r="O1477" t="s">
        <v>25</v>
      </c>
      <c r="P1477" t="s">
        <v>34</v>
      </c>
    </row>
    <row r="1478" spans="1:16" x14ac:dyDescent="0.25">
      <c r="A1478" t="s">
        <v>3602</v>
      </c>
      <c r="B1478" s="6">
        <v>44373</v>
      </c>
      <c r="C1478">
        <v>3528</v>
      </c>
      <c r="D1478" t="s">
        <v>3603</v>
      </c>
      <c r="E1478" t="s">
        <v>18</v>
      </c>
      <c r="F1478" t="s">
        <v>30</v>
      </c>
      <c r="G1478">
        <v>17671.21</v>
      </c>
      <c r="H1478">
        <v>10608.01</v>
      </c>
      <c r="I1478" t="s">
        <v>40</v>
      </c>
      <c r="J1478" t="s">
        <v>41</v>
      </c>
      <c r="K1478" t="s">
        <v>80</v>
      </c>
      <c r="L1478" t="s">
        <v>64</v>
      </c>
      <c r="M1478">
        <v>5</v>
      </c>
      <c r="N1478" t="s">
        <v>24</v>
      </c>
      <c r="O1478" t="s">
        <v>70</v>
      </c>
      <c r="P1478" t="s">
        <v>34</v>
      </c>
    </row>
    <row r="1479" spans="1:16" x14ac:dyDescent="0.25">
      <c r="A1479" t="s">
        <v>3604</v>
      </c>
      <c r="B1479" s="6">
        <v>44716</v>
      </c>
      <c r="C1479">
        <v>5047</v>
      </c>
      <c r="D1479" t="s">
        <v>3605</v>
      </c>
      <c r="E1479" t="s">
        <v>38</v>
      </c>
      <c r="F1479" t="s">
        <v>47</v>
      </c>
      <c r="G1479">
        <v>9064.9</v>
      </c>
      <c r="H1479">
        <v>4167.78</v>
      </c>
      <c r="I1479" t="s">
        <v>120</v>
      </c>
      <c r="J1479" t="s">
        <v>21</v>
      </c>
      <c r="K1479" t="s">
        <v>42</v>
      </c>
      <c r="L1479" t="s">
        <v>43</v>
      </c>
      <c r="M1479">
        <v>2</v>
      </c>
      <c r="N1479" t="s">
        <v>33</v>
      </c>
      <c r="O1479" t="s">
        <v>25</v>
      </c>
      <c r="P1479" t="s">
        <v>49</v>
      </c>
    </row>
    <row r="1480" spans="1:16" x14ac:dyDescent="0.25">
      <c r="A1480" t="s">
        <v>3606</v>
      </c>
      <c r="B1480" s="6">
        <v>45498</v>
      </c>
      <c r="C1480">
        <v>1480</v>
      </c>
      <c r="D1480" t="s">
        <v>3607</v>
      </c>
      <c r="E1480" t="s">
        <v>18</v>
      </c>
      <c r="F1480" t="s">
        <v>58</v>
      </c>
      <c r="G1480">
        <v>51477.22</v>
      </c>
      <c r="H1480">
        <v>26146.240000000002</v>
      </c>
      <c r="I1480" t="s">
        <v>31</v>
      </c>
      <c r="J1480" t="s">
        <v>21</v>
      </c>
      <c r="K1480" t="s">
        <v>22</v>
      </c>
      <c r="L1480" t="s">
        <v>48</v>
      </c>
      <c r="M1480">
        <v>4</v>
      </c>
      <c r="N1480" t="s">
        <v>69</v>
      </c>
      <c r="O1480" t="s">
        <v>25</v>
      </c>
      <c r="P1480" t="s">
        <v>49</v>
      </c>
    </row>
    <row r="1481" spans="1:16" x14ac:dyDescent="0.25">
      <c r="A1481" t="s">
        <v>3608</v>
      </c>
      <c r="B1481" s="6">
        <v>44895</v>
      </c>
      <c r="C1481">
        <v>4716</v>
      </c>
      <c r="D1481" t="s">
        <v>3610</v>
      </c>
      <c r="E1481" t="s">
        <v>18</v>
      </c>
      <c r="F1481" t="s">
        <v>47</v>
      </c>
      <c r="G1481">
        <v>13383.94</v>
      </c>
      <c r="H1481">
        <v>7979.74</v>
      </c>
      <c r="I1481" t="s">
        <v>20</v>
      </c>
      <c r="J1481" t="s">
        <v>21</v>
      </c>
      <c r="K1481" t="s">
        <v>22</v>
      </c>
      <c r="L1481" t="s">
        <v>23</v>
      </c>
      <c r="M1481">
        <v>3</v>
      </c>
      <c r="N1481" t="s">
        <v>33</v>
      </c>
      <c r="O1481" t="s">
        <v>25</v>
      </c>
      <c r="P1481" t="s">
        <v>49</v>
      </c>
    </row>
    <row r="1482" spans="1:16" x14ac:dyDescent="0.25">
      <c r="A1482" t="s">
        <v>3611</v>
      </c>
      <c r="B1482" s="6">
        <v>45532</v>
      </c>
      <c r="C1482">
        <v>1543</v>
      </c>
      <c r="D1482" t="s">
        <v>3612</v>
      </c>
      <c r="E1482" t="s">
        <v>38</v>
      </c>
      <c r="F1482" t="s">
        <v>47</v>
      </c>
      <c r="G1482">
        <v>13194.18</v>
      </c>
      <c r="H1482">
        <v>8135.06</v>
      </c>
      <c r="I1482" t="s">
        <v>20</v>
      </c>
      <c r="J1482" t="s">
        <v>21</v>
      </c>
      <c r="K1482" t="s">
        <v>80</v>
      </c>
      <c r="L1482" t="s">
        <v>88</v>
      </c>
      <c r="M1482">
        <v>2</v>
      </c>
      <c r="N1482" t="s">
        <v>24</v>
      </c>
      <c r="O1482" t="s">
        <v>70</v>
      </c>
      <c r="P1482" t="s">
        <v>49</v>
      </c>
    </row>
    <row r="1483" spans="1:16" x14ac:dyDescent="0.25">
      <c r="A1483" t="s">
        <v>3613</v>
      </c>
      <c r="B1483" s="6">
        <v>45624</v>
      </c>
      <c r="C1483">
        <v>1911</v>
      </c>
      <c r="D1483" t="s">
        <v>2875</v>
      </c>
      <c r="E1483" t="s">
        <v>18</v>
      </c>
      <c r="F1483" t="s">
        <v>39</v>
      </c>
      <c r="G1483">
        <v>22059.85</v>
      </c>
      <c r="H1483">
        <v>13596.15</v>
      </c>
      <c r="I1483" t="s">
        <v>63</v>
      </c>
      <c r="J1483" t="s">
        <v>54</v>
      </c>
      <c r="K1483" t="s">
        <v>22</v>
      </c>
      <c r="L1483" t="s">
        <v>43</v>
      </c>
      <c r="M1483">
        <v>4</v>
      </c>
      <c r="N1483" t="s">
        <v>69</v>
      </c>
      <c r="O1483" t="s">
        <v>25</v>
      </c>
      <c r="P1483" t="s">
        <v>26</v>
      </c>
    </row>
    <row r="1484" spans="1:16" x14ac:dyDescent="0.25">
      <c r="A1484" t="s">
        <v>3614</v>
      </c>
      <c r="B1484" s="6">
        <v>44991</v>
      </c>
      <c r="C1484">
        <v>9932</v>
      </c>
      <c r="D1484" t="s">
        <v>3616</v>
      </c>
      <c r="E1484" t="s">
        <v>18</v>
      </c>
      <c r="F1484" t="s">
        <v>30</v>
      </c>
      <c r="G1484">
        <v>68286.490000000005</v>
      </c>
      <c r="H1484">
        <v>42437.41</v>
      </c>
      <c r="I1484" t="s">
        <v>120</v>
      </c>
      <c r="J1484" t="s">
        <v>21</v>
      </c>
      <c r="K1484" t="s">
        <v>80</v>
      </c>
      <c r="L1484" t="s">
        <v>43</v>
      </c>
      <c r="M1484">
        <v>2</v>
      </c>
      <c r="N1484" t="s">
        <v>69</v>
      </c>
      <c r="O1484" t="s">
        <v>25</v>
      </c>
      <c r="P1484" t="s">
        <v>49</v>
      </c>
    </row>
    <row r="1485" spans="1:16" x14ac:dyDescent="0.25">
      <c r="A1485" t="s">
        <v>3617</v>
      </c>
      <c r="B1485" s="6">
        <v>44771</v>
      </c>
      <c r="C1485">
        <v>2646</v>
      </c>
      <c r="D1485" t="s">
        <v>3618</v>
      </c>
      <c r="E1485" t="s">
        <v>38</v>
      </c>
      <c r="F1485" t="s">
        <v>47</v>
      </c>
      <c r="G1485">
        <v>11578.06</v>
      </c>
      <c r="H1485">
        <v>7475.19</v>
      </c>
      <c r="I1485" t="s">
        <v>84</v>
      </c>
      <c r="J1485" t="s">
        <v>54</v>
      </c>
      <c r="K1485" t="s">
        <v>32</v>
      </c>
      <c r="L1485" t="s">
        <v>48</v>
      </c>
      <c r="M1485">
        <v>3</v>
      </c>
      <c r="N1485" t="s">
        <v>69</v>
      </c>
      <c r="O1485" t="s">
        <v>25</v>
      </c>
      <c r="P1485" t="s">
        <v>26</v>
      </c>
    </row>
    <row r="1486" spans="1:16" x14ac:dyDescent="0.25">
      <c r="A1486" t="s">
        <v>3619</v>
      </c>
      <c r="B1486" s="6">
        <v>44280</v>
      </c>
      <c r="C1486">
        <v>4695</v>
      </c>
      <c r="D1486" t="s">
        <v>3621</v>
      </c>
      <c r="E1486" t="s">
        <v>18</v>
      </c>
      <c r="F1486" t="s">
        <v>30</v>
      </c>
      <c r="G1486">
        <v>50945.04</v>
      </c>
      <c r="H1486">
        <v>27838.02</v>
      </c>
      <c r="I1486" t="s">
        <v>120</v>
      </c>
      <c r="J1486" t="s">
        <v>21</v>
      </c>
      <c r="K1486" t="s">
        <v>42</v>
      </c>
      <c r="L1486" t="s">
        <v>64</v>
      </c>
      <c r="M1486">
        <v>1</v>
      </c>
      <c r="N1486" t="s">
        <v>33</v>
      </c>
      <c r="O1486" t="s">
        <v>25</v>
      </c>
      <c r="P1486" t="s">
        <v>34</v>
      </c>
    </row>
    <row r="1487" spans="1:16" x14ac:dyDescent="0.25">
      <c r="A1487" t="s">
        <v>3622</v>
      </c>
      <c r="B1487" s="6">
        <v>45471</v>
      </c>
      <c r="C1487">
        <v>4698</v>
      </c>
      <c r="D1487" t="s">
        <v>3623</v>
      </c>
      <c r="E1487" t="s">
        <v>38</v>
      </c>
      <c r="F1487" t="s">
        <v>58</v>
      </c>
      <c r="G1487">
        <v>16781.939999999999</v>
      </c>
      <c r="H1487">
        <v>9483.81</v>
      </c>
      <c r="I1487" t="s">
        <v>63</v>
      </c>
      <c r="J1487" t="s">
        <v>54</v>
      </c>
      <c r="K1487" t="s">
        <v>32</v>
      </c>
      <c r="L1487" t="s">
        <v>55</v>
      </c>
      <c r="M1487">
        <v>2</v>
      </c>
      <c r="N1487" t="s">
        <v>24</v>
      </c>
      <c r="O1487" t="s">
        <v>70</v>
      </c>
      <c r="P1487" t="s">
        <v>49</v>
      </c>
    </row>
    <row r="1488" spans="1:16" x14ac:dyDescent="0.25">
      <c r="A1488" t="s">
        <v>3624</v>
      </c>
      <c r="B1488" s="6">
        <v>45191</v>
      </c>
      <c r="C1488">
        <v>4168</v>
      </c>
      <c r="D1488" t="s">
        <v>3626</v>
      </c>
      <c r="E1488" t="s">
        <v>18</v>
      </c>
      <c r="F1488" t="s">
        <v>19</v>
      </c>
      <c r="G1488">
        <v>8766.9</v>
      </c>
      <c r="H1488">
        <v>4278.03</v>
      </c>
      <c r="I1488" t="s">
        <v>40</v>
      </c>
      <c r="J1488" t="s">
        <v>41</v>
      </c>
      <c r="K1488" t="s">
        <v>32</v>
      </c>
      <c r="L1488" t="s">
        <v>88</v>
      </c>
      <c r="M1488">
        <v>3</v>
      </c>
      <c r="N1488" t="s">
        <v>33</v>
      </c>
      <c r="O1488" t="s">
        <v>25</v>
      </c>
      <c r="P1488" t="s">
        <v>49</v>
      </c>
    </row>
    <row r="1489" spans="1:16" x14ac:dyDescent="0.25">
      <c r="A1489" t="s">
        <v>3627</v>
      </c>
      <c r="B1489" s="6">
        <v>44104</v>
      </c>
      <c r="C1489">
        <v>3108</v>
      </c>
      <c r="D1489" t="s">
        <v>3628</v>
      </c>
      <c r="E1489" t="s">
        <v>18</v>
      </c>
      <c r="F1489" t="s">
        <v>30</v>
      </c>
      <c r="G1489">
        <v>26257.919999999998</v>
      </c>
      <c r="H1489">
        <v>12161.03</v>
      </c>
      <c r="I1489" t="s">
        <v>120</v>
      </c>
      <c r="J1489" t="s">
        <v>21</v>
      </c>
      <c r="K1489" t="s">
        <v>22</v>
      </c>
      <c r="L1489" t="s">
        <v>48</v>
      </c>
      <c r="M1489">
        <v>4</v>
      </c>
      <c r="N1489" t="s">
        <v>33</v>
      </c>
      <c r="O1489" t="s">
        <v>25</v>
      </c>
      <c r="P1489" t="s">
        <v>49</v>
      </c>
    </row>
    <row r="1490" spans="1:16" x14ac:dyDescent="0.25">
      <c r="A1490" t="s">
        <v>3629</v>
      </c>
      <c r="B1490" s="6">
        <v>45644</v>
      </c>
      <c r="C1490">
        <v>6853</v>
      </c>
      <c r="D1490" t="s">
        <v>240</v>
      </c>
      <c r="E1490" t="s">
        <v>18</v>
      </c>
      <c r="F1490" t="s">
        <v>19</v>
      </c>
      <c r="G1490">
        <v>15762.24</v>
      </c>
      <c r="H1490">
        <v>7846.1</v>
      </c>
      <c r="I1490" t="s">
        <v>53</v>
      </c>
      <c r="J1490" t="s">
        <v>54</v>
      </c>
      <c r="K1490" t="s">
        <v>32</v>
      </c>
      <c r="L1490" t="s">
        <v>43</v>
      </c>
      <c r="M1490">
        <v>5</v>
      </c>
      <c r="N1490" t="s">
        <v>33</v>
      </c>
      <c r="O1490" t="s">
        <v>25</v>
      </c>
      <c r="P1490" t="s">
        <v>34</v>
      </c>
    </row>
    <row r="1491" spans="1:16" x14ac:dyDescent="0.25">
      <c r="A1491" t="s">
        <v>3631</v>
      </c>
      <c r="B1491" s="6">
        <v>45577</v>
      </c>
      <c r="C1491">
        <v>9337</v>
      </c>
      <c r="D1491" t="s">
        <v>3633</v>
      </c>
      <c r="E1491" t="s">
        <v>18</v>
      </c>
      <c r="F1491" t="s">
        <v>58</v>
      </c>
      <c r="G1491">
        <v>31109.38</v>
      </c>
      <c r="H1491">
        <v>17387.71</v>
      </c>
      <c r="I1491" t="s">
        <v>53</v>
      </c>
      <c r="J1491" t="s">
        <v>54</v>
      </c>
      <c r="K1491" t="s">
        <v>22</v>
      </c>
      <c r="L1491" t="s">
        <v>48</v>
      </c>
      <c r="M1491">
        <v>1</v>
      </c>
      <c r="N1491" t="s">
        <v>33</v>
      </c>
      <c r="O1491" t="s">
        <v>70</v>
      </c>
      <c r="P1491" t="s">
        <v>34</v>
      </c>
    </row>
    <row r="1492" spans="1:16" x14ac:dyDescent="0.25">
      <c r="A1492" t="s">
        <v>3634</v>
      </c>
      <c r="B1492" s="6">
        <v>44870</v>
      </c>
      <c r="C1492">
        <v>2916</v>
      </c>
      <c r="D1492" t="s">
        <v>3636</v>
      </c>
      <c r="E1492" t="s">
        <v>38</v>
      </c>
      <c r="F1492" t="s">
        <v>39</v>
      </c>
      <c r="G1492">
        <v>10256.879999999999</v>
      </c>
      <c r="H1492">
        <v>5624.66</v>
      </c>
      <c r="I1492" t="s">
        <v>84</v>
      </c>
      <c r="J1492" t="s">
        <v>54</v>
      </c>
      <c r="K1492" t="s">
        <v>80</v>
      </c>
      <c r="L1492" t="s">
        <v>55</v>
      </c>
      <c r="M1492">
        <v>1</v>
      </c>
      <c r="N1492" t="s">
        <v>33</v>
      </c>
      <c r="O1492" t="s">
        <v>25</v>
      </c>
      <c r="P1492" t="s">
        <v>26</v>
      </c>
    </row>
    <row r="1493" spans="1:16" x14ac:dyDescent="0.25">
      <c r="A1493" t="s">
        <v>3637</v>
      </c>
      <c r="B1493" s="6">
        <v>44338</v>
      </c>
      <c r="C1493">
        <v>5073</v>
      </c>
      <c r="D1493" t="s">
        <v>3639</v>
      </c>
      <c r="E1493" t="s">
        <v>18</v>
      </c>
      <c r="F1493" t="s">
        <v>47</v>
      </c>
      <c r="G1493">
        <v>4018.49</v>
      </c>
      <c r="H1493">
        <v>2454.71</v>
      </c>
      <c r="I1493" t="s">
        <v>120</v>
      </c>
      <c r="J1493" t="s">
        <v>21</v>
      </c>
      <c r="K1493" t="s">
        <v>22</v>
      </c>
      <c r="L1493" t="s">
        <v>48</v>
      </c>
      <c r="M1493">
        <v>2</v>
      </c>
      <c r="N1493" t="s">
        <v>24</v>
      </c>
      <c r="O1493" t="s">
        <v>25</v>
      </c>
      <c r="P1493" t="s">
        <v>26</v>
      </c>
    </row>
    <row r="1494" spans="1:16" x14ac:dyDescent="0.25">
      <c r="A1494" t="s">
        <v>3640</v>
      </c>
      <c r="B1494" s="6">
        <v>44387</v>
      </c>
      <c r="C1494">
        <v>7542</v>
      </c>
      <c r="D1494" t="s">
        <v>3642</v>
      </c>
      <c r="E1494" t="s">
        <v>38</v>
      </c>
      <c r="F1494" t="s">
        <v>19</v>
      </c>
      <c r="G1494">
        <v>10719.32</v>
      </c>
      <c r="H1494">
        <v>6310.19</v>
      </c>
      <c r="I1494" t="s">
        <v>31</v>
      </c>
      <c r="J1494" t="s">
        <v>21</v>
      </c>
      <c r="K1494" t="s">
        <v>22</v>
      </c>
      <c r="L1494" t="s">
        <v>48</v>
      </c>
      <c r="M1494">
        <v>4</v>
      </c>
      <c r="N1494" t="s">
        <v>24</v>
      </c>
      <c r="O1494" t="s">
        <v>25</v>
      </c>
      <c r="P1494" t="s">
        <v>34</v>
      </c>
    </row>
    <row r="1495" spans="1:16" x14ac:dyDescent="0.25">
      <c r="A1495" t="s">
        <v>3643</v>
      </c>
      <c r="B1495" s="6">
        <v>44026</v>
      </c>
      <c r="C1495">
        <v>8165</v>
      </c>
      <c r="D1495" t="s">
        <v>3644</v>
      </c>
      <c r="E1495" t="s">
        <v>18</v>
      </c>
      <c r="F1495" t="s">
        <v>19</v>
      </c>
      <c r="G1495">
        <v>14463.72</v>
      </c>
      <c r="H1495">
        <v>8598.32</v>
      </c>
      <c r="I1495" t="s">
        <v>84</v>
      </c>
      <c r="J1495" t="s">
        <v>54</v>
      </c>
      <c r="K1495" t="s">
        <v>42</v>
      </c>
      <c r="L1495" t="s">
        <v>48</v>
      </c>
      <c r="M1495">
        <v>4</v>
      </c>
      <c r="N1495" t="s">
        <v>33</v>
      </c>
      <c r="O1495" t="s">
        <v>25</v>
      </c>
      <c r="P1495" t="s">
        <v>26</v>
      </c>
    </row>
    <row r="1496" spans="1:16" x14ac:dyDescent="0.25">
      <c r="A1496" t="s">
        <v>3645</v>
      </c>
      <c r="B1496" s="6">
        <v>45549</v>
      </c>
      <c r="C1496">
        <v>1875</v>
      </c>
      <c r="D1496" t="s">
        <v>3646</v>
      </c>
      <c r="E1496" t="s">
        <v>38</v>
      </c>
      <c r="F1496" t="s">
        <v>39</v>
      </c>
      <c r="G1496">
        <v>28854.51</v>
      </c>
      <c r="H1496">
        <v>15902.23</v>
      </c>
      <c r="I1496" t="s">
        <v>120</v>
      </c>
      <c r="J1496" t="s">
        <v>21</v>
      </c>
      <c r="K1496" t="s">
        <v>80</v>
      </c>
      <c r="L1496" t="s">
        <v>55</v>
      </c>
      <c r="M1496">
        <v>5</v>
      </c>
      <c r="N1496" t="s">
        <v>33</v>
      </c>
      <c r="O1496" t="s">
        <v>70</v>
      </c>
      <c r="P1496" t="s">
        <v>49</v>
      </c>
    </row>
    <row r="1497" spans="1:16" x14ac:dyDescent="0.25">
      <c r="A1497" t="s">
        <v>3647</v>
      </c>
      <c r="B1497" s="6">
        <v>45281</v>
      </c>
      <c r="C1497">
        <v>5622</v>
      </c>
      <c r="D1497" t="s">
        <v>3649</v>
      </c>
      <c r="E1497" t="s">
        <v>18</v>
      </c>
      <c r="F1497" t="s">
        <v>30</v>
      </c>
      <c r="G1497">
        <v>24504.43</v>
      </c>
      <c r="H1497">
        <v>12005.66</v>
      </c>
      <c r="I1497" t="s">
        <v>84</v>
      </c>
      <c r="J1497" t="s">
        <v>54</v>
      </c>
      <c r="K1497" t="s">
        <v>32</v>
      </c>
      <c r="L1497" t="s">
        <v>64</v>
      </c>
      <c r="M1497">
        <v>4</v>
      </c>
      <c r="N1497" t="s">
        <v>33</v>
      </c>
      <c r="O1497" t="s">
        <v>25</v>
      </c>
      <c r="P1497" t="s">
        <v>34</v>
      </c>
    </row>
    <row r="1498" spans="1:16" x14ac:dyDescent="0.25">
      <c r="A1498" t="s">
        <v>3650</v>
      </c>
      <c r="B1498" s="6">
        <v>44401</v>
      </c>
      <c r="C1498">
        <v>4055</v>
      </c>
      <c r="D1498" t="s">
        <v>3652</v>
      </c>
      <c r="E1498" t="s">
        <v>18</v>
      </c>
      <c r="F1498" t="s">
        <v>58</v>
      </c>
      <c r="G1498">
        <v>10304.74</v>
      </c>
      <c r="H1498">
        <v>5989.52</v>
      </c>
      <c r="I1498" t="s">
        <v>31</v>
      </c>
      <c r="J1498" t="s">
        <v>21</v>
      </c>
      <c r="K1498" t="s">
        <v>22</v>
      </c>
      <c r="L1498" t="s">
        <v>88</v>
      </c>
      <c r="M1498">
        <v>4</v>
      </c>
      <c r="N1498" t="s">
        <v>24</v>
      </c>
      <c r="O1498" t="s">
        <v>70</v>
      </c>
      <c r="P1498" t="s">
        <v>26</v>
      </c>
    </row>
    <row r="1499" spans="1:16" x14ac:dyDescent="0.25">
      <c r="A1499" t="s">
        <v>3653</v>
      </c>
      <c r="B1499" s="6">
        <v>45639</v>
      </c>
      <c r="C1499">
        <v>8799</v>
      </c>
      <c r="D1499" t="s">
        <v>3654</v>
      </c>
      <c r="E1499" t="s">
        <v>38</v>
      </c>
      <c r="F1499" t="s">
        <v>39</v>
      </c>
      <c r="G1499">
        <v>57622.66</v>
      </c>
      <c r="H1499">
        <v>30117.73</v>
      </c>
      <c r="I1499" t="s">
        <v>53</v>
      </c>
      <c r="J1499" t="s">
        <v>54</v>
      </c>
      <c r="K1499" t="s">
        <v>42</v>
      </c>
      <c r="L1499" t="s">
        <v>88</v>
      </c>
      <c r="M1499">
        <v>4</v>
      </c>
      <c r="N1499" t="s">
        <v>24</v>
      </c>
      <c r="O1499" t="s">
        <v>70</v>
      </c>
      <c r="P1499" t="s">
        <v>26</v>
      </c>
    </row>
    <row r="1500" spans="1:16" x14ac:dyDescent="0.25">
      <c r="A1500" t="s">
        <v>3655</v>
      </c>
      <c r="B1500" s="6">
        <v>45619</v>
      </c>
      <c r="C1500">
        <v>2309</v>
      </c>
      <c r="D1500" t="s">
        <v>3656</v>
      </c>
      <c r="E1500" t="s">
        <v>38</v>
      </c>
      <c r="F1500" t="s">
        <v>47</v>
      </c>
      <c r="G1500">
        <v>11141.19</v>
      </c>
      <c r="H1500">
        <v>5658.11</v>
      </c>
      <c r="I1500" t="s">
        <v>40</v>
      </c>
      <c r="J1500" t="s">
        <v>41</v>
      </c>
      <c r="K1500" t="s">
        <v>22</v>
      </c>
      <c r="L1500" t="s">
        <v>43</v>
      </c>
      <c r="M1500">
        <v>5</v>
      </c>
      <c r="N1500" t="s">
        <v>33</v>
      </c>
      <c r="O1500" t="s">
        <v>25</v>
      </c>
      <c r="P1500" t="s">
        <v>34</v>
      </c>
    </row>
    <row r="1501" spans="1:16" x14ac:dyDescent="0.25">
      <c r="A1501" t="s">
        <v>3657</v>
      </c>
      <c r="B1501" s="6">
        <v>45359</v>
      </c>
      <c r="C1501">
        <v>3945</v>
      </c>
      <c r="D1501" t="s">
        <v>3659</v>
      </c>
      <c r="E1501" t="s">
        <v>18</v>
      </c>
      <c r="F1501" t="s">
        <v>47</v>
      </c>
      <c r="G1501">
        <v>9875.94</v>
      </c>
      <c r="H1501">
        <v>5943.23</v>
      </c>
      <c r="I1501" t="s">
        <v>53</v>
      </c>
      <c r="J1501" t="s">
        <v>54</v>
      </c>
      <c r="K1501" t="s">
        <v>80</v>
      </c>
      <c r="L1501" t="s">
        <v>55</v>
      </c>
      <c r="M1501">
        <v>3</v>
      </c>
      <c r="N1501" t="s">
        <v>33</v>
      </c>
      <c r="O1501" t="s">
        <v>25</v>
      </c>
      <c r="P1501" t="s">
        <v>49</v>
      </c>
    </row>
    <row r="1502" spans="1:16" x14ac:dyDescent="0.25">
      <c r="A1502" t="s">
        <v>3660</v>
      </c>
      <c r="B1502" s="6">
        <v>44022</v>
      </c>
      <c r="C1502">
        <v>8346</v>
      </c>
      <c r="D1502" t="s">
        <v>3661</v>
      </c>
      <c r="E1502" t="s">
        <v>18</v>
      </c>
      <c r="F1502" t="s">
        <v>30</v>
      </c>
      <c r="G1502">
        <v>24996.58</v>
      </c>
      <c r="H1502">
        <v>13189.5</v>
      </c>
      <c r="I1502" t="s">
        <v>84</v>
      </c>
      <c r="J1502" t="s">
        <v>54</v>
      </c>
      <c r="K1502" t="s">
        <v>80</v>
      </c>
      <c r="L1502" t="s">
        <v>55</v>
      </c>
      <c r="M1502">
        <v>3</v>
      </c>
      <c r="N1502" t="s">
        <v>69</v>
      </c>
      <c r="O1502" t="s">
        <v>25</v>
      </c>
      <c r="P1502" t="s">
        <v>26</v>
      </c>
    </row>
    <row r="1503" spans="1:16" x14ac:dyDescent="0.25">
      <c r="A1503" t="s">
        <v>3662</v>
      </c>
      <c r="B1503" s="6">
        <v>45481</v>
      </c>
      <c r="C1503">
        <v>3117</v>
      </c>
      <c r="D1503" t="s">
        <v>3664</v>
      </c>
      <c r="E1503" t="s">
        <v>18</v>
      </c>
      <c r="F1503" t="s">
        <v>39</v>
      </c>
      <c r="G1503">
        <v>42525.48</v>
      </c>
      <c r="H1503">
        <v>22784.6</v>
      </c>
      <c r="I1503" t="s">
        <v>53</v>
      </c>
      <c r="J1503" t="s">
        <v>54</v>
      </c>
      <c r="K1503" t="s">
        <v>22</v>
      </c>
      <c r="L1503" t="s">
        <v>43</v>
      </c>
      <c r="M1503">
        <v>5</v>
      </c>
      <c r="N1503" t="s">
        <v>24</v>
      </c>
      <c r="O1503" t="s">
        <v>25</v>
      </c>
      <c r="P1503" t="s">
        <v>26</v>
      </c>
    </row>
    <row r="1504" spans="1:16" x14ac:dyDescent="0.25">
      <c r="A1504" t="s">
        <v>3665</v>
      </c>
      <c r="B1504" s="6">
        <v>44318</v>
      </c>
      <c r="C1504">
        <v>1472</v>
      </c>
      <c r="D1504" t="s">
        <v>3666</v>
      </c>
      <c r="E1504" t="s">
        <v>18</v>
      </c>
      <c r="F1504" t="s">
        <v>58</v>
      </c>
      <c r="G1504">
        <v>18274.11</v>
      </c>
      <c r="H1504">
        <v>8308.5300000000007</v>
      </c>
      <c r="I1504" t="s">
        <v>31</v>
      </c>
      <c r="J1504" t="s">
        <v>21</v>
      </c>
      <c r="K1504" t="s">
        <v>42</v>
      </c>
      <c r="L1504" t="s">
        <v>88</v>
      </c>
      <c r="M1504">
        <v>2</v>
      </c>
      <c r="N1504" t="s">
        <v>24</v>
      </c>
      <c r="O1504" t="s">
        <v>70</v>
      </c>
      <c r="P1504" t="s">
        <v>34</v>
      </c>
    </row>
    <row r="1505" spans="1:16" x14ac:dyDescent="0.25">
      <c r="A1505" t="s">
        <v>3667</v>
      </c>
      <c r="B1505" s="6">
        <v>45045</v>
      </c>
      <c r="C1505">
        <v>4058</v>
      </c>
      <c r="D1505" t="s">
        <v>3669</v>
      </c>
      <c r="E1505" t="s">
        <v>38</v>
      </c>
      <c r="F1505" t="s">
        <v>30</v>
      </c>
      <c r="G1505">
        <v>17297.36</v>
      </c>
      <c r="H1505">
        <v>9940.0400000000009</v>
      </c>
      <c r="I1505" t="s">
        <v>31</v>
      </c>
      <c r="J1505" t="s">
        <v>21</v>
      </c>
      <c r="K1505" t="s">
        <v>80</v>
      </c>
      <c r="L1505" t="s">
        <v>55</v>
      </c>
      <c r="M1505">
        <v>2</v>
      </c>
      <c r="N1505" t="s">
        <v>69</v>
      </c>
      <c r="O1505" t="s">
        <v>25</v>
      </c>
      <c r="P1505" t="s">
        <v>34</v>
      </c>
    </row>
    <row r="1506" spans="1:16" x14ac:dyDescent="0.25">
      <c r="A1506" t="s">
        <v>3670</v>
      </c>
      <c r="B1506" s="6">
        <v>45614</v>
      </c>
      <c r="C1506">
        <v>3245</v>
      </c>
      <c r="D1506" t="s">
        <v>3671</v>
      </c>
      <c r="E1506" t="s">
        <v>18</v>
      </c>
      <c r="F1506" t="s">
        <v>39</v>
      </c>
      <c r="G1506">
        <v>16432.27</v>
      </c>
      <c r="H1506">
        <v>9850.0499999999993</v>
      </c>
      <c r="I1506" t="s">
        <v>40</v>
      </c>
      <c r="J1506" t="s">
        <v>41</v>
      </c>
      <c r="K1506" t="s">
        <v>42</v>
      </c>
      <c r="L1506" t="s">
        <v>48</v>
      </c>
      <c r="M1506">
        <v>3</v>
      </c>
      <c r="N1506" t="s">
        <v>69</v>
      </c>
      <c r="O1506" t="s">
        <v>25</v>
      </c>
      <c r="P1506" t="s">
        <v>26</v>
      </c>
    </row>
    <row r="1507" spans="1:16" x14ac:dyDescent="0.25">
      <c r="A1507" t="s">
        <v>3672</v>
      </c>
      <c r="B1507" s="6">
        <v>44477</v>
      </c>
      <c r="C1507">
        <v>7378</v>
      </c>
      <c r="D1507" t="s">
        <v>2437</v>
      </c>
      <c r="E1507" t="s">
        <v>38</v>
      </c>
      <c r="F1507" t="s">
        <v>19</v>
      </c>
      <c r="G1507">
        <v>12876.61</v>
      </c>
      <c r="H1507">
        <v>7157.83</v>
      </c>
      <c r="I1507" t="s">
        <v>63</v>
      </c>
      <c r="J1507" t="s">
        <v>54</v>
      </c>
      <c r="K1507" t="s">
        <v>42</v>
      </c>
      <c r="L1507" t="s">
        <v>88</v>
      </c>
      <c r="M1507">
        <v>3</v>
      </c>
      <c r="N1507" t="s">
        <v>33</v>
      </c>
      <c r="O1507" t="s">
        <v>25</v>
      </c>
      <c r="P1507" t="s">
        <v>26</v>
      </c>
    </row>
    <row r="1508" spans="1:16" x14ac:dyDescent="0.25">
      <c r="A1508" t="s">
        <v>3673</v>
      </c>
      <c r="B1508" s="6">
        <v>44512</v>
      </c>
      <c r="C1508">
        <v>1857</v>
      </c>
      <c r="D1508" t="s">
        <v>3674</v>
      </c>
      <c r="E1508" t="s">
        <v>38</v>
      </c>
      <c r="F1508" t="s">
        <v>39</v>
      </c>
      <c r="G1508">
        <v>25568.49</v>
      </c>
      <c r="H1508">
        <v>13448.44</v>
      </c>
      <c r="I1508" t="s">
        <v>31</v>
      </c>
      <c r="J1508" t="s">
        <v>21</v>
      </c>
      <c r="K1508" t="s">
        <v>32</v>
      </c>
      <c r="L1508" t="s">
        <v>64</v>
      </c>
      <c r="M1508">
        <v>1</v>
      </c>
      <c r="N1508" t="s">
        <v>69</v>
      </c>
      <c r="O1508" t="s">
        <v>70</v>
      </c>
      <c r="P1508" t="s">
        <v>34</v>
      </c>
    </row>
    <row r="1509" spans="1:16" x14ac:dyDescent="0.25">
      <c r="A1509" t="s">
        <v>3675</v>
      </c>
      <c r="B1509" s="6">
        <v>44889</v>
      </c>
      <c r="C1509">
        <v>7907</v>
      </c>
      <c r="D1509" t="s">
        <v>3676</v>
      </c>
      <c r="E1509" t="s">
        <v>38</v>
      </c>
      <c r="F1509" t="s">
        <v>30</v>
      </c>
      <c r="G1509">
        <v>13170.59</v>
      </c>
      <c r="H1509">
        <v>6445</v>
      </c>
      <c r="I1509" t="s">
        <v>20</v>
      </c>
      <c r="J1509" t="s">
        <v>21</v>
      </c>
      <c r="K1509" t="s">
        <v>22</v>
      </c>
      <c r="L1509" t="s">
        <v>88</v>
      </c>
      <c r="M1509">
        <v>5</v>
      </c>
      <c r="N1509" t="s">
        <v>33</v>
      </c>
      <c r="O1509" t="s">
        <v>25</v>
      </c>
      <c r="P1509" t="s">
        <v>26</v>
      </c>
    </row>
    <row r="1510" spans="1:16" x14ac:dyDescent="0.25">
      <c r="A1510" t="s">
        <v>3677</v>
      </c>
      <c r="B1510" s="6">
        <v>45252</v>
      </c>
      <c r="C1510">
        <v>7933</v>
      </c>
      <c r="D1510" t="s">
        <v>3678</v>
      </c>
      <c r="E1510" t="s">
        <v>38</v>
      </c>
      <c r="F1510" t="s">
        <v>30</v>
      </c>
      <c r="G1510">
        <v>81712.47</v>
      </c>
      <c r="H1510">
        <v>41935.39</v>
      </c>
      <c r="I1510" t="s">
        <v>20</v>
      </c>
      <c r="J1510" t="s">
        <v>21</v>
      </c>
      <c r="K1510" t="s">
        <v>22</v>
      </c>
      <c r="L1510" t="s">
        <v>88</v>
      </c>
      <c r="M1510">
        <v>5</v>
      </c>
      <c r="N1510" t="s">
        <v>33</v>
      </c>
      <c r="O1510" t="s">
        <v>25</v>
      </c>
      <c r="P1510" t="s">
        <v>26</v>
      </c>
    </row>
    <row r="1511" spans="1:16" x14ac:dyDescent="0.25">
      <c r="A1511" t="s">
        <v>3679</v>
      </c>
      <c r="B1511" s="6">
        <v>44364</v>
      </c>
      <c r="C1511">
        <v>8247</v>
      </c>
      <c r="D1511" t="s">
        <v>3680</v>
      </c>
      <c r="E1511" t="s">
        <v>38</v>
      </c>
      <c r="F1511" t="s">
        <v>58</v>
      </c>
      <c r="G1511">
        <v>10296.629999999999</v>
      </c>
      <c r="H1511">
        <v>5406.51</v>
      </c>
      <c r="I1511" t="s">
        <v>53</v>
      </c>
      <c r="J1511" t="s">
        <v>54</v>
      </c>
      <c r="K1511" t="s">
        <v>42</v>
      </c>
      <c r="L1511" t="s">
        <v>48</v>
      </c>
      <c r="M1511">
        <v>3</v>
      </c>
      <c r="N1511" t="s">
        <v>33</v>
      </c>
      <c r="O1511" t="s">
        <v>70</v>
      </c>
      <c r="P1511" t="s">
        <v>34</v>
      </c>
    </row>
    <row r="1512" spans="1:16" x14ac:dyDescent="0.25">
      <c r="A1512" t="s">
        <v>3681</v>
      </c>
      <c r="B1512" s="6">
        <v>44797</v>
      </c>
      <c r="C1512">
        <v>2309</v>
      </c>
      <c r="D1512" t="s">
        <v>3682</v>
      </c>
      <c r="E1512" t="s">
        <v>38</v>
      </c>
      <c r="F1512" t="s">
        <v>30</v>
      </c>
      <c r="G1512">
        <v>43735.09</v>
      </c>
      <c r="H1512">
        <v>26185.02</v>
      </c>
      <c r="I1512" t="s">
        <v>120</v>
      </c>
      <c r="J1512" t="s">
        <v>21</v>
      </c>
      <c r="K1512" t="s">
        <v>42</v>
      </c>
      <c r="L1512" t="s">
        <v>48</v>
      </c>
      <c r="M1512">
        <v>4</v>
      </c>
      <c r="N1512" t="s">
        <v>24</v>
      </c>
      <c r="O1512" t="s">
        <v>25</v>
      </c>
      <c r="P1512" t="s">
        <v>34</v>
      </c>
    </row>
    <row r="1513" spans="1:16" x14ac:dyDescent="0.25">
      <c r="A1513" t="s">
        <v>3683</v>
      </c>
      <c r="B1513" s="6">
        <v>45657</v>
      </c>
      <c r="C1513">
        <v>9108</v>
      </c>
      <c r="D1513" t="s">
        <v>3685</v>
      </c>
      <c r="E1513" t="s">
        <v>38</v>
      </c>
      <c r="F1513" t="s">
        <v>39</v>
      </c>
      <c r="G1513">
        <v>25966.54</v>
      </c>
      <c r="H1513">
        <v>14590.94</v>
      </c>
      <c r="I1513" t="s">
        <v>40</v>
      </c>
      <c r="J1513" t="s">
        <v>41</v>
      </c>
      <c r="K1513" t="s">
        <v>80</v>
      </c>
      <c r="L1513" t="s">
        <v>43</v>
      </c>
      <c r="M1513">
        <v>1</v>
      </c>
      <c r="N1513" t="s">
        <v>33</v>
      </c>
      <c r="O1513" t="s">
        <v>25</v>
      </c>
      <c r="P1513" t="s">
        <v>26</v>
      </c>
    </row>
    <row r="1514" spans="1:16" x14ac:dyDescent="0.25">
      <c r="A1514" t="s">
        <v>3686</v>
      </c>
      <c r="B1514" s="6">
        <v>45337</v>
      </c>
      <c r="C1514">
        <v>5347</v>
      </c>
      <c r="D1514" t="s">
        <v>3687</v>
      </c>
      <c r="E1514" t="s">
        <v>18</v>
      </c>
      <c r="F1514" t="s">
        <v>19</v>
      </c>
      <c r="G1514">
        <v>14911.23</v>
      </c>
      <c r="H1514">
        <v>9112.8799999999992</v>
      </c>
      <c r="I1514" t="s">
        <v>40</v>
      </c>
      <c r="J1514" t="s">
        <v>41</v>
      </c>
      <c r="K1514" t="s">
        <v>22</v>
      </c>
      <c r="L1514" t="s">
        <v>43</v>
      </c>
      <c r="M1514">
        <v>2</v>
      </c>
      <c r="N1514" t="s">
        <v>33</v>
      </c>
      <c r="O1514" t="s">
        <v>70</v>
      </c>
      <c r="P1514" t="s">
        <v>34</v>
      </c>
    </row>
    <row r="1515" spans="1:16" x14ac:dyDescent="0.25">
      <c r="A1515" t="s">
        <v>3688</v>
      </c>
      <c r="B1515" s="6">
        <v>45645</v>
      </c>
      <c r="C1515">
        <v>8848</v>
      </c>
      <c r="D1515" t="s">
        <v>3689</v>
      </c>
      <c r="E1515" t="s">
        <v>18</v>
      </c>
      <c r="F1515" t="s">
        <v>58</v>
      </c>
      <c r="G1515">
        <v>46358.7</v>
      </c>
      <c r="H1515">
        <v>22096.98</v>
      </c>
      <c r="I1515" t="s">
        <v>20</v>
      </c>
      <c r="J1515" t="s">
        <v>21</v>
      </c>
      <c r="K1515" t="s">
        <v>80</v>
      </c>
      <c r="L1515" t="s">
        <v>88</v>
      </c>
      <c r="M1515">
        <v>3</v>
      </c>
      <c r="N1515" t="s">
        <v>33</v>
      </c>
      <c r="O1515" t="s">
        <v>70</v>
      </c>
      <c r="P1515" t="s">
        <v>26</v>
      </c>
    </row>
    <row r="1516" spans="1:16" x14ac:dyDescent="0.25">
      <c r="A1516" t="s">
        <v>3690</v>
      </c>
      <c r="B1516" s="6">
        <v>45527</v>
      </c>
      <c r="C1516">
        <v>4061</v>
      </c>
      <c r="D1516" t="s">
        <v>3691</v>
      </c>
      <c r="E1516" t="s">
        <v>38</v>
      </c>
      <c r="F1516" t="s">
        <v>47</v>
      </c>
      <c r="G1516">
        <v>6850.09</v>
      </c>
      <c r="H1516">
        <v>3731.1</v>
      </c>
      <c r="I1516" t="s">
        <v>63</v>
      </c>
      <c r="J1516" t="s">
        <v>54</v>
      </c>
      <c r="K1516" t="s">
        <v>32</v>
      </c>
      <c r="L1516" t="s">
        <v>43</v>
      </c>
      <c r="M1516">
        <v>2</v>
      </c>
      <c r="N1516" t="s">
        <v>33</v>
      </c>
      <c r="O1516" t="s">
        <v>25</v>
      </c>
      <c r="P1516" t="s">
        <v>34</v>
      </c>
    </row>
    <row r="1517" spans="1:16" x14ac:dyDescent="0.25">
      <c r="A1517" t="s">
        <v>3692</v>
      </c>
      <c r="B1517" s="6">
        <v>44938</v>
      </c>
      <c r="C1517">
        <v>2538</v>
      </c>
      <c r="D1517" t="s">
        <v>3693</v>
      </c>
      <c r="E1517" t="s">
        <v>38</v>
      </c>
      <c r="F1517" t="s">
        <v>58</v>
      </c>
      <c r="G1517">
        <v>38505.879999999997</v>
      </c>
      <c r="H1517">
        <v>17328.669999999998</v>
      </c>
      <c r="I1517" t="s">
        <v>20</v>
      </c>
      <c r="J1517" t="s">
        <v>21</v>
      </c>
      <c r="K1517" t="s">
        <v>80</v>
      </c>
      <c r="L1517" t="s">
        <v>43</v>
      </c>
      <c r="M1517">
        <v>2</v>
      </c>
      <c r="N1517" t="s">
        <v>33</v>
      </c>
      <c r="O1517" t="s">
        <v>70</v>
      </c>
      <c r="P1517" t="s">
        <v>49</v>
      </c>
    </row>
    <row r="1518" spans="1:16" x14ac:dyDescent="0.25">
      <c r="A1518" t="s">
        <v>3694</v>
      </c>
      <c r="B1518" s="6">
        <v>44899</v>
      </c>
      <c r="C1518">
        <v>9606</v>
      </c>
      <c r="D1518" t="s">
        <v>3696</v>
      </c>
      <c r="E1518" t="s">
        <v>18</v>
      </c>
      <c r="F1518" t="s">
        <v>58</v>
      </c>
      <c r="G1518">
        <v>49091.93</v>
      </c>
      <c r="H1518">
        <v>22180.65</v>
      </c>
      <c r="I1518" t="s">
        <v>63</v>
      </c>
      <c r="J1518" t="s">
        <v>54</v>
      </c>
      <c r="K1518" t="s">
        <v>80</v>
      </c>
      <c r="L1518" t="s">
        <v>88</v>
      </c>
      <c r="M1518">
        <v>3</v>
      </c>
      <c r="N1518" t="s">
        <v>69</v>
      </c>
      <c r="O1518" t="s">
        <v>25</v>
      </c>
      <c r="P1518" t="s">
        <v>34</v>
      </c>
    </row>
    <row r="1519" spans="1:16" x14ac:dyDescent="0.25">
      <c r="A1519" t="s">
        <v>3697</v>
      </c>
      <c r="B1519" s="6">
        <v>44057</v>
      </c>
      <c r="C1519">
        <v>8150</v>
      </c>
      <c r="D1519" t="s">
        <v>3699</v>
      </c>
      <c r="E1519" t="s">
        <v>18</v>
      </c>
      <c r="F1519" t="s">
        <v>47</v>
      </c>
      <c r="G1519">
        <v>3766.31</v>
      </c>
      <c r="H1519">
        <v>2417.52</v>
      </c>
      <c r="I1519" t="s">
        <v>20</v>
      </c>
      <c r="J1519" t="s">
        <v>21</v>
      </c>
      <c r="K1519" t="s">
        <v>22</v>
      </c>
      <c r="L1519" t="s">
        <v>55</v>
      </c>
      <c r="M1519">
        <v>1</v>
      </c>
      <c r="N1519" t="s">
        <v>24</v>
      </c>
      <c r="O1519" t="s">
        <v>25</v>
      </c>
      <c r="P1519" t="s">
        <v>34</v>
      </c>
    </row>
    <row r="1520" spans="1:16" x14ac:dyDescent="0.25">
      <c r="A1520" t="s">
        <v>3700</v>
      </c>
      <c r="B1520" s="6">
        <v>44418</v>
      </c>
      <c r="C1520">
        <v>3466</v>
      </c>
      <c r="D1520" t="s">
        <v>2701</v>
      </c>
      <c r="E1520" t="s">
        <v>18</v>
      </c>
      <c r="F1520" t="s">
        <v>19</v>
      </c>
      <c r="G1520">
        <v>6786.23</v>
      </c>
      <c r="H1520">
        <v>3688.23</v>
      </c>
      <c r="I1520" t="s">
        <v>68</v>
      </c>
      <c r="J1520" t="s">
        <v>41</v>
      </c>
      <c r="K1520" t="s">
        <v>32</v>
      </c>
      <c r="L1520" t="s">
        <v>23</v>
      </c>
      <c r="M1520">
        <v>1</v>
      </c>
      <c r="N1520" t="s">
        <v>33</v>
      </c>
      <c r="O1520" t="s">
        <v>70</v>
      </c>
      <c r="P1520" t="s">
        <v>49</v>
      </c>
    </row>
    <row r="1521" spans="1:16" x14ac:dyDescent="0.25">
      <c r="A1521" t="s">
        <v>3701</v>
      </c>
      <c r="B1521" s="6">
        <v>44806</v>
      </c>
      <c r="C1521">
        <v>8257</v>
      </c>
      <c r="D1521" t="s">
        <v>3702</v>
      </c>
      <c r="E1521" t="s">
        <v>18</v>
      </c>
      <c r="F1521" t="s">
        <v>39</v>
      </c>
      <c r="G1521">
        <v>10381.549999999999</v>
      </c>
      <c r="H1521">
        <v>5422.3</v>
      </c>
      <c r="I1521" t="s">
        <v>59</v>
      </c>
      <c r="J1521" t="s">
        <v>41</v>
      </c>
      <c r="K1521" t="s">
        <v>32</v>
      </c>
      <c r="L1521" t="s">
        <v>64</v>
      </c>
      <c r="M1521">
        <v>1</v>
      </c>
      <c r="N1521" t="s">
        <v>33</v>
      </c>
      <c r="O1521" t="s">
        <v>25</v>
      </c>
      <c r="P1521" t="s">
        <v>49</v>
      </c>
    </row>
    <row r="1522" spans="1:16" x14ac:dyDescent="0.25">
      <c r="A1522" t="s">
        <v>3703</v>
      </c>
      <c r="B1522" s="6">
        <v>44581</v>
      </c>
      <c r="C1522">
        <v>8748</v>
      </c>
      <c r="D1522" t="s">
        <v>3705</v>
      </c>
      <c r="E1522" t="s">
        <v>38</v>
      </c>
      <c r="F1522" t="s">
        <v>58</v>
      </c>
      <c r="G1522">
        <v>34933.21</v>
      </c>
      <c r="H1522">
        <v>16644.11</v>
      </c>
      <c r="I1522" t="s">
        <v>120</v>
      </c>
      <c r="J1522" t="s">
        <v>21</v>
      </c>
      <c r="K1522" t="s">
        <v>80</v>
      </c>
      <c r="L1522" t="s">
        <v>88</v>
      </c>
      <c r="M1522">
        <v>1</v>
      </c>
      <c r="N1522" t="s">
        <v>24</v>
      </c>
      <c r="O1522" t="s">
        <v>70</v>
      </c>
      <c r="P1522" t="s">
        <v>34</v>
      </c>
    </row>
    <row r="1523" spans="1:16" x14ac:dyDescent="0.25">
      <c r="A1523" t="s">
        <v>3706</v>
      </c>
      <c r="B1523" s="6">
        <v>44777</v>
      </c>
      <c r="C1523">
        <v>7082</v>
      </c>
      <c r="D1523" t="s">
        <v>3707</v>
      </c>
      <c r="E1523" t="s">
        <v>18</v>
      </c>
      <c r="F1523" t="s">
        <v>30</v>
      </c>
      <c r="G1523">
        <v>73455.59</v>
      </c>
      <c r="H1523">
        <v>39367.79</v>
      </c>
      <c r="I1523" t="s">
        <v>120</v>
      </c>
      <c r="J1523" t="s">
        <v>21</v>
      </c>
      <c r="K1523" t="s">
        <v>32</v>
      </c>
      <c r="L1523" t="s">
        <v>55</v>
      </c>
      <c r="M1523">
        <v>1</v>
      </c>
      <c r="N1523" t="s">
        <v>33</v>
      </c>
      <c r="O1523" t="s">
        <v>25</v>
      </c>
      <c r="P1523" t="s">
        <v>49</v>
      </c>
    </row>
    <row r="1524" spans="1:16" x14ac:dyDescent="0.25">
      <c r="A1524" t="s">
        <v>3708</v>
      </c>
      <c r="B1524" s="6">
        <v>45498</v>
      </c>
      <c r="C1524">
        <v>7744</v>
      </c>
      <c r="D1524" t="s">
        <v>3709</v>
      </c>
      <c r="E1524" t="s">
        <v>18</v>
      </c>
      <c r="F1524" t="s">
        <v>19</v>
      </c>
      <c r="G1524">
        <v>9499.3799999999992</v>
      </c>
      <c r="H1524">
        <v>5125.5200000000004</v>
      </c>
      <c r="I1524" t="s">
        <v>120</v>
      </c>
      <c r="J1524" t="s">
        <v>21</v>
      </c>
      <c r="K1524" t="s">
        <v>42</v>
      </c>
      <c r="L1524" t="s">
        <v>43</v>
      </c>
      <c r="M1524">
        <v>4</v>
      </c>
      <c r="N1524" t="s">
        <v>24</v>
      </c>
      <c r="O1524" t="s">
        <v>25</v>
      </c>
      <c r="P1524" t="s">
        <v>49</v>
      </c>
    </row>
    <row r="1525" spans="1:16" x14ac:dyDescent="0.25">
      <c r="A1525" t="s">
        <v>3710</v>
      </c>
      <c r="B1525" s="6">
        <v>45175</v>
      </c>
      <c r="C1525">
        <v>9874</v>
      </c>
      <c r="D1525" t="s">
        <v>3711</v>
      </c>
      <c r="E1525" t="s">
        <v>38</v>
      </c>
      <c r="F1525" t="s">
        <v>19</v>
      </c>
      <c r="G1525">
        <v>13550.43</v>
      </c>
      <c r="H1525">
        <v>7718.75</v>
      </c>
      <c r="I1525" t="s">
        <v>40</v>
      </c>
      <c r="J1525" t="s">
        <v>41</v>
      </c>
      <c r="K1525" t="s">
        <v>22</v>
      </c>
      <c r="L1525" t="s">
        <v>88</v>
      </c>
      <c r="M1525">
        <v>5</v>
      </c>
      <c r="N1525" t="s">
        <v>69</v>
      </c>
      <c r="O1525" t="s">
        <v>25</v>
      </c>
      <c r="P1525" t="s">
        <v>26</v>
      </c>
    </row>
    <row r="1526" spans="1:16" x14ac:dyDescent="0.25">
      <c r="A1526" t="s">
        <v>3712</v>
      </c>
      <c r="B1526" s="6">
        <v>45299</v>
      </c>
      <c r="C1526">
        <v>4400</v>
      </c>
      <c r="D1526" t="s">
        <v>3713</v>
      </c>
      <c r="E1526" t="s">
        <v>18</v>
      </c>
      <c r="F1526" t="s">
        <v>47</v>
      </c>
      <c r="G1526">
        <v>15992.91</v>
      </c>
      <c r="H1526">
        <v>9675.9599999999991</v>
      </c>
      <c r="I1526" t="s">
        <v>31</v>
      </c>
      <c r="J1526" t="s">
        <v>21</v>
      </c>
      <c r="K1526" t="s">
        <v>80</v>
      </c>
      <c r="L1526" t="s">
        <v>88</v>
      </c>
      <c r="M1526">
        <v>2</v>
      </c>
      <c r="N1526" t="s">
        <v>33</v>
      </c>
      <c r="O1526" t="s">
        <v>70</v>
      </c>
      <c r="P1526" t="s">
        <v>49</v>
      </c>
    </row>
    <row r="1527" spans="1:16" x14ac:dyDescent="0.25">
      <c r="A1527" t="s">
        <v>3714</v>
      </c>
      <c r="B1527" s="6">
        <v>44477</v>
      </c>
      <c r="C1527">
        <v>9743</v>
      </c>
      <c r="D1527" t="s">
        <v>3715</v>
      </c>
      <c r="E1527" t="s">
        <v>18</v>
      </c>
      <c r="F1527" t="s">
        <v>58</v>
      </c>
      <c r="G1527">
        <v>33088.51</v>
      </c>
      <c r="H1527">
        <v>20913.46</v>
      </c>
      <c r="I1527" t="s">
        <v>53</v>
      </c>
      <c r="J1527" t="s">
        <v>54</v>
      </c>
      <c r="K1527" t="s">
        <v>42</v>
      </c>
      <c r="L1527" t="s">
        <v>43</v>
      </c>
      <c r="M1527">
        <v>3</v>
      </c>
      <c r="N1527" t="s">
        <v>24</v>
      </c>
      <c r="O1527" t="s">
        <v>25</v>
      </c>
      <c r="P1527" t="s">
        <v>34</v>
      </c>
    </row>
    <row r="1528" spans="1:16" x14ac:dyDescent="0.25">
      <c r="A1528" t="s">
        <v>3716</v>
      </c>
      <c r="B1528" s="6">
        <v>45150</v>
      </c>
      <c r="C1528">
        <v>3252</v>
      </c>
      <c r="D1528" t="s">
        <v>3165</v>
      </c>
      <c r="E1528" t="s">
        <v>18</v>
      </c>
      <c r="F1528" t="s">
        <v>58</v>
      </c>
      <c r="G1528">
        <v>52736.639999999999</v>
      </c>
      <c r="H1528">
        <v>33985.269999999997</v>
      </c>
      <c r="I1528" t="s">
        <v>84</v>
      </c>
      <c r="J1528" t="s">
        <v>54</v>
      </c>
      <c r="K1528" t="s">
        <v>42</v>
      </c>
      <c r="L1528" t="s">
        <v>64</v>
      </c>
      <c r="M1528">
        <v>3</v>
      </c>
      <c r="N1528" t="s">
        <v>33</v>
      </c>
      <c r="O1528" t="s">
        <v>70</v>
      </c>
      <c r="P1528" t="s">
        <v>49</v>
      </c>
    </row>
    <row r="1529" spans="1:16" x14ac:dyDescent="0.25">
      <c r="A1529" t="s">
        <v>3718</v>
      </c>
      <c r="B1529" s="6">
        <v>45648</v>
      </c>
      <c r="C1529">
        <v>2052</v>
      </c>
      <c r="D1529" t="s">
        <v>3719</v>
      </c>
      <c r="E1529" t="s">
        <v>18</v>
      </c>
      <c r="F1529" t="s">
        <v>19</v>
      </c>
      <c r="G1529">
        <v>25020.61</v>
      </c>
      <c r="H1529">
        <v>11903.64</v>
      </c>
      <c r="I1529" t="s">
        <v>53</v>
      </c>
      <c r="J1529" t="s">
        <v>54</v>
      </c>
      <c r="K1529" t="s">
        <v>80</v>
      </c>
      <c r="L1529" t="s">
        <v>43</v>
      </c>
      <c r="M1529">
        <v>5</v>
      </c>
      <c r="N1529" t="s">
        <v>24</v>
      </c>
      <c r="O1529" t="s">
        <v>25</v>
      </c>
      <c r="P1529" t="s">
        <v>49</v>
      </c>
    </row>
    <row r="1530" spans="1:16" x14ac:dyDescent="0.25">
      <c r="A1530" t="s">
        <v>3720</v>
      </c>
      <c r="B1530" s="6">
        <v>45123</v>
      </c>
      <c r="C1530">
        <v>4275</v>
      </c>
      <c r="D1530" t="s">
        <v>3722</v>
      </c>
      <c r="E1530" t="s">
        <v>38</v>
      </c>
      <c r="F1530" t="s">
        <v>58</v>
      </c>
      <c r="G1530">
        <v>33689</v>
      </c>
      <c r="H1530">
        <v>17653.560000000001</v>
      </c>
      <c r="I1530" t="s">
        <v>120</v>
      </c>
      <c r="J1530" t="s">
        <v>21</v>
      </c>
      <c r="K1530" t="s">
        <v>42</v>
      </c>
      <c r="L1530" t="s">
        <v>64</v>
      </c>
      <c r="M1530">
        <v>5</v>
      </c>
      <c r="N1530" t="s">
        <v>24</v>
      </c>
      <c r="O1530" t="s">
        <v>70</v>
      </c>
      <c r="P1530" t="s">
        <v>34</v>
      </c>
    </row>
    <row r="1531" spans="1:16" x14ac:dyDescent="0.25">
      <c r="A1531" t="s">
        <v>3723</v>
      </c>
      <c r="B1531" s="6">
        <v>44789</v>
      </c>
      <c r="C1531">
        <v>5412</v>
      </c>
      <c r="D1531" t="s">
        <v>3724</v>
      </c>
      <c r="E1531" t="s">
        <v>38</v>
      </c>
      <c r="F1531" t="s">
        <v>39</v>
      </c>
      <c r="G1531">
        <v>16034.79</v>
      </c>
      <c r="H1531">
        <v>9390.84</v>
      </c>
      <c r="I1531" t="s">
        <v>84</v>
      </c>
      <c r="J1531" t="s">
        <v>54</v>
      </c>
      <c r="K1531" t="s">
        <v>32</v>
      </c>
      <c r="L1531" t="s">
        <v>55</v>
      </c>
      <c r="M1531">
        <v>5</v>
      </c>
      <c r="N1531" t="s">
        <v>69</v>
      </c>
      <c r="O1531" t="s">
        <v>25</v>
      </c>
      <c r="P1531" t="s">
        <v>26</v>
      </c>
    </row>
    <row r="1532" spans="1:16" x14ac:dyDescent="0.25">
      <c r="A1532" t="s">
        <v>3725</v>
      </c>
      <c r="B1532" s="6">
        <v>45220</v>
      </c>
      <c r="C1532">
        <v>7835</v>
      </c>
      <c r="D1532" t="s">
        <v>3726</v>
      </c>
      <c r="E1532" t="s">
        <v>18</v>
      </c>
      <c r="F1532" t="s">
        <v>58</v>
      </c>
      <c r="G1532">
        <v>30656.799999999999</v>
      </c>
      <c r="H1532">
        <v>14607.4</v>
      </c>
      <c r="I1532" t="s">
        <v>63</v>
      </c>
      <c r="J1532" t="s">
        <v>54</v>
      </c>
      <c r="K1532" t="s">
        <v>22</v>
      </c>
      <c r="L1532" t="s">
        <v>64</v>
      </c>
      <c r="M1532">
        <v>3</v>
      </c>
      <c r="N1532" t="s">
        <v>33</v>
      </c>
      <c r="O1532" t="s">
        <v>25</v>
      </c>
      <c r="P1532" t="s">
        <v>34</v>
      </c>
    </row>
    <row r="1533" spans="1:16" x14ac:dyDescent="0.25">
      <c r="A1533" t="s">
        <v>3727</v>
      </c>
      <c r="B1533" s="6">
        <v>44902</v>
      </c>
      <c r="C1533">
        <v>7530</v>
      </c>
      <c r="D1533" t="s">
        <v>2183</v>
      </c>
      <c r="E1533" t="s">
        <v>38</v>
      </c>
      <c r="F1533" t="s">
        <v>47</v>
      </c>
      <c r="G1533">
        <v>6597.23</v>
      </c>
      <c r="H1533">
        <v>3969.75</v>
      </c>
      <c r="I1533" t="s">
        <v>120</v>
      </c>
      <c r="J1533" t="s">
        <v>21</v>
      </c>
      <c r="K1533" t="s">
        <v>80</v>
      </c>
      <c r="L1533" t="s">
        <v>88</v>
      </c>
      <c r="M1533">
        <v>1</v>
      </c>
      <c r="N1533" t="s">
        <v>69</v>
      </c>
      <c r="O1533" t="s">
        <v>25</v>
      </c>
      <c r="P1533" t="s">
        <v>34</v>
      </c>
    </row>
    <row r="1534" spans="1:16" x14ac:dyDescent="0.25">
      <c r="A1534" t="s">
        <v>3728</v>
      </c>
      <c r="B1534" s="6">
        <v>44790</v>
      </c>
      <c r="C1534">
        <v>9536</v>
      </c>
      <c r="D1534" t="s">
        <v>3729</v>
      </c>
      <c r="E1534" t="s">
        <v>38</v>
      </c>
      <c r="F1534" t="s">
        <v>58</v>
      </c>
      <c r="G1534">
        <v>45491.03</v>
      </c>
      <c r="H1534">
        <v>28257.54</v>
      </c>
      <c r="I1534" t="s">
        <v>63</v>
      </c>
      <c r="J1534" t="s">
        <v>54</v>
      </c>
      <c r="K1534" t="s">
        <v>42</v>
      </c>
      <c r="L1534" t="s">
        <v>48</v>
      </c>
      <c r="M1534">
        <v>1</v>
      </c>
      <c r="N1534" t="s">
        <v>33</v>
      </c>
      <c r="O1534" t="s">
        <v>25</v>
      </c>
      <c r="P1534" t="s">
        <v>34</v>
      </c>
    </row>
    <row r="1535" spans="1:16" x14ac:dyDescent="0.25">
      <c r="A1535" t="s">
        <v>3730</v>
      </c>
      <c r="B1535" s="6">
        <v>45446</v>
      </c>
      <c r="C1535">
        <v>2125</v>
      </c>
      <c r="D1535" t="s">
        <v>3731</v>
      </c>
      <c r="E1535" t="s">
        <v>38</v>
      </c>
      <c r="F1535" t="s">
        <v>58</v>
      </c>
      <c r="G1535">
        <v>63778.91</v>
      </c>
      <c r="H1535">
        <v>28763.5</v>
      </c>
      <c r="I1535" t="s">
        <v>63</v>
      </c>
      <c r="J1535" t="s">
        <v>54</v>
      </c>
      <c r="K1535" t="s">
        <v>32</v>
      </c>
      <c r="L1535" t="s">
        <v>23</v>
      </c>
      <c r="M1535">
        <v>5</v>
      </c>
      <c r="N1535" t="s">
        <v>33</v>
      </c>
      <c r="O1535" t="s">
        <v>25</v>
      </c>
      <c r="P1535" t="s">
        <v>34</v>
      </c>
    </row>
    <row r="1536" spans="1:16" x14ac:dyDescent="0.25">
      <c r="A1536" t="s">
        <v>3732</v>
      </c>
      <c r="B1536" s="6">
        <v>45313</v>
      </c>
      <c r="C1536">
        <v>8415</v>
      </c>
      <c r="D1536" t="s">
        <v>3733</v>
      </c>
      <c r="E1536" t="s">
        <v>18</v>
      </c>
      <c r="F1536" t="s">
        <v>47</v>
      </c>
      <c r="G1536">
        <v>21718.720000000001</v>
      </c>
      <c r="H1536">
        <v>11546.58</v>
      </c>
      <c r="I1536" t="s">
        <v>63</v>
      </c>
      <c r="J1536" t="s">
        <v>54</v>
      </c>
      <c r="K1536" t="s">
        <v>22</v>
      </c>
      <c r="L1536" t="s">
        <v>43</v>
      </c>
      <c r="M1536">
        <v>3</v>
      </c>
      <c r="N1536" t="s">
        <v>69</v>
      </c>
      <c r="O1536" t="s">
        <v>25</v>
      </c>
      <c r="P1536" t="s">
        <v>26</v>
      </c>
    </row>
    <row r="1537" spans="1:16" x14ac:dyDescent="0.25">
      <c r="A1537" t="s">
        <v>3734</v>
      </c>
      <c r="B1537" s="6">
        <v>44186</v>
      </c>
      <c r="C1537">
        <v>1794</v>
      </c>
      <c r="D1537" t="s">
        <v>3735</v>
      </c>
      <c r="E1537" t="s">
        <v>18</v>
      </c>
      <c r="F1537" t="s">
        <v>58</v>
      </c>
      <c r="G1537">
        <v>6843.51</v>
      </c>
      <c r="H1537">
        <v>3912.73</v>
      </c>
      <c r="I1537" t="s">
        <v>120</v>
      </c>
      <c r="J1537" t="s">
        <v>21</v>
      </c>
      <c r="K1537" t="s">
        <v>42</v>
      </c>
      <c r="L1537" t="s">
        <v>48</v>
      </c>
      <c r="M1537">
        <v>1</v>
      </c>
      <c r="N1537" t="s">
        <v>33</v>
      </c>
      <c r="O1537" t="s">
        <v>70</v>
      </c>
      <c r="P1537" t="s">
        <v>26</v>
      </c>
    </row>
    <row r="1538" spans="1:16" x14ac:dyDescent="0.25">
      <c r="A1538" t="s">
        <v>3736</v>
      </c>
      <c r="B1538" s="6">
        <v>45535</v>
      </c>
      <c r="C1538">
        <v>8942</v>
      </c>
      <c r="D1538" t="s">
        <v>3737</v>
      </c>
      <c r="E1538" t="s">
        <v>38</v>
      </c>
      <c r="F1538" t="s">
        <v>19</v>
      </c>
      <c r="G1538">
        <v>6820.6</v>
      </c>
      <c r="H1538">
        <v>3441.31</v>
      </c>
      <c r="I1538" t="s">
        <v>120</v>
      </c>
      <c r="J1538" t="s">
        <v>21</v>
      </c>
      <c r="K1538" t="s">
        <v>32</v>
      </c>
      <c r="L1538" t="s">
        <v>43</v>
      </c>
      <c r="M1538">
        <v>3</v>
      </c>
      <c r="N1538" t="s">
        <v>33</v>
      </c>
      <c r="O1538" t="s">
        <v>25</v>
      </c>
      <c r="P1538" t="s">
        <v>49</v>
      </c>
    </row>
    <row r="1539" spans="1:16" x14ac:dyDescent="0.25">
      <c r="A1539" t="s">
        <v>3738</v>
      </c>
      <c r="B1539" s="6">
        <v>45529</v>
      </c>
      <c r="C1539">
        <v>6798</v>
      </c>
      <c r="D1539" t="s">
        <v>3739</v>
      </c>
      <c r="E1539" t="s">
        <v>38</v>
      </c>
      <c r="F1539" t="s">
        <v>39</v>
      </c>
      <c r="G1539">
        <v>47713.71</v>
      </c>
      <c r="H1539">
        <v>26167.56</v>
      </c>
      <c r="I1539" t="s">
        <v>63</v>
      </c>
      <c r="J1539" t="s">
        <v>54</v>
      </c>
      <c r="K1539" t="s">
        <v>22</v>
      </c>
      <c r="L1539" t="s">
        <v>43</v>
      </c>
      <c r="M1539">
        <v>3</v>
      </c>
      <c r="N1539" t="s">
        <v>24</v>
      </c>
      <c r="O1539" t="s">
        <v>70</v>
      </c>
      <c r="P1539" t="s">
        <v>26</v>
      </c>
    </row>
    <row r="1540" spans="1:16" x14ac:dyDescent="0.25">
      <c r="A1540" t="s">
        <v>3740</v>
      </c>
      <c r="B1540" s="6">
        <v>44883</v>
      </c>
      <c r="C1540">
        <v>1739</v>
      </c>
      <c r="D1540" t="s">
        <v>3741</v>
      </c>
      <c r="E1540" t="s">
        <v>18</v>
      </c>
      <c r="F1540" t="s">
        <v>58</v>
      </c>
      <c r="G1540">
        <v>32340.86</v>
      </c>
      <c r="H1540">
        <v>17348.91</v>
      </c>
      <c r="I1540" t="s">
        <v>31</v>
      </c>
      <c r="J1540" t="s">
        <v>21</v>
      </c>
      <c r="K1540" t="s">
        <v>32</v>
      </c>
      <c r="L1540" t="s">
        <v>48</v>
      </c>
      <c r="M1540">
        <v>5</v>
      </c>
      <c r="N1540" t="s">
        <v>33</v>
      </c>
      <c r="O1540" t="s">
        <v>25</v>
      </c>
      <c r="P1540" t="s">
        <v>26</v>
      </c>
    </row>
    <row r="1541" spans="1:16" x14ac:dyDescent="0.25">
      <c r="A1541" t="s">
        <v>3742</v>
      </c>
      <c r="B1541" s="6">
        <v>44998</v>
      </c>
      <c r="C1541">
        <v>9529</v>
      </c>
      <c r="D1541" t="s">
        <v>3744</v>
      </c>
      <c r="E1541" t="s">
        <v>38</v>
      </c>
      <c r="F1541" t="s">
        <v>39</v>
      </c>
      <c r="G1541">
        <v>23414.54</v>
      </c>
      <c r="H1541">
        <v>14615.38</v>
      </c>
      <c r="I1541" t="s">
        <v>68</v>
      </c>
      <c r="J1541" t="s">
        <v>41</v>
      </c>
      <c r="K1541" t="s">
        <v>80</v>
      </c>
      <c r="L1541" t="s">
        <v>23</v>
      </c>
      <c r="M1541">
        <v>3</v>
      </c>
      <c r="N1541" t="s">
        <v>33</v>
      </c>
      <c r="O1541" t="s">
        <v>25</v>
      </c>
      <c r="P1541" t="s">
        <v>49</v>
      </c>
    </row>
    <row r="1542" spans="1:16" x14ac:dyDescent="0.25">
      <c r="A1542" t="s">
        <v>3745</v>
      </c>
      <c r="B1542" s="6">
        <v>44785</v>
      </c>
      <c r="C1542">
        <v>6940</v>
      </c>
      <c r="D1542" t="s">
        <v>3746</v>
      </c>
      <c r="E1542" t="s">
        <v>38</v>
      </c>
      <c r="F1542" t="s">
        <v>30</v>
      </c>
      <c r="G1542">
        <v>81763.73</v>
      </c>
      <c r="H1542">
        <v>38652.639999999999</v>
      </c>
      <c r="I1542" t="s">
        <v>31</v>
      </c>
      <c r="J1542" t="s">
        <v>21</v>
      </c>
      <c r="K1542" t="s">
        <v>42</v>
      </c>
      <c r="L1542" t="s">
        <v>55</v>
      </c>
      <c r="M1542">
        <v>5</v>
      </c>
      <c r="N1542" t="s">
        <v>69</v>
      </c>
      <c r="O1542" t="s">
        <v>70</v>
      </c>
      <c r="P1542" t="s">
        <v>49</v>
      </c>
    </row>
    <row r="1543" spans="1:16" x14ac:dyDescent="0.25">
      <c r="A1543" t="s">
        <v>3747</v>
      </c>
      <c r="B1543" s="6">
        <v>44993</v>
      </c>
      <c r="C1543">
        <v>6242</v>
      </c>
      <c r="D1543" t="s">
        <v>3748</v>
      </c>
      <c r="E1543" t="s">
        <v>38</v>
      </c>
      <c r="F1543" t="s">
        <v>58</v>
      </c>
      <c r="G1543">
        <v>38828.9</v>
      </c>
      <c r="H1543">
        <v>23732.080000000002</v>
      </c>
      <c r="I1543" t="s">
        <v>20</v>
      </c>
      <c r="J1543" t="s">
        <v>21</v>
      </c>
      <c r="K1543" t="s">
        <v>42</v>
      </c>
      <c r="L1543" t="s">
        <v>55</v>
      </c>
      <c r="M1543">
        <v>5</v>
      </c>
      <c r="N1543" t="s">
        <v>33</v>
      </c>
      <c r="O1543" t="s">
        <v>25</v>
      </c>
      <c r="P1543" t="s">
        <v>26</v>
      </c>
    </row>
    <row r="1544" spans="1:16" x14ac:dyDescent="0.25">
      <c r="A1544" t="s">
        <v>3749</v>
      </c>
      <c r="B1544" s="6">
        <v>45207</v>
      </c>
      <c r="C1544">
        <v>5586</v>
      </c>
      <c r="D1544" t="s">
        <v>3750</v>
      </c>
      <c r="E1544" t="s">
        <v>18</v>
      </c>
      <c r="F1544" t="s">
        <v>58</v>
      </c>
      <c r="G1544">
        <v>34489.129999999997</v>
      </c>
      <c r="H1544">
        <v>21304.93</v>
      </c>
      <c r="I1544" t="s">
        <v>53</v>
      </c>
      <c r="J1544" t="s">
        <v>54</v>
      </c>
      <c r="K1544" t="s">
        <v>42</v>
      </c>
      <c r="L1544" t="s">
        <v>43</v>
      </c>
      <c r="M1544">
        <v>2</v>
      </c>
      <c r="N1544" t="s">
        <v>33</v>
      </c>
      <c r="O1544" t="s">
        <v>70</v>
      </c>
      <c r="P1544" t="s">
        <v>26</v>
      </c>
    </row>
    <row r="1545" spans="1:16" x14ac:dyDescent="0.25">
      <c r="A1545" t="s">
        <v>3751</v>
      </c>
      <c r="B1545" s="6">
        <v>45401</v>
      </c>
      <c r="C1545">
        <v>2416</v>
      </c>
      <c r="D1545" t="s">
        <v>2034</v>
      </c>
      <c r="E1545" t="s">
        <v>38</v>
      </c>
      <c r="F1545" t="s">
        <v>39</v>
      </c>
      <c r="G1545">
        <v>12556.25</v>
      </c>
      <c r="H1545">
        <v>7689.36</v>
      </c>
      <c r="I1545" t="s">
        <v>120</v>
      </c>
      <c r="J1545" t="s">
        <v>21</v>
      </c>
      <c r="K1545" t="s">
        <v>22</v>
      </c>
      <c r="L1545" t="s">
        <v>64</v>
      </c>
      <c r="M1545">
        <v>5</v>
      </c>
      <c r="N1545" t="s">
        <v>24</v>
      </c>
      <c r="O1545" t="s">
        <v>25</v>
      </c>
      <c r="P1545" t="s">
        <v>26</v>
      </c>
    </row>
    <row r="1546" spans="1:16" x14ac:dyDescent="0.25">
      <c r="A1546" t="s">
        <v>3752</v>
      </c>
      <c r="B1546" s="6">
        <v>45139</v>
      </c>
      <c r="C1546">
        <v>9990</v>
      </c>
      <c r="D1546" t="s">
        <v>3754</v>
      </c>
      <c r="E1546" t="s">
        <v>18</v>
      </c>
      <c r="F1546" t="s">
        <v>47</v>
      </c>
      <c r="G1546">
        <v>12221.24</v>
      </c>
      <c r="H1546">
        <v>7767.46</v>
      </c>
      <c r="I1546" t="s">
        <v>59</v>
      </c>
      <c r="J1546" t="s">
        <v>41</v>
      </c>
      <c r="K1546" t="s">
        <v>32</v>
      </c>
      <c r="L1546" t="s">
        <v>23</v>
      </c>
      <c r="M1546">
        <v>4</v>
      </c>
      <c r="N1546" t="s">
        <v>24</v>
      </c>
      <c r="O1546" t="s">
        <v>25</v>
      </c>
      <c r="P1546" t="s">
        <v>34</v>
      </c>
    </row>
    <row r="1547" spans="1:16" x14ac:dyDescent="0.25">
      <c r="A1547" t="s">
        <v>3755</v>
      </c>
      <c r="B1547" s="6">
        <v>45004</v>
      </c>
      <c r="C1547">
        <v>4735</v>
      </c>
      <c r="D1547" t="s">
        <v>3756</v>
      </c>
      <c r="E1547" t="s">
        <v>38</v>
      </c>
      <c r="F1547" t="s">
        <v>30</v>
      </c>
      <c r="G1547">
        <v>84993.65</v>
      </c>
      <c r="H1547">
        <v>47990.97</v>
      </c>
      <c r="I1547" t="s">
        <v>84</v>
      </c>
      <c r="J1547" t="s">
        <v>54</v>
      </c>
      <c r="K1547" t="s">
        <v>22</v>
      </c>
      <c r="L1547" t="s">
        <v>48</v>
      </c>
      <c r="M1547">
        <v>4</v>
      </c>
      <c r="N1547" t="s">
        <v>33</v>
      </c>
      <c r="O1547" t="s">
        <v>25</v>
      </c>
      <c r="P1547" t="s">
        <v>49</v>
      </c>
    </row>
    <row r="1548" spans="1:16" x14ac:dyDescent="0.25">
      <c r="A1548" t="s">
        <v>3757</v>
      </c>
      <c r="B1548" s="6">
        <v>45209</v>
      </c>
      <c r="C1548">
        <v>8635</v>
      </c>
      <c r="D1548" t="s">
        <v>3758</v>
      </c>
      <c r="E1548" t="s">
        <v>38</v>
      </c>
      <c r="F1548" t="s">
        <v>30</v>
      </c>
      <c r="G1548">
        <v>62568.65</v>
      </c>
      <c r="H1548">
        <v>36956.39</v>
      </c>
      <c r="I1548" t="s">
        <v>31</v>
      </c>
      <c r="J1548" t="s">
        <v>21</v>
      </c>
      <c r="K1548" t="s">
        <v>22</v>
      </c>
      <c r="L1548" t="s">
        <v>48</v>
      </c>
      <c r="M1548">
        <v>4</v>
      </c>
      <c r="N1548" t="s">
        <v>33</v>
      </c>
      <c r="O1548" t="s">
        <v>25</v>
      </c>
      <c r="P1548" t="s">
        <v>26</v>
      </c>
    </row>
    <row r="1549" spans="1:16" x14ac:dyDescent="0.25">
      <c r="A1549" t="s">
        <v>3759</v>
      </c>
      <c r="B1549" s="6">
        <v>45570</v>
      </c>
      <c r="C1549">
        <v>1651</v>
      </c>
      <c r="D1549" t="s">
        <v>3761</v>
      </c>
      <c r="E1549" t="s">
        <v>38</v>
      </c>
      <c r="F1549" t="s">
        <v>47</v>
      </c>
      <c r="G1549">
        <v>14827.3</v>
      </c>
      <c r="H1549">
        <v>8044.61</v>
      </c>
      <c r="I1549" t="s">
        <v>20</v>
      </c>
      <c r="J1549" t="s">
        <v>21</v>
      </c>
      <c r="K1549" t="s">
        <v>22</v>
      </c>
      <c r="L1549" t="s">
        <v>88</v>
      </c>
      <c r="M1549">
        <v>5</v>
      </c>
      <c r="N1549" t="s">
        <v>33</v>
      </c>
      <c r="O1549" t="s">
        <v>25</v>
      </c>
      <c r="P1549" t="s">
        <v>26</v>
      </c>
    </row>
    <row r="1550" spans="1:16" x14ac:dyDescent="0.25">
      <c r="A1550" t="s">
        <v>3762</v>
      </c>
      <c r="B1550" s="6">
        <v>45656</v>
      </c>
      <c r="C1550">
        <v>7399</v>
      </c>
      <c r="D1550" t="s">
        <v>3764</v>
      </c>
      <c r="E1550" t="s">
        <v>18</v>
      </c>
      <c r="F1550" t="s">
        <v>39</v>
      </c>
      <c r="G1550">
        <v>25455.72</v>
      </c>
      <c r="H1550">
        <v>14254.84</v>
      </c>
      <c r="I1550" t="s">
        <v>120</v>
      </c>
      <c r="J1550" t="s">
        <v>21</v>
      </c>
      <c r="K1550" t="s">
        <v>42</v>
      </c>
      <c r="L1550" t="s">
        <v>43</v>
      </c>
      <c r="M1550">
        <v>5</v>
      </c>
      <c r="N1550" t="s">
        <v>33</v>
      </c>
      <c r="O1550" t="s">
        <v>25</v>
      </c>
      <c r="P1550" t="s">
        <v>26</v>
      </c>
    </row>
    <row r="1551" spans="1:16" x14ac:dyDescent="0.25">
      <c r="A1551" t="s">
        <v>3765</v>
      </c>
      <c r="B1551" s="6">
        <v>44639</v>
      </c>
      <c r="C1551">
        <v>7539</v>
      </c>
      <c r="D1551" t="s">
        <v>3766</v>
      </c>
      <c r="E1551" t="s">
        <v>18</v>
      </c>
      <c r="F1551" t="s">
        <v>19</v>
      </c>
      <c r="G1551">
        <v>4586.92</v>
      </c>
      <c r="H1551">
        <v>2922.47</v>
      </c>
      <c r="I1551" t="s">
        <v>68</v>
      </c>
      <c r="J1551" t="s">
        <v>41</v>
      </c>
      <c r="K1551" t="s">
        <v>22</v>
      </c>
      <c r="L1551" t="s">
        <v>48</v>
      </c>
      <c r="M1551">
        <v>3</v>
      </c>
      <c r="N1551" t="s">
        <v>24</v>
      </c>
      <c r="O1551" t="s">
        <v>25</v>
      </c>
      <c r="P1551" t="s">
        <v>49</v>
      </c>
    </row>
    <row r="1552" spans="1:16" x14ac:dyDescent="0.25">
      <c r="A1552" t="s">
        <v>3767</v>
      </c>
      <c r="B1552" s="6">
        <v>45256</v>
      </c>
      <c r="C1552">
        <v>2610</v>
      </c>
      <c r="D1552" t="s">
        <v>3768</v>
      </c>
      <c r="E1552" t="s">
        <v>18</v>
      </c>
      <c r="F1552" t="s">
        <v>19</v>
      </c>
      <c r="G1552">
        <v>21147.74</v>
      </c>
      <c r="H1552">
        <v>9628.7900000000009</v>
      </c>
      <c r="I1552" t="s">
        <v>84</v>
      </c>
      <c r="J1552" t="s">
        <v>54</v>
      </c>
      <c r="K1552" t="s">
        <v>80</v>
      </c>
      <c r="L1552" t="s">
        <v>55</v>
      </c>
      <c r="M1552">
        <v>4</v>
      </c>
      <c r="N1552" t="s">
        <v>33</v>
      </c>
      <c r="O1552" t="s">
        <v>70</v>
      </c>
      <c r="P1552" t="s">
        <v>49</v>
      </c>
    </row>
    <row r="1553" spans="1:16" x14ac:dyDescent="0.25">
      <c r="A1553" t="s">
        <v>3769</v>
      </c>
      <c r="B1553" s="6">
        <v>45039</v>
      </c>
      <c r="C1553">
        <v>3404</v>
      </c>
      <c r="D1553" t="s">
        <v>3770</v>
      </c>
      <c r="E1553" t="s">
        <v>18</v>
      </c>
      <c r="F1553" t="s">
        <v>58</v>
      </c>
      <c r="G1553">
        <v>30831.99</v>
      </c>
      <c r="H1553">
        <v>17615.52</v>
      </c>
      <c r="I1553" t="s">
        <v>63</v>
      </c>
      <c r="J1553" t="s">
        <v>54</v>
      </c>
      <c r="K1553" t="s">
        <v>32</v>
      </c>
      <c r="L1553" t="s">
        <v>23</v>
      </c>
      <c r="M1553">
        <v>3</v>
      </c>
      <c r="N1553" t="s">
        <v>69</v>
      </c>
      <c r="O1553" t="s">
        <v>25</v>
      </c>
      <c r="P1553" t="s">
        <v>34</v>
      </c>
    </row>
    <row r="1554" spans="1:16" x14ac:dyDescent="0.25">
      <c r="A1554" t="s">
        <v>3771</v>
      </c>
      <c r="B1554" s="6">
        <v>45416</v>
      </c>
      <c r="C1554">
        <v>1724</v>
      </c>
      <c r="D1554" t="s">
        <v>2276</v>
      </c>
      <c r="E1554" t="s">
        <v>38</v>
      </c>
      <c r="F1554" t="s">
        <v>47</v>
      </c>
      <c r="G1554">
        <v>10794.22</v>
      </c>
      <c r="H1554">
        <v>5850.99</v>
      </c>
      <c r="I1554" t="s">
        <v>31</v>
      </c>
      <c r="J1554" t="s">
        <v>21</v>
      </c>
      <c r="K1554" t="s">
        <v>80</v>
      </c>
      <c r="L1554" t="s">
        <v>43</v>
      </c>
      <c r="M1554">
        <v>2</v>
      </c>
      <c r="N1554" t="s">
        <v>69</v>
      </c>
      <c r="O1554" t="s">
        <v>25</v>
      </c>
      <c r="P1554" t="s">
        <v>34</v>
      </c>
    </row>
    <row r="1555" spans="1:16" x14ac:dyDescent="0.25">
      <c r="A1555" t="s">
        <v>3773</v>
      </c>
      <c r="B1555" s="6">
        <v>44613</v>
      </c>
      <c r="C1555">
        <v>4572</v>
      </c>
      <c r="D1555" t="s">
        <v>3774</v>
      </c>
      <c r="E1555" t="s">
        <v>18</v>
      </c>
      <c r="F1555" t="s">
        <v>47</v>
      </c>
      <c r="G1555">
        <v>6536.31</v>
      </c>
      <c r="H1555">
        <v>3386.15</v>
      </c>
      <c r="I1555" t="s">
        <v>20</v>
      </c>
      <c r="J1555" t="s">
        <v>21</v>
      </c>
      <c r="K1555" t="s">
        <v>22</v>
      </c>
      <c r="L1555" t="s">
        <v>48</v>
      </c>
      <c r="M1555">
        <v>3</v>
      </c>
      <c r="N1555" t="s">
        <v>33</v>
      </c>
      <c r="O1555" t="s">
        <v>70</v>
      </c>
      <c r="P1555" t="s">
        <v>34</v>
      </c>
    </row>
    <row r="1556" spans="1:16" x14ac:dyDescent="0.25">
      <c r="A1556" t="s">
        <v>3775</v>
      </c>
      <c r="B1556" s="6">
        <v>45272</v>
      </c>
      <c r="C1556">
        <v>9463</v>
      </c>
      <c r="D1556" t="s">
        <v>3776</v>
      </c>
      <c r="E1556" t="s">
        <v>38</v>
      </c>
      <c r="F1556" t="s">
        <v>30</v>
      </c>
      <c r="G1556">
        <v>88176.91</v>
      </c>
      <c r="H1556">
        <v>44620.28</v>
      </c>
      <c r="I1556" t="s">
        <v>63</v>
      </c>
      <c r="J1556" t="s">
        <v>54</v>
      </c>
      <c r="K1556" t="s">
        <v>22</v>
      </c>
      <c r="L1556" t="s">
        <v>88</v>
      </c>
      <c r="M1556">
        <v>3</v>
      </c>
      <c r="N1556" t="s">
        <v>69</v>
      </c>
      <c r="O1556" t="s">
        <v>25</v>
      </c>
      <c r="P1556" t="s">
        <v>26</v>
      </c>
    </row>
    <row r="1557" spans="1:16" x14ac:dyDescent="0.25">
      <c r="A1557" t="s">
        <v>3777</v>
      </c>
      <c r="B1557" s="6">
        <v>45318</v>
      </c>
      <c r="C1557">
        <v>2677</v>
      </c>
      <c r="D1557" t="s">
        <v>3778</v>
      </c>
      <c r="E1557" t="s">
        <v>18</v>
      </c>
      <c r="F1557" t="s">
        <v>58</v>
      </c>
      <c r="G1557">
        <v>39974.75</v>
      </c>
      <c r="H1557">
        <v>25805.91</v>
      </c>
      <c r="I1557" t="s">
        <v>59</v>
      </c>
      <c r="J1557" t="s">
        <v>41</v>
      </c>
      <c r="K1557" t="s">
        <v>42</v>
      </c>
      <c r="L1557" t="s">
        <v>55</v>
      </c>
      <c r="M1557">
        <v>2</v>
      </c>
      <c r="N1557" t="s">
        <v>33</v>
      </c>
      <c r="O1557" t="s">
        <v>70</v>
      </c>
      <c r="P1557" t="s">
        <v>26</v>
      </c>
    </row>
    <row r="1558" spans="1:16" x14ac:dyDescent="0.25">
      <c r="A1558" t="s">
        <v>3779</v>
      </c>
      <c r="B1558" s="6">
        <v>45600</v>
      </c>
      <c r="C1558">
        <v>1613</v>
      </c>
      <c r="D1558" t="s">
        <v>3780</v>
      </c>
      <c r="E1558" t="s">
        <v>38</v>
      </c>
      <c r="F1558" t="s">
        <v>47</v>
      </c>
      <c r="G1558">
        <v>20218.900000000001</v>
      </c>
      <c r="H1558">
        <v>10919.56</v>
      </c>
      <c r="I1558" t="s">
        <v>53</v>
      </c>
      <c r="J1558" t="s">
        <v>54</v>
      </c>
      <c r="K1558" t="s">
        <v>80</v>
      </c>
      <c r="L1558" t="s">
        <v>43</v>
      </c>
      <c r="M1558">
        <v>1</v>
      </c>
      <c r="N1558" t="s">
        <v>69</v>
      </c>
      <c r="O1558" t="s">
        <v>25</v>
      </c>
      <c r="P1558" t="s">
        <v>49</v>
      </c>
    </row>
    <row r="1559" spans="1:16" x14ac:dyDescent="0.25">
      <c r="A1559" t="s">
        <v>3781</v>
      </c>
      <c r="B1559" s="6">
        <v>44711</v>
      </c>
      <c r="C1559">
        <v>7750</v>
      </c>
      <c r="D1559" t="s">
        <v>3782</v>
      </c>
      <c r="E1559" t="s">
        <v>38</v>
      </c>
      <c r="F1559" t="s">
        <v>39</v>
      </c>
      <c r="G1559">
        <v>19469</v>
      </c>
      <c r="H1559">
        <v>9903.66</v>
      </c>
      <c r="I1559" t="s">
        <v>40</v>
      </c>
      <c r="J1559" t="s">
        <v>41</v>
      </c>
      <c r="K1559" t="s">
        <v>32</v>
      </c>
      <c r="L1559" t="s">
        <v>64</v>
      </c>
      <c r="M1559">
        <v>4</v>
      </c>
      <c r="N1559" t="s">
        <v>69</v>
      </c>
      <c r="O1559" t="s">
        <v>70</v>
      </c>
      <c r="P1559" t="s">
        <v>26</v>
      </c>
    </row>
    <row r="1560" spans="1:16" x14ac:dyDescent="0.25">
      <c r="A1560" t="s">
        <v>3783</v>
      </c>
      <c r="B1560" s="6">
        <v>45182</v>
      </c>
      <c r="C1560">
        <v>4412</v>
      </c>
      <c r="D1560" t="s">
        <v>3784</v>
      </c>
      <c r="E1560" t="s">
        <v>18</v>
      </c>
      <c r="F1560" t="s">
        <v>30</v>
      </c>
      <c r="G1560">
        <v>52329.47</v>
      </c>
      <c r="H1560">
        <v>33437.519999999997</v>
      </c>
      <c r="I1560" t="s">
        <v>63</v>
      </c>
      <c r="J1560" t="s">
        <v>54</v>
      </c>
      <c r="K1560" t="s">
        <v>42</v>
      </c>
      <c r="L1560" t="s">
        <v>64</v>
      </c>
      <c r="M1560">
        <v>2</v>
      </c>
      <c r="N1560" t="s">
        <v>24</v>
      </c>
      <c r="O1560" t="s">
        <v>70</v>
      </c>
      <c r="P1560" t="s">
        <v>26</v>
      </c>
    </row>
    <row r="1561" spans="1:16" x14ac:dyDescent="0.25">
      <c r="A1561" t="s">
        <v>3785</v>
      </c>
      <c r="B1561" s="6">
        <v>44848</v>
      </c>
      <c r="C1561">
        <v>1618</v>
      </c>
      <c r="D1561" t="s">
        <v>3787</v>
      </c>
      <c r="E1561" t="s">
        <v>18</v>
      </c>
      <c r="F1561" t="s">
        <v>58</v>
      </c>
      <c r="G1561">
        <v>28902.59</v>
      </c>
      <c r="H1561">
        <v>13519.06</v>
      </c>
      <c r="I1561" t="s">
        <v>20</v>
      </c>
      <c r="J1561" t="s">
        <v>21</v>
      </c>
      <c r="K1561" t="s">
        <v>42</v>
      </c>
      <c r="L1561" t="s">
        <v>48</v>
      </c>
      <c r="M1561">
        <v>3</v>
      </c>
      <c r="N1561" t="s">
        <v>24</v>
      </c>
      <c r="O1561" t="s">
        <v>70</v>
      </c>
      <c r="P1561" t="s">
        <v>26</v>
      </c>
    </row>
    <row r="1562" spans="1:16" x14ac:dyDescent="0.25">
      <c r="A1562" t="s">
        <v>3788</v>
      </c>
      <c r="B1562" s="6">
        <v>45482</v>
      </c>
      <c r="C1562">
        <v>6684</v>
      </c>
      <c r="D1562" t="s">
        <v>3789</v>
      </c>
      <c r="E1562" t="s">
        <v>38</v>
      </c>
      <c r="F1562" t="s">
        <v>58</v>
      </c>
      <c r="G1562">
        <v>41833.699999999997</v>
      </c>
      <c r="H1562">
        <v>23703.63</v>
      </c>
      <c r="I1562" t="s">
        <v>53</v>
      </c>
      <c r="J1562" t="s">
        <v>54</v>
      </c>
      <c r="K1562" t="s">
        <v>80</v>
      </c>
      <c r="L1562" t="s">
        <v>55</v>
      </c>
      <c r="M1562">
        <v>4</v>
      </c>
      <c r="N1562" t="s">
        <v>69</v>
      </c>
      <c r="O1562" t="s">
        <v>25</v>
      </c>
      <c r="P1562" t="s">
        <v>34</v>
      </c>
    </row>
    <row r="1563" spans="1:16" x14ac:dyDescent="0.25">
      <c r="A1563" t="s">
        <v>3790</v>
      </c>
      <c r="B1563" s="6">
        <v>44259</v>
      </c>
      <c r="C1563">
        <v>6844</v>
      </c>
      <c r="D1563" t="s">
        <v>3791</v>
      </c>
      <c r="E1563" t="s">
        <v>38</v>
      </c>
      <c r="F1563" t="s">
        <v>39</v>
      </c>
      <c r="G1563">
        <v>18143.22</v>
      </c>
      <c r="H1563">
        <v>11508.53</v>
      </c>
      <c r="I1563" t="s">
        <v>40</v>
      </c>
      <c r="J1563" t="s">
        <v>41</v>
      </c>
      <c r="K1563" t="s">
        <v>80</v>
      </c>
      <c r="L1563" t="s">
        <v>88</v>
      </c>
      <c r="M1563">
        <v>5</v>
      </c>
      <c r="N1563" t="s">
        <v>33</v>
      </c>
      <c r="O1563" t="s">
        <v>25</v>
      </c>
      <c r="P1563" t="s">
        <v>26</v>
      </c>
    </row>
    <row r="1564" spans="1:16" x14ac:dyDescent="0.25">
      <c r="A1564" t="s">
        <v>3792</v>
      </c>
      <c r="B1564" s="6">
        <v>44171</v>
      </c>
      <c r="C1564">
        <v>7627</v>
      </c>
      <c r="D1564" t="s">
        <v>3793</v>
      </c>
      <c r="E1564" t="s">
        <v>18</v>
      </c>
      <c r="F1564" t="s">
        <v>47</v>
      </c>
      <c r="G1564">
        <v>9512.2199999999993</v>
      </c>
      <c r="H1564">
        <v>6074.11</v>
      </c>
      <c r="I1564" t="s">
        <v>63</v>
      </c>
      <c r="J1564" t="s">
        <v>54</v>
      </c>
      <c r="K1564" t="s">
        <v>22</v>
      </c>
      <c r="L1564" t="s">
        <v>23</v>
      </c>
      <c r="M1564">
        <v>3</v>
      </c>
      <c r="N1564" t="s">
        <v>69</v>
      </c>
      <c r="O1564" t="s">
        <v>70</v>
      </c>
      <c r="P1564" t="s">
        <v>34</v>
      </c>
    </row>
    <row r="1565" spans="1:16" x14ac:dyDescent="0.25">
      <c r="A1565" t="s">
        <v>3794</v>
      </c>
      <c r="B1565" s="6">
        <v>44849</v>
      </c>
      <c r="C1565">
        <v>8976</v>
      </c>
      <c r="D1565" t="s">
        <v>3796</v>
      </c>
      <c r="E1565" t="s">
        <v>38</v>
      </c>
      <c r="F1565" t="s">
        <v>19</v>
      </c>
      <c r="G1565">
        <v>7673.12</v>
      </c>
      <c r="H1565">
        <v>4582.3</v>
      </c>
      <c r="I1565" t="s">
        <v>20</v>
      </c>
      <c r="J1565" t="s">
        <v>21</v>
      </c>
      <c r="K1565" t="s">
        <v>32</v>
      </c>
      <c r="L1565" t="s">
        <v>43</v>
      </c>
      <c r="M1565">
        <v>2</v>
      </c>
      <c r="N1565" t="s">
        <v>24</v>
      </c>
      <c r="O1565" t="s">
        <v>25</v>
      </c>
      <c r="P1565" t="s">
        <v>49</v>
      </c>
    </row>
    <row r="1566" spans="1:16" x14ac:dyDescent="0.25">
      <c r="A1566" t="s">
        <v>3797</v>
      </c>
      <c r="B1566" s="6">
        <v>43908</v>
      </c>
      <c r="C1566">
        <v>6699</v>
      </c>
      <c r="D1566" t="s">
        <v>3798</v>
      </c>
      <c r="E1566" t="s">
        <v>18</v>
      </c>
      <c r="F1566" t="s">
        <v>19</v>
      </c>
      <c r="G1566">
        <v>6659.72</v>
      </c>
      <c r="H1566">
        <v>3857.06</v>
      </c>
      <c r="I1566" t="s">
        <v>68</v>
      </c>
      <c r="J1566" t="s">
        <v>41</v>
      </c>
      <c r="K1566" t="s">
        <v>80</v>
      </c>
      <c r="L1566" t="s">
        <v>48</v>
      </c>
      <c r="M1566">
        <v>2</v>
      </c>
      <c r="N1566" t="s">
        <v>33</v>
      </c>
      <c r="O1566" t="s">
        <v>70</v>
      </c>
      <c r="P1566" t="s">
        <v>34</v>
      </c>
    </row>
    <row r="1567" spans="1:16" x14ac:dyDescent="0.25">
      <c r="A1567" t="s">
        <v>3799</v>
      </c>
      <c r="B1567" s="6">
        <v>45504</v>
      </c>
      <c r="C1567">
        <v>8135</v>
      </c>
      <c r="D1567" t="s">
        <v>3800</v>
      </c>
      <c r="E1567" t="s">
        <v>18</v>
      </c>
      <c r="F1567" t="s">
        <v>58</v>
      </c>
      <c r="G1567">
        <v>12083.01</v>
      </c>
      <c r="H1567">
        <v>7847.63</v>
      </c>
      <c r="I1567" t="s">
        <v>53</v>
      </c>
      <c r="J1567" t="s">
        <v>54</v>
      </c>
      <c r="K1567" t="s">
        <v>80</v>
      </c>
      <c r="L1567" t="s">
        <v>23</v>
      </c>
      <c r="M1567">
        <v>3</v>
      </c>
      <c r="N1567" t="s">
        <v>33</v>
      </c>
      <c r="O1567" t="s">
        <v>70</v>
      </c>
      <c r="P1567" t="s">
        <v>26</v>
      </c>
    </row>
    <row r="1568" spans="1:16" x14ac:dyDescent="0.25">
      <c r="A1568" t="s">
        <v>3801</v>
      </c>
      <c r="B1568" s="6">
        <v>45039</v>
      </c>
      <c r="C1568">
        <v>9916</v>
      </c>
      <c r="D1568" t="s">
        <v>3802</v>
      </c>
      <c r="E1568" t="s">
        <v>18</v>
      </c>
      <c r="F1568" t="s">
        <v>58</v>
      </c>
      <c r="G1568">
        <v>14735.24</v>
      </c>
      <c r="H1568">
        <v>9544.2099999999991</v>
      </c>
      <c r="I1568" t="s">
        <v>63</v>
      </c>
      <c r="J1568" t="s">
        <v>54</v>
      </c>
      <c r="K1568" t="s">
        <v>80</v>
      </c>
      <c r="L1568" t="s">
        <v>64</v>
      </c>
      <c r="M1568">
        <v>5</v>
      </c>
      <c r="N1568" t="s">
        <v>33</v>
      </c>
      <c r="O1568" t="s">
        <v>25</v>
      </c>
      <c r="P1568" t="s">
        <v>34</v>
      </c>
    </row>
    <row r="1569" spans="1:16" x14ac:dyDescent="0.25">
      <c r="A1569" t="s">
        <v>3803</v>
      </c>
      <c r="B1569" s="6">
        <v>45606</v>
      </c>
      <c r="C1569">
        <v>6364</v>
      </c>
      <c r="D1569" t="s">
        <v>3804</v>
      </c>
      <c r="E1569" t="s">
        <v>18</v>
      </c>
      <c r="F1569" t="s">
        <v>58</v>
      </c>
      <c r="G1569">
        <v>39399.49</v>
      </c>
      <c r="H1569">
        <v>19905.240000000002</v>
      </c>
      <c r="I1569" t="s">
        <v>20</v>
      </c>
      <c r="J1569" t="s">
        <v>21</v>
      </c>
      <c r="K1569" t="s">
        <v>80</v>
      </c>
      <c r="L1569" t="s">
        <v>55</v>
      </c>
      <c r="M1569">
        <v>3</v>
      </c>
      <c r="N1569" t="s">
        <v>33</v>
      </c>
      <c r="O1569" t="s">
        <v>70</v>
      </c>
      <c r="P1569" t="s">
        <v>26</v>
      </c>
    </row>
    <row r="1570" spans="1:16" x14ac:dyDescent="0.25">
      <c r="A1570" t="s">
        <v>3805</v>
      </c>
      <c r="B1570" s="6">
        <v>44764</v>
      </c>
      <c r="C1570">
        <v>8115</v>
      </c>
      <c r="D1570" t="s">
        <v>3155</v>
      </c>
      <c r="E1570" t="s">
        <v>38</v>
      </c>
      <c r="F1570" t="s">
        <v>58</v>
      </c>
      <c r="G1570">
        <v>15820.99</v>
      </c>
      <c r="H1570">
        <v>9679.2900000000009</v>
      </c>
      <c r="I1570" t="s">
        <v>53</v>
      </c>
      <c r="J1570" t="s">
        <v>54</v>
      </c>
      <c r="K1570" t="s">
        <v>22</v>
      </c>
      <c r="L1570" t="s">
        <v>55</v>
      </c>
      <c r="M1570">
        <v>5</v>
      </c>
      <c r="N1570" t="s">
        <v>33</v>
      </c>
      <c r="O1570" t="s">
        <v>25</v>
      </c>
      <c r="P1570" t="s">
        <v>26</v>
      </c>
    </row>
    <row r="1571" spans="1:16" x14ac:dyDescent="0.25">
      <c r="A1571" t="s">
        <v>3806</v>
      </c>
      <c r="B1571" s="6">
        <v>45474</v>
      </c>
      <c r="C1571">
        <v>7248</v>
      </c>
      <c r="D1571" t="s">
        <v>3807</v>
      </c>
      <c r="E1571" t="s">
        <v>38</v>
      </c>
      <c r="F1571" t="s">
        <v>30</v>
      </c>
      <c r="G1571">
        <v>56983.65</v>
      </c>
      <c r="H1571">
        <v>34280.61</v>
      </c>
      <c r="I1571" t="s">
        <v>63</v>
      </c>
      <c r="J1571" t="s">
        <v>54</v>
      </c>
      <c r="K1571" t="s">
        <v>32</v>
      </c>
      <c r="L1571" t="s">
        <v>64</v>
      </c>
      <c r="M1571">
        <v>4</v>
      </c>
      <c r="N1571" t="s">
        <v>33</v>
      </c>
      <c r="O1571" t="s">
        <v>70</v>
      </c>
      <c r="P1571" t="s">
        <v>26</v>
      </c>
    </row>
    <row r="1572" spans="1:16" x14ac:dyDescent="0.25">
      <c r="A1572" t="s">
        <v>3808</v>
      </c>
      <c r="B1572" s="6">
        <v>45572</v>
      </c>
      <c r="C1572">
        <v>1040</v>
      </c>
      <c r="D1572" t="s">
        <v>3809</v>
      </c>
      <c r="E1572" t="s">
        <v>18</v>
      </c>
      <c r="F1572" t="s">
        <v>58</v>
      </c>
      <c r="G1572">
        <v>53233.79</v>
      </c>
      <c r="H1572">
        <v>27516.79</v>
      </c>
      <c r="I1572" t="s">
        <v>63</v>
      </c>
      <c r="J1572" t="s">
        <v>54</v>
      </c>
      <c r="K1572" t="s">
        <v>22</v>
      </c>
      <c r="L1572" t="s">
        <v>48</v>
      </c>
      <c r="M1572">
        <v>2</v>
      </c>
      <c r="N1572" t="s">
        <v>69</v>
      </c>
      <c r="O1572" t="s">
        <v>70</v>
      </c>
      <c r="P1572" t="s">
        <v>34</v>
      </c>
    </row>
    <row r="1573" spans="1:16" x14ac:dyDescent="0.25">
      <c r="A1573" t="s">
        <v>3810</v>
      </c>
      <c r="B1573" s="6">
        <v>45173</v>
      </c>
      <c r="C1573">
        <v>3958</v>
      </c>
      <c r="D1573" t="s">
        <v>3811</v>
      </c>
      <c r="E1573" t="s">
        <v>18</v>
      </c>
      <c r="F1573" t="s">
        <v>39</v>
      </c>
      <c r="G1573">
        <v>29782.560000000001</v>
      </c>
      <c r="H1573">
        <v>15193.22</v>
      </c>
      <c r="I1573" t="s">
        <v>31</v>
      </c>
      <c r="J1573" t="s">
        <v>21</v>
      </c>
      <c r="K1573" t="s">
        <v>32</v>
      </c>
      <c r="L1573" t="s">
        <v>23</v>
      </c>
      <c r="M1573">
        <v>1</v>
      </c>
      <c r="N1573" t="s">
        <v>33</v>
      </c>
      <c r="O1573" t="s">
        <v>25</v>
      </c>
      <c r="P1573" t="s">
        <v>34</v>
      </c>
    </row>
    <row r="1574" spans="1:16" x14ac:dyDescent="0.25">
      <c r="A1574" t="s">
        <v>3812</v>
      </c>
      <c r="B1574" s="6">
        <v>45076</v>
      </c>
      <c r="C1574">
        <v>4243</v>
      </c>
      <c r="D1574" t="s">
        <v>3813</v>
      </c>
      <c r="E1574" t="s">
        <v>18</v>
      </c>
      <c r="F1574" t="s">
        <v>58</v>
      </c>
      <c r="G1574">
        <v>24415.8</v>
      </c>
      <c r="H1574">
        <v>11546.02</v>
      </c>
      <c r="I1574" t="s">
        <v>31</v>
      </c>
      <c r="J1574" t="s">
        <v>21</v>
      </c>
      <c r="K1574" t="s">
        <v>80</v>
      </c>
      <c r="L1574" t="s">
        <v>43</v>
      </c>
      <c r="M1574">
        <v>5</v>
      </c>
      <c r="N1574" t="s">
        <v>24</v>
      </c>
      <c r="O1574" t="s">
        <v>70</v>
      </c>
      <c r="P1574" t="s">
        <v>26</v>
      </c>
    </row>
    <row r="1575" spans="1:16" x14ac:dyDescent="0.25">
      <c r="A1575" t="s">
        <v>3814</v>
      </c>
      <c r="B1575" s="6">
        <v>43995</v>
      </c>
      <c r="C1575">
        <v>4995</v>
      </c>
      <c r="D1575" t="s">
        <v>3815</v>
      </c>
      <c r="E1575" t="s">
        <v>38</v>
      </c>
      <c r="F1575" t="s">
        <v>58</v>
      </c>
      <c r="G1575">
        <v>23701.72</v>
      </c>
      <c r="H1575">
        <v>12729.94</v>
      </c>
      <c r="I1575" t="s">
        <v>84</v>
      </c>
      <c r="J1575" t="s">
        <v>54</v>
      </c>
      <c r="K1575" t="s">
        <v>22</v>
      </c>
      <c r="L1575" t="s">
        <v>43</v>
      </c>
      <c r="M1575">
        <v>2</v>
      </c>
      <c r="N1575" t="s">
        <v>33</v>
      </c>
      <c r="O1575" t="s">
        <v>25</v>
      </c>
      <c r="P1575" t="s">
        <v>34</v>
      </c>
    </row>
    <row r="1576" spans="1:16" x14ac:dyDescent="0.25">
      <c r="A1576" t="s">
        <v>3816</v>
      </c>
      <c r="B1576" s="6">
        <v>45172</v>
      </c>
      <c r="C1576">
        <v>2405</v>
      </c>
      <c r="D1576" t="s">
        <v>3818</v>
      </c>
      <c r="E1576" t="s">
        <v>38</v>
      </c>
      <c r="F1576" t="s">
        <v>58</v>
      </c>
      <c r="G1576">
        <v>17970.849999999999</v>
      </c>
      <c r="H1576">
        <v>8389.9</v>
      </c>
      <c r="I1576" t="s">
        <v>20</v>
      </c>
      <c r="J1576" t="s">
        <v>21</v>
      </c>
      <c r="K1576" t="s">
        <v>22</v>
      </c>
      <c r="L1576" t="s">
        <v>55</v>
      </c>
      <c r="M1576">
        <v>3</v>
      </c>
      <c r="N1576" t="s">
        <v>33</v>
      </c>
      <c r="O1576" t="s">
        <v>25</v>
      </c>
      <c r="P1576" t="s">
        <v>34</v>
      </c>
    </row>
    <row r="1577" spans="1:16" x14ac:dyDescent="0.25">
      <c r="A1577" t="s">
        <v>3819</v>
      </c>
      <c r="B1577" s="6">
        <v>44111</v>
      </c>
      <c r="C1577">
        <v>9991</v>
      </c>
      <c r="D1577" t="s">
        <v>3820</v>
      </c>
      <c r="E1577" t="s">
        <v>38</v>
      </c>
      <c r="F1577" t="s">
        <v>47</v>
      </c>
      <c r="G1577">
        <v>3344.83</v>
      </c>
      <c r="H1577">
        <v>1916.68</v>
      </c>
      <c r="I1577" t="s">
        <v>63</v>
      </c>
      <c r="J1577" t="s">
        <v>54</v>
      </c>
      <c r="K1577" t="s">
        <v>80</v>
      </c>
      <c r="L1577" t="s">
        <v>48</v>
      </c>
      <c r="M1577">
        <v>5</v>
      </c>
      <c r="N1577" t="s">
        <v>33</v>
      </c>
      <c r="O1577" t="s">
        <v>25</v>
      </c>
      <c r="P1577" t="s">
        <v>34</v>
      </c>
    </row>
    <row r="1578" spans="1:16" x14ac:dyDescent="0.25">
      <c r="A1578" t="s">
        <v>3821</v>
      </c>
      <c r="B1578" s="6">
        <v>44928</v>
      </c>
      <c r="C1578">
        <v>8009</v>
      </c>
      <c r="D1578" t="s">
        <v>3823</v>
      </c>
      <c r="E1578" t="s">
        <v>18</v>
      </c>
      <c r="F1578" t="s">
        <v>39</v>
      </c>
      <c r="G1578">
        <v>17324.64</v>
      </c>
      <c r="H1578">
        <v>10597.95</v>
      </c>
      <c r="I1578" t="s">
        <v>20</v>
      </c>
      <c r="J1578" t="s">
        <v>21</v>
      </c>
      <c r="K1578" t="s">
        <v>22</v>
      </c>
      <c r="L1578" t="s">
        <v>88</v>
      </c>
      <c r="M1578">
        <v>3</v>
      </c>
      <c r="N1578" t="s">
        <v>33</v>
      </c>
      <c r="O1578" t="s">
        <v>70</v>
      </c>
      <c r="P1578" t="s">
        <v>26</v>
      </c>
    </row>
    <row r="1579" spans="1:16" x14ac:dyDescent="0.25">
      <c r="A1579" t="s">
        <v>3824</v>
      </c>
      <c r="B1579" s="6">
        <v>44088</v>
      </c>
      <c r="C1579">
        <v>6492</v>
      </c>
      <c r="D1579" t="s">
        <v>3825</v>
      </c>
      <c r="E1579" t="s">
        <v>38</v>
      </c>
      <c r="F1579" t="s">
        <v>58</v>
      </c>
      <c r="G1579">
        <v>37501.46</v>
      </c>
      <c r="H1579">
        <v>17017.16</v>
      </c>
      <c r="I1579" t="s">
        <v>63</v>
      </c>
      <c r="J1579" t="s">
        <v>54</v>
      </c>
      <c r="K1579" t="s">
        <v>42</v>
      </c>
      <c r="L1579" t="s">
        <v>23</v>
      </c>
      <c r="M1579">
        <v>2</v>
      </c>
      <c r="N1579" t="s">
        <v>33</v>
      </c>
      <c r="O1579" t="s">
        <v>25</v>
      </c>
      <c r="P1579" t="s">
        <v>34</v>
      </c>
    </row>
    <row r="1580" spans="1:16" x14ac:dyDescent="0.25">
      <c r="A1580" t="s">
        <v>3826</v>
      </c>
      <c r="B1580" s="6">
        <v>44979</v>
      </c>
      <c r="C1580">
        <v>2235</v>
      </c>
      <c r="D1580" t="s">
        <v>3827</v>
      </c>
      <c r="E1580" t="s">
        <v>38</v>
      </c>
      <c r="F1580" t="s">
        <v>39</v>
      </c>
      <c r="G1580">
        <v>20184.84</v>
      </c>
      <c r="H1580">
        <v>11460.24</v>
      </c>
      <c r="I1580" t="s">
        <v>20</v>
      </c>
      <c r="J1580" t="s">
        <v>21</v>
      </c>
      <c r="K1580" t="s">
        <v>32</v>
      </c>
      <c r="L1580" t="s">
        <v>55</v>
      </c>
      <c r="M1580">
        <v>1</v>
      </c>
      <c r="N1580" t="s">
        <v>69</v>
      </c>
      <c r="O1580" t="s">
        <v>25</v>
      </c>
      <c r="P1580" t="s">
        <v>26</v>
      </c>
    </row>
    <row r="1581" spans="1:16" x14ac:dyDescent="0.25">
      <c r="A1581" t="s">
        <v>3828</v>
      </c>
      <c r="B1581" s="6">
        <v>44266</v>
      </c>
      <c r="C1581">
        <v>1612</v>
      </c>
      <c r="D1581" t="s">
        <v>3829</v>
      </c>
      <c r="E1581" t="s">
        <v>18</v>
      </c>
      <c r="F1581" t="s">
        <v>30</v>
      </c>
      <c r="G1581">
        <v>86045.78</v>
      </c>
      <c r="H1581">
        <v>42714.97</v>
      </c>
      <c r="I1581" t="s">
        <v>84</v>
      </c>
      <c r="J1581" t="s">
        <v>54</v>
      </c>
      <c r="K1581" t="s">
        <v>32</v>
      </c>
      <c r="L1581" t="s">
        <v>23</v>
      </c>
      <c r="M1581">
        <v>2</v>
      </c>
      <c r="N1581" t="s">
        <v>33</v>
      </c>
      <c r="O1581" t="s">
        <v>25</v>
      </c>
      <c r="P1581" t="s">
        <v>49</v>
      </c>
    </row>
    <row r="1582" spans="1:16" x14ac:dyDescent="0.25">
      <c r="A1582" t="s">
        <v>3830</v>
      </c>
      <c r="B1582" s="6">
        <v>45330</v>
      </c>
      <c r="C1582">
        <v>4403</v>
      </c>
      <c r="D1582" t="s">
        <v>3831</v>
      </c>
      <c r="E1582" t="s">
        <v>38</v>
      </c>
      <c r="F1582" t="s">
        <v>19</v>
      </c>
      <c r="G1582">
        <v>16868.53</v>
      </c>
      <c r="H1582">
        <v>8296.2000000000007</v>
      </c>
      <c r="I1582" t="s">
        <v>84</v>
      </c>
      <c r="J1582" t="s">
        <v>54</v>
      </c>
      <c r="K1582" t="s">
        <v>22</v>
      </c>
      <c r="L1582" t="s">
        <v>23</v>
      </c>
      <c r="M1582">
        <v>2</v>
      </c>
      <c r="N1582" t="s">
        <v>24</v>
      </c>
      <c r="O1582" t="s">
        <v>25</v>
      </c>
      <c r="P1582" t="s">
        <v>49</v>
      </c>
    </row>
    <row r="1583" spans="1:16" x14ac:dyDescent="0.25">
      <c r="A1583" t="s">
        <v>3832</v>
      </c>
      <c r="B1583" s="6">
        <v>44503</v>
      </c>
      <c r="C1583">
        <v>6497</v>
      </c>
      <c r="D1583" t="s">
        <v>3834</v>
      </c>
      <c r="E1583" t="s">
        <v>38</v>
      </c>
      <c r="F1583" t="s">
        <v>19</v>
      </c>
      <c r="G1583">
        <v>13616.48</v>
      </c>
      <c r="H1583">
        <v>7034.97</v>
      </c>
      <c r="I1583" t="s">
        <v>63</v>
      </c>
      <c r="J1583" t="s">
        <v>54</v>
      </c>
      <c r="K1583" t="s">
        <v>32</v>
      </c>
      <c r="L1583" t="s">
        <v>88</v>
      </c>
      <c r="M1583">
        <v>2</v>
      </c>
      <c r="N1583" t="s">
        <v>24</v>
      </c>
      <c r="O1583" t="s">
        <v>25</v>
      </c>
      <c r="P1583" t="s">
        <v>34</v>
      </c>
    </row>
    <row r="1584" spans="1:16" x14ac:dyDescent="0.25">
      <c r="A1584" t="s">
        <v>3835</v>
      </c>
      <c r="B1584" s="6">
        <v>44495</v>
      </c>
      <c r="C1584">
        <v>8045</v>
      </c>
      <c r="D1584" t="s">
        <v>3425</v>
      </c>
      <c r="E1584" t="s">
        <v>38</v>
      </c>
      <c r="F1584" t="s">
        <v>19</v>
      </c>
      <c r="G1584">
        <v>5357.75</v>
      </c>
      <c r="H1584">
        <v>2597.3000000000002</v>
      </c>
      <c r="I1584" t="s">
        <v>120</v>
      </c>
      <c r="J1584" t="s">
        <v>21</v>
      </c>
      <c r="K1584" t="s">
        <v>22</v>
      </c>
      <c r="L1584" t="s">
        <v>48</v>
      </c>
      <c r="M1584">
        <v>5</v>
      </c>
      <c r="N1584" t="s">
        <v>69</v>
      </c>
      <c r="O1584" t="s">
        <v>25</v>
      </c>
      <c r="P1584" t="s">
        <v>34</v>
      </c>
    </row>
    <row r="1585" spans="1:16" x14ac:dyDescent="0.25">
      <c r="A1585" t="s">
        <v>3836</v>
      </c>
      <c r="B1585" s="6">
        <v>45416</v>
      </c>
      <c r="C1585">
        <v>6906</v>
      </c>
      <c r="D1585" t="s">
        <v>3837</v>
      </c>
      <c r="E1585" t="s">
        <v>18</v>
      </c>
      <c r="F1585" t="s">
        <v>19</v>
      </c>
      <c r="G1585">
        <v>15645.68</v>
      </c>
      <c r="H1585">
        <v>9638.92</v>
      </c>
      <c r="I1585" t="s">
        <v>120</v>
      </c>
      <c r="J1585" t="s">
        <v>21</v>
      </c>
      <c r="K1585" t="s">
        <v>42</v>
      </c>
      <c r="L1585" t="s">
        <v>64</v>
      </c>
      <c r="M1585">
        <v>1</v>
      </c>
      <c r="N1585" t="s">
        <v>33</v>
      </c>
      <c r="O1585" t="s">
        <v>25</v>
      </c>
      <c r="P1585" t="s">
        <v>34</v>
      </c>
    </row>
    <row r="1586" spans="1:16" x14ac:dyDescent="0.25">
      <c r="A1586" t="s">
        <v>3838</v>
      </c>
      <c r="B1586" s="6">
        <v>44595</v>
      </c>
      <c r="C1586">
        <v>8994</v>
      </c>
      <c r="D1586" t="s">
        <v>3840</v>
      </c>
      <c r="E1586" t="s">
        <v>38</v>
      </c>
      <c r="F1586" t="s">
        <v>39</v>
      </c>
      <c r="G1586">
        <v>29020.92</v>
      </c>
      <c r="H1586">
        <v>15205.41</v>
      </c>
      <c r="I1586" t="s">
        <v>59</v>
      </c>
      <c r="J1586" t="s">
        <v>41</v>
      </c>
      <c r="K1586" t="s">
        <v>32</v>
      </c>
      <c r="L1586" t="s">
        <v>48</v>
      </c>
      <c r="M1586">
        <v>5</v>
      </c>
      <c r="N1586" t="s">
        <v>33</v>
      </c>
      <c r="O1586" t="s">
        <v>70</v>
      </c>
      <c r="P1586" t="s">
        <v>34</v>
      </c>
    </row>
    <row r="1587" spans="1:16" x14ac:dyDescent="0.25">
      <c r="A1587" t="s">
        <v>3841</v>
      </c>
      <c r="B1587" s="6">
        <v>45404</v>
      </c>
      <c r="C1587">
        <v>7624</v>
      </c>
      <c r="D1587" t="s">
        <v>3842</v>
      </c>
      <c r="E1587" t="s">
        <v>38</v>
      </c>
      <c r="F1587" t="s">
        <v>30</v>
      </c>
      <c r="G1587">
        <v>35438.31</v>
      </c>
      <c r="H1587">
        <v>22171.32</v>
      </c>
      <c r="I1587" t="s">
        <v>53</v>
      </c>
      <c r="J1587" t="s">
        <v>54</v>
      </c>
      <c r="K1587" t="s">
        <v>42</v>
      </c>
      <c r="L1587" t="s">
        <v>64</v>
      </c>
      <c r="M1587">
        <v>4</v>
      </c>
      <c r="N1587" t="s">
        <v>24</v>
      </c>
      <c r="O1587" t="s">
        <v>70</v>
      </c>
      <c r="P1587" t="s">
        <v>34</v>
      </c>
    </row>
    <row r="1588" spans="1:16" x14ac:dyDescent="0.25">
      <c r="A1588" t="s">
        <v>3843</v>
      </c>
      <c r="B1588" s="6">
        <v>45135</v>
      </c>
      <c r="C1588">
        <v>6555</v>
      </c>
      <c r="D1588" t="s">
        <v>3844</v>
      </c>
      <c r="E1588" t="s">
        <v>18</v>
      </c>
      <c r="F1588" t="s">
        <v>19</v>
      </c>
      <c r="G1588">
        <v>7913.46</v>
      </c>
      <c r="H1588">
        <v>3881.63</v>
      </c>
      <c r="I1588" t="s">
        <v>84</v>
      </c>
      <c r="J1588" t="s">
        <v>54</v>
      </c>
      <c r="K1588" t="s">
        <v>80</v>
      </c>
      <c r="L1588" t="s">
        <v>64</v>
      </c>
      <c r="M1588">
        <v>5</v>
      </c>
      <c r="N1588" t="s">
        <v>33</v>
      </c>
      <c r="O1588" t="s">
        <v>25</v>
      </c>
      <c r="P1588" t="s">
        <v>34</v>
      </c>
    </row>
    <row r="1589" spans="1:16" x14ac:dyDescent="0.25">
      <c r="A1589" t="s">
        <v>3845</v>
      </c>
      <c r="B1589" s="6">
        <v>45141</v>
      </c>
      <c r="C1589">
        <v>9962</v>
      </c>
      <c r="D1589" t="s">
        <v>3846</v>
      </c>
      <c r="E1589" t="s">
        <v>18</v>
      </c>
      <c r="F1589" t="s">
        <v>30</v>
      </c>
      <c r="G1589">
        <v>49197.9</v>
      </c>
      <c r="H1589">
        <v>24229.99</v>
      </c>
      <c r="I1589" t="s">
        <v>84</v>
      </c>
      <c r="J1589" t="s">
        <v>54</v>
      </c>
      <c r="K1589" t="s">
        <v>42</v>
      </c>
      <c r="L1589" t="s">
        <v>64</v>
      </c>
      <c r="M1589">
        <v>5</v>
      </c>
      <c r="N1589" t="s">
        <v>33</v>
      </c>
      <c r="O1589" t="s">
        <v>70</v>
      </c>
      <c r="P1589" t="s">
        <v>26</v>
      </c>
    </row>
    <row r="1590" spans="1:16" x14ac:dyDescent="0.25">
      <c r="A1590" t="s">
        <v>3847</v>
      </c>
      <c r="B1590" s="6">
        <v>44472</v>
      </c>
      <c r="C1590">
        <v>5850</v>
      </c>
      <c r="D1590" t="s">
        <v>3848</v>
      </c>
      <c r="E1590" t="s">
        <v>38</v>
      </c>
      <c r="F1590" t="s">
        <v>39</v>
      </c>
      <c r="G1590">
        <v>22506.17</v>
      </c>
      <c r="H1590">
        <v>11191.71</v>
      </c>
      <c r="I1590" t="s">
        <v>20</v>
      </c>
      <c r="J1590" t="s">
        <v>21</v>
      </c>
      <c r="K1590" t="s">
        <v>22</v>
      </c>
      <c r="L1590" t="s">
        <v>64</v>
      </c>
      <c r="M1590">
        <v>1</v>
      </c>
      <c r="N1590" t="s">
        <v>33</v>
      </c>
      <c r="O1590" t="s">
        <v>25</v>
      </c>
      <c r="P1590" t="s">
        <v>49</v>
      </c>
    </row>
    <row r="1591" spans="1:16" x14ac:dyDescent="0.25">
      <c r="A1591" t="s">
        <v>3849</v>
      </c>
      <c r="B1591" s="6">
        <v>45027</v>
      </c>
      <c r="C1591">
        <v>2448</v>
      </c>
      <c r="D1591" t="s">
        <v>3451</v>
      </c>
      <c r="E1591" t="s">
        <v>18</v>
      </c>
      <c r="F1591" t="s">
        <v>47</v>
      </c>
      <c r="G1591">
        <v>7673.54</v>
      </c>
      <c r="H1591">
        <v>4216</v>
      </c>
      <c r="I1591" t="s">
        <v>53</v>
      </c>
      <c r="J1591" t="s">
        <v>54</v>
      </c>
      <c r="K1591" t="s">
        <v>32</v>
      </c>
      <c r="L1591" t="s">
        <v>64</v>
      </c>
      <c r="M1591">
        <v>2</v>
      </c>
      <c r="N1591" t="s">
        <v>33</v>
      </c>
      <c r="O1591" t="s">
        <v>25</v>
      </c>
      <c r="P1591" t="s">
        <v>26</v>
      </c>
    </row>
    <row r="1592" spans="1:16" x14ac:dyDescent="0.25">
      <c r="A1592" t="s">
        <v>3851</v>
      </c>
      <c r="B1592" s="6">
        <v>44876</v>
      </c>
      <c r="C1592">
        <v>8896</v>
      </c>
      <c r="D1592" t="s">
        <v>3853</v>
      </c>
      <c r="E1592" t="s">
        <v>18</v>
      </c>
      <c r="F1592" t="s">
        <v>47</v>
      </c>
      <c r="G1592">
        <v>9449.15</v>
      </c>
      <c r="H1592">
        <v>4516.58</v>
      </c>
      <c r="I1592" t="s">
        <v>20</v>
      </c>
      <c r="J1592" t="s">
        <v>21</v>
      </c>
      <c r="K1592" t="s">
        <v>42</v>
      </c>
      <c r="L1592" t="s">
        <v>43</v>
      </c>
      <c r="M1592">
        <v>2</v>
      </c>
      <c r="N1592" t="s">
        <v>33</v>
      </c>
      <c r="O1592" t="s">
        <v>70</v>
      </c>
      <c r="P1592" t="s">
        <v>34</v>
      </c>
    </row>
    <row r="1593" spans="1:16" x14ac:dyDescent="0.25">
      <c r="A1593" t="s">
        <v>3854</v>
      </c>
      <c r="B1593" s="6">
        <v>44788</v>
      </c>
      <c r="C1593">
        <v>4013</v>
      </c>
      <c r="D1593" t="s">
        <v>3856</v>
      </c>
      <c r="E1593" t="s">
        <v>38</v>
      </c>
      <c r="F1593" t="s">
        <v>30</v>
      </c>
      <c r="G1593">
        <v>70678.12</v>
      </c>
      <c r="H1593">
        <v>43655.45</v>
      </c>
      <c r="I1593" t="s">
        <v>63</v>
      </c>
      <c r="J1593" t="s">
        <v>54</v>
      </c>
      <c r="K1593" t="s">
        <v>32</v>
      </c>
      <c r="L1593" t="s">
        <v>64</v>
      </c>
      <c r="M1593">
        <v>3</v>
      </c>
      <c r="N1593" t="s">
        <v>33</v>
      </c>
      <c r="O1593" t="s">
        <v>25</v>
      </c>
      <c r="P1593" t="s">
        <v>26</v>
      </c>
    </row>
    <row r="1594" spans="1:16" x14ac:dyDescent="0.25">
      <c r="A1594" t="s">
        <v>3857</v>
      </c>
      <c r="B1594" s="6">
        <v>45593</v>
      </c>
      <c r="C1594">
        <v>5924</v>
      </c>
      <c r="D1594" t="s">
        <v>3858</v>
      </c>
      <c r="E1594" t="s">
        <v>18</v>
      </c>
      <c r="F1594" t="s">
        <v>58</v>
      </c>
      <c r="G1594">
        <v>19954.46</v>
      </c>
      <c r="H1594">
        <v>12254.67</v>
      </c>
      <c r="I1594" t="s">
        <v>120</v>
      </c>
      <c r="J1594" t="s">
        <v>21</v>
      </c>
      <c r="K1594" t="s">
        <v>42</v>
      </c>
      <c r="L1594" t="s">
        <v>43</v>
      </c>
      <c r="M1594">
        <v>1</v>
      </c>
      <c r="N1594" t="s">
        <v>69</v>
      </c>
      <c r="O1594" t="s">
        <v>25</v>
      </c>
      <c r="P1594" t="s">
        <v>49</v>
      </c>
    </row>
    <row r="1595" spans="1:16" x14ac:dyDescent="0.25">
      <c r="A1595" t="s">
        <v>3859</v>
      </c>
      <c r="B1595" s="6">
        <v>44972</v>
      </c>
      <c r="C1595">
        <v>7717</v>
      </c>
      <c r="D1595" t="s">
        <v>3860</v>
      </c>
      <c r="E1595" t="s">
        <v>38</v>
      </c>
      <c r="F1595" t="s">
        <v>19</v>
      </c>
      <c r="G1595">
        <v>24631.39</v>
      </c>
      <c r="H1595">
        <v>11210.11</v>
      </c>
      <c r="I1595" t="s">
        <v>53</v>
      </c>
      <c r="J1595" t="s">
        <v>54</v>
      </c>
      <c r="K1595" t="s">
        <v>32</v>
      </c>
      <c r="L1595" t="s">
        <v>23</v>
      </c>
      <c r="M1595">
        <v>3</v>
      </c>
      <c r="N1595" t="s">
        <v>33</v>
      </c>
      <c r="O1595" t="s">
        <v>25</v>
      </c>
      <c r="P1595" t="s">
        <v>26</v>
      </c>
    </row>
    <row r="1596" spans="1:16" x14ac:dyDescent="0.25">
      <c r="A1596" t="s">
        <v>3861</v>
      </c>
      <c r="B1596" s="6">
        <v>45584</v>
      </c>
      <c r="C1596">
        <v>2861</v>
      </c>
      <c r="D1596" t="s">
        <v>3862</v>
      </c>
      <c r="E1596" t="s">
        <v>38</v>
      </c>
      <c r="F1596" t="s">
        <v>58</v>
      </c>
      <c r="G1596">
        <v>34419.949999999997</v>
      </c>
      <c r="H1596">
        <v>17188.62</v>
      </c>
      <c r="I1596" t="s">
        <v>68</v>
      </c>
      <c r="J1596" t="s">
        <v>41</v>
      </c>
      <c r="K1596" t="s">
        <v>42</v>
      </c>
      <c r="L1596" t="s">
        <v>48</v>
      </c>
      <c r="M1596">
        <v>5</v>
      </c>
      <c r="N1596" t="s">
        <v>33</v>
      </c>
      <c r="O1596" t="s">
        <v>70</v>
      </c>
      <c r="P1596" t="s">
        <v>26</v>
      </c>
    </row>
    <row r="1597" spans="1:16" x14ac:dyDescent="0.25">
      <c r="A1597" t="s">
        <v>3863</v>
      </c>
      <c r="B1597" s="6">
        <v>44537</v>
      </c>
      <c r="C1597">
        <v>8897</v>
      </c>
      <c r="D1597" t="s">
        <v>3864</v>
      </c>
      <c r="E1597" t="s">
        <v>18</v>
      </c>
      <c r="F1597" t="s">
        <v>47</v>
      </c>
      <c r="G1597">
        <v>14751.72</v>
      </c>
      <c r="H1597">
        <v>7445.58</v>
      </c>
      <c r="I1597" t="s">
        <v>53</v>
      </c>
      <c r="J1597" t="s">
        <v>54</v>
      </c>
      <c r="K1597" t="s">
        <v>22</v>
      </c>
      <c r="L1597" t="s">
        <v>88</v>
      </c>
      <c r="M1597">
        <v>1</v>
      </c>
      <c r="N1597" t="s">
        <v>69</v>
      </c>
      <c r="O1597" t="s">
        <v>25</v>
      </c>
      <c r="P1597" t="s">
        <v>49</v>
      </c>
    </row>
    <row r="1598" spans="1:16" x14ac:dyDescent="0.25">
      <c r="A1598" t="s">
        <v>3865</v>
      </c>
      <c r="B1598" s="6">
        <v>44053</v>
      </c>
      <c r="C1598">
        <v>4547</v>
      </c>
      <c r="D1598" t="s">
        <v>3866</v>
      </c>
      <c r="E1598" t="s">
        <v>18</v>
      </c>
      <c r="F1598" t="s">
        <v>58</v>
      </c>
      <c r="G1598">
        <v>9661.32</v>
      </c>
      <c r="H1598">
        <v>4832.68</v>
      </c>
      <c r="I1598" t="s">
        <v>84</v>
      </c>
      <c r="J1598" t="s">
        <v>54</v>
      </c>
      <c r="K1598" t="s">
        <v>22</v>
      </c>
      <c r="L1598" t="s">
        <v>55</v>
      </c>
      <c r="M1598">
        <v>4</v>
      </c>
      <c r="N1598" t="s">
        <v>33</v>
      </c>
      <c r="O1598" t="s">
        <v>25</v>
      </c>
      <c r="P1598" t="s">
        <v>49</v>
      </c>
    </row>
    <row r="1599" spans="1:16" x14ac:dyDescent="0.25">
      <c r="A1599" t="s">
        <v>3867</v>
      </c>
      <c r="B1599" s="6">
        <v>45316</v>
      </c>
      <c r="C1599">
        <v>3646</v>
      </c>
      <c r="D1599" t="s">
        <v>3868</v>
      </c>
      <c r="E1599" t="s">
        <v>18</v>
      </c>
      <c r="F1599" t="s">
        <v>19</v>
      </c>
      <c r="G1599">
        <v>7103.21</v>
      </c>
      <c r="H1599">
        <v>3994.59</v>
      </c>
      <c r="I1599" t="s">
        <v>31</v>
      </c>
      <c r="J1599" t="s">
        <v>21</v>
      </c>
      <c r="K1599" t="s">
        <v>80</v>
      </c>
      <c r="L1599" t="s">
        <v>64</v>
      </c>
      <c r="M1599">
        <v>1</v>
      </c>
      <c r="N1599" t="s">
        <v>33</v>
      </c>
      <c r="O1599" t="s">
        <v>25</v>
      </c>
      <c r="P1599" t="s">
        <v>26</v>
      </c>
    </row>
    <row r="1600" spans="1:16" x14ac:dyDescent="0.25">
      <c r="A1600" t="s">
        <v>3869</v>
      </c>
      <c r="B1600" s="6">
        <v>45053</v>
      </c>
      <c r="C1600">
        <v>3365</v>
      </c>
      <c r="D1600" t="s">
        <v>3870</v>
      </c>
      <c r="E1600" t="s">
        <v>18</v>
      </c>
      <c r="F1600" t="s">
        <v>47</v>
      </c>
      <c r="G1600">
        <v>16599.86</v>
      </c>
      <c r="H1600">
        <v>10025.35</v>
      </c>
      <c r="I1600" t="s">
        <v>20</v>
      </c>
      <c r="J1600" t="s">
        <v>21</v>
      </c>
      <c r="K1600" t="s">
        <v>42</v>
      </c>
      <c r="L1600" t="s">
        <v>43</v>
      </c>
      <c r="M1600">
        <v>3</v>
      </c>
      <c r="N1600" t="s">
        <v>33</v>
      </c>
      <c r="O1600" t="s">
        <v>25</v>
      </c>
      <c r="P1600" t="s">
        <v>26</v>
      </c>
    </row>
    <row r="1601" spans="1:16" x14ac:dyDescent="0.25">
      <c r="A1601" t="s">
        <v>3871</v>
      </c>
      <c r="B1601" s="6">
        <v>43862</v>
      </c>
      <c r="C1601">
        <v>2575</v>
      </c>
      <c r="D1601" t="s">
        <v>3872</v>
      </c>
      <c r="E1601" t="s">
        <v>38</v>
      </c>
      <c r="F1601" t="s">
        <v>39</v>
      </c>
      <c r="G1601">
        <v>19480.5</v>
      </c>
      <c r="H1601">
        <v>12382.36</v>
      </c>
      <c r="I1601" t="s">
        <v>68</v>
      </c>
      <c r="J1601" t="s">
        <v>41</v>
      </c>
      <c r="K1601" t="s">
        <v>22</v>
      </c>
      <c r="L1601" t="s">
        <v>23</v>
      </c>
      <c r="M1601">
        <v>5</v>
      </c>
      <c r="N1601" t="s">
        <v>33</v>
      </c>
      <c r="O1601" t="s">
        <v>25</v>
      </c>
      <c r="P1601" t="s">
        <v>34</v>
      </c>
    </row>
    <row r="1602" spans="1:16" x14ac:dyDescent="0.25">
      <c r="A1602" t="s">
        <v>3873</v>
      </c>
      <c r="B1602" s="6">
        <v>45351</v>
      </c>
      <c r="C1602">
        <v>3215</v>
      </c>
      <c r="D1602" t="s">
        <v>3875</v>
      </c>
      <c r="E1602" t="s">
        <v>18</v>
      </c>
      <c r="F1602" t="s">
        <v>47</v>
      </c>
      <c r="G1602">
        <v>14680.63</v>
      </c>
      <c r="H1602">
        <v>7514.83</v>
      </c>
      <c r="I1602" t="s">
        <v>84</v>
      </c>
      <c r="J1602" t="s">
        <v>54</v>
      </c>
      <c r="K1602" t="s">
        <v>22</v>
      </c>
      <c r="L1602" t="s">
        <v>23</v>
      </c>
      <c r="M1602">
        <v>3</v>
      </c>
      <c r="N1602" t="s">
        <v>69</v>
      </c>
      <c r="O1602" t="s">
        <v>70</v>
      </c>
      <c r="P1602" t="s">
        <v>26</v>
      </c>
    </row>
    <row r="1603" spans="1:16" x14ac:dyDescent="0.25">
      <c r="A1603" t="s">
        <v>3876</v>
      </c>
      <c r="B1603" s="6">
        <v>45075</v>
      </c>
      <c r="C1603">
        <v>2953</v>
      </c>
      <c r="D1603" t="s">
        <v>3877</v>
      </c>
      <c r="E1603" t="s">
        <v>18</v>
      </c>
      <c r="F1603" t="s">
        <v>30</v>
      </c>
      <c r="G1603">
        <v>101220.16</v>
      </c>
      <c r="H1603">
        <v>54848.71</v>
      </c>
      <c r="I1603" t="s">
        <v>84</v>
      </c>
      <c r="J1603" t="s">
        <v>54</v>
      </c>
      <c r="K1603" t="s">
        <v>42</v>
      </c>
      <c r="L1603" t="s">
        <v>88</v>
      </c>
      <c r="M1603">
        <v>2</v>
      </c>
      <c r="N1603" t="s">
        <v>69</v>
      </c>
      <c r="O1603" t="s">
        <v>70</v>
      </c>
      <c r="P1603" t="s">
        <v>26</v>
      </c>
    </row>
    <row r="1604" spans="1:16" x14ac:dyDescent="0.25">
      <c r="A1604" t="s">
        <v>3878</v>
      </c>
      <c r="B1604" s="6">
        <v>44823</v>
      </c>
      <c r="C1604">
        <v>9042</v>
      </c>
      <c r="D1604" t="s">
        <v>3879</v>
      </c>
      <c r="E1604" t="s">
        <v>38</v>
      </c>
      <c r="F1604" t="s">
        <v>58</v>
      </c>
      <c r="G1604">
        <v>18898.87</v>
      </c>
      <c r="H1604">
        <v>10124.89</v>
      </c>
      <c r="I1604" t="s">
        <v>31</v>
      </c>
      <c r="J1604" t="s">
        <v>21</v>
      </c>
      <c r="K1604" t="s">
        <v>22</v>
      </c>
      <c r="L1604" t="s">
        <v>23</v>
      </c>
      <c r="M1604">
        <v>5</v>
      </c>
      <c r="N1604" t="s">
        <v>24</v>
      </c>
      <c r="O1604" t="s">
        <v>25</v>
      </c>
      <c r="P1604" t="s">
        <v>49</v>
      </c>
    </row>
    <row r="1605" spans="1:16" x14ac:dyDescent="0.25">
      <c r="A1605" t="s">
        <v>3880</v>
      </c>
      <c r="B1605" s="6">
        <v>45121</v>
      </c>
      <c r="C1605">
        <v>5690</v>
      </c>
      <c r="D1605" t="s">
        <v>3881</v>
      </c>
      <c r="E1605" t="s">
        <v>18</v>
      </c>
      <c r="F1605" t="s">
        <v>47</v>
      </c>
      <c r="G1605">
        <v>6461.61</v>
      </c>
      <c r="H1605">
        <v>3103.84</v>
      </c>
      <c r="I1605" t="s">
        <v>31</v>
      </c>
      <c r="J1605" t="s">
        <v>21</v>
      </c>
      <c r="K1605" t="s">
        <v>42</v>
      </c>
      <c r="L1605" t="s">
        <v>88</v>
      </c>
      <c r="M1605">
        <v>1</v>
      </c>
      <c r="N1605" t="s">
        <v>33</v>
      </c>
      <c r="O1605" t="s">
        <v>25</v>
      </c>
      <c r="P1605" t="s">
        <v>34</v>
      </c>
    </row>
    <row r="1606" spans="1:16" x14ac:dyDescent="0.25">
      <c r="A1606" t="s">
        <v>3882</v>
      </c>
      <c r="B1606" s="6">
        <v>45265</v>
      </c>
      <c r="C1606">
        <v>7365</v>
      </c>
      <c r="D1606" t="s">
        <v>3884</v>
      </c>
      <c r="E1606" t="s">
        <v>18</v>
      </c>
      <c r="F1606" t="s">
        <v>39</v>
      </c>
      <c r="G1606">
        <v>28172.92</v>
      </c>
      <c r="H1606">
        <v>14104.89</v>
      </c>
      <c r="I1606" t="s">
        <v>63</v>
      </c>
      <c r="J1606" t="s">
        <v>54</v>
      </c>
      <c r="K1606" t="s">
        <v>42</v>
      </c>
      <c r="L1606" t="s">
        <v>88</v>
      </c>
      <c r="M1606">
        <v>2</v>
      </c>
      <c r="N1606" t="s">
        <v>69</v>
      </c>
      <c r="O1606" t="s">
        <v>25</v>
      </c>
      <c r="P1606" t="s">
        <v>49</v>
      </c>
    </row>
    <row r="1607" spans="1:16" x14ac:dyDescent="0.25">
      <c r="A1607" t="s">
        <v>3885</v>
      </c>
      <c r="B1607" s="6">
        <v>44155</v>
      </c>
      <c r="C1607">
        <v>5636</v>
      </c>
      <c r="D1607" t="s">
        <v>3557</v>
      </c>
      <c r="E1607" t="s">
        <v>38</v>
      </c>
      <c r="F1607" t="s">
        <v>47</v>
      </c>
      <c r="G1607">
        <v>8631.2199999999993</v>
      </c>
      <c r="H1607">
        <v>3996.26</v>
      </c>
      <c r="I1607" t="s">
        <v>120</v>
      </c>
      <c r="J1607" t="s">
        <v>21</v>
      </c>
      <c r="K1607" t="s">
        <v>80</v>
      </c>
      <c r="L1607" t="s">
        <v>43</v>
      </c>
      <c r="M1607">
        <v>5</v>
      </c>
      <c r="N1607" t="s">
        <v>24</v>
      </c>
      <c r="O1607" t="s">
        <v>70</v>
      </c>
      <c r="P1607" t="s">
        <v>49</v>
      </c>
    </row>
    <row r="1608" spans="1:16" x14ac:dyDescent="0.25">
      <c r="A1608" t="s">
        <v>3887</v>
      </c>
      <c r="B1608" s="6">
        <v>45186</v>
      </c>
      <c r="C1608">
        <v>4619</v>
      </c>
      <c r="D1608" t="s">
        <v>3888</v>
      </c>
      <c r="E1608" t="s">
        <v>18</v>
      </c>
      <c r="F1608" t="s">
        <v>30</v>
      </c>
      <c r="G1608">
        <v>16371.01</v>
      </c>
      <c r="H1608">
        <v>7713.91</v>
      </c>
      <c r="I1608" t="s">
        <v>120</v>
      </c>
      <c r="J1608" t="s">
        <v>21</v>
      </c>
      <c r="K1608" t="s">
        <v>42</v>
      </c>
      <c r="L1608" t="s">
        <v>64</v>
      </c>
      <c r="M1608">
        <v>4</v>
      </c>
      <c r="N1608" t="s">
        <v>33</v>
      </c>
      <c r="O1608" t="s">
        <v>70</v>
      </c>
      <c r="P1608" t="s">
        <v>34</v>
      </c>
    </row>
    <row r="1609" spans="1:16" x14ac:dyDescent="0.25">
      <c r="A1609" t="s">
        <v>3889</v>
      </c>
      <c r="B1609" s="6">
        <v>44636</v>
      </c>
      <c r="C1609">
        <v>8344</v>
      </c>
      <c r="D1609" t="s">
        <v>3260</v>
      </c>
      <c r="E1609" t="s">
        <v>18</v>
      </c>
      <c r="F1609" t="s">
        <v>19</v>
      </c>
      <c r="G1609">
        <v>12128.91</v>
      </c>
      <c r="H1609">
        <v>6403.38</v>
      </c>
      <c r="I1609" t="s">
        <v>53</v>
      </c>
      <c r="J1609" t="s">
        <v>54</v>
      </c>
      <c r="K1609" t="s">
        <v>32</v>
      </c>
      <c r="L1609" t="s">
        <v>48</v>
      </c>
      <c r="M1609">
        <v>3</v>
      </c>
      <c r="N1609" t="s">
        <v>33</v>
      </c>
      <c r="O1609" t="s">
        <v>25</v>
      </c>
      <c r="P1609" t="s">
        <v>34</v>
      </c>
    </row>
    <row r="1610" spans="1:16" x14ac:dyDescent="0.25">
      <c r="A1610" t="s">
        <v>3890</v>
      </c>
      <c r="B1610" s="6">
        <v>43981</v>
      </c>
      <c r="C1610">
        <v>5496</v>
      </c>
      <c r="D1610" t="s">
        <v>3892</v>
      </c>
      <c r="E1610" t="s">
        <v>18</v>
      </c>
      <c r="F1610" t="s">
        <v>58</v>
      </c>
      <c r="G1610">
        <v>21958.2</v>
      </c>
      <c r="H1610">
        <v>9903.56</v>
      </c>
      <c r="I1610" t="s">
        <v>59</v>
      </c>
      <c r="J1610" t="s">
        <v>41</v>
      </c>
      <c r="K1610" t="s">
        <v>80</v>
      </c>
      <c r="L1610" t="s">
        <v>43</v>
      </c>
      <c r="M1610">
        <v>4</v>
      </c>
      <c r="N1610" t="s">
        <v>69</v>
      </c>
      <c r="O1610" t="s">
        <v>25</v>
      </c>
      <c r="P1610" t="s">
        <v>49</v>
      </c>
    </row>
    <row r="1611" spans="1:16" x14ac:dyDescent="0.25">
      <c r="A1611" t="s">
        <v>3893</v>
      </c>
      <c r="B1611" s="6">
        <v>44157</v>
      </c>
      <c r="C1611">
        <v>7703</v>
      </c>
      <c r="D1611" t="s">
        <v>3894</v>
      </c>
      <c r="E1611" t="s">
        <v>18</v>
      </c>
      <c r="F1611" t="s">
        <v>47</v>
      </c>
      <c r="G1611">
        <v>8177.96</v>
      </c>
      <c r="H1611">
        <v>5296.5</v>
      </c>
      <c r="I1611" t="s">
        <v>20</v>
      </c>
      <c r="J1611" t="s">
        <v>21</v>
      </c>
      <c r="K1611" t="s">
        <v>22</v>
      </c>
      <c r="L1611" t="s">
        <v>64</v>
      </c>
      <c r="M1611">
        <v>2</v>
      </c>
      <c r="N1611" t="s">
        <v>24</v>
      </c>
      <c r="O1611" t="s">
        <v>25</v>
      </c>
      <c r="P1611" t="s">
        <v>34</v>
      </c>
    </row>
    <row r="1612" spans="1:16" x14ac:dyDescent="0.25">
      <c r="A1612" t="s">
        <v>3895</v>
      </c>
      <c r="B1612" s="6">
        <v>44534</v>
      </c>
      <c r="C1612">
        <v>3293</v>
      </c>
      <c r="D1612" t="s">
        <v>3897</v>
      </c>
      <c r="E1612" t="s">
        <v>18</v>
      </c>
      <c r="F1612" t="s">
        <v>19</v>
      </c>
      <c r="G1612">
        <v>5682.39</v>
      </c>
      <c r="H1612">
        <v>2725.37</v>
      </c>
      <c r="I1612" t="s">
        <v>84</v>
      </c>
      <c r="J1612" t="s">
        <v>54</v>
      </c>
      <c r="K1612" t="s">
        <v>32</v>
      </c>
      <c r="L1612" t="s">
        <v>43</v>
      </c>
      <c r="M1612">
        <v>2</v>
      </c>
      <c r="N1612" t="s">
        <v>33</v>
      </c>
      <c r="O1612" t="s">
        <v>25</v>
      </c>
      <c r="P1612" t="s">
        <v>34</v>
      </c>
    </row>
    <row r="1613" spans="1:16" x14ac:dyDescent="0.25">
      <c r="A1613" t="s">
        <v>3898</v>
      </c>
      <c r="B1613" s="6">
        <v>44872</v>
      </c>
      <c r="C1613">
        <v>5868</v>
      </c>
      <c r="D1613" t="s">
        <v>3900</v>
      </c>
      <c r="E1613" t="s">
        <v>18</v>
      </c>
      <c r="F1613" t="s">
        <v>30</v>
      </c>
      <c r="G1613">
        <v>14512.9</v>
      </c>
      <c r="H1613">
        <v>6798.62</v>
      </c>
      <c r="I1613" t="s">
        <v>63</v>
      </c>
      <c r="J1613" t="s">
        <v>54</v>
      </c>
      <c r="K1613" t="s">
        <v>42</v>
      </c>
      <c r="L1613" t="s">
        <v>64</v>
      </c>
      <c r="M1613">
        <v>5</v>
      </c>
      <c r="N1613" t="s">
        <v>69</v>
      </c>
      <c r="O1613" t="s">
        <v>25</v>
      </c>
      <c r="P1613" t="s">
        <v>26</v>
      </c>
    </row>
    <row r="1614" spans="1:16" x14ac:dyDescent="0.25">
      <c r="A1614" t="s">
        <v>3901</v>
      </c>
      <c r="B1614" s="6">
        <v>43991</v>
      </c>
      <c r="C1614">
        <v>6221</v>
      </c>
      <c r="D1614" t="s">
        <v>3902</v>
      </c>
      <c r="E1614" t="s">
        <v>38</v>
      </c>
      <c r="F1614" t="s">
        <v>39</v>
      </c>
      <c r="G1614">
        <v>28209.23</v>
      </c>
      <c r="H1614">
        <v>13623.55</v>
      </c>
      <c r="I1614" t="s">
        <v>20</v>
      </c>
      <c r="J1614" t="s">
        <v>21</v>
      </c>
      <c r="K1614" t="s">
        <v>32</v>
      </c>
      <c r="L1614" t="s">
        <v>55</v>
      </c>
      <c r="M1614">
        <v>4</v>
      </c>
      <c r="N1614" t="s">
        <v>33</v>
      </c>
      <c r="O1614" t="s">
        <v>70</v>
      </c>
      <c r="P1614" t="s">
        <v>49</v>
      </c>
    </row>
    <row r="1615" spans="1:16" x14ac:dyDescent="0.25">
      <c r="A1615" t="s">
        <v>3903</v>
      </c>
      <c r="B1615" s="6">
        <v>44068</v>
      </c>
      <c r="C1615">
        <v>4936</v>
      </c>
      <c r="D1615" t="s">
        <v>3905</v>
      </c>
      <c r="E1615" t="s">
        <v>18</v>
      </c>
      <c r="F1615" t="s">
        <v>30</v>
      </c>
      <c r="G1615">
        <v>19185.009999999998</v>
      </c>
      <c r="H1615">
        <v>10706.96</v>
      </c>
      <c r="I1615" t="s">
        <v>53</v>
      </c>
      <c r="J1615" t="s">
        <v>54</v>
      </c>
      <c r="K1615" t="s">
        <v>22</v>
      </c>
      <c r="L1615" t="s">
        <v>55</v>
      </c>
      <c r="M1615">
        <v>3</v>
      </c>
      <c r="N1615" t="s">
        <v>33</v>
      </c>
      <c r="O1615" t="s">
        <v>25</v>
      </c>
      <c r="P1615" t="s">
        <v>49</v>
      </c>
    </row>
    <row r="1616" spans="1:16" x14ac:dyDescent="0.25">
      <c r="A1616" t="s">
        <v>3906</v>
      </c>
      <c r="B1616" s="6">
        <v>44991</v>
      </c>
      <c r="C1616">
        <v>2566</v>
      </c>
      <c r="D1616" t="s">
        <v>3907</v>
      </c>
      <c r="E1616" t="s">
        <v>38</v>
      </c>
      <c r="F1616" t="s">
        <v>39</v>
      </c>
      <c r="G1616">
        <v>14232.17</v>
      </c>
      <c r="H1616">
        <v>7986.15</v>
      </c>
      <c r="I1616" t="s">
        <v>68</v>
      </c>
      <c r="J1616" t="s">
        <v>41</v>
      </c>
      <c r="K1616" t="s">
        <v>80</v>
      </c>
      <c r="L1616" t="s">
        <v>88</v>
      </c>
      <c r="M1616">
        <v>2</v>
      </c>
      <c r="N1616" t="s">
        <v>24</v>
      </c>
      <c r="O1616" t="s">
        <v>25</v>
      </c>
      <c r="P1616" t="s">
        <v>49</v>
      </c>
    </row>
    <row r="1617" spans="1:16" x14ac:dyDescent="0.25">
      <c r="A1617" t="s">
        <v>3908</v>
      </c>
      <c r="B1617" s="6">
        <v>44394</v>
      </c>
      <c r="C1617">
        <v>6641</v>
      </c>
      <c r="D1617" t="s">
        <v>3909</v>
      </c>
      <c r="E1617" t="s">
        <v>38</v>
      </c>
      <c r="F1617" t="s">
        <v>47</v>
      </c>
      <c r="G1617">
        <v>12551.72</v>
      </c>
      <c r="H1617">
        <v>7052.17</v>
      </c>
      <c r="I1617" t="s">
        <v>31</v>
      </c>
      <c r="J1617" t="s">
        <v>21</v>
      </c>
      <c r="K1617" t="s">
        <v>22</v>
      </c>
      <c r="L1617" t="s">
        <v>48</v>
      </c>
      <c r="M1617">
        <v>2</v>
      </c>
      <c r="N1617" t="s">
        <v>24</v>
      </c>
      <c r="O1617" t="s">
        <v>25</v>
      </c>
      <c r="P1617" t="s">
        <v>26</v>
      </c>
    </row>
    <row r="1618" spans="1:16" x14ac:dyDescent="0.25">
      <c r="A1618" t="s">
        <v>3910</v>
      </c>
      <c r="B1618" s="6">
        <v>45154</v>
      </c>
      <c r="C1618">
        <v>4924</v>
      </c>
      <c r="D1618" t="s">
        <v>3912</v>
      </c>
      <c r="E1618" t="s">
        <v>38</v>
      </c>
      <c r="F1618" t="s">
        <v>39</v>
      </c>
      <c r="G1618">
        <v>30678.12</v>
      </c>
      <c r="H1618">
        <v>13889.46</v>
      </c>
      <c r="I1618" t="s">
        <v>20</v>
      </c>
      <c r="J1618" t="s">
        <v>21</v>
      </c>
      <c r="K1618" t="s">
        <v>42</v>
      </c>
      <c r="L1618" t="s">
        <v>43</v>
      </c>
      <c r="M1618">
        <v>3</v>
      </c>
      <c r="N1618" t="s">
        <v>69</v>
      </c>
      <c r="O1618" t="s">
        <v>70</v>
      </c>
      <c r="P1618" t="s">
        <v>34</v>
      </c>
    </row>
    <row r="1619" spans="1:16" x14ac:dyDescent="0.25">
      <c r="A1619" t="s">
        <v>3913</v>
      </c>
      <c r="B1619" s="6">
        <v>43973</v>
      </c>
      <c r="C1619">
        <v>1010</v>
      </c>
      <c r="D1619" t="s">
        <v>3914</v>
      </c>
      <c r="E1619" t="s">
        <v>38</v>
      </c>
      <c r="F1619" t="s">
        <v>19</v>
      </c>
      <c r="G1619">
        <v>9179.83</v>
      </c>
      <c r="H1619">
        <v>4920.25</v>
      </c>
      <c r="I1619" t="s">
        <v>120</v>
      </c>
      <c r="J1619" t="s">
        <v>21</v>
      </c>
      <c r="K1619" t="s">
        <v>22</v>
      </c>
      <c r="L1619" t="s">
        <v>48</v>
      </c>
      <c r="M1619">
        <v>3</v>
      </c>
      <c r="N1619" t="s">
        <v>33</v>
      </c>
      <c r="O1619" t="s">
        <v>25</v>
      </c>
      <c r="P1619" t="s">
        <v>49</v>
      </c>
    </row>
    <row r="1620" spans="1:16" x14ac:dyDescent="0.25">
      <c r="A1620" t="s">
        <v>3915</v>
      </c>
      <c r="B1620" s="6">
        <v>43855</v>
      </c>
      <c r="C1620">
        <v>6432</v>
      </c>
      <c r="D1620" t="s">
        <v>3916</v>
      </c>
      <c r="E1620" t="s">
        <v>38</v>
      </c>
      <c r="F1620" t="s">
        <v>58</v>
      </c>
      <c r="G1620">
        <v>14067.46</v>
      </c>
      <c r="H1620">
        <v>6987.39</v>
      </c>
      <c r="I1620" t="s">
        <v>59</v>
      </c>
      <c r="J1620" t="s">
        <v>41</v>
      </c>
      <c r="K1620" t="s">
        <v>42</v>
      </c>
      <c r="L1620" t="s">
        <v>88</v>
      </c>
      <c r="M1620">
        <v>4</v>
      </c>
      <c r="N1620" t="s">
        <v>69</v>
      </c>
      <c r="O1620" t="s">
        <v>25</v>
      </c>
      <c r="P1620" t="s">
        <v>34</v>
      </c>
    </row>
    <row r="1621" spans="1:16" x14ac:dyDescent="0.25">
      <c r="A1621" t="s">
        <v>3917</v>
      </c>
      <c r="B1621" s="6">
        <v>44536</v>
      </c>
      <c r="C1621">
        <v>2132</v>
      </c>
      <c r="D1621" t="s">
        <v>3918</v>
      </c>
      <c r="E1621" t="s">
        <v>38</v>
      </c>
      <c r="F1621" t="s">
        <v>58</v>
      </c>
      <c r="G1621">
        <v>30341.53</v>
      </c>
      <c r="H1621">
        <v>17002.400000000001</v>
      </c>
      <c r="I1621" t="s">
        <v>53</v>
      </c>
      <c r="J1621" t="s">
        <v>54</v>
      </c>
      <c r="K1621" t="s">
        <v>32</v>
      </c>
      <c r="L1621" t="s">
        <v>88</v>
      </c>
      <c r="M1621">
        <v>2</v>
      </c>
      <c r="N1621" t="s">
        <v>24</v>
      </c>
      <c r="O1621" t="s">
        <v>25</v>
      </c>
      <c r="P1621" t="s">
        <v>26</v>
      </c>
    </row>
    <row r="1622" spans="1:16" x14ac:dyDescent="0.25">
      <c r="A1622" t="s">
        <v>3919</v>
      </c>
      <c r="B1622" s="6">
        <v>44510</v>
      </c>
      <c r="C1622">
        <v>5845</v>
      </c>
      <c r="D1622" t="s">
        <v>3920</v>
      </c>
      <c r="E1622" t="s">
        <v>38</v>
      </c>
      <c r="F1622" t="s">
        <v>30</v>
      </c>
      <c r="G1622">
        <v>28895.29</v>
      </c>
      <c r="H1622">
        <v>17475.13</v>
      </c>
      <c r="I1622" t="s">
        <v>120</v>
      </c>
      <c r="J1622" t="s">
        <v>21</v>
      </c>
      <c r="K1622" t="s">
        <v>80</v>
      </c>
      <c r="L1622" t="s">
        <v>23</v>
      </c>
      <c r="M1622">
        <v>3</v>
      </c>
      <c r="N1622" t="s">
        <v>69</v>
      </c>
      <c r="O1622" t="s">
        <v>70</v>
      </c>
      <c r="P1622" t="s">
        <v>49</v>
      </c>
    </row>
    <row r="1623" spans="1:16" x14ac:dyDescent="0.25">
      <c r="A1623" t="s">
        <v>3921</v>
      </c>
      <c r="B1623" s="6">
        <v>44325</v>
      </c>
      <c r="C1623">
        <v>4483</v>
      </c>
      <c r="D1623" t="s">
        <v>357</v>
      </c>
      <c r="E1623" t="s">
        <v>38</v>
      </c>
      <c r="F1623" t="s">
        <v>39</v>
      </c>
      <c r="G1623">
        <v>24383.47</v>
      </c>
      <c r="H1623">
        <v>14711.97</v>
      </c>
      <c r="I1623" t="s">
        <v>63</v>
      </c>
      <c r="J1623" t="s">
        <v>54</v>
      </c>
      <c r="K1623" t="s">
        <v>42</v>
      </c>
      <c r="L1623" t="s">
        <v>55</v>
      </c>
      <c r="M1623">
        <v>4</v>
      </c>
      <c r="N1623" t="s">
        <v>24</v>
      </c>
      <c r="O1623" t="s">
        <v>25</v>
      </c>
      <c r="P1623" t="s">
        <v>49</v>
      </c>
    </row>
    <row r="1624" spans="1:16" x14ac:dyDescent="0.25">
      <c r="A1624" t="s">
        <v>3922</v>
      </c>
      <c r="B1624" s="6">
        <v>44617</v>
      </c>
      <c r="C1624">
        <v>9758</v>
      </c>
      <c r="D1624" t="s">
        <v>3923</v>
      </c>
      <c r="E1624" t="s">
        <v>38</v>
      </c>
      <c r="F1624" t="s">
        <v>47</v>
      </c>
      <c r="G1624">
        <v>7729.88</v>
      </c>
      <c r="H1624">
        <v>3914.08</v>
      </c>
      <c r="I1624" t="s">
        <v>63</v>
      </c>
      <c r="J1624" t="s">
        <v>54</v>
      </c>
      <c r="K1624" t="s">
        <v>22</v>
      </c>
      <c r="L1624" t="s">
        <v>64</v>
      </c>
      <c r="M1624">
        <v>2</v>
      </c>
      <c r="N1624" t="s">
        <v>69</v>
      </c>
      <c r="O1624" t="s">
        <v>25</v>
      </c>
      <c r="P1624" t="s">
        <v>34</v>
      </c>
    </row>
    <row r="1625" spans="1:16" x14ac:dyDescent="0.25">
      <c r="A1625" t="s">
        <v>3924</v>
      </c>
      <c r="B1625" s="6">
        <v>45049</v>
      </c>
      <c r="C1625">
        <v>4631</v>
      </c>
      <c r="D1625" t="s">
        <v>3925</v>
      </c>
      <c r="E1625" t="s">
        <v>18</v>
      </c>
      <c r="F1625" t="s">
        <v>58</v>
      </c>
      <c r="G1625">
        <v>42726.95</v>
      </c>
      <c r="H1625">
        <v>22114.93</v>
      </c>
      <c r="I1625" t="s">
        <v>53</v>
      </c>
      <c r="J1625" t="s">
        <v>54</v>
      </c>
      <c r="K1625" t="s">
        <v>42</v>
      </c>
      <c r="L1625" t="s">
        <v>88</v>
      </c>
      <c r="M1625">
        <v>2</v>
      </c>
      <c r="N1625" t="s">
        <v>69</v>
      </c>
      <c r="O1625" t="s">
        <v>70</v>
      </c>
      <c r="P1625" t="s">
        <v>34</v>
      </c>
    </row>
    <row r="1626" spans="1:16" x14ac:dyDescent="0.25">
      <c r="A1626" t="s">
        <v>3926</v>
      </c>
      <c r="B1626" s="6">
        <v>44340</v>
      </c>
      <c r="C1626">
        <v>3290</v>
      </c>
      <c r="D1626" t="s">
        <v>3928</v>
      </c>
      <c r="E1626" t="s">
        <v>38</v>
      </c>
      <c r="F1626" t="s">
        <v>30</v>
      </c>
      <c r="G1626">
        <v>34542.83</v>
      </c>
      <c r="H1626">
        <v>21795.29</v>
      </c>
      <c r="I1626" t="s">
        <v>20</v>
      </c>
      <c r="J1626" t="s">
        <v>21</v>
      </c>
      <c r="K1626" t="s">
        <v>22</v>
      </c>
      <c r="L1626" t="s">
        <v>64</v>
      </c>
      <c r="M1626">
        <v>2</v>
      </c>
      <c r="N1626" t="s">
        <v>33</v>
      </c>
      <c r="O1626" t="s">
        <v>25</v>
      </c>
      <c r="P1626" t="s">
        <v>26</v>
      </c>
    </row>
    <row r="1627" spans="1:16" x14ac:dyDescent="0.25">
      <c r="A1627" t="s">
        <v>3929</v>
      </c>
      <c r="B1627" s="6">
        <v>44068</v>
      </c>
      <c r="C1627">
        <v>3897</v>
      </c>
      <c r="D1627" t="s">
        <v>889</v>
      </c>
      <c r="E1627" t="s">
        <v>18</v>
      </c>
      <c r="F1627" t="s">
        <v>58</v>
      </c>
      <c r="G1627">
        <v>15967.32</v>
      </c>
      <c r="H1627">
        <v>7954.08</v>
      </c>
      <c r="I1627" t="s">
        <v>20</v>
      </c>
      <c r="J1627" t="s">
        <v>21</v>
      </c>
      <c r="K1627" t="s">
        <v>32</v>
      </c>
      <c r="L1627" t="s">
        <v>64</v>
      </c>
      <c r="M1627">
        <v>4</v>
      </c>
      <c r="N1627" t="s">
        <v>24</v>
      </c>
      <c r="O1627" t="s">
        <v>25</v>
      </c>
      <c r="P1627" t="s">
        <v>26</v>
      </c>
    </row>
    <row r="1628" spans="1:16" x14ac:dyDescent="0.25">
      <c r="A1628" t="s">
        <v>3930</v>
      </c>
      <c r="B1628" s="6">
        <v>45402</v>
      </c>
      <c r="C1628">
        <v>4778</v>
      </c>
      <c r="D1628" t="s">
        <v>3932</v>
      </c>
      <c r="E1628" t="s">
        <v>18</v>
      </c>
      <c r="F1628" t="s">
        <v>47</v>
      </c>
      <c r="G1628">
        <v>13127.09</v>
      </c>
      <c r="H1628">
        <v>6700.25</v>
      </c>
      <c r="I1628" t="s">
        <v>63</v>
      </c>
      <c r="J1628" t="s">
        <v>54</v>
      </c>
      <c r="K1628" t="s">
        <v>42</v>
      </c>
      <c r="L1628" t="s">
        <v>55</v>
      </c>
      <c r="M1628">
        <v>2</v>
      </c>
      <c r="N1628" t="s">
        <v>33</v>
      </c>
      <c r="O1628" t="s">
        <v>25</v>
      </c>
      <c r="P1628" t="s">
        <v>49</v>
      </c>
    </row>
    <row r="1629" spans="1:16" x14ac:dyDescent="0.25">
      <c r="A1629" t="s">
        <v>3933</v>
      </c>
      <c r="B1629" s="6">
        <v>45035</v>
      </c>
      <c r="C1629">
        <v>4697</v>
      </c>
      <c r="D1629" t="s">
        <v>3935</v>
      </c>
      <c r="E1629" t="s">
        <v>38</v>
      </c>
      <c r="F1629" t="s">
        <v>30</v>
      </c>
      <c r="G1629">
        <v>64522.2</v>
      </c>
      <c r="H1629">
        <v>30128.68</v>
      </c>
      <c r="I1629" t="s">
        <v>20</v>
      </c>
      <c r="J1629" t="s">
        <v>21</v>
      </c>
      <c r="K1629" t="s">
        <v>22</v>
      </c>
      <c r="L1629" t="s">
        <v>55</v>
      </c>
      <c r="M1629">
        <v>1</v>
      </c>
      <c r="N1629" t="s">
        <v>24</v>
      </c>
      <c r="O1629" t="s">
        <v>25</v>
      </c>
      <c r="P1629" t="s">
        <v>49</v>
      </c>
    </row>
    <row r="1630" spans="1:16" x14ac:dyDescent="0.25">
      <c r="A1630" t="s">
        <v>3936</v>
      </c>
      <c r="B1630" s="6">
        <v>44371</v>
      </c>
      <c r="C1630">
        <v>5600</v>
      </c>
      <c r="D1630" t="s">
        <v>2887</v>
      </c>
      <c r="E1630" t="s">
        <v>38</v>
      </c>
      <c r="F1630" t="s">
        <v>58</v>
      </c>
      <c r="G1630">
        <v>8812.5</v>
      </c>
      <c r="H1630">
        <v>5269.81</v>
      </c>
      <c r="I1630" t="s">
        <v>120</v>
      </c>
      <c r="J1630" t="s">
        <v>21</v>
      </c>
      <c r="K1630" t="s">
        <v>42</v>
      </c>
      <c r="L1630" t="s">
        <v>43</v>
      </c>
      <c r="M1630">
        <v>3</v>
      </c>
      <c r="N1630" t="s">
        <v>33</v>
      </c>
      <c r="O1630" t="s">
        <v>25</v>
      </c>
      <c r="P1630" t="s">
        <v>49</v>
      </c>
    </row>
    <row r="1631" spans="1:16" x14ac:dyDescent="0.25">
      <c r="A1631" t="s">
        <v>3937</v>
      </c>
      <c r="B1631" s="6">
        <v>44738</v>
      </c>
      <c r="C1631">
        <v>3239</v>
      </c>
      <c r="D1631" t="s">
        <v>3938</v>
      </c>
      <c r="E1631" t="s">
        <v>18</v>
      </c>
      <c r="F1631" t="s">
        <v>39</v>
      </c>
      <c r="G1631">
        <v>7300.38</v>
      </c>
      <c r="H1631">
        <v>3847.4</v>
      </c>
      <c r="I1631" t="s">
        <v>68</v>
      </c>
      <c r="J1631" t="s">
        <v>41</v>
      </c>
      <c r="K1631" t="s">
        <v>80</v>
      </c>
      <c r="L1631" t="s">
        <v>64</v>
      </c>
      <c r="M1631">
        <v>5</v>
      </c>
      <c r="N1631" t="s">
        <v>24</v>
      </c>
      <c r="O1631" t="s">
        <v>25</v>
      </c>
      <c r="P1631" t="s">
        <v>34</v>
      </c>
    </row>
    <row r="1632" spans="1:16" x14ac:dyDescent="0.25">
      <c r="A1632" t="s">
        <v>3939</v>
      </c>
      <c r="B1632" s="6">
        <v>44203</v>
      </c>
      <c r="C1632">
        <v>5844</v>
      </c>
      <c r="D1632" t="s">
        <v>3940</v>
      </c>
      <c r="E1632" t="s">
        <v>38</v>
      </c>
      <c r="F1632" t="s">
        <v>39</v>
      </c>
      <c r="G1632">
        <v>13731.02</v>
      </c>
      <c r="H1632">
        <v>7865.89</v>
      </c>
      <c r="I1632" t="s">
        <v>84</v>
      </c>
      <c r="J1632" t="s">
        <v>54</v>
      </c>
      <c r="K1632" t="s">
        <v>22</v>
      </c>
      <c r="L1632" t="s">
        <v>55</v>
      </c>
      <c r="M1632">
        <v>4</v>
      </c>
      <c r="N1632" t="s">
        <v>69</v>
      </c>
      <c r="O1632" t="s">
        <v>25</v>
      </c>
      <c r="P1632" t="s">
        <v>34</v>
      </c>
    </row>
    <row r="1633" spans="1:16" x14ac:dyDescent="0.25">
      <c r="A1633" t="s">
        <v>3941</v>
      </c>
      <c r="B1633" s="6">
        <v>44438</v>
      </c>
      <c r="C1633">
        <v>7849</v>
      </c>
      <c r="D1633" t="s">
        <v>3942</v>
      </c>
      <c r="E1633" t="s">
        <v>18</v>
      </c>
      <c r="F1633" t="s">
        <v>58</v>
      </c>
      <c r="G1633">
        <v>10731.93</v>
      </c>
      <c r="H1633">
        <v>6511.61</v>
      </c>
      <c r="I1633" t="s">
        <v>120</v>
      </c>
      <c r="J1633" t="s">
        <v>21</v>
      </c>
      <c r="K1633" t="s">
        <v>32</v>
      </c>
      <c r="L1633" t="s">
        <v>43</v>
      </c>
      <c r="M1633">
        <v>1</v>
      </c>
      <c r="N1633" t="s">
        <v>69</v>
      </c>
      <c r="O1633" t="s">
        <v>70</v>
      </c>
      <c r="P1633" t="s">
        <v>34</v>
      </c>
    </row>
    <row r="1634" spans="1:16" x14ac:dyDescent="0.25">
      <c r="A1634" t="s">
        <v>3943</v>
      </c>
      <c r="B1634" s="6">
        <v>45611</v>
      </c>
      <c r="C1634">
        <v>3553</v>
      </c>
      <c r="D1634" t="s">
        <v>3944</v>
      </c>
      <c r="E1634" t="s">
        <v>18</v>
      </c>
      <c r="F1634" t="s">
        <v>19</v>
      </c>
      <c r="G1634">
        <v>8832.0499999999993</v>
      </c>
      <c r="H1634">
        <v>5167.05</v>
      </c>
      <c r="I1634" t="s">
        <v>120</v>
      </c>
      <c r="J1634" t="s">
        <v>21</v>
      </c>
      <c r="K1634" t="s">
        <v>80</v>
      </c>
      <c r="L1634" t="s">
        <v>64</v>
      </c>
      <c r="M1634">
        <v>5</v>
      </c>
      <c r="N1634" t="s">
        <v>24</v>
      </c>
      <c r="O1634" t="s">
        <v>25</v>
      </c>
      <c r="P1634" t="s">
        <v>34</v>
      </c>
    </row>
    <row r="1635" spans="1:16" x14ac:dyDescent="0.25">
      <c r="A1635" t="s">
        <v>3945</v>
      </c>
      <c r="B1635" s="6">
        <v>44322</v>
      </c>
      <c r="C1635">
        <v>3476</v>
      </c>
      <c r="D1635" t="s">
        <v>1158</v>
      </c>
      <c r="E1635" t="s">
        <v>18</v>
      </c>
      <c r="F1635" t="s">
        <v>19</v>
      </c>
      <c r="G1635">
        <v>11404.75</v>
      </c>
      <c r="H1635">
        <v>5412.93</v>
      </c>
      <c r="I1635" t="s">
        <v>120</v>
      </c>
      <c r="J1635" t="s">
        <v>21</v>
      </c>
      <c r="K1635" t="s">
        <v>42</v>
      </c>
      <c r="L1635" t="s">
        <v>43</v>
      </c>
      <c r="M1635">
        <v>2</v>
      </c>
      <c r="N1635" t="s">
        <v>33</v>
      </c>
      <c r="O1635" t="s">
        <v>25</v>
      </c>
      <c r="P1635" t="s">
        <v>49</v>
      </c>
    </row>
    <row r="1636" spans="1:16" x14ac:dyDescent="0.25">
      <c r="A1636" t="s">
        <v>3947</v>
      </c>
      <c r="B1636" s="6">
        <v>44674</v>
      </c>
      <c r="C1636">
        <v>2372</v>
      </c>
      <c r="D1636" t="s">
        <v>3948</v>
      </c>
      <c r="E1636" t="s">
        <v>18</v>
      </c>
      <c r="F1636" t="s">
        <v>19</v>
      </c>
      <c r="G1636">
        <v>7647.97</v>
      </c>
      <c r="H1636">
        <v>3674.42</v>
      </c>
      <c r="I1636" t="s">
        <v>120</v>
      </c>
      <c r="J1636" t="s">
        <v>21</v>
      </c>
      <c r="K1636" t="s">
        <v>42</v>
      </c>
      <c r="L1636" t="s">
        <v>23</v>
      </c>
      <c r="M1636">
        <v>1</v>
      </c>
      <c r="N1636" t="s">
        <v>33</v>
      </c>
      <c r="O1636" t="s">
        <v>70</v>
      </c>
      <c r="P1636" t="s">
        <v>26</v>
      </c>
    </row>
    <row r="1637" spans="1:16" x14ac:dyDescent="0.25">
      <c r="A1637" t="s">
        <v>3949</v>
      </c>
      <c r="B1637" s="6">
        <v>44472</v>
      </c>
      <c r="C1637">
        <v>3433</v>
      </c>
      <c r="D1637" t="s">
        <v>3950</v>
      </c>
      <c r="E1637" t="s">
        <v>18</v>
      </c>
      <c r="F1637" t="s">
        <v>19</v>
      </c>
      <c r="G1637">
        <v>11639.96</v>
      </c>
      <c r="H1637">
        <v>5408.27</v>
      </c>
      <c r="I1637" t="s">
        <v>120</v>
      </c>
      <c r="J1637" t="s">
        <v>21</v>
      </c>
      <c r="K1637" t="s">
        <v>32</v>
      </c>
      <c r="L1637" t="s">
        <v>88</v>
      </c>
      <c r="M1637">
        <v>4</v>
      </c>
      <c r="N1637" t="s">
        <v>33</v>
      </c>
      <c r="O1637" t="s">
        <v>70</v>
      </c>
      <c r="P1637" t="s">
        <v>49</v>
      </c>
    </row>
    <row r="1638" spans="1:16" x14ac:dyDescent="0.25">
      <c r="A1638" t="s">
        <v>3951</v>
      </c>
      <c r="B1638" s="6">
        <v>44442</v>
      </c>
      <c r="C1638">
        <v>5224</v>
      </c>
      <c r="D1638" t="s">
        <v>3952</v>
      </c>
      <c r="E1638" t="s">
        <v>18</v>
      </c>
      <c r="F1638" t="s">
        <v>30</v>
      </c>
      <c r="G1638">
        <v>30494.74</v>
      </c>
      <c r="H1638">
        <v>17099.89</v>
      </c>
      <c r="I1638" t="s">
        <v>59</v>
      </c>
      <c r="J1638" t="s">
        <v>41</v>
      </c>
      <c r="K1638" t="s">
        <v>80</v>
      </c>
      <c r="L1638" t="s">
        <v>64</v>
      </c>
      <c r="M1638">
        <v>3</v>
      </c>
      <c r="N1638" t="s">
        <v>24</v>
      </c>
      <c r="O1638" t="s">
        <v>70</v>
      </c>
      <c r="P1638" t="s">
        <v>34</v>
      </c>
    </row>
    <row r="1639" spans="1:16" x14ac:dyDescent="0.25">
      <c r="A1639" t="s">
        <v>3953</v>
      </c>
      <c r="B1639" s="6">
        <v>43971</v>
      </c>
      <c r="C1639">
        <v>1496</v>
      </c>
      <c r="D1639" t="s">
        <v>3954</v>
      </c>
      <c r="E1639" t="s">
        <v>38</v>
      </c>
      <c r="F1639" t="s">
        <v>58</v>
      </c>
      <c r="G1639">
        <v>21229.68</v>
      </c>
      <c r="H1639">
        <v>10248.280000000001</v>
      </c>
      <c r="I1639" t="s">
        <v>40</v>
      </c>
      <c r="J1639" t="s">
        <v>41</v>
      </c>
      <c r="K1639" t="s">
        <v>80</v>
      </c>
      <c r="L1639" t="s">
        <v>64</v>
      </c>
      <c r="M1639">
        <v>3</v>
      </c>
      <c r="N1639" t="s">
        <v>33</v>
      </c>
      <c r="O1639" t="s">
        <v>25</v>
      </c>
      <c r="P1639" t="s">
        <v>26</v>
      </c>
    </row>
    <row r="1640" spans="1:16" x14ac:dyDescent="0.25">
      <c r="A1640" t="s">
        <v>3955</v>
      </c>
      <c r="B1640" s="6">
        <v>44290</v>
      </c>
      <c r="C1640">
        <v>6176</v>
      </c>
      <c r="D1640" t="s">
        <v>2758</v>
      </c>
      <c r="E1640" t="s">
        <v>38</v>
      </c>
      <c r="F1640" t="s">
        <v>58</v>
      </c>
      <c r="G1640">
        <v>10303.58</v>
      </c>
      <c r="H1640">
        <v>6301.25</v>
      </c>
      <c r="I1640" t="s">
        <v>59</v>
      </c>
      <c r="J1640" t="s">
        <v>41</v>
      </c>
      <c r="K1640" t="s">
        <v>32</v>
      </c>
      <c r="L1640" t="s">
        <v>64</v>
      </c>
      <c r="M1640">
        <v>3</v>
      </c>
      <c r="N1640" t="s">
        <v>24</v>
      </c>
      <c r="O1640" t="s">
        <v>25</v>
      </c>
      <c r="P1640" t="s">
        <v>34</v>
      </c>
    </row>
    <row r="1641" spans="1:16" x14ac:dyDescent="0.25">
      <c r="A1641" t="s">
        <v>3957</v>
      </c>
      <c r="B1641" s="6">
        <v>44712</v>
      </c>
      <c r="C1641">
        <v>7977</v>
      </c>
      <c r="D1641" t="s">
        <v>3958</v>
      </c>
      <c r="E1641" t="s">
        <v>18</v>
      </c>
      <c r="F1641" t="s">
        <v>39</v>
      </c>
      <c r="G1641">
        <v>12434.66</v>
      </c>
      <c r="H1641">
        <v>7620.32</v>
      </c>
      <c r="I1641" t="s">
        <v>120</v>
      </c>
      <c r="J1641" t="s">
        <v>21</v>
      </c>
      <c r="K1641" t="s">
        <v>42</v>
      </c>
      <c r="L1641" t="s">
        <v>48</v>
      </c>
      <c r="M1641">
        <v>3</v>
      </c>
      <c r="N1641" t="s">
        <v>69</v>
      </c>
      <c r="O1641" t="s">
        <v>25</v>
      </c>
      <c r="P1641" t="s">
        <v>34</v>
      </c>
    </row>
    <row r="1642" spans="1:16" x14ac:dyDescent="0.25">
      <c r="A1642" t="s">
        <v>3959</v>
      </c>
      <c r="B1642" s="6">
        <v>44628</v>
      </c>
      <c r="C1642">
        <v>7861</v>
      </c>
      <c r="D1642" t="s">
        <v>3960</v>
      </c>
      <c r="E1642" t="s">
        <v>38</v>
      </c>
      <c r="F1642" t="s">
        <v>58</v>
      </c>
      <c r="G1642">
        <v>22173.87</v>
      </c>
      <c r="H1642">
        <v>14097.3</v>
      </c>
      <c r="I1642" t="s">
        <v>120</v>
      </c>
      <c r="J1642" t="s">
        <v>21</v>
      </c>
      <c r="K1642" t="s">
        <v>22</v>
      </c>
      <c r="L1642" t="s">
        <v>23</v>
      </c>
      <c r="M1642">
        <v>1</v>
      </c>
      <c r="N1642" t="s">
        <v>69</v>
      </c>
      <c r="O1642" t="s">
        <v>70</v>
      </c>
      <c r="P1642" t="s">
        <v>34</v>
      </c>
    </row>
    <row r="1643" spans="1:16" x14ac:dyDescent="0.25">
      <c r="A1643" t="s">
        <v>3961</v>
      </c>
      <c r="B1643" s="6">
        <v>45045</v>
      </c>
      <c r="C1643">
        <v>1356</v>
      </c>
      <c r="D1643" t="s">
        <v>3962</v>
      </c>
      <c r="E1643" t="s">
        <v>38</v>
      </c>
      <c r="F1643" t="s">
        <v>30</v>
      </c>
      <c r="G1643">
        <v>47139.42</v>
      </c>
      <c r="H1643">
        <v>23244.55</v>
      </c>
      <c r="I1643" t="s">
        <v>40</v>
      </c>
      <c r="J1643" t="s">
        <v>41</v>
      </c>
      <c r="K1643" t="s">
        <v>42</v>
      </c>
      <c r="L1643" t="s">
        <v>23</v>
      </c>
      <c r="M1643">
        <v>1</v>
      </c>
      <c r="N1643" t="s">
        <v>33</v>
      </c>
      <c r="O1643" t="s">
        <v>25</v>
      </c>
      <c r="P1643" t="s">
        <v>34</v>
      </c>
    </row>
    <row r="1644" spans="1:16" x14ac:dyDescent="0.25">
      <c r="A1644" t="s">
        <v>3963</v>
      </c>
      <c r="B1644" s="6">
        <v>43906</v>
      </c>
      <c r="C1644">
        <v>5795</v>
      </c>
      <c r="D1644" t="s">
        <v>3965</v>
      </c>
      <c r="E1644" t="s">
        <v>38</v>
      </c>
      <c r="F1644" t="s">
        <v>39</v>
      </c>
      <c r="G1644">
        <v>12503.52</v>
      </c>
      <c r="H1644">
        <v>8087.19</v>
      </c>
      <c r="I1644" t="s">
        <v>40</v>
      </c>
      <c r="J1644" t="s">
        <v>41</v>
      </c>
      <c r="K1644" t="s">
        <v>22</v>
      </c>
      <c r="L1644" t="s">
        <v>88</v>
      </c>
      <c r="M1644">
        <v>3</v>
      </c>
      <c r="N1644" t="s">
        <v>69</v>
      </c>
      <c r="O1644" t="s">
        <v>70</v>
      </c>
      <c r="P1644" t="s">
        <v>34</v>
      </c>
    </row>
    <row r="1645" spans="1:16" x14ac:dyDescent="0.25">
      <c r="A1645" t="s">
        <v>3966</v>
      </c>
      <c r="B1645" s="6">
        <v>45441</v>
      </c>
      <c r="C1645">
        <v>1850</v>
      </c>
      <c r="D1645" t="s">
        <v>3967</v>
      </c>
      <c r="E1645" t="s">
        <v>38</v>
      </c>
      <c r="F1645" t="s">
        <v>39</v>
      </c>
      <c r="G1645">
        <v>7312.03</v>
      </c>
      <c r="H1645">
        <v>3627.03</v>
      </c>
      <c r="I1645" t="s">
        <v>68</v>
      </c>
      <c r="J1645" t="s">
        <v>41</v>
      </c>
      <c r="K1645" t="s">
        <v>32</v>
      </c>
      <c r="L1645" t="s">
        <v>55</v>
      </c>
      <c r="M1645">
        <v>3</v>
      </c>
      <c r="N1645" t="s">
        <v>24</v>
      </c>
      <c r="O1645" t="s">
        <v>70</v>
      </c>
      <c r="P1645" t="s">
        <v>26</v>
      </c>
    </row>
    <row r="1646" spans="1:16" x14ac:dyDescent="0.25">
      <c r="A1646" t="s">
        <v>3968</v>
      </c>
      <c r="B1646" s="6">
        <v>45371</v>
      </c>
      <c r="C1646">
        <v>5419</v>
      </c>
      <c r="D1646" t="s">
        <v>3969</v>
      </c>
      <c r="E1646" t="s">
        <v>38</v>
      </c>
      <c r="F1646" t="s">
        <v>30</v>
      </c>
      <c r="G1646">
        <v>20842.849999999999</v>
      </c>
      <c r="H1646">
        <v>13224.91</v>
      </c>
      <c r="I1646" t="s">
        <v>20</v>
      </c>
      <c r="J1646" t="s">
        <v>21</v>
      </c>
      <c r="K1646" t="s">
        <v>80</v>
      </c>
      <c r="L1646" t="s">
        <v>64</v>
      </c>
      <c r="M1646">
        <v>4</v>
      </c>
      <c r="N1646" t="s">
        <v>33</v>
      </c>
      <c r="O1646" t="s">
        <v>25</v>
      </c>
      <c r="P1646" t="s">
        <v>49</v>
      </c>
    </row>
    <row r="1647" spans="1:16" x14ac:dyDescent="0.25">
      <c r="A1647" t="s">
        <v>3970</v>
      </c>
      <c r="B1647" s="6">
        <v>45558</v>
      </c>
      <c r="C1647">
        <v>4284</v>
      </c>
      <c r="D1647" t="s">
        <v>3971</v>
      </c>
      <c r="E1647" t="s">
        <v>18</v>
      </c>
      <c r="F1647" t="s">
        <v>47</v>
      </c>
      <c r="G1647">
        <v>5865.45</v>
      </c>
      <c r="H1647">
        <v>3798.98</v>
      </c>
      <c r="I1647" t="s">
        <v>63</v>
      </c>
      <c r="J1647" t="s">
        <v>54</v>
      </c>
      <c r="K1647" t="s">
        <v>32</v>
      </c>
      <c r="L1647" t="s">
        <v>55</v>
      </c>
      <c r="M1647">
        <v>1</v>
      </c>
      <c r="N1647" t="s">
        <v>69</v>
      </c>
      <c r="O1647" t="s">
        <v>70</v>
      </c>
      <c r="P1647" t="s">
        <v>49</v>
      </c>
    </row>
    <row r="1648" spans="1:16" x14ac:dyDescent="0.25">
      <c r="A1648" t="s">
        <v>3972</v>
      </c>
      <c r="B1648" s="6">
        <v>45570</v>
      </c>
      <c r="C1648">
        <v>4352</v>
      </c>
      <c r="D1648" t="s">
        <v>3973</v>
      </c>
      <c r="E1648" t="s">
        <v>18</v>
      </c>
      <c r="F1648" t="s">
        <v>58</v>
      </c>
      <c r="G1648">
        <v>35468.71</v>
      </c>
      <c r="H1648">
        <v>19162.740000000002</v>
      </c>
      <c r="I1648" t="s">
        <v>53</v>
      </c>
      <c r="J1648" t="s">
        <v>54</v>
      </c>
      <c r="K1648" t="s">
        <v>80</v>
      </c>
      <c r="L1648" t="s">
        <v>55</v>
      </c>
      <c r="M1648">
        <v>5</v>
      </c>
      <c r="N1648" t="s">
        <v>33</v>
      </c>
      <c r="O1648" t="s">
        <v>70</v>
      </c>
      <c r="P1648" t="s">
        <v>49</v>
      </c>
    </row>
    <row r="1649" spans="1:16" x14ac:dyDescent="0.25">
      <c r="A1649" t="s">
        <v>3974</v>
      </c>
      <c r="B1649" s="6">
        <v>45284</v>
      </c>
      <c r="C1649">
        <v>7245</v>
      </c>
      <c r="D1649" t="s">
        <v>3975</v>
      </c>
      <c r="E1649" t="s">
        <v>18</v>
      </c>
      <c r="F1649" t="s">
        <v>19</v>
      </c>
      <c r="G1649">
        <v>18229.12</v>
      </c>
      <c r="H1649">
        <v>10536.85</v>
      </c>
      <c r="I1649" t="s">
        <v>120</v>
      </c>
      <c r="J1649" t="s">
        <v>21</v>
      </c>
      <c r="K1649" t="s">
        <v>42</v>
      </c>
      <c r="L1649" t="s">
        <v>43</v>
      </c>
      <c r="M1649">
        <v>3</v>
      </c>
      <c r="N1649" t="s">
        <v>69</v>
      </c>
      <c r="O1649" t="s">
        <v>70</v>
      </c>
      <c r="P1649" t="s">
        <v>49</v>
      </c>
    </row>
    <row r="1650" spans="1:16" x14ac:dyDescent="0.25">
      <c r="A1650" t="s">
        <v>3976</v>
      </c>
      <c r="B1650" s="6">
        <v>45435</v>
      </c>
      <c r="C1650">
        <v>1851</v>
      </c>
      <c r="D1650" t="s">
        <v>3977</v>
      </c>
      <c r="E1650" t="s">
        <v>18</v>
      </c>
      <c r="F1650" t="s">
        <v>47</v>
      </c>
      <c r="G1650">
        <v>20007.88</v>
      </c>
      <c r="H1650">
        <v>9586.06</v>
      </c>
      <c r="I1650" t="s">
        <v>84</v>
      </c>
      <c r="J1650" t="s">
        <v>54</v>
      </c>
      <c r="K1650" t="s">
        <v>42</v>
      </c>
      <c r="L1650" t="s">
        <v>55</v>
      </c>
      <c r="M1650">
        <v>5</v>
      </c>
      <c r="N1650" t="s">
        <v>69</v>
      </c>
      <c r="O1650" t="s">
        <v>25</v>
      </c>
      <c r="P1650" t="s">
        <v>49</v>
      </c>
    </row>
    <row r="1651" spans="1:16" x14ac:dyDescent="0.25">
      <c r="A1651" t="s">
        <v>3978</v>
      </c>
      <c r="B1651" s="6">
        <v>45441</v>
      </c>
      <c r="C1651">
        <v>2797</v>
      </c>
      <c r="D1651" t="s">
        <v>3979</v>
      </c>
      <c r="E1651" t="s">
        <v>38</v>
      </c>
      <c r="F1651" t="s">
        <v>58</v>
      </c>
      <c r="G1651">
        <v>19466.52</v>
      </c>
      <c r="H1651">
        <v>12262.47</v>
      </c>
      <c r="I1651" t="s">
        <v>68</v>
      </c>
      <c r="J1651" t="s">
        <v>41</v>
      </c>
      <c r="K1651" t="s">
        <v>22</v>
      </c>
      <c r="L1651" t="s">
        <v>43</v>
      </c>
      <c r="M1651">
        <v>1</v>
      </c>
      <c r="N1651" t="s">
        <v>33</v>
      </c>
      <c r="O1651" t="s">
        <v>25</v>
      </c>
      <c r="P1651" t="s">
        <v>49</v>
      </c>
    </row>
    <row r="1652" spans="1:16" x14ac:dyDescent="0.25">
      <c r="A1652" t="s">
        <v>3980</v>
      </c>
      <c r="B1652" s="6">
        <v>44888</v>
      </c>
      <c r="C1652">
        <v>2003</v>
      </c>
      <c r="D1652" t="s">
        <v>1686</v>
      </c>
      <c r="E1652" t="s">
        <v>38</v>
      </c>
      <c r="F1652" t="s">
        <v>19</v>
      </c>
      <c r="G1652">
        <v>4390.82</v>
      </c>
      <c r="H1652">
        <v>2188.38</v>
      </c>
      <c r="I1652" t="s">
        <v>31</v>
      </c>
      <c r="J1652" t="s">
        <v>21</v>
      </c>
      <c r="K1652" t="s">
        <v>42</v>
      </c>
      <c r="L1652" t="s">
        <v>64</v>
      </c>
      <c r="M1652">
        <v>4</v>
      </c>
      <c r="N1652" t="s">
        <v>69</v>
      </c>
      <c r="O1652" t="s">
        <v>25</v>
      </c>
      <c r="P1652" t="s">
        <v>49</v>
      </c>
    </row>
    <row r="1653" spans="1:16" x14ac:dyDescent="0.25">
      <c r="A1653" t="s">
        <v>3982</v>
      </c>
      <c r="B1653" s="6">
        <v>44979</v>
      </c>
      <c r="C1653">
        <v>9438</v>
      </c>
      <c r="D1653" t="s">
        <v>975</v>
      </c>
      <c r="E1653" t="s">
        <v>18</v>
      </c>
      <c r="F1653" t="s">
        <v>58</v>
      </c>
      <c r="G1653">
        <v>35411.54</v>
      </c>
      <c r="H1653">
        <v>19179.47</v>
      </c>
      <c r="I1653" t="s">
        <v>53</v>
      </c>
      <c r="J1653" t="s">
        <v>54</v>
      </c>
      <c r="K1653" t="s">
        <v>42</v>
      </c>
      <c r="L1653" t="s">
        <v>43</v>
      </c>
      <c r="M1653">
        <v>1</v>
      </c>
      <c r="N1653" t="s">
        <v>33</v>
      </c>
      <c r="O1653" t="s">
        <v>70</v>
      </c>
      <c r="P1653" t="s">
        <v>26</v>
      </c>
    </row>
    <row r="1654" spans="1:16" x14ac:dyDescent="0.25">
      <c r="A1654" t="s">
        <v>3983</v>
      </c>
      <c r="B1654" s="6">
        <v>44706</v>
      </c>
      <c r="C1654">
        <v>2802</v>
      </c>
      <c r="D1654" t="s">
        <v>3984</v>
      </c>
      <c r="E1654" t="s">
        <v>38</v>
      </c>
      <c r="F1654" t="s">
        <v>30</v>
      </c>
      <c r="G1654">
        <v>88053.64</v>
      </c>
      <c r="H1654">
        <v>47563.11</v>
      </c>
      <c r="I1654" t="s">
        <v>53</v>
      </c>
      <c r="J1654" t="s">
        <v>54</v>
      </c>
      <c r="K1654" t="s">
        <v>42</v>
      </c>
      <c r="L1654" t="s">
        <v>55</v>
      </c>
      <c r="M1654">
        <v>1</v>
      </c>
      <c r="N1654" t="s">
        <v>69</v>
      </c>
      <c r="O1654" t="s">
        <v>70</v>
      </c>
      <c r="P1654" t="s">
        <v>26</v>
      </c>
    </row>
    <row r="1655" spans="1:16" x14ac:dyDescent="0.25">
      <c r="A1655" t="s">
        <v>3985</v>
      </c>
      <c r="B1655" s="6">
        <v>45561</v>
      </c>
      <c r="C1655">
        <v>4345</v>
      </c>
      <c r="D1655" t="s">
        <v>3986</v>
      </c>
      <c r="E1655" t="s">
        <v>38</v>
      </c>
      <c r="F1655" t="s">
        <v>58</v>
      </c>
      <c r="G1655">
        <v>31841.15</v>
      </c>
      <c r="H1655">
        <v>17104.63</v>
      </c>
      <c r="I1655" t="s">
        <v>40</v>
      </c>
      <c r="J1655" t="s">
        <v>41</v>
      </c>
      <c r="K1655" t="s">
        <v>22</v>
      </c>
      <c r="L1655" t="s">
        <v>88</v>
      </c>
      <c r="M1655">
        <v>5</v>
      </c>
      <c r="N1655" t="s">
        <v>69</v>
      </c>
      <c r="O1655" t="s">
        <v>25</v>
      </c>
      <c r="P1655" t="s">
        <v>49</v>
      </c>
    </row>
    <row r="1656" spans="1:16" x14ac:dyDescent="0.25">
      <c r="A1656" t="s">
        <v>3987</v>
      </c>
      <c r="B1656" s="6">
        <v>45124</v>
      </c>
      <c r="C1656">
        <v>6836</v>
      </c>
      <c r="D1656" t="s">
        <v>3989</v>
      </c>
      <c r="E1656" t="s">
        <v>18</v>
      </c>
      <c r="F1656" t="s">
        <v>58</v>
      </c>
      <c r="G1656">
        <v>28089.759999999998</v>
      </c>
      <c r="H1656">
        <v>13538.32</v>
      </c>
      <c r="I1656" t="s">
        <v>68</v>
      </c>
      <c r="J1656" t="s">
        <v>41</v>
      </c>
      <c r="K1656" t="s">
        <v>22</v>
      </c>
      <c r="L1656" t="s">
        <v>64</v>
      </c>
      <c r="M1656">
        <v>1</v>
      </c>
      <c r="N1656" t="s">
        <v>24</v>
      </c>
      <c r="O1656" t="s">
        <v>70</v>
      </c>
      <c r="P1656" t="s">
        <v>34</v>
      </c>
    </row>
    <row r="1657" spans="1:16" x14ac:dyDescent="0.25">
      <c r="A1657" t="s">
        <v>3990</v>
      </c>
      <c r="B1657" s="6">
        <v>44379</v>
      </c>
      <c r="C1657">
        <v>9832</v>
      </c>
      <c r="D1657" t="s">
        <v>1754</v>
      </c>
      <c r="E1657" t="s">
        <v>18</v>
      </c>
      <c r="F1657" t="s">
        <v>58</v>
      </c>
      <c r="G1657">
        <v>18970.919999999998</v>
      </c>
      <c r="H1657">
        <v>10137.99</v>
      </c>
      <c r="I1657" t="s">
        <v>40</v>
      </c>
      <c r="J1657" t="s">
        <v>41</v>
      </c>
      <c r="K1657" t="s">
        <v>80</v>
      </c>
      <c r="L1657" t="s">
        <v>48</v>
      </c>
      <c r="M1657">
        <v>2</v>
      </c>
      <c r="N1657" t="s">
        <v>24</v>
      </c>
      <c r="O1657" t="s">
        <v>25</v>
      </c>
      <c r="P1657" t="s">
        <v>26</v>
      </c>
    </row>
    <row r="1658" spans="1:16" x14ac:dyDescent="0.25">
      <c r="A1658" t="s">
        <v>3991</v>
      </c>
      <c r="B1658" s="6">
        <v>45552</v>
      </c>
      <c r="C1658">
        <v>5625</v>
      </c>
      <c r="D1658" t="s">
        <v>3992</v>
      </c>
      <c r="E1658" t="s">
        <v>18</v>
      </c>
      <c r="F1658" t="s">
        <v>19</v>
      </c>
      <c r="G1658">
        <v>8554.2199999999993</v>
      </c>
      <c r="H1658">
        <v>4977.63</v>
      </c>
      <c r="I1658" t="s">
        <v>40</v>
      </c>
      <c r="J1658" t="s">
        <v>41</v>
      </c>
      <c r="K1658" t="s">
        <v>22</v>
      </c>
      <c r="L1658" t="s">
        <v>64</v>
      </c>
      <c r="M1658">
        <v>4</v>
      </c>
      <c r="N1658" t="s">
        <v>33</v>
      </c>
      <c r="O1658" t="s">
        <v>25</v>
      </c>
      <c r="P1658" t="s">
        <v>49</v>
      </c>
    </row>
    <row r="1659" spans="1:16" x14ac:dyDescent="0.25">
      <c r="A1659" t="s">
        <v>3993</v>
      </c>
      <c r="B1659" s="6">
        <v>44810</v>
      </c>
      <c r="C1659">
        <v>4408</v>
      </c>
      <c r="D1659" t="s">
        <v>3994</v>
      </c>
      <c r="E1659" t="s">
        <v>18</v>
      </c>
      <c r="F1659" t="s">
        <v>47</v>
      </c>
      <c r="G1659">
        <v>15221.81</v>
      </c>
      <c r="H1659">
        <v>9213.36</v>
      </c>
      <c r="I1659" t="s">
        <v>53</v>
      </c>
      <c r="J1659" t="s">
        <v>54</v>
      </c>
      <c r="K1659" t="s">
        <v>22</v>
      </c>
      <c r="L1659" t="s">
        <v>23</v>
      </c>
      <c r="M1659">
        <v>5</v>
      </c>
      <c r="N1659" t="s">
        <v>33</v>
      </c>
      <c r="O1659" t="s">
        <v>25</v>
      </c>
      <c r="P1659" t="s">
        <v>34</v>
      </c>
    </row>
    <row r="1660" spans="1:16" x14ac:dyDescent="0.25">
      <c r="A1660" t="s">
        <v>3995</v>
      </c>
      <c r="B1660" s="6">
        <v>45258</v>
      </c>
      <c r="C1660">
        <v>5178</v>
      </c>
      <c r="D1660" t="s">
        <v>3996</v>
      </c>
      <c r="E1660" t="s">
        <v>38</v>
      </c>
      <c r="F1660" t="s">
        <v>30</v>
      </c>
      <c r="G1660">
        <v>23574.77</v>
      </c>
      <c r="H1660">
        <v>12357.78</v>
      </c>
      <c r="I1660" t="s">
        <v>53</v>
      </c>
      <c r="J1660" t="s">
        <v>54</v>
      </c>
      <c r="K1660" t="s">
        <v>22</v>
      </c>
      <c r="L1660" t="s">
        <v>23</v>
      </c>
      <c r="M1660">
        <v>3</v>
      </c>
      <c r="N1660" t="s">
        <v>33</v>
      </c>
      <c r="O1660" t="s">
        <v>25</v>
      </c>
      <c r="P1660" t="s">
        <v>34</v>
      </c>
    </row>
    <row r="1661" spans="1:16" x14ac:dyDescent="0.25">
      <c r="A1661" t="s">
        <v>3997</v>
      </c>
      <c r="B1661" s="6">
        <v>45024</v>
      </c>
      <c r="C1661">
        <v>9768</v>
      </c>
      <c r="D1661" t="s">
        <v>3998</v>
      </c>
      <c r="E1661" t="s">
        <v>38</v>
      </c>
      <c r="F1661" t="s">
        <v>58</v>
      </c>
      <c r="G1661">
        <v>17425.650000000001</v>
      </c>
      <c r="H1661">
        <v>10358.02</v>
      </c>
      <c r="I1661" t="s">
        <v>63</v>
      </c>
      <c r="J1661" t="s">
        <v>54</v>
      </c>
      <c r="K1661" t="s">
        <v>22</v>
      </c>
      <c r="L1661" t="s">
        <v>48</v>
      </c>
      <c r="M1661">
        <v>4</v>
      </c>
      <c r="N1661" t="s">
        <v>24</v>
      </c>
      <c r="O1661" t="s">
        <v>25</v>
      </c>
      <c r="P1661" t="s">
        <v>49</v>
      </c>
    </row>
    <row r="1662" spans="1:16" x14ac:dyDescent="0.25">
      <c r="A1662" t="s">
        <v>3999</v>
      </c>
      <c r="B1662" s="6">
        <v>44986</v>
      </c>
      <c r="C1662">
        <v>9212</v>
      </c>
      <c r="D1662" t="s">
        <v>4001</v>
      </c>
      <c r="E1662" t="s">
        <v>38</v>
      </c>
      <c r="F1662" t="s">
        <v>19</v>
      </c>
      <c r="G1662">
        <v>4772.2299999999996</v>
      </c>
      <c r="H1662">
        <v>2269.9299999999998</v>
      </c>
      <c r="I1662" t="s">
        <v>59</v>
      </c>
      <c r="J1662" t="s">
        <v>41</v>
      </c>
      <c r="K1662" t="s">
        <v>80</v>
      </c>
      <c r="L1662" t="s">
        <v>48</v>
      </c>
      <c r="M1662">
        <v>5</v>
      </c>
      <c r="N1662" t="s">
        <v>69</v>
      </c>
      <c r="O1662" t="s">
        <v>25</v>
      </c>
      <c r="P1662" t="s">
        <v>49</v>
      </c>
    </row>
    <row r="1663" spans="1:16" x14ac:dyDescent="0.25">
      <c r="A1663" t="s">
        <v>4002</v>
      </c>
      <c r="B1663" s="6">
        <v>44221</v>
      </c>
      <c r="C1663">
        <v>5565</v>
      </c>
      <c r="D1663" t="s">
        <v>4003</v>
      </c>
      <c r="E1663" t="s">
        <v>18</v>
      </c>
      <c r="F1663" t="s">
        <v>47</v>
      </c>
      <c r="G1663">
        <v>5016.6400000000003</v>
      </c>
      <c r="H1663">
        <v>2934.87</v>
      </c>
      <c r="I1663" t="s">
        <v>53</v>
      </c>
      <c r="J1663" t="s">
        <v>54</v>
      </c>
      <c r="K1663" t="s">
        <v>80</v>
      </c>
      <c r="L1663" t="s">
        <v>23</v>
      </c>
      <c r="M1663">
        <v>1</v>
      </c>
      <c r="N1663" t="s">
        <v>33</v>
      </c>
      <c r="O1663" t="s">
        <v>70</v>
      </c>
      <c r="P1663" t="s">
        <v>49</v>
      </c>
    </row>
    <row r="1664" spans="1:16" x14ac:dyDescent="0.25">
      <c r="A1664" t="s">
        <v>4004</v>
      </c>
      <c r="B1664" s="6">
        <v>45291</v>
      </c>
      <c r="C1664">
        <v>2971</v>
      </c>
      <c r="D1664" t="s">
        <v>4006</v>
      </c>
      <c r="E1664" t="s">
        <v>38</v>
      </c>
      <c r="F1664" t="s">
        <v>58</v>
      </c>
      <c r="G1664">
        <v>13809.72</v>
      </c>
      <c r="H1664">
        <v>7221.83</v>
      </c>
      <c r="I1664" t="s">
        <v>120</v>
      </c>
      <c r="J1664" t="s">
        <v>21</v>
      </c>
      <c r="K1664" t="s">
        <v>80</v>
      </c>
      <c r="L1664" t="s">
        <v>88</v>
      </c>
      <c r="M1664">
        <v>4</v>
      </c>
      <c r="N1664" t="s">
        <v>33</v>
      </c>
      <c r="O1664" t="s">
        <v>25</v>
      </c>
      <c r="P1664" t="s">
        <v>34</v>
      </c>
    </row>
    <row r="1665" spans="1:16" x14ac:dyDescent="0.25">
      <c r="A1665" t="s">
        <v>4007</v>
      </c>
      <c r="B1665" s="6">
        <v>44682</v>
      </c>
      <c r="C1665">
        <v>5711</v>
      </c>
      <c r="D1665" t="s">
        <v>4008</v>
      </c>
      <c r="E1665" t="s">
        <v>38</v>
      </c>
      <c r="F1665" t="s">
        <v>19</v>
      </c>
      <c r="G1665">
        <v>4479.75</v>
      </c>
      <c r="H1665">
        <v>2566.89</v>
      </c>
      <c r="I1665" t="s">
        <v>84</v>
      </c>
      <c r="J1665" t="s">
        <v>54</v>
      </c>
      <c r="K1665" t="s">
        <v>42</v>
      </c>
      <c r="L1665" t="s">
        <v>23</v>
      </c>
      <c r="M1665">
        <v>2</v>
      </c>
      <c r="N1665" t="s">
        <v>69</v>
      </c>
      <c r="O1665" t="s">
        <v>70</v>
      </c>
      <c r="P1665" t="s">
        <v>26</v>
      </c>
    </row>
    <row r="1666" spans="1:16" x14ac:dyDescent="0.25">
      <c r="A1666" t="s">
        <v>4009</v>
      </c>
      <c r="B1666" s="6">
        <v>44796</v>
      </c>
      <c r="C1666">
        <v>4281</v>
      </c>
      <c r="D1666" t="s">
        <v>4010</v>
      </c>
      <c r="E1666" t="s">
        <v>18</v>
      </c>
      <c r="F1666" t="s">
        <v>19</v>
      </c>
      <c r="G1666">
        <v>4008.13</v>
      </c>
      <c r="H1666">
        <v>1874.4</v>
      </c>
      <c r="I1666" t="s">
        <v>59</v>
      </c>
      <c r="J1666" t="s">
        <v>41</v>
      </c>
      <c r="K1666" t="s">
        <v>22</v>
      </c>
      <c r="L1666" t="s">
        <v>88</v>
      </c>
      <c r="M1666">
        <v>2</v>
      </c>
      <c r="N1666" t="s">
        <v>69</v>
      </c>
      <c r="O1666" t="s">
        <v>70</v>
      </c>
      <c r="P1666" t="s">
        <v>34</v>
      </c>
    </row>
    <row r="1667" spans="1:16" x14ac:dyDescent="0.25">
      <c r="A1667" t="s">
        <v>4011</v>
      </c>
      <c r="B1667" s="6">
        <v>45142</v>
      </c>
      <c r="C1667">
        <v>2868</v>
      </c>
      <c r="D1667" t="s">
        <v>4013</v>
      </c>
      <c r="E1667" t="s">
        <v>38</v>
      </c>
      <c r="F1667" t="s">
        <v>39</v>
      </c>
      <c r="G1667">
        <v>32104.01</v>
      </c>
      <c r="H1667">
        <v>18559.580000000002</v>
      </c>
      <c r="I1667" t="s">
        <v>84</v>
      </c>
      <c r="J1667" t="s">
        <v>54</v>
      </c>
      <c r="K1667" t="s">
        <v>22</v>
      </c>
      <c r="L1667" t="s">
        <v>55</v>
      </c>
      <c r="M1667">
        <v>3</v>
      </c>
      <c r="N1667" t="s">
        <v>33</v>
      </c>
      <c r="O1667" t="s">
        <v>70</v>
      </c>
      <c r="P1667" t="s">
        <v>26</v>
      </c>
    </row>
    <row r="1668" spans="1:16" x14ac:dyDescent="0.25">
      <c r="A1668" t="s">
        <v>4014</v>
      </c>
      <c r="B1668" s="6">
        <v>44201</v>
      </c>
      <c r="C1668">
        <v>9256</v>
      </c>
      <c r="D1668" t="s">
        <v>4015</v>
      </c>
      <c r="E1668" t="s">
        <v>18</v>
      </c>
      <c r="F1668" t="s">
        <v>47</v>
      </c>
      <c r="G1668">
        <v>4265.5200000000004</v>
      </c>
      <c r="H1668">
        <v>2216.92</v>
      </c>
      <c r="I1668" t="s">
        <v>84</v>
      </c>
      <c r="J1668" t="s">
        <v>54</v>
      </c>
      <c r="K1668" t="s">
        <v>32</v>
      </c>
      <c r="L1668" t="s">
        <v>48</v>
      </c>
      <c r="M1668">
        <v>3</v>
      </c>
      <c r="N1668" t="s">
        <v>69</v>
      </c>
      <c r="O1668" t="s">
        <v>70</v>
      </c>
      <c r="P1668" t="s">
        <v>49</v>
      </c>
    </row>
    <row r="1669" spans="1:16" x14ac:dyDescent="0.25">
      <c r="A1669" t="s">
        <v>4016</v>
      </c>
      <c r="B1669" s="6">
        <v>44360</v>
      </c>
      <c r="C1669">
        <v>9316</v>
      </c>
      <c r="D1669" t="s">
        <v>4018</v>
      </c>
      <c r="E1669" t="s">
        <v>18</v>
      </c>
      <c r="F1669" t="s">
        <v>47</v>
      </c>
      <c r="G1669">
        <v>5930.41</v>
      </c>
      <c r="H1669">
        <v>3729.55</v>
      </c>
      <c r="I1669" t="s">
        <v>31</v>
      </c>
      <c r="J1669" t="s">
        <v>21</v>
      </c>
      <c r="K1669" t="s">
        <v>32</v>
      </c>
      <c r="L1669" t="s">
        <v>55</v>
      </c>
      <c r="M1669">
        <v>3</v>
      </c>
      <c r="N1669" t="s">
        <v>24</v>
      </c>
      <c r="O1669" t="s">
        <v>25</v>
      </c>
      <c r="P1669" t="s">
        <v>26</v>
      </c>
    </row>
    <row r="1670" spans="1:16" x14ac:dyDescent="0.25">
      <c r="A1670" t="s">
        <v>4019</v>
      </c>
      <c r="B1670" s="6">
        <v>45550</v>
      </c>
      <c r="C1670">
        <v>7346</v>
      </c>
      <c r="D1670" t="s">
        <v>4020</v>
      </c>
      <c r="E1670" t="s">
        <v>38</v>
      </c>
      <c r="F1670" t="s">
        <v>39</v>
      </c>
      <c r="G1670">
        <v>27562.22</v>
      </c>
      <c r="H1670">
        <v>13726.34</v>
      </c>
      <c r="I1670" t="s">
        <v>59</v>
      </c>
      <c r="J1670" t="s">
        <v>41</v>
      </c>
      <c r="K1670" t="s">
        <v>32</v>
      </c>
      <c r="L1670" t="s">
        <v>55</v>
      </c>
      <c r="M1670">
        <v>2</v>
      </c>
      <c r="N1670" t="s">
        <v>33</v>
      </c>
      <c r="O1670" t="s">
        <v>70</v>
      </c>
      <c r="P1670" t="s">
        <v>34</v>
      </c>
    </row>
    <row r="1671" spans="1:16" x14ac:dyDescent="0.25">
      <c r="A1671" t="s">
        <v>4021</v>
      </c>
      <c r="B1671" s="6">
        <v>44827</v>
      </c>
      <c r="C1671">
        <v>6085</v>
      </c>
      <c r="D1671" t="s">
        <v>4022</v>
      </c>
      <c r="E1671" t="s">
        <v>38</v>
      </c>
      <c r="F1671" t="s">
        <v>39</v>
      </c>
      <c r="G1671">
        <v>24777.96</v>
      </c>
      <c r="H1671">
        <v>12457.71</v>
      </c>
      <c r="I1671" t="s">
        <v>31</v>
      </c>
      <c r="J1671" t="s">
        <v>21</v>
      </c>
      <c r="K1671" t="s">
        <v>32</v>
      </c>
      <c r="L1671" t="s">
        <v>48</v>
      </c>
      <c r="M1671">
        <v>4</v>
      </c>
      <c r="N1671" t="s">
        <v>24</v>
      </c>
      <c r="O1671" t="s">
        <v>25</v>
      </c>
      <c r="P1671" t="s">
        <v>26</v>
      </c>
    </row>
    <row r="1672" spans="1:16" x14ac:dyDescent="0.25">
      <c r="A1672" t="s">
        <v>4023</v>
      </c>
      <c r="B1672" s="6">
        <v>44999</v>
      </c>
      <c r="C1672">
        <v>9947</v>
      </c>
      <c r="D1672" t="s">
        <v>4024</v>
      </c>
      <c r="E1672" t="s">
        <v>38</v>
      </c>
      <c r="F1672" t="s">
        <v>47</v>
      </c>
      <c r="G1672">
        <v>9315.76</v>
      </c>
      <c r="H1672">
        <v>4353</v>
      </c>
      <c r="I1672" t="s">
        <v>40</v>
      </c>
      <c r="J1672" t="s">
        <v>41</v>
      </c>
      <c r="K1672" t="s">
        <v>80</v>
      </c>
      <c r="L1672" t="s">
        <v>55</v>
      </c>
      <c r="M1672">
        <v>3</v>
      </c>
      <c r="N1672" t="s">
        <v>33</v>
      </c>
      <c r="O1672" t="s">
        <v>25</v>
      </c>
      <c r="P1672" t="s">
        <v>34</v>
      </c>
    </row>
    <row r="1673" spans="1:16" x14ac:dyDescent="0.25">
      <c r="A1673" t="s">
        <v>4025</v>
      </c>
      <c r="B1673" s="6">
        <v>44530</v>
      </c>
      <c r="C1673">
        <v>1934</v>
      </c>
      <c r="D1673" t="s">
        <v>4026</v>
      </c>
      <c r="E1673" t="s">
        <v>18</v>
      </c>
      <c r="F1673" t="s">
        <v>30</v>
      </c>
      <c r="G1673">
        <v>85832.69</v>
      </c>
      <c r="H1673">
        <v>44122.61</v>
      </c>
      <c r="I1673" t="s">
        <v>63</v>
      </c>
      <c r="J1673" t="s">
        <v>54</v>
      </c>
      <c r="K1673" t="s">
        <v>80</v>
      </c>
      <c r="L1673" t="s">
        <v>48</v>
      </c>
      <c r="M1673">
        <v>2</v>
      </c>
      <c r="N1673" t="s">
        <v>33</v>
      </c>
      <c r="O1673" t="s">
        <v>70</v>
      </c>
      <c r="P1673" t="s">
        <v>26</v>
      </c>
    </row>
    <row r="1674" spans="1:16" x14ac:dyDescent="0.25">
      <c r="A1674" t="s">
        <v>4027</v>
      </c>
      <c r="B1674" s="6">
        <v>43850</v>
      </c>
      <c r="C1674">
        <v>1858</v>
      </c>
      <c r="D1674" t="s">
        <v>2525</v>
      </c>
      <c r="E1674" t="s">
        <v>18</v>
      </c>
      <c r="F1674" t="s">
        <v>47</v>
      </c>
      <c r="G1674">
        <v>1870.08</v>
      </c>
      <c r="H1674">
        <v>1007.36</v>
      </c>
      <c r="I1674" t="s">
        <v>68</v>
      </c>
      <c r="J1674" t="s">
        <v>41</v>
      </c>
      <c r="K1674" t="s">
        <v>22</v>
      </c>
      <c r="L1674" t="s">
        <v>48</v>
      </c>
      <c r="M1674">
        <v>1</v>
      </c>
      <c r="N1674" t="s">
        <v>69</v>
      </c>
      <c r="O1674" t="s">
        <v>25</v>
      </c>
      <c r="P1674" t="s">
        <v>49</v>
      </c>
    </row>
    <row r="1675" spans="1:16" x14ac:dyDescent="0.25">
      <c r="A1675" t="s">
        <v>4028</v>
      </c>
      <c r="B1675" s="6">
        <v>45410</v>
      </c>
      <c r="C1675">
        <v>5565</v>
      </c>
      <c r="D1675" t="s">
        <v>4029</v>
      </c>
      <c r="E1675" t="s">
        <v>18</v>
      </c>
      <c r="F1675" t="s">
        <v>30</v>
      </c>
      <c r="G1675">
        <v>34183.61</v>
      </c>
      <c r="H1675">
        <v>21404.28</v>
      </c>
      <c r="I1675" t="s">
        <v>68</v>
      </c>
      <c r="J1675" t="s">
        <v>41</v>
      </c>
      <c r="K1675" t="s">
        <v>32</v>
      </c>
      <c r="L1675" t="s">
        <v>43</v>
      </c>
      <c r="M1675">
        <v>1</v>
      </c>
      <c r="N1675" t="s">
        <v>24</v>
      </c>
      <c r="O1675" t="s">
        <v>25</v>
      </c>
      <c r="P1675" t="s">
        <v>34</v>
      </c>
    </row>
    <row r="1676" spans="1:16" x14ac:dyDescent="0.25">
      <c r="A1676" t="s">
        <v>4030</v>
      </c>
      <c r="B1676" s="6">
        <v>44686</v>
      </c>
      <c r="C1676">
        <v>7453</v>
      </c>
      <c r="D1676" t="s">
        <v>4031</v>
      </c>
      <c r="E1676" t="s">
        <v>18</v>
      </c>
      <c r="F1676" t="s">
        <v>30</v>
      </c>
      <c r="G1676">
        <v>50966.64</v>
      </c>
      <c r="H1676">
        <v>29486.21</v>
      </c>
      <c r="I1676" t="s">
        <v>31</v>
      </c>
      <c r="J1676" t="s">
        <v>21</v>
      </c>
      <c r="K1676" t="s">
        <v>22</v>
      </c>
      <c r="L1676" t="s">
        <v>23</v>
      </c>
      <c r="M1676">
        <v>2</v>
      </c>
      <c r="N1676" t="s">
        <v>24</v>
      </c>
      <c r="O1676" t="s">
        <v>25</v>
      </c>
      <c r="P1676" t="s">
        <v>26</v>
      </c>
    </row>
    <row r="1677" spans="1:16" x14ac:dyDescent="0.25">
      <c r="A1677" t="s">
        <v>4032</v>
      </c>
      <c r="B1677" s="6">
        <v>45284</v>
      </c>
      <c r="C1677">
        <v>8503</v>
      </c>
      <c r="D1677" t="s">
        <v>1223</v>
      </c>
      <c r="E1677" t="s">
        <v>18</v>
      </c>
      <c r="F1677" t="s">
        <v>39</v>
      </c>
      <c r="G1677">
        <v>49362.45</v>
      </c>
      <c r="H1677">
        <v>31210.5</v>
      </c>
      <c r="I1677" t="s">
        <v>84</v>
      </c>
      <c r="J1677" t="s">
        <v>54</v>
      </c>
      <c r="K1677" t="s">
        <v>32</v>
      </c>
      <c r="L1677" t="s">
        <v>55</v>
      </c>
      <c r="M1677">
        <v>1</v>
      </c>
      <c r="N1677" t="s">
        <v>33</v>
      </c>
      <c r="O1677" t="s">
        <v>25</v>
      </c>
      <c r="P1677" t="s">
        <v>49</v>
      </c>
    </row>
    <row r="1678" spans="1:16" x14ac:dyDescent="0.25">
      <c r="A1678" t="s">
        <v>4033</v>
      </c>
      <c r="B1678" s="6">
        <v>44510</v>
      </c>
      <c r="C1678">
        <v>9146</v>
      </c>
      <c r="D1678" t="s">
        <v>4034</v>
      </c>
      <c r="E1678" t="s">
        <v>18</v>
      </c>
      <c r="F1678" t="s">
        <v>19</v>
      </c>
      <c r="G1678">
        <v>7820.58</v>
      </c>
      <c r="H1678">
        <v>4487.03</v>
      </c>
      <c r="I1678" t="s">
        <v>40</v>
      </c>
      <c r="J1678" t="s">
        <v>41</v>
      </c>
      <c r="K1678" t="s">
        <v>42</v>
      </c>
      <c r="L1678" t="s">
        <v>23</v>
      </c>
      <c r="M1678">
        <v>1</v>
      </c>
      <c r="N1678" t="s">
        <v>24</v>
      </c>
      <c r="O1678" t="s">
        <v>70</v>
      </c>
      <c r="P1678" t="s">
        <v>49</v>
      </c>
    </row>
    <row r="1679" spans="1:16" x14ac:dyDescent="0.25">
      <c r="A1679" t="s">
        <v>4035</v>
      </c>
      <c r="B1679" s="6">
        <v>44405</v>
      </c>
      <c r="C1679">
        <v>1471</v>
      </c>
      <c r="D1679" t="s">
        <v>4036</v>
      </c>
      <c r="E1679" t="s">
        <v>18</v>
      </c>
      <c r="F1679" t="s">
        <v>30</v>
      </c>
      <c r="G1679">
        <v>42436.21</v>
      </c>
      <c r="H1679">
        <v>23219.58</v>
      </c>
      <c r="I1679" t="s">
        <v>84</v>
      </c>
      <c r="J1679" t="s">
        <v>54</v>
      </c>
      <c r="K1679" t="s">
        <v>80</v>
      </c>
      <c r="L1679" t="s">
        <v>48</v>
      </c>
      <c r="M1679">
        <v>1</v>
      </c>
      <c r="N1679" t="s">
        <v>24</v>
      </c>
      <c r="O1679" t="s">
        <v>25</v>
      </c>
      <c r="P1679" t="s">
        <v>26</v>
      </c>
    </row>
    <row r="1680" spans="1:16" x14ac:dyDescent="0.25">
      <c r="A1680" t="s">
        <v>4037</v>
      </c>
      <c r="B1680" s="6">
        <v>44317</v>
      </c>
      <c r="C1680">
        <v>9925</v>
      </c>
      <c r="D1680" t="s">
        <v>4038</v>
      </c>
      <c r="E1680" t="s">
        <v>38</v>
      </c>
      <c r="F1680" t="s">
        <v>47</v>
      </c>
      <c r="G1680">
        <v>2386.11</v>
      </c>
      <c r="H1680">
        <v>1421.51</v>
      </c>
      <c r="I1680" t="s">
        <v>31</v>
      </c>
      <c r="J1680" t="s">
        <v>21</v>
      </c>
      <c r="K1680" t="s">
        <v>80</v>
      </c>
      <c r="L1680" t="s">
        <v>48</v>
      </c>
      <c r="M1680">
        <v>2</v>
      </c>
      <c r="N1680" t="s">
        <v>24</v>
      </c>
      <c r="O1680" t="s">
        <v>25</v>
      </c>
      <c r="P1680" t="s">
        <v>49</v>
      </c>
    </row>
    <row r="1681" spans="1:16" x14ac:dyDescent="0.25">
      <c r="A1681" t="s">
        <v>4039</v>
      </c>
      <c r="B1681" s="6">
        <v>44915</v>
      </c>
      <c r="C1681">
        <v>1183</v>
      </c>
      <c r="D1681" t="s">
        <v>4040</v>
      </c>
      <c r="E1681" t="s">
        <v>18</v>
      </c>
      <c r="F1681" t="s">
        <v>30</v>
      </c>
      <c r="G1681">
        <v>53605.05</v>
      </c>
      <c r="H1681">
        <v>28379.39</v>
      </c>
      <c r="I1681" t="s">
        <v>53</v>
      </c>
      <c r="J1681" t="s">
        <v>54</v>
      </c>
      <c r="K1681" t="s">
        <v>80</v>
      </c>
      <c r="L1681" t="s">
        <v>88</v>
      </c>
      <c r="M1681">
        <v>2</v>
      </c>
      <c r="N1681" t="s">
        <v>33</v>
      </c>
      <c r="O1681" t="s">
        <v>70</v>
      </c>
      <c r="P1681" t="s">
        <v>49</v>
      </c>
    </row>
    <row r="1682" spans="1:16" x14ac:dyDescent="0.25">
      <c r="A1682" t="s">
        <v>4041</v>
      </c>
      <c r="B1682" s="6">
        <v>45164</v>
      </c>
      <c r="C1682">
        <v>4962</v>
      </c>
      <c r="D1682" t="s">
        <v>4042</v>
      </c>
      <c r="E1682" t="s">
        <v>38</v>
      </c>
      <c r="F1682" t="s">
        <v>30</v>
      </c>
      <c r="G1682">
        <v>61282.17</v>
      </c>
      <c r="H1682">
        <v>28878.27</v>
      </c>
      <c r="I1682" t="s">
        <v>31</v>
      </c>
      <c r="J1682" t="s">
        <v>21</v>
      </c>
      <c r="K1682" t="s">
        <v>42</v>
      </c>
      <c r="L1682" t="s">
        <v>88</v>
      </c>
      <c r="M1682">
        <v>5</v>
      </c>
      <c r="N1682" t="s">
        <v>24</v>
      </c>
      <c r="O1682" t="s">
        <v>25</v>
      </c>
      <c r="P1682" t="s">
        <v>34</v>
      </c>
    </row>
    <row r="1683" spans="1:16" x14ac:dyDescent="0.25">
      <c r="A1683" t="s">
        <v>4043</v>
      </c>
      <c r="B1683" s="6">
        <v>44574</v>
      </c>
      <c r="C1683">
        <v>4079</v>
      </c>
      <c r="D1683" t="s">
        <v>4044</v>
      </c>
      <c r="E1683" t="s">
        <v>38</v>
      </c>
      <c r="F1683" t="s">
        <v>47</v>
      </c>
      <c r="G1683">
        <v>17393.88</v>
      </c>
      <c r="H1683">
        <v>9678.65</v>
      </c>
      <c r="I1683" t="s">
        <v>84</v>
      </c>
      <c r="J1683" t="s">
        <v>54</v>
      </c>
      <c r="K1683" t="s">
        <v>42</v>
      </c>
      <c r="L1683" t="s">
        <v>55</v>
      </c>
      <c r="M1683">
        <v>1</v>
      </c>
      <c r="N1683" t="s">
        <v>69</v>
      </c>
      <c r="O1683" t="s">
        <v>70</v>
      </c>
      <c r="P1683" t="s">
        <v>34</v>
      </c>
    </row>
    <row r="1684" spans="1:16" x14ac:dyDescent="0.25">
      <c r="A1684" t="s">
        <v>4045</v>
      </c>
      <c r="B1684" s="6">
        <v>45490</v>
      </c>
      <c r="C1684">
        <v>8910</v>
      </c>
      <c r="D1684" t="s">
        <v>4047</v>
      </c>
      <c r="E1684" t="s">
        <v>18</v>
      </c>
      <c r="F1684" t="s">
        <v>58</v>
      </c>
      <c r="G1684">
        <v>43726.97</v>
      </c>
      <c r="H1684">
        <v>28014.97</v>
      </c>
      <c r="I1684" t="s">
        <v>53</v>
      </c>
      <c r="J1684" t="s">
        <v>54</v>
      </c>
      <c r="K1684" t="s">
        <v>32</v>
      </c>
      <c r="L1684" t="s">
        <v>43</v>
      </c>
      <c r="M1684">
        <v>3</v>
      </c>
      <c r="N1684" t="s">
        <v>69</v>
      </c>
      <c r="O1684" t="s">
        <v>25</v>
      </c>
      <c r="P1684" t="s">
        <v>26</v>
      </c>
    </row>
    <row r="1685" spans="1:16" x14ac:dyDescent="0.25">
      <c r="A1685" t="s">
        <v>4048</v>
      </c>
      <c r="B1685" s="6">
        <v>44354</v>
      </c>
      <c r="C1685">
        <v>8021</v>
      </c>
      <c r="D1685" t="s">
        <v>4049</v>
      </c>
      <c r="E1685" t="s">
        <v>18</v>
      </c>
      <c r="F1685" t="s">
        <v>58</v>
      </c>
      <c r="G1685">
        <v>8563.7900000000009</v>
      </c>
      <c r="H1685">
        <v>4969.55</v>
      </c>
      <c r="I1685" t="s">
        <v>120</v>
      </c>
      <c r="J1685" t="s">
        <v>21</v>
      </c>
      <c r="K1685" t="s">
        <v>22</v>
      </c>
      <c r="L1685" t="s">
        <v>55</v>
      </c>
      <c r="M1685">
        <v>5</v>
      </c>
      <c r="N1685" t="s">
        <v>33</v>
      </c>
      <c r="O1685" t="s">
        <v>25</v>
      </c>
      <c r="P1685" t="s">
        <v>49</v>
      </c>
    </row>
    <row r="1686" spans="1:16" x14ac:dyDescent="0.25">
      <c r="A1686" t="s">
        <v>4050</v>
      </c>
      <c r="B1686" s="6">
        <v>45178</v>
      </c>
      <c r="C1686">
        <v>8586</v>
      </c>
      <c r="D1686" t="s">
        <v>1269</v>
      </c>
      <c r="E1686" t="s">
        <v>18</v>
      </c>
      <c r="F1686" t="s">
        <v>47</v>
      </c>
      <c r="G1686">
        <v>11880.35</v>
      </c>
      <c r="H1686">
        <v>6872.93</v>
      </c>
      <c r="I1686" t="s">
        <v>31</v>
      </c>
      <c r="J1686" t="s">
        <v>21</v>
      </c>
      <c r="K1686" t="s">
        <v>32</v>
      </c>
      <c r="L1686" t="s">
        <v>43</v>
      </c>
      <c r="M1686">
        <v>2</v>
      </c>
      <c r="N1686" t="s">
        <v>33</v>
      </c>
      <c r="O1686" t="s">
        <v>25</v>
      </c>
      <c r="P1686" t="s">
        <v>26</v>
      </c>
    </row>
    <row r="1687" spans="1:16" x14ac:dyDescent="0.25">
      <c r="A1687" t="s">
        <v>4052</v>
      </c>
      <c r="B1687" s="6">
        <v>45247</v>
      </c>
      <c r="C1687">
        <v>9083</v>
      </c>
      <c r="D1687" t="s">
        <v>1934</v>
      </c>
      <c r="E1687" t="s">
        <v>38</v>
      </c>
      <c r="F1687" t="s">
        <v>58</v>
      </c>
      <c r="G1687">
        <v>19766.939999999999</v>
      </c>
      <c r="H1687">
        <v>11876.91</v>
      </c>
      <c r="I1687" t="s">
        <v>63</v>
      </c>
      <c r="J1687" t="s">
        <v>54</v>
      </c>
      <c r="K1687" t="s">
        <v>22</v>
      </c>
      <c r="L1687" t="s">
        <v>64</v>
      </c>
      <c r="M1687">
        <v>5</v>
      </c>
      <c r="N1687" t="s">
        <v>33</v>
      </c>
      <c r="O1687" t="s">
        <v>70</v>
      </c>
      <c r="P1687" t="s">
        <v>26</v>
      </c>
    </row>
    <row r="1688" spans="1:16" x14ac:dyDescent="0.25">
      <c r="A1688" t="s">
        <v>4053</v>
      </c>
      <c r="B1688" s="6">
        <v>44257</v>
      </c>
      <c r="C1688">
        <v>1256</v>
      </c>
      <c r="D1688" t="s">
        <v>3397</v>
      </c>
      <c r="E1688" t="s">
        <v>38</v>
      </c>
      <c r="F1688" t="s">
        <v>39</v>
      </c>
      <c r="G1688">
        <v>12799.87</v>
      </c>
      <c r="H1688">
        <v>5867.07</v>
      </c>
      <c r="I1688" t="s">
        <v>63</v>
      </c>
      <c r="J1688" t="s">
        <v>54</v>
      </c>
      <c r="K1688" t="s">
        <v>80</v>
      </c>
      <c r="L1688" t="s">
        <v>48</v>
      </c>
      <c r="M1688">
        <v>2</v>
      </c>
      <c r="N1688" t="s">
        <v>33</v>
      </c>
      <c r="O1688" t="s">
        <v>25</v>
      </c>
      <c r="P1688" t="s">
        <v>34</v>
      </c>
    </row>
    <row r="1689" spans="1:16" x14ac:dyDescent="0.25">
      <c r="A1689" t="s">
        <v>4054</v>
      </c>
      <c r="B1689" s="6">
        <v>44694</v>
      </c>
      <c r="C1689">
        <v>8392</v>
      </c>
      <c r="D1689" t="s">
        <v>4056</v>
      </c>
      <c r="E1689" t="s">
        <v>38</v>
      </c>
      <c r="F1689" t="s">
        <v>19</v>
      </c>
      <c r="G1689">
        <v>6968.66</v>
      </c>
      <c r="H1689">
        <v>4453.24</v>
      </c>
      <c r="I1689" t="s">
        <v>120</v>
      </c>
      <c r="J1689" t="s">
        <v>21</v>
      </c>
      <c r="K1689" t="s">
        <v>42</v>
      </c>
      <c r="L1689" t="s">
        <v>55</v>
      </c>
      <c r="M1689">
        <v>3</v>
      </c>
      <c r="N1689" t="s">
        <v>24</v>
      </c>
      <c r="O1689" t="s">
        <v>70</v>
      </c>
      <c r="P1689" t="s">
        <v>26</v>
      </c>
    </row>
    <row r="1690" spans="1:16" x14ac:dyDescent="0.25">
      <c r="A1690" t="s">
        <v>4057</v>
      </c>
      <c r="B1690" s="6">
        <v>45597</v>
      </c>
      <c r="C1690">
        <v>7684</v>
      </c>
      <c r="D1690" t="s">
        <v>4058</v>
      </c>
      <c r="E1690" t="s">
        <v>38</v>
      </c>
      <c r="F1690" t="s">
        <v>39</v>
      </c>
      <c r="G1690">
        <v>14473.6</v>
      </c>
      <c r="H1690">
        <v>8598.36</v>
      </c>
      <c r="I1690" t="s">
        <v>59</v>
      </c>
      <c r="J1690" t="s">
        <v>41</v>
      </c>
      <c r="K1690" t="s">
        <v>80</v>
      </c>
      <c r="L1690" t="s">
        <v>23</v>
      </c>
      <c r="M1690">
        <v>3</v>
      </c>
      <c r="N1690" t="s">
        <v>24</v>
      </c>
      <c r="O1690" t="s">
        <v>25</v>
      </c>
      <c r="P1690" t="s">
        <v>34</v>
      </c>
    </row>
    <row r="1691" spans="1:16" x14ac:dyDescent="0.25">
      <c r="A1691" t="s">
        <v>4059</v>
      </c>
      <c r="B1691" s="6">
        <v>44897</v>
      </c>
      <c r="C1691">
        <v>9994</v>
      </c>
      <c r="D1691" t="s">
        <v>4060</v>
      </c>
      <c r="E1691" t="s">
        <v>38</v>
      </c>
      <c r="F1691" t="s">
        <v>19</v>
      </c>
      <c r="G1691">
        <v>10358.48</v>
      </c>
      <c r="H1691">
        <v>6471.98</v>
      </c>
      <c r="I1691" t="s">
        <v>53</v>
      </c>
      <c r="J1691" t="s">
        <v>54</v>
      </c>
      <c r="K1691" t="s">
        <v>32</v>
      </c>
      <c r="L1691" t="s">
        <v>48</v>
      </c>
      <c r="M1691">
        <v>3</v>
      </c>
      <c r="N1691" t="s">
        <v>24</v>
      </c>
      <c r="O1691" t="s">
        <v>70</v>
      </c>
      <c r="P1691" t="s">
        <v>49</v>
      </c>
    </row>
    <row r="1692" spans="1:16" x14ac:dyDescent="0.25">
      <c r="A1692" t="s">
        <v>4061</v>
      </c>
      <c r="B1692" s="6">
        <v>45627</v>
      </c>
      <c r="C1692">
        <v>8028</v>
      </c>
      <c r="D1692" t="s">
        <v>4062</v>
      </c>
      <c r="E1692" t="s">
        <v>18</v>
      </c>
      <c r="F1692" t="s">
        <v>19</v>
      </c>
      <c r="G1692">
        <v>19866</v>
      </c>
      <c r="H1692">
        <v>12245.9</v>
      </c>
      <c r="I1692" t="s">
        <v>20</v>
      </c>
      <c r="J1692" t="s">
        <v>21</v>
      </c>
      <c r="K1692" t="s">
        <v>32</v>
      </c>
      <c r="L1692" t="s">
        <v>64</v>
      </c>
      <c r="M1692">
        <v>4</v>
      </c>
      <c r="N1692" t="s">
        <v>69</v>
      </c>
      <c r="O1692" t="s">
        <v>25</v>
      </c>
      <c r="P1692" t="s">
        <v>26</v>
      </c>
    </row>
    <row r="1693" spans="1:16" x14ac:dyDescent="0.25">
      <c r="A1693" t="s">
        <v>4063</v>
      </c>
      <c r="B1693" s="6">
        <v>45195</v>
      </c>
      <c r="C1693">
        <v>1074</v>
      </c>
      <c r="D1693" t="s">
        <v>4064</v>
      </c>
      <c r="E1693" t="s">
        <v>38</v>
      </c>
      <c r="F1693" t="s">
        <v>47</v>
      </c>
      <c r="G1693">
        <v>7653.88</v>
      </c>
      <c r="H1693">
        <v>4627.75</v>
      </c>
      <c r="I1693" t="s">
        <v>84</v>
      </c>
      <c r="J1693" t="s">
        <v>54</v>
      </c>
      <c r="K1693" t="s">
        <v>80</v>
      </c>
      <c r="L1693" t="s">
        <v>43</v>
      </c>
      <c r="M1693">
        <v>5</v>
      </c>
      <c r="N1693" t="s">
        <v>33</v>
      </c>
      <c r="O1693" t="s">
        <v>70</v>
      </c>
      <c r="P1693" t="s">
        <v>34</v>
      </c>
    </row>
    <row r="1694" spans="1:16" x14ac:dyDescent="0.25">
      <c r="A1694" t="s">
        <v>4065</v>
      </c>
      <c r="B1694" s="6">
        <v>45099</v>
      </c>
      <c r="C1694">
        <v>1518</v>
      </c>
      <c r="D1694" t="s">
        <v>4066</v>
      </c>
      <c r="E1694" t="s">
        <v>38</v>
      </c>
      <c r="F1694" t="s">
        <v>30</v>
      </c>
      <c r="G1694">
        <v>18955.52</v>
      </c>
      <c r="H1694">
        <v>11274.97</v>
      </c>
      <c r="I1694" t="s">
        <v>84</v>
      </c>
      <c r="J1694" t="s">
        <v>54</v>
      </c>
      <c r="K1694" t="s">
        <v>42</v>
      </c>
      <c r="L1694" t="s">
        <v>88</v>
      </c>
      <c r="M1694">
        <v>1</v>
      </c>
      <c r="N1694" t="s">
        <v>33</v>
      </c>
      <c r="O1694" t="s">
        <v>70</v>
      </c>
      <c r="P1694" t="s">
        <v>49</v>
      </c>
    </row>
    <row r="1695" spans="1:16" x14ac:dyDescent="0.25">
      <c r="A1695" t="s">
        <v>4067</v>
      </c>
      <c r="B1695" s="6">
        <v>44201</v>
      </c>
      <c r="C1695">
        <v>8501</v>
      </c>
      <c r="D1695" t="s">
        <v>4068</v>
      </c>
      <c r="E1695" t="s">
        <v>18</v>
      </c>
      <c r="F1695" t="s">
        <v>39</v>
      </c>
      <c r="G1695">
        <v>16577.05</v>
      </c>
      <c r="H1695">
        <v>10502.44</v>
      </c>
      <c r="I1695" t="s">
        <v>53</v>
      </c>
      <c r="J1695" t="s">
        <v>54</v>
      </c>
      <c r="K1695" t="s">
        <v>32</v>
      </c>
      <c r="L1695" t="s">
        <v>43</v>
      </c>
      <c r="M1695">
        <v>1</v>
      </c>
      <c r="N1695" t="s">
        <v>24</v>
      </c>
      <c r="O1695" t="s">
        <v>25</v>
      </c>
      <c r="P1695" t="s">
        <v>49</v>
      </c>
    </row>
    <row r="1696" spans="1:16" x14ac:dyDescent="0.25">
      <c r="A1696" t="s">
        <v>4069</v>
      </c>
      <c r="B1696" s="6">
        <v>45065</v>
      </c>
      <c r="C1696">
        <v>6658</v>
      </c>
      <c r="D1696" t="s">
        <v>4070</v>
      </c>
      <c r="E1696" t="s">
        <v>18</v>
      </c>
      <c r="F1696" t="s">
        <v>47</v>
      </c>
      <c r="G1696">
        <v>6349.28</v>
      </c>
      <c r="H1696">
        <v>4032.27</v>
      </c>
      <c r="I1696" t="s">
        <v>20</v>
      </c>
      <c r="J1696" t="s">
        <v>21</v>
      </c>
      <c r="K1696" t="s">
        <v>22</v>
      </c>
      <c r="L1696" t="s">
        <v>64</v>
      </c>
      <c r="M1696">
        <v>2</v>
      </c>
      <c r="N1696" t="s">
        <v>33</v>
      </c>
      <c r="O1696" t="s">
        <v>70</v>
      </c>
      <c r="P1696" t="s">
        <v>26</v>
      </c>
    </row>
    <row r="1697" spans="1:16" x14ac:dyDescent="0.25">
      <c r="A1697" t="s">
        <v>4071</v>
      </c>
      <c r="B1697" s="6">
        <v>44929</v>
      </c>
      <c r="C1697">
        <v>6627</v>
      </c>
      <c r="D1697" t="s">
        <v>4072</v>
      </c>
      <c r="E1697" t="s">
        <v>18</v>
      </c>
      <c r="F1697" t="s">
        <v>58</v>
      </c>
      <c r="G1697">
        <v>44634.09</v>
      </c>
      <c r="H1697">
        <v>28649.919999999998</v>
      </c>
      <c r="I1697" t="s">
        <v>84</v>
      </c>
      <c r="J1697" t="s">
        <v>54</v>
      </c>
      <c r="K1697" t="s">
        <v>22</v>
      </c>
      <c r="L1697" t="s">
        <v>88</v>
      </c>
      <c r="M1697">
        <v>2</v>
      </c>
      <c r="N1697" t="s">
        <v>33</v>
      </c>
      <c r="O1697" t="s">
        <v>70</v>
      </c>
      <c r="P1697" t="s">
        <v>26</v>
      </c>
    </row>
    <row r="1698" spans="1:16" x14ac:dyDescent="0.25">
      <c r="A1698" t="s">
        <v>4073</v>
      </c>
      <c r="B1698" s="6">
        <v>45271</v>
      </c>
      <c r="C1698">
        <v>4809</v>
      </c>
      <c r="D1698" t="s">
        <v>4074</v>
      </c>
      <c r="E1698" t="s">
        <v>18</v>
      </c>
      <c r="F1698" t="s">
        <v>39</v>
      </c>
      <c r="G1698">
        <v>27401.360000000001</v>
      </c>
      <c r="H1698">
        <v>15730.79</v>
      </c>
      <c r="I1698" t="s">
        <v>40</v>
      </c>
      <c r="J1698" t="s">
        <v>41</v>
      </c>
      <c r="K1698" t="s">
        <v>42</v>
      </c>
      <c r="L1698" t="s">
        <v>23</v>
      </c>
      <c r="M1698">
        <v>1</v>
      </c>
      <c r="N1698" t="s">
        <v>24</v>
      </c>
      <c r="O1698" t="s">
        <v>70</v>
      </c>
      <c r="P1698" t="s">
        <v>26</v>
      </c>
    </row>
    <row r="1699" spans="1:16" x14ac:dyDescent="0.25">
      <c r="A1699" t="s">
        <v>4075</v>
      </c>
      <c r="B1699" s="6">
        <v>45067</v>
      </c>
      <c r="C1699">
        <v>7571</v>
      </c>
      <c r="D1699" t="s">
        <v>4076</v>
      </c>
      <c r="E1699" t="s">
        <v>38</v>
      </c>
      <c r="F1699" t="s">
        <v>19</v>
      </c>
      <c r="G1699">
        <v>8524.86</v>
      </c>
      <c r="H1699">
        <v>4621.7</v>
      </c>
      <c r="I1699" t="s">
        <v>63</v>
      </c>
      <c r="J1699" t="s">
        <v>54</v>
      </c>
      <c r="K1699" t="s">
        <v>42</v>
      </c>
      <c r="L1699" t="s">
        <v>23</v>
      </c>
      <c r="M1699">
        <v>5</v>
      </c>
      <c r="N1699" t="s">
        <v>33</v>
      </c>
      <c r="O1699" t="s">
        <v>70</v>
      </c>
      <c r="P1699" t="s">
        <v>26</v>
      </c>
    </row>
    <row r="1700" spans="1:16" x14ac:dyDescent="0.25">
      <c r="A1700" t="s">
        <v>4077</v>
      </c>
      <c r="B1700" s="6">
        <v>44017</v>
      </c>
      <c r="C1700">
        <v>4660</v>
      </c>
      <c r="D1700" t="s">
        <v>4079</v>
      </c>
      <c r="E1700" t="s">
        <v>18</v>
      </c>
      <c r="F1700" t="s">
        <v>58</v>
      </c>
      <c r="G1700">
        <v>16030.28</v>
      </c>
      <c r="H1700">
        <v>9383.7999999999993</v>
      </c>
      <c r="I1700" t="s">
        <v>59</v>
      </c>
      <c r="J1700" t="s">
        <v>41</v>
      </c>
      <c r="K1700" t="s">
        <v>42</v>
      </c>
      <c r="L1700" t="s">
        <v>88</v>
      </c>
      <c r="M1700">
        <v>3</v>
      </c>
      <c r="N1700" t="s">
        <v>69</v>
      </c>
      <c r="O1700" t="s">
        <v>25</v>
      </c>
      <c r="P1700" t="s">
        <v>34</v>
      </c>
    </row>
    <row r="1701" spans="1:16" x14ac:dyDescent="0.25">
      <c r="A1701" t="s">
        <v>4080</v>
      </c>
      <c r="B1701" s="6">
        <v>45226</v>
      </c>
      <c r="C1701">
        <v>6311</v>
      </c>
      <c r="D1701" t="s">
        <v>4081</v>
      </c>
      <c r="E1701" t="s">
        <v>18</v>
      </c>
      <c r="F1701" t="s">
        <v>47</v>
      </c>
      <c r="G1701">
        <v>3001.42</v>
      </c>
      <c r="H1701">
        <v>1750.17</v>
      </c>
      <c r="I1701" t="s">
        <v>40</v>
      </c>
      <c r="J1701" t="s">
        <v>41</v>
      </c>
      <c r="K1701" t="s">
        <v>42</v>
      </c>
      <c r="L1701" t="s">
        <v>88</v>
      </c>
      <c r="M1701">
        <v>3</v>
      </c>
      <c r="N1701" t="s">
        <v>33</v>
      </c>
      <c r="O1701" t="s">
        <v>70</v>
      </c>
      <c r="P1701" t="s">
        <v>49</v>
      </c>
    </row>
    <row r="1702" spans="1:16" x14ac:dyDescent="0.25">
      <c r="A1702" t="s">
        <v>4082</v>
      </c>
      <c r="B1702" s="6">
        <v>44804</v>
      </c>
      <c r="C1702">
        <v>9909</v>
      </c>
      <c r="D1702" t="s">
        <v>4083</v>
      </c>
      <c r="E1702" t="s">
        <v>18</v>
      </c>
      <c r="F1702" t="s">
        <v>47</v>
      </c>
      <c r="G1702">
        <v>7696.66</v>
      </c>
      <c r="H1702">
        <v>3771.05</v>
      </c>
      <c r="I1702" t="s">
        <v>20</v>
      </c>
      <c r="J1702" t="s">
        <v>21</v>
      </c>
      <c r="K1702" t="s">
        <v>80</v>
      </c>
      <c r="L1702" t="s">
        <v>88</v>
      </c>
      <c r="M1702">
        <v>4</v>
      </c>
      <c r="N1702" t="s">
        <v>33</v>
      </c>
      <c r="O1702" t="s">
        <v>70</v>
      </c>
      <c r="P1702" t="s">
        <v>26</v>
      </c>
    </row>
    <row r="1703" spans="1:16" x14ac:dyDescent="0.25">
      <c r="A1703" t="s">
        <v>4084</v>
      </c>
      <c r="B1703" s="6">
        <v>44647</v>
      </c>
      <c r="C1703">
        <v>5216</v>
      </c>
      <c r="D1703" t="s">
        <v>4086</v>
      </c>
      <c r="E1703" t="s">
        <v>18</v>
      </c>
      <c r="F1703" t="s">
        <v>39</v>
      </c>
      <c r="G1703">
        <v>12735.39</v>
      </c>
      <c r="H1703">
        <v>6811.69</v>
      </c>
      <c r="I1703" t="s">
        <v>120</v>
      </c>
      <c r="J1703" t="s">
        <v>21</v>
      </c>
      <c r="K1703" t="s">
        <v>42</v>
      </c>
      <c r="L1703" t="s">
        <v>43</v>
      </c>
      <c r="M1703">
        <v>1</v>
      </c>
      <c r="N1703" t="s">
        <v>24</v>
      </c>
      <c r="O1703" t="s">
        <v>70</v>
      </c>
      <c r="P1703" t="s">
        <v>34</v>
      </c>
    </row>
    <row r="1704" spans="1:16" x14ac:dyDescent="0.25">
      <c r="A1704" t="s">
        <v>4087</v>
      </c>
      <c r="B1704" s="6">
        <v>45509</v>
      </c>
      <c r="C1704">
        <v>4834</v>
      </c>
      <c r="D1704" t="s">
        <v>4088</v>
      </c>
      <c r="E1704" t="s">
        <v>18</v>
      </c>
      <c r="F1704" t="s">
        <v>30</v>
      </c>
      <c r="G1704">
        <v>84084.05</v>
      </c>
      <c r="H1704">
        <v>45094.06</v>
      </c>
      <c r="I1704" t="s">
        <v>63</v>
      </c>
      <c r="J1704" t="s">
        <v>54</v>
      </c>
      <c r="K1704" t="s">
        <v>22</v>
      </c>
      <c r="L1704" t="s">
        <v>23</v>
      </c>
      <c r="M1704">
        <v>5</v>
      </c>
      <c r="N1704" t="s">
        <v>24</v>
      </c>
      <c r="O1704" t="s">
        <v>70</v>
      </c>
      <c r="P1704" t="s">
        <v>34</v>
      </c>
    </row>
    <row r="1705" spans="1:16" x14ac:dyDescent="0.25">
      <c r="A1705" t="s">
        <v>4089</v>
      </c>
      <c r="B1705" s="6">
        <v>43999</v>
      </c>
      <c r="C1705">
        <v>9844</v>
      </c>
      <c r="D1705" t="s">
        <v>4090</v>
      </c>
      <c r="E1705" t="s">
        <v>18</v>
      </c>
      <c r="F1705" t="s">
        <v>39</v>
      </c>
      <c r="G1705">
        <v>27962.71</v>
      </c>
      <c r="H1705">
        <v>13282.53</v>
      </c>
      <c r="I1705" t="s">
        <v>20</v>
      </c>
      <c r="J1705" t="s">
        <v>21</v>
      </c>
      <c r="K1705" t="s">
        <v>80</v>
      </c>
      <c r="L1705" t="s">
        <v>64</v>
      </c>
      <c r="M1705">
        <v>2</v>
      </c>
      <c r="N1705" t="s">
        <v>24</v>
      </c>
      <c r="O1705" t="s">
        <v>25</v>
      </c>
      <c r="P1705" t="s">
        <v>26</v>
      </c>
    </row>
    <row r="1706" spans="1:16" x14ac:dyDescent="0.25">
      <c r="A1706" t="s">
        <v>4091</v>
      </c>
      <c r="B1706" s="6">
        <v>44468</v>
      </c>
      <c r="C1706">
        <v>9693</v>
      </c>
      <c r="D1706" t="s">
        <v>4093</v>
      </c>
      <c r="E1706" t="s">
        <v>18</v>
      </c>
      <c r="F1706" t="s">
        <v>39</v>
      </c>
      <c r="G1706">
        <v>10954.18</v>
      </c>
      <c r="H1706">
        <v>5683.37</v>
      </c>
      <c r="I1706" t="s">
        <v>68</v>
      </c>
      <c r="J1706" t="s">
        <v>41</v>
      </c>
      <c r="K1706" t="s">
        <v>22</v>
      </c>
      <c r="L1706" t="s">
        <v>48</v>
      </c>
      <c r="M1706">
        <v>3</v>
      </c>
      <c r="N1706" t="s">
        <v>24</v>
      </c>
      <c r="O1706" t="s">
        <v>25</v>
      </c>
      <c r="P1706" t="s">
        <v>34</v>
      </c>
    </row>
    <row r="1707" spans="1:16" x14ac:dyDescent="0.25">
      <c r="A1707" t="s">
        <v>4094</v>
      </c>
      <c r="B1707" s="6">
        <v>44909</v>
      </c>
      <c r="C1707">
        <v>3878</v>
      </c>
      <c r="D1707" t="s">
        <v>3128</v>
      </c>
      <c r="E1707" t="s">
        <v>18</v>
      </c>
      <c r="F1707" t="s">
        <v>39</v>
      </c>
      <c r="G1707">
        <v>10533.21</v>
      </c>
      <c r="H1707">
        <v>5277.88</v>
      </c>
      <c r="I1707" t="s">
        <v>20</v>
      </c>
      <c r="J1707" t="s">
        <v>21</v>
      </c>
      <c r="K1707" t="s">
        <v>80</v>
      </c>
      <c r="L1707" t="s">
        <v>88</v>
      </c>
      <c r="M1707">
        <v>3</v>
      </c>
      <c r="N1707" t="s">
        <v>33</v>
      </c>
      <c r="O1707" t="s">
        <v>25</v>
      </c>
      <c r="P1707" t="s">
        <v>49</v>
      </c>
    </row>
    <row r="1708" spans="1:16" x14ac:dyDescent="0.25">
      <c r="A1708" t="s">
        <v>4095</v>
      </c>
      <c r="B1708" s="6">
        <v>44574</v>
      </c>
      <c r="C1708">
        <v>5239</v>
      </c>
      <c r="D1708" t="s">
        <v>4096</v>
      </c>
      <c r="E1708" t="s">
        <v>18</v>
      </c>
      <c r="F1708" t="s">
        <v>19</v>
      </c>
      <c r="G1708">
        <v>16481.849999999999</v>
      </c>
      <c r="H1708">
        <v>9135.35</v>
      </c>
      <c r="I1708" t="s">
        <v>20</v>
      </c>
      <c r="J1708" t="s">
        <v>21</v>
      </c>
      <c r="K1708" t="s">
        <v>32</v>
      </c>
      <c r="L1708" t="s">
        <v>48</v>
      </c>
      <c r="M1708">
        <v>3</v>
      </c>
      <c r="N1708" t="s">
        <v>33</v>
      </c>
      <c r="O1708" t="s">
        <v>70</v>
      </c>
      <c r="P1708" t="s">
        <v>34</v>
      </c>
    </row>
    <row r="1709" spans="1:16" x14ac:dyDescent="0.25">
      <c r="A1709" t="s">
        <v>4097</v>
      </c>
      <c r="B1709" s="6">
        <v>45007</v>
      </c>
      <c r="C1709">
        <v>8926</v>
      </c>
      <c r="D1709" t="s">
        <v>4099</v>
      </c>
      <c r="E1709" t="s">
        <v>38</v>
      </c>
      <c r="F1709" t="s">
        <v>47</v>
      </c>
      <c r="G1709">
        <v>5497.62</v>
      </c>
      <c r="H1709">
        <v>3180.39</v>
      </c>
      <c r="I1709" t="s">
        <v>63</v>
      </c>
      <c r="J1709" t="s">
        <v>54</v>
      </c>
      <c r="K1709" t="s">
        <v>42</v>
      </c>
      <c r="L1709" t="s">
        <v>55</v>
      </c>
      <c r="M1709">
        <v>4</v>
      </c>
      <c r="N1709" t="s">
        <v>33</v>
      </c>
      <c r="O1709" t="s">
        <v>25</v>
      </c>
      <c r="P1709" t="s">
        <v>49</v>
      </c>
    </row>
    <row r="1710" spans="1:16" x14ac:dyDescent="0.25">
      <c r="A1710" t="s">
        <v>4100</v>
      </c>
      <c r="B1710" s="6">
        <v>45465</v>
      </c>
      <c r="C1710">
        <v>8404</v>
      </c>
      <c r="D1710" t="s">
        <v>4102</v>
      </c>
      <c r="E1710" t="s">
        <v>18</v>
      </c>
      <c r="F1710" t="s">
        <v>58</v>
      </c>
      <c r="G1710">
        <v>37235.269999999997</v>
      </c>
      <c r="H1710">
        <v>20548.16</v>
      </c>
      <c r="I1710" t="s">
        <v>40</v>
      </c>
      <c r="J1710" t="s">
        <v>41</v>
      </c>
      <c r="K1710" t="s">
        <v>80</v>
      </c>
      <c r="L1710" t="s">
        <v>23</v>
      </c>
      <c r="M1710">
        <v>5</v>
      </c>
      <c r="N1710" t="s">
        <v>33</v>
      </c>
      <c r="O1710" t="s">
        <v>25</v>
      </c>
      <c r="P1710" t="s">
        <v>49</v>
      </c>
    </row>
    <row r="1711" spans="1:16" x14ac:dyDescent="0.25">
      <c r="A1711" t="s">
        <v>4103</v>
      </c>
      <c r="B1711" s="6">
        <v>44112</v>
      </c>
      <c r="C1711">
        <v>7505</v>
      </c>
      <c r="D1711" t="s">
        <v>4104</v>
      </c>
      <c r="E1711" t="s">
        <v>18</v>
      </c>
      <c r="F1711" t="s">
        <v>58</v>
      </c>
      <c r="G1711">
        <v>27834.98</v>
      </c>
      <c r="H1711">
        <v>14989.99</v>
      </c>
      <c r="I1711" t="s">
        <v>31</v>
      </c>
      <c r="J1711" t="s">
        <v>21</v>
      </c>
      <c r="K1711" t="s">
        <v>80</v>
      </c>
      <c r="L1711" t="s">
        <v>64</v>
      </c>
      <c r="M1711">
        <v>4</v>
      </c>
      <c r="N1711" t="s">
        <v>33</v>
      </c>
      <c r="O1711" t="s">
        <v>25</v>
      </c>
      <c r="P1711" t="s">
        <v>26</v>
      </c>
    </row>
    <row r="1712" spans="1:16" x14ac:dyDescent="0.25">
      <c r="A1712" t="s">
        <v>4105</v>
      </c>
      <c r="B1712" s="6">
        <v>44160</v>
      </c>
      <c r="C1712">
        <v>6673</v>
      </c>
      <c r="D1712" t="s">
        <v>4106</v>
      </c>
      <c r="E1712" t="s">
        <v>18</v>
      </c>
      <c r="F1712" t="s">
        <v>30</v>
      </c>
      <c r="G1712">
        <v>29430.52</v>
      </c>
      <c r="H1712">
        <v>14400.33</v>
      </c>
      <c r="I1712" t="s">
        <v>31</v>
      </c>
      <c r="J1712" t="s">
        <v>21</v>
      </c>
      <c r="K1712" t="s">
        <v>42</v>
      </c>
      <c r="L1712" t="s">
        <v>88</v>
      </c>
      <c r="M1712">
        <v>3</v>
      </c>
      <c r="N1712" t="s">
        <v>33</v>
      </c>
      <c r="O1712" t="s">
        <v>70</v>
      </c>
      <c r="P1712" t="s">
        <v>26</v>
      </c>
    </row>
    <row r="1713" spans="1:16" x14ac:dyDescent="0.25">
      <c r="A1713" t="s">
        <v>4107</v>
      </c>
      <c r="B1713" s="6">
        <v>45416</v>
      </c>
      <c r="C1713">
        <v>9099</v>
      </c>
      <c r="D1713" t="s">
        <v>4108</v>
      </c>
      <c r="E1713" t="s">
        <v>18</v>
      </c>
      <c r="F1713" t="s">
        <v>39</v>
      </c>
      <c r="G1713">
        <v>54409.19</v>
      </c>
      <c r="H1713">
        <v>32588.67</v>
      </c>
      <c r="I1713" t="s">
        <v>84</v>
      </c>
      <c r="J1713" t="s">
        <v>54</v>
      </c>
      <c r="K1713" t="s">
        <v>42</v>
      </c>
      <c r="L1713" t="s">
        <v>48</v>
      </c>
      <c r="M1713">
        <v>3</v>
      </c>
      <c r="N1713" t="s">
        <v>69</v>
      </c>
      <c r="O1713" t="s">
        <v>25</v>
      </c>
      <c r="P1713" t="s">
        <v>34</v>
      </c>
    </row>
    <row r="1714" spans="1:16" x14ac:dyDescent="0.25">
      <c r="A1714" t="s">
        <v>4109</v>
      </c>
      <c r="B1714" s="6">
        <v>44163</v>
      </c>
      <c r="C1714">
        <v>5459</v>
      </c>
      <c r="D1714" t="s">
        <v>4110</v>
      </c>
      <c r="E1714" t="s">
        <v>18</v>
      </c>
      <c r="F1714" t="s">
        <v>19</v>
      </c>
      <c r="G1714">
        <v>9199.8799999999992</v>
      </c>
      <c r="H1714">
        <v>5462.57</v>
      </c>
      <c r="I1714" t="s">
        <v>120</v>
      </c>
      <c r="J1714" t="s">
        <v>21</v>
      </c>
      <c r="K1714" t="s">
        <v>32</v>
      </c>
      <c r="L1714" t="s">
        <v>88</v>
      </c>
      <c r="M1714">
        <v>4</v>
      </c>
      <c r="N1714" t="s">
        <v>24</v>
      </c>
      <c r="O1714" t="s">
        <v>25</v>
      </c>
      <c r="P1714" t="s">
        <v>34</v>
      </c>
    </row>
    <row r="1715" spans="1:16" x14ac:dyDescent="0.25">
      <c r="A1715" t="s">
        <v>4111</v>
      </c>
      <c r="B1715" s="6">
        <v>45414</v>
      </c>
      <c r="C1715">
        <v>9875</v>
      </c>
      <c r="D1715" t="s">
        <v>4113</v>
      </c>
      <c r="E1715" t="s">
        <v>18</v>
      </c>
      <c r="F1715" t="s">
        <v>30</v>
      </c>
      <c r="G1715">
        <v>22889.56</v>
      </c>
      <c r="H1715">
        <v>14368.54</v>
      </c>
      <c r="I1715" t="s">
        <v>63</v>
      </c>
      <c r="J1715" t="s">
        <v>54</v>
      </c>
      <c r="K1715" t="s">
        <v>32</v>
      </c>
      <c r="L1715" t="s">
        <v>64</v>
      </c>
      <c r="M1715">
        <v>2</v>
      </c>
      <c r="N1715" t="s">
        <v>33</v>
      </c>
      <c r="O1715" t="s">
        <v>70</v>
      </c>
      <c r="P1715" t="s">
        <v>34</v>
      </c>
    </row>
    <row r="1716" spans="1:16" x14ac:dyDescent="0.25">
      <c r="A1716" t="s">
        <v>4114</v>
      </c>
      <c r="B1716" s="6">
        <v>44110</v>
      </c>
      <c r="C1716">
        <v>3616</v>
      </c>
      <c r="D1716" t="s">
        <v>4116</v>
      </c>
      <c r="E1716" t="s">
        <v>18</v>
      </c>
      <c r="F1716" t="s">
        <v>39</v>
      </c>
      <c r="G1716">
        <v>6386.78</v>
      </c>
      <c r="H1716">
        <v>3174.26</v>
      </c>
      <c r="I1716" t="s">
        <v>63</v>
      </c>
      <c r="J1716" t="s">
        <v>54</v>
      </c>
      <c r="K1716" t="s">
        <v>32</v>
      </c>
      <c r="L1716" t="s">
        <v>88</v>
      </c>
      <c r="M1716">
        <v>2</v>
      </c>
      <c r="N1716" t="s">
        <v>33</v>
      </c>
      <c r="O1716" t="s">
        <v>70</v>
      </c>
      <c r="P1716" t="s">
        <v>49</v>
      </c>
    </row>
    <row r="1717" spans="1:16" x14ac:dyDescent="0.25">
      <c r="A1717" t="s">
        <v>4117</v>
      </c>
      <c r="B1717" s="6">
        <v>45490</v>
      </c>
      <c r="C1717">
        <v>2991</v>
      </c>
      <c r="D1717" t="s">
        <v>4118</v>
      </c>
      <c r="E1717" t="s">
        <v>38</v>
      </c>
      <c r="F1717" t="s">
        <v>58</v>
      </c>
      <c r="G1717">
        <v>24335.63</v>
      </c>
      <c r="H1717">
        <v>15044.75</v>
      </c>
      <c r="I1717" t="s">
        <v>84</v>
      </c>
      <c r="J1717" t="s">
        <v>54</v>
      </c>
      <c r="K1717" t="s">
        <v>32</v>
      </c>
      <c r="L1717" t="s">
        <v>43</v>
      </c>
      <c r="M1717">
        <v>5</v>
      </c>
      <c r="N1717" t="s">
        <v>24</v>
      </c>
      <c r="O1717" t="s">
        <v>70</v>
      </c>
      <c r="P1717" t="s">
        <v>49</v>
      </c>
    </row>
    <row r="1718" spans="1:16" x14ac:dyDescent="0.25">
      <c r="A1718" t="s">
        <v>4119</v>
      </c>
      <c r="B1718" s="6">
        <v>45599</v>
      </c>
      <c r="C1718">
        <v>8632</v>
      </c>
      <c r="D1718" t="s">
        <v>4120</v>
      </c>
      <c r="E1718" t="s">
        <v>38</v>
      </c>
      <c r="F1718" t="s">
        <v>47</v>
      </c>
      <c r="G1718">
        <v>9937.69</v>
      </c>
      <c r="H1718">
        <v>5323.44</v>
      </c>
      <c r="I1718" t="s">
        <v>59</v>
      </c>
      <c r="J1718" t="s">
        <v>41</v>
      </c>
      <c r="K1718" t="s">
        <v>32</v>
      </c>
      <c r="L1718" t="s">
        <v>55</v>
      </c>
      <c r="M1718">
        <v>1</v>
      </c>
      <c r="N1718" t="s">
        <v>33</v>
      </c>
      <c r="O1718" t="s">
        <v>25</v>
      </c>
      <c r="P1718" t="s">
        <v>34</v>
      </c>
    </row>
    <row r="1719" spans="1:16" x14ac:dyDescent="0.25">
      <c r="A1719" t="s">
        <v>4121</v>
      </c>
      <c r="B1719" s="6">
        <v>45296</v>
      </c>
      <c r="C1719">
        <v>2870</v>
      </c>
      <c r="D1719" t="s">
        <v>4122</v>
      </c>
      <c r="E1719" t="s">
        <v>38</v>
      </c>
      <c r="F1719" t="s">
        <v>19</v>
      </c>
      <c r="G1719">
        <v>8751.18</v>
      </c>
      <c r="H1719">
        <v>4919.26</v>
      </c>
      <c r="I1719" t="s">
        <v>20</v>
      </c>
      <c r="J1719" t="s">
        <v>21</v>
      </c>
      <c r="K1719" t="s">
        <v>22</v>
      </c>
      <c r="L1719" t="s">
        <v>48</v>
      </c>
      <c r="M1719">
        <v>5</v>
      </c>
      <c r="N1719" t="s">
        <v>69</v>
      </c>
      <c r="O1719" t="s">
        <v>25</v>
      </c>
      <c r="P1719" t="s">
        <v>26</v>
      </c>
    </row>
    <row r="1720" spans="1:16" x14ac:dyDescent="0.25">
      <c r="A1720" t="s">
        <v>4123</v>
      </c>
      <c r="B1720" s="6">
        <v>43887</v>
      </c>
      <c r="C1720">
        <v>2318</v>
      </c>
      <c r="D1720" t="s">
        <v>4124</v>
      </c>
      <c r="E1720" t="s">
        <v>38</v>
      </c>
      <c r="F1720" t="s">
        <v>30</v>
      </c>
      <c r="G1720">
        <v>63264.57</v>
      </c>
      <c r="H1720">
        <v>32314.68</v>
      </c>
      <c r="I1720" t="s">
        <v>63</v>
      </c>
      <c r="J1720" t="s">
        <v>54</v>
      </c>
      <c r="K1720" t="s">
        <v>42</v>
      </c>
      <c r="L1720" t="s">
        <v>88</v>
      </c>
      <c r="M1720">
        <v>4</v>
      </c>
      <c r="N1720" t="s">
        <v>24</v>
      </c>
      <c r="O1720" t="s">
        <v>25</v>
      </c>
      <c r="P1720" t="s">
        <v>34</v>
      </c>
    </row>
    <row r="1721" spans="1:16" x14ac:dyDescent="0.25">
      <c r="A1721" t="s">
        <v>4125</v>
      </c>
      <c r="B1721" s="6">
        <v>45159</v>
      </c>
      <c r="C1721">
        <v>9167</v>
      </c>
      <c r="D1721" t="s">
        <v>4126</v>
      </c>
      <c r="E1721" t="s">
        <v>18</v>
      </c>
      <c r="F1721" t="s">
        <v>47</v>
      </c>
      <c r="G1721">
        <v>7526.65</v>
      </c>
      <c r="H1721">
        <v>4058.59</v>
      </c>
      <c r="I1721" t="s">
        <v>53</v>
      </c>
      <c r="J1721" t="s">
        <v>54</v>
      </c>
      <c r="K1721" t="s">
        <v>22</v>
      </c>
      <c r="L1721" t="s">
        <v>48</v>
      </c>
      <c r="M1721">
        <v>5</v>
      </c>
      <c r="N1721" t="s">
        <v>24</v>
      </c>
      <c r="O1721" t="s">
        <v>70</v>
      </c>
      <c r="P1721" t="s">
        <v>34</v>
      </c>
    </row>
    <row r="1722" spans="1:16" x14ac:dyDescent="0.25">
      <c r="A1722" t="s">
        <v>4127</v>
      </c>
      <c r="B1722" s="6">
        <v>44402</v>
      </c>
      <c r="C1722">
        <v>8219</v>
      </c>
      <c r="D1722" t="s">
        <v>4129</v>
      </c>
      <c r="E1722" t="s">
        <v>18</v>
      </c>
      <c r="F1722" t="s">
        <v>39</v>
      </c>
      <c r="G1722">
        <v>38778.910000000003</v>
      </c>
      <c r="H1722">
        <v>20337.64</v>
      </c>
      <c r="I1722" t="s">
        <v>53</v>
      </c>
      <c r="J1722" t="s">
        <v>54</v>
      </c>
      <c r="K1722" t="s">
        <v>80</v>
      </c>
      <c r="L1722" t="s">
        <v>23</v>
      </c>
      <c r="M1722">
        <v>4</v>
      </c>
      <c r="N1722" t="s">
        <v>33</v>
      </c>
      <c r="O1722" t="s">
        <v>25</v>
      </c>
      <c r="P1722" t="s">
        <v>49</v>
      </c>
    </row>
    <row r="1723" spans="1:16" x14ac:dyDescent="0.25">
      <c r="A1723" t="s">
        <v>4130</v>
      </c>
      <c r="B1723" s="6">
        <v>43902</v>
      </c>
      <c r="C1723">
        <v>5729</v>
      </c>
      <c r="D1723" t="s">
        <v>2928</v>
      </c>
      <c r="E1723" t="s">
        <v>38</v>
      </c>
      <c r="F1723" t="s">
        <v>47</v>
      </c>
      <c r="G1723">
        <v>10888.26</v>
      </c>
      <c r="H1723">
        <v>5557.21</v>
      </c>
      <c r="I1723" t="s">
        <v>120</v>
      </c>
      <c r="J1723" t="s">
        <v>21</v>
      </c>
      <c r="K1723" t="s">
        <v>80</v>
      </c>
      <c r="L1723" t="s">
        <v>64</v>
      </c>
      <c r="M1723">
        <v>2</v>
      </c>
      <c r="N1723" t="s">
        <v>24</v>
      </c>
      <c r="O1723" t="s">
        <v>25</v>
      </c>
      <c r="P1723" t="s">
        <v>26</v>
      </c>
    </row>
    <row r="1724" spans="1:16" x14ac:dyDescent="0.25">
      <c r="A1724" t="s">
        <v>4131</v>
      </c>
      <c r="B1724" s="6">
        <v>45505</v>
      </c>
      <c r="C1724">
        <v>5885</v>
      </c>
      <c r="D1724" t="s">
        <v>4132</v>
      </c>
      <c r="E1724" t="s">
        <v>18</v>
      </c>
      <c r="F1724" t="s">
        <v>58</v>
      </c>
      <c r="G1724">
        <v>46754.63</v>
      </c>
      <c r="H1724">
        <v>21995.87</v>
      </c>
      <c r="I1724" t="s">
        <v>84</v>
      </c>
      <c r="J1724" t="s">
        <v>54</v>
      </c>
      <c r="K1724" t="s">
        <v>32</v>
      </c>
      <c r="L1724" t="s">
        <v>88</v>
      </c>
      <c r="M1724">
        <v>5</v>
      </c>
      <c r="N1724" t="s">
        <v>33</v>
      </c>
      <c r="O1724" t="s">
        <v>70</v>
      </c>
      <c r="P1724" t="s">
        <v>49</v>
      </c>
    </row>
    <row r="1725" spans="1:16" x14ac:dyDescent="0.25">
      <c r="A1725" t="s">
        <v>4133</v>
      </c>
      <c r="B1725" s="6">
        <v>44807</v>
      </c>
      <c r="C1725">
        <v>5100</v>
      </c>
      <c r="D1725" t="s">
        <v>4134</v>
      </c>
      <c r="E1725" t="s">
        <v>38</v>
      </c>
      <c r="F1725" t="s">
        <v>47</v>
      </c>
      <c r="G1725">
        <v>6414.92</v>
      </c>
      <c r="H1725">
        <v>3577.79</v>
      </c>
      <c r="I1725" t="s">
        <v>20</v>
      </c>
      <c r="J1725" t="s">
        <v>21</v>
      </c>
      <c r="K1725" t="s">
        <v>80</v>
      </c>
      <c r="L1725" t="s">
        <v>43</v>
      </c>
      <c r="M1725">
        <v>5</v>
      </c>
      <c r="N1725" t="s">
        <v>69</v>
      </c>
      <c r="O1725" t="s">
        <v>70</v>
      </c>
      <c r="P1725" t="s">
        <v>26</v>
      </c>
    </row>
    <row r="1726" spans="1:16" x14ac:dyDescent="0.25">
      <c r="A1726" t="s">
        <v>4135</v>
      </c>
      <c r="B1726" s="6">
        <v>44211</v>
      </c>
      <c r="C1726">
        <v>9868</v>
      </c>
      <c r="D1726" t="s">
        <v>4136</v>
      </c>
      <c r="E1726" t="s">
        <v>18</v>
      </c>
      <c r="F1726" t="s">
        <v>19</v>
      </c>
      <c r="G1726">
        <v>10764.17</v>
      </c>
      <c r="H1726">
        <v>6142.79</v>
      </c>
      <c r="I1726" t="s">
        <v>84</v>
      </c>
      <c r="J1726" t="s">
        <v>54</v>
      </c>
      <c r="K1726" t="s">
        <v>32</v>
      </c>
      <c r="L1726" t="s">
        <v>64</v>
      </c>
      <c r="M1726">
        <v>2</v>
      </c>
      <c r="N1726" t="s">
        <v>24</v>
      </c>
      <c r="O1726" t="s">
        <v>25</v>
      </c>
      <c r="P1726" t="s">
        <v>34</v>
      </c>
    </row>
    <row r="1727" spans="1:16" x14ac:dyDescent="0.25">
      <c r="A1727" t="s">
        <v>4137</v>
      </c>
      <c r="B1727" s="6">
        <v>44558</v>
      </c>
      <c r="C1727">
        <v>2861</v>
      </c>
      <c r="D1727" t="s">
        <v>4138</v>
      </c>
      <c r="E1727" t="s">
        <v>18</v>
      </c>
      <c r="F1727" t="s">
        <v>19</v>
      </c>
      <c r="G1727">
        <v>8922.48</v>
      </c>
      <c r="H1727">
        <v>4117.99</v>
      </c>
      <c r="I1727" t="s">
        <v>20</v>
      </c>
      <c r="J1727" t="s">
        <v>21</v>
      </c>
      <c r="K1727" t="s">
        <v>42</v>
      </c>
      <c r="L1727" t="s">
        <v>43</v>
      </c>
      <c r="M1727">
        <v>2</v>
      </c>
      <c r="N1727" t="s">
        <v>33</v>
      </c>
      <c r="O1727" t="s">
        <v>25</v>
      </c>
      <c r="P1727" t="s">
        <v>34</v>
      </c>
    </row>
    <row r="1728" spans="1:16" x14ac:dyDescent="0.25">
      <c r="A1728" t="s">
        <v>4139</v>
      </c>
      <c r="B1728" s="6">
        <v>44245</v>
      </c>
      <c r="C1728">
        <v>9900</v>
      </c>
      <c r="D1728" t="s">
        <v>4140</v>
      </c>
      <c r="E1728" t="s">
        <v>38</v>
      </c>
      <c r="F1728" t="s">
        <v>47</v>
      </c>
      <c r="G1728">
        <v>4721.82</v>
      </c>
      <c r="H1728">
        <v>2609.81</v>
      </c>
      <c r="I1728" t="s">
        <v>84</v>
      </c>
      <c r="J1728" t="s">
        <v>54</v>
      </c>
      <c r="K1728" t="s">
        <v>42</v>
      </c>
      <c r="L1728" t="s">
        <v>64</v>
      </c>
      <c r="M1728">
        <v>1</v>
      </c>
      <c r="N1728" t="s">
        <v>24</v>
      </c>
      <c r="O1728" t="s">
        <v>25</v>
      </c>
      <c r="P1728" t="s">
        <v>49</v>
      </c>
    </row>
    <row r="1729" spans="1:16" x14ac:dyDescent="0.25">
      <c r="A1729" t="s">
        <v>4141</v>
      </c>
      <c r="B1729" s="6">
        <v>45497</v>
      </c>
      <c r="C1729">
        <v>1875</v>
      </c>
      <c r="D1729" t="s">
        <v>3124</v>
      </c>
      <c r="E1729" t="s">
        <v>38</v>
      </c>
      <c r="F1729" t="s">
        <v>30</v>
      </c>
      <c r="G1729">
        <v>54645.91</v>
      </c>
      <c r="H1729">
        <v>29489.11</v>
      </c>
      <c r="I1729" t="s">
        <v>84</v>
      </c>
      <c r="J1729" t="s">
        <v>54</v>
      </c>
      <c r="K1729" t="s">
        <v>42</v>
      </c>
      <c r="L1729" t="s">
        <v>43</v>
      </c>
      <c r="M1729">
        <v>4</v>
      </c>
      <c r="N1729" t="s">
        <v>69</v>
      </c>
      <c r="O1729" t="s">
        <v>25</v>
      </c>
      <c r="P1729" t="s">
        <v>34</v>
      </c>
    </row>
    <row r="1730" spans="1:16" x14ac:dyDescent="0.25">
      <c r="A1730" t="s">
        <v>4142</v>
      </c>
      <c r="B1730" s="6">
        <v>45361</v>
      </c>
      <c r="C1730">
        <v>9033</v>
      </c>
      <c r="D1730" t="s">
        <v>4143</v>
      </c>
      <c r="E1730" t="s">
        <v>18</v>
      </c>
      <c r="F1730" t="s">
        <v>39</v>
      </c>
      <c r="G1730">
        <v>13303.13</v>
      </c>
      <c r="H1730">
        <v>7439.87</v>
      </c>
      <c r="I1730" t="s">
        <v>20</v>
      </c>
      <c r="J1730" t="s">
        <v>21</v>
      </c>
      <c r="K1730" t="s">
        <v>80</v>
      </c>
      <c r="L1730" t="s">
        <v>88</v>
      </c>
      <c r="M1730">
        <v>4</v>
      </c>
      <c r="N1730" t="s">
        <v>33</v>
      </c>
      <c r="O1730" t="s">
        <v>70</v>
      </c>
      <c r="P1730" t="s">
        <v>49</v>
      </c>
    </row>
    <row r="1731" spans="1:16" x14ac:dyDescent="0.25">
      <c r="A1731" t="s">
        <v>4144</v>
      </c>
      <c r="B1731" s="6">
        <v>45296</v>
      </c>
      <c r="C1731">
        <v>2261</v>
      </c>
      <c r="D1731" t="s">
        <v>4034</v>
      </c>
      <c r="E1731" t="s">
        <v>38</v>
      </c>
      <c r="F1731" t="s">
        <v>58</v>
      </c>
      <c r="G1731">
        <v>19770.740000000002</v>
      </c>
      <c r="H1731">
        <v>12063.27</v>
      </c>
      <c r="I1731" t="s">
        <v>31</v>
      </c>
      <c r="J1731" t="s">
        <v>21</v>
      </c>
      <c r="K1731" t="s">
        <v>42</v>
      </c>
      <c r="L1731" t="s">
        <v>64</v>
      </c>
      <c r="M1731">
        <v>2</v>
      </c>
      <c r="N1731" t="s">
        <v>33</v>
      </c>
      <c r="O1731" t="s">
        <v>25</v>
      </c>
      <c r="P1731" t="s">
        <v>26</v>
      </c>
    </row>
    <row r="1732" spans="1:16" x14ac:dyDescent="0.25">
      <c r="A1732" t="s">
        <v>4145</v>
      </c>
      <c r="B1732" s="6">
        <v>44742</v>
      </c>
      <c r="C1732">
        <v>3916</v>
      </c>
      <c r="D1732" t="s">
        <v>4147</v>
      </c>
      <c r="E1732" t="s">
        <v>38</v>
      </c>
      <c r="F1732" t="s">
        <v>47</v>
      </c>
      <c r="G1732">
        <v>4550.34</v>
      </c>
      <c r="H1732">
        <v>2590.6799999999998</v>
      </c>
      <c r="I1732" t="s">
        <v>53</v>
      </c>
      <c r="J1732" t="s">
        <v>54</v>
      </c>
      <c r="K1732" t="s">
        <v>80</v>
      </c>
      <c r="L1732" t="s">
        <v>23</v>
      </c>
      <c r="M1732">
        <v>4</v>
      </c>
      <c r="N1732" t="s">
        <v>69</v>
      </c>
      <c r="O1732" t="s">
        <v>25</v>
      </c>
      <c r="P1732" t="s">
        <v>26</v>
      </c>
    </row>
    <row r="1733" spans="1:16" x14ac:dyDescent="0.25">
      <c r="A1733" t="s">
        <v>4148</v>
      </c>
      <c r="B1733" s="6">
        <v>45229</v>
      </c>
      <c r="C1733">
        <v>1877</v>
      </c>
      <c r="D1733" t="s">
        <v>4149</v>
      </c>
      <c r="E1733" t="s">
        <v>38</v>
      </c>
      <c r="F1733" t="s">
        <v>30</v>
      </c>
      <c r="G1733">
        <v>58327.19</v>
      </c>
      <c r="H1733">
        <v>37303.269999999997</v>
      </c>
      <c r="I1733" t="s">
        <v>20</v>
      </c>
      <c r="J1733" t="s">
        <v>21</v>
      </c>
      <c r="K1733" t="s">
        <v>22</v>
      </c>
      <c r="L1733" t="s">
        <v>55</v>
      </c>
      <c r="M1733">
        <v>2</v>
      </c>
      <c r="N1733" t="s">
        <v>24</v>
      </c>
      <c r="O1733" t="s">
        <v>25</v>
      </c>
      <c r="P1733" t="s">
        <v>26</v>
      </c>
    </row>
    <row r="1734" spans="1:16" x14ac:dyDescent="0.25">
      <c r="A1734" t="s">
        <v>4150</v>
      </c>
      <c r="B1734" s="6">
        <v>45648</v>
      </c>
      <c r="C1734">
        <v>2882</v>
      </c>
      <c r="D1734" t="s">
        <v>4151</v>
      </c>
      <c r="E1734" t="s">
        <v>38</v>
      </c>
      <c r="F1734" t="s">
        <v>39</v>
      </c>
      <c r="G1734">
        <v>21479.27</v>
      </c>
      <c r="H1734">
        <v>13891.37</v>
      </c>
      <c r="I1734" t="s">
        <v>53</v>
      </c>
      <c r="J1734" t="s">
        <v>54</v>
      </c>
      <c r="K1734" t="s">
        <v>32</v>
      </c>
      <c r="L1734" t="s">
        <v>64</v>
      </c>
      <c r="M1734">
        <v>1</v>
      </c>
      <c r="N1734" t="s">
        <v>69</v>
      </c>
      <c r="O1734" t="s">
        <v>25</v>
      </c>
      <c r="P1734" t="s">
        <v>34</v>
      </c>
    </row>
    <row r="1735" spans="1:16" x14ac:dyDescent="0.25">
      <c r="A1735" t="s">
        <v>4152</v>
      </c>
      <c r="B1735" s="6">
        <v>44950</v>
      </c>
      <c r="C1735">
        <v>1922</v>
      </c>
      <c r="D1735" t="s">
        <v>4153</v>
      </c>
      <c r="E1735" t="s">
        <v>18</v>
      </c>
      <c r="F1735" t="s">
        <v>39</v>
      </c>
      <c r="G1735">
        <v>26122.61</v>
      </c>
      <c r="H1735">
        <v>12608.56</v>
      </c>
      <c r="I1735" t="s">
        <v>31</v>
      </c>
      <c r="J1735" t="s">
        <v>21</v>
      </c>
      <c r="K1735" t="s">
        <v>42</v>
      </c>
      <c r="L1735" t="s">
        <v>48</v>
      </c>
      <c r="M1735">
        <v>3</v>
      </c>
      <c r="N1735" t="s">
        <v>33</v>
      </c>
      <c r="O1735" t="s">
        <v>70</v>
      </c>
      <c r="P1735" t="s">
        <v>49</v>
      </c>
    </row>
    <row r="1736" spans="1:16" x14ac:dyDescent="0.25">
      <c r="A1736" t="s">
        <v>4154</v>
      </c>
      <c r="B1736" s="6">
        <v>45412</v>
      </c>
      <c r="C1736">
        <v>9981</v>
      </c>
      <c r="D1736" t="s">
        <v>4155</v>
      </c>
      <c r="E1736" t="s">
        <v>18</v>
      </c>
      <c r="F1736" t="s">
        <v>30</v>
      </c>
      <c r="G1736">
        <v>34769.769999999997</v>
      </c>
      <c r="H1736">
        <v>21561.51</v>
      </c>
      <c r="I1736" t="s">
        <v>84</v>
      </c>
      <c r="J1736" t="s">
        <v>54</v>
      </c>
      <c r="K1736" t="s">
        <v>32</v>
      </c>
      <c r="L1736" t="s">
        <v>43</v>
      </c>
      <c r="M1736">
        <v>2</v>
      </c>
      <c r="N1736" t="s">
        <v>33</v>
      </c>
      <c r="O1736" t="s">
        <v>25</v>
      </c>
      <c r="P1736" t="s">
        <v>34</v>
      </c>
    </row>
    <row r="1737" spans="1:16" x14ac:dyDescent="0.25">
      <c r="A1737" t="s">
        <v>4156</v>
      </c>
      <c r="B1737" s="6">
        <v>45021</v>
      </c>
      <c r="C1737">
        <v>2093</v>
      </c>
      <c r="D1737" t="s">
        <v>1747</v>
      </c>
      <c r="E1737" t="s">
        <v>38</v>
      </c>
      <c r="F1737" t="s">
        <v>58</v>
      </c>
      <c r="G1737">
        <v>53525.57</v>
      </c>
      <c r="H1737">
        <v>33374.76</v>
      </c>
      <c r="I1737" t="s">
        <v>53</v>
      </c>
      <c r="J1737" t="s">
        <v>54</v>
      </c>
      <c r="K1737" t="s">
        <v>32</v>
      </c>
      <c r="L1737" t="s">
        <v>55</v>
      </c>
      <c r="M1737">
        <v>2</v>
      </c>
      <c r="N1737" t="s">
        <v>24</v>
      </c>
      <c r="O1737" t="s">
        <v>25</v>
      </c>
      <c r="P1737" t="s">
        <v>26</v>
      </c>
    </row>
    <row r="1738" spans="1:16" x14ac:dyDescent="0.25">
      <c r="A1738" t="s">
        <v>4157</v>
      </c>
      <c r="B1738" s="6">
        <v>45060</v>
      </c>
      <c r="C1738">
        <v>5230</v>
      </c>
      <c r="D1738" t="s">
        <v>4158</v>
      </c>
      <c r="E1738" t="s">
        <v>18</v>
      </c>
      <c r="F1738" t="s">
        <v>39</v>
      </c>
      <c r="G1738">
        <v>47222.06</v>
      </c>
      <c r="H1738">
        <v>28081.33</v>
      </c>
      <c r="I1738" t="s">
        <v>84</v>
      </c>
      <c r="J1738" t="s">
        <v>54</v>
      </c>
      <c r="K1738" t="s">
        <v>42</v>
      </c>
      <c r="L1738" t="s">
        <v>88</v>
      </c>
      <c r="M1738">
        <v>2</v>
      </c>
      <c r="N1738" t="s">
        <v>33</v>
      </c>
      <c r="O1738" t="s">
        <v>25</v>
      </c>
      <c r="P1738" t="s">
        <v>26</v>
      </c>
    </row>
    <row r="1739" spans="1:16" x14ac:dyDescent="0.25">
      <c r="A1739" t="s">
        <v>4159</v>
      </c>
      <c r="B1739" s="6">
        <v>45598</v>
      </c>
      <c r="C1739">
        <v>9541</v>
      </c>
      <c r="D1739" t="s">
        <v>4160</v>
      </c>
      <c r="E1739" t="s">
        <v>38</v>
      </c>
      <c r="F1739" t="s">
        <v>47</v>
      </c>
      <c r="G1739">
        <v>15237.03</v>
      </c>
      <c r="H1739">
        <v>8751.43</v>
      </c>
      <c r="I1739" t="s">
        <v>20</v>
      </c>
      <c r="J1739" t="s">
        <v>21</v>
      </c>
      <c r="K1739" t="s">
        <v>80</v>
      </c>
      <c r="L1739" t="s">
        <v>48</v>
      </c>
      <c r="M1739">
        <v>3</v>
      </c>
      <c r="N1739" t="s">
        <v>33</v>
      </c>
      <c r="O1739" t="s">
        <v>70</v>
      </c>
      <c r="P1739" t="s">
        <v>49</v>
      </c>
    </row>
    <row r="1740" spans="1:16" x14ac:dyDescent="0.25">
      <c r="A1740" t="s">
        <v>4161</v>
      </c>
      <c r="B1740" s="6">
        <v>45579</v>
      </c>
      <c r="C1740">
        <v>3880</v>
      </c>
      <c r="D1740" t="s">
        <v>4163</v>
      </c>
      <c r="E1740" t="s">
        <v>18</v>
      </c>
      <c r="F1740" t="s">
        <v>39</v>
      </c>
      <c r="G1740">
        <v>27762.22</v>
      </c>
      <c r="H1740">
        <v>16024.64</v>
      </c>
      <c r="I1740" t="s">
        <v>31</v>
      </c>
      <c r="J1740" t="s">
        <v>21</v>
      </c>
      <c r="K1740" t="s">
        <v>32</v>
      </c>
      <c r="L1740" t="s">
        <v>88</v>
      </c>
      <c r="M1740">
        <v>1</v>
      </c>
      <c r="N1740" t="s">
        <v>33</v>
      </c>
      <c r="O1740" t="s">
        <v>25</v>
      </c>
      <c r="P1740" t="s">
        <v>26</v>
      </c>
    </row>
    <row r="1741" spans="1:16" x14ac:dyDescent="0.25">
      <c r="A1741" t="s">
        <v>4164</v>
      </c>
      <c r="B1741" s="6">
        <v>45146</v>
      </c>
      <c r="C1741">
        <v>1471</v>
      </c>
      <c r="D1741" t="s">
        <v>731</v>
      </c>
      <c r="E1741" t="s">
        <v>38</v>
      </c>
      <c r="F1741" t="s">
        <v>47</v>
      </c>
      <c r="G1741">
        <v>9621.2999999999993</v>
      </c>
      <c r="H1741">
        <v>4562.47</v>
      </c>
      <c r="I1741" t="s">
        <v>68</v>
      </c>
      <c r="J1741" t="s">
        <v>41</v>
      </c>
      <c r="K1741" t="s">
        <v>32</v>
      </c>
      <c r="L1741" t="s">
        <v>48</v>
      </c>
      <c r="M1741">
        <v>3</v>
      </c>
      <c r="N1741" t="s">
        <v>69</v>
      </c>
      <c r="O1741" t="s">
        <v>70</v>
      </c>
      <c r="P1741" t="s">
        <v>26</v>
      </c>
    </row>
    <row r="1742" spans="1:16" x14ac:dyDescent="0.25">
      <c r="A1742" t="s">
        <v>4165</v>
      </c>
      <c r="B1742" s="6">
        <v>44335</v>
      </c>
      <c r="C1742">
        <v>9605</v>
      </c>
      <c r="D1742" t="s">
        <v>4166</v>
      </c>
      <c r="E1742" t="s">
        <v>18</v>
      </c>
      <c r="F1742" t="s">
        <v>58</v>
      </c>
      <c r="G1742">
        <v>38758.019999999997</v>
      </c>
      <c r="H1742">
        <v>17916.52</v>
      </c>
      <c r="I1742" t="s">
        <v>84</v>
      </c>
      <c r="J1742" t="s">
        <v>54</v>
      </c>
      <c r="K1742" t="s">
        <v>32</v>
      </c>
      <c r="L1742" t="s">
        <v>23</v>
      </c>
      <c r="M1742">
        <v>2</v>
      </c>
      <c r="N1742" t="s">
        <v>33</v>
      </c>
      <c r="O1742" t="s">
        <v>25</v>
      </c>
      <c r="P1742" t="s">
        <v>26</v>
      </c>
    </row>
    <row r="1743" spans="1:16" x14ac:dyDescent="0.25">
      <c r="A1743" t="s">
        <v>4167</v>
      </c>
      <c r="B1743" s="6">
        <v>45440</v>
      </c>
      <c r="C1743">
        <v>3755</v>
      </c>
      <c r="D1743" t="s">
        <v>447</v>
      </c>
      <c r="E1743" t="s">
        <v>38</v>
      </c>
      <c r="F1743" t="s">
        <v>58</v>
      </c>
      <c r="G1743">
        <v>54223.25</v>
      </c>
      <c r="H1743">
        <v>30394.81</v>
      </c>
      <c r="I1743" t="s">
        <v>84</v>
      </c>
      <c r="J1743" t="s">
        <v>54</v>
      </c>
      <c r="K1743" t="s">
        <v>42</v>
      </c>
      <c r="L1743" t="s">
        <v>23</v>
      </c>
      <c r="M1743">
        <v>1</v>
      </c>
      <c r="N1743" t="s">
        <v>33</v>
      </c>
      <c r="O1743" t="s">
        <v>25</v>
      </c>
      <c r="P1743" t="s">
        <v>34</v>
      </c>
    </row>
    <row r="1744" spans="1:16" x14ac:dyDescent="0.25">
      <c r="A1744" t="s">
        <v>4169</v>
      </c>
      <c r="B1744" s="6">
        <v>44921</v>
      </c>
      <c r="C1744">
        <v>2933</v>
      </c>
      <c r="D1744" t="s">
        <v>4170</v>
      </c>
      <c r="E1744" t="s">
        <v>38</v>
      </c>
      <c r="F1744" t="s">
        <v>39</v>
      </c>
      <c r="G1744">
        <v>34431.85</v>
      </c>
      <c r="H1744">
        <v>22242.11</v>
      </c>
      <c r="I1744" t="s">
        <v>84</v>
      </c>
      <c r="J1744" t="s">
        <v>54</v>
      </c>
      <c r="K1744" t="s">
        <v>80</v>
      </c>
      <c r="L1744" t="s">
        <v>88</v>
      </c>
      <c r="M1744">
        <v>1</v>
      </c>
      <c r="N1744" t="s">
        <v>24</v>
      </c>
      <c r="O1744" t="s">
        <v>25</v>
      </c>
      <c r="P1744" t="s">
        <v>26</v>
      </c>
    </row>
    <row r="1745" spans="1:16" x14ac:dyDescent="0.25">
      <c r="A1745" t="s">
        <v>4171</v>
      </c>
      <c r="B1745" s="6">
        <v>45288</v>
      </c>
      <c r="C1745">
        <v>4154</v>
      </c>
      <c r="D1745" t="s">
        <v>4173</v>
      </c>
      <c r="E1745" t="s">
        <v>38</v>
      </c>
      <c r="F1745" t="s">
        <v>58</v>
      </c>
      <c r="G1745">
        <v>13027.84</v>
      </c>
      <c r="H1745">
        <v>6672.98</v>
      </c>
      <c r="I1745" t="s">
        <v>53</v>
      </c>
      <c r="J1745" t="s">
        <v>54</v>
      </c>
      <c r="K1745" t="s">
        <v>32</v>
      </c>
      <c r="L1745" t="s">
        <v>88</v>
      </c>
      <c r="M1745">
        <v>3</v>
      </c>
      <c r="N1745" t="s">
        <v>69</v>
      </c>
      <c r="O1745" t="s">
        <v>70</v>
      </c>
      <c r="P1745" t="s">
        <v>49</v>
      </c>
    </row>
    <row r="1746" spans="1:16" x14ac:dyDescent="0.25">
      <c r="A1746" t="s">
        <v>4174</v>
      </c>
      <c r="B1746" s="6">
        <v>43867</v>
      </c>
      <c r="C1746">
        <v>4270</v>
      </c>
      <c r="D1746" t="s">
        <v>4134</v>
      </c>
      <c r="E1746" t="s">
        <v>38</v>
      </c>
      <c r="F1746" t="s">
        <v>39</v>
      </c>
      <c r="G1746">
        <v>17684.93</v>
      </c>
      <c r="H1746">
        <v>10138.780000000001</v>
      </c>
      <c r="I1746" t="s">
        <v>63</v>
      </c>
      <c r="J1746" t="s">
        <v>54</v>
      </c>
      <c r="K1746" t="s">
        <v>32</v>
      </c>
      <c r="L1746" t="s">
        <v>48</v>
      </c>
      <c r="M1746">
        <v>5</v>
      </c>
      <c r="N1746" t="s">
        <v>24</v>
      </c>
      <c r="O1746" t="s">
        <v>25</v>
      </c>
      <c r="P1746" t="s">
        <v>49</v>
      </c>
    </row>
    <row r="1747" spans="1:16" x14ac:dyDescent="0.25">
      <c r="A1747" t="s">
        <v>4176</v>
      </c>
      <c r="B1747" s="6">
        <v>45513</v>
      </c>
      <c r="C1747">
        <v>7937</v>
      </c>
      <c r="D1747" t="s">
        <v>4177</v>
      </c>
      <c r="E1747" t="s">
        <v>18</v>
      </c>
      <c r="F1747" t="s">
        <v>30</v>
      </c>
      <c r="G1747">
        <v>64314.23</v>
      </c>
      <c r="H1747">
        <v>36271.26</v>
      </c>
      <c r="I1747" t="s">
        <v>68</v>
      </c>
      <c r="J1747" t="s">
        <v>41</v>
      </c>
      <c r="K1747" t="s">
        <v>32</v>
      </c>
      <c r="L1747" t="s">
        <v>23</v>
      </c>
      <c r="M1747">
        <v>5</v>
      </c>
      <c r="N1747" t="s">
        <v>33</v>
      </c>
      <c r="O1747" t="s">
        <v>25</v>
      </c>
      <c r="P1747" t="s">
        <v>26</v>
      </c>
    </row>
    <row r="1748" spans="1:16" x14ac:dyDescent="0.25">
      <c r="A1748" t="s">
        <v>4178</v>
      </c>
      <c r="B1748" s="6">
        <v>45390</v>
      </c>
      <c r="C1748">
        <v>1266</v>
      </c>
      <c r="D1748" t="s">
        <v>4180</v>
      </c>
      <c r="E1748" t="s">
        <v>18</v>
      </c>
      <c r="F1748" t="s">
        <v>47</v>
      </c>
      <c r="G1748">
        <v>11524.71</v>
      </c>
      <c r="H1748">
        <v>5890.38</v>
      </c>
      <c r="I1748" t="s">
        <v>40</v>
      </c>
      <c r="J1748" t="s">
        <v>41</v>
      </c>
      <c r="K1748" t="s">
        <v>42</v>
      </c>
      <c r="L1748" t="s">
        <v>48</v>
      </c>
      <c r="M1748">
        <v>2</v>
      </c>
      <c r="N1748" t="s">
        <v>33</v>
      </c>
      <c r="O1748" t="s">
        <v>25</v>
      </c>
      <c r="P1748" t="s">
        <v>49</v>
      </c>
    </row>
    <row r="1749" spans="1:16" x14ac:dyDescent="0.25">
      <c r="A1749" t="s">
        <v>4181</v>
      </c>
      <c r="B1749" s="6">
        <v>44665</v>
      </c>
      <c r="C1749">
        <v>9476</v>
      </c>
      <c r="D1749" t="s">
        <v>4072</v>
      </c>
      <c r="E1749" t="s">
        <v>18</v>
      </c>
      <c r="F1749" t="s">
        <v>58</v>
      </c>
      <c r="G1749">
        <v>51880.88</v>
      </c>
      <c r="H1749">
        <v>26016.75</v>
      </c>
      <c r="I1749" t="s">
        <v>84</v>
      </c>
      <c r="J1749" t="s">
        <v>54</v>
      </c>
      <c r="K1749" t="s">
        <v>80</v>
      </c>
      <c r="L1749" t="s">
        <v>88</v>
      </c>
      <c r="M1749">
        <v>1</v>
      </c>
      <c r="N1749" t="s">
        <v>69</v>
      </c>
      <c r="O1749" t="s">
        <v>70</v>
      </c>
      <c r="P1749" t="s">
        <v>34</v>
      </c>
    </row>
    <row r="1750" spans="1:16" x14ac:dyDescent="0.25">
      <c r="A1750" t="s">
        <v>4182</v>
      </c>
      <c r="B1750" s="6">
        <v>44053</v>
      </c>
      <c r="C1750">
        <v>5718</v>
      </c>
      <c r="D1750" t="s">
        <v>1886</v>
      </c>
      <c r="E1750" t="s">
        <v>18</v>
      </c>
      <c r="F1750" t="s">
        <v>39</v>
      </c>
      <c r="G1750">
        <v>14743.08</v>
      </c>
      <c r="H1750">
        <v>8779.3799999999992</v>
      </c>
      <c r="I1750" t="s">
        <v>84</v>
      </c>
      <c r="J1750" t="s">
        <v>54</v>
      </c>
      <c r="K1750" t="s">
        <v>32</v>
      </c>
      <c r="L1750" t="s">
        <v>64</v>
      </c>
      <c r="M1750">
        <v>5</v>
      </c>
      <c r="N1750" t="s">
        <v>69</v>
      </c>
      <c r="O1750" t="s">
        <v>25</v>
      </c>
      <c r="P1750" t="s">
        <v>34</v>
      </c>
    </row>
    <row r="1751" spans="1:16" x14ac:dyDescent="0.25">
      <c r="A1751" t="s">
        <v>4183</v>
      </c>
      <c r="B1751" s="6">
        <v>45303</v>
      </c>
      <c r="C1751">
        <v>6691</v>
      </c>
      <c r="D1751" t="s">
        <v>4184</v>
      </c>
      <c r="E1751" t="s">
        <v>18</v>
      </c>
      <c r="F1751" t="s">
        <v>58</v>
      </c>
      <c r="G1751">
        <v>66061.509999999995</v>
      </c>
      <c r="H1751">
        <v>40992.019999999997</v>
      </c>
      <c r="I1751" t="s">
        <v>53</v>
      </c>
      <c r="J1751" t="s">
        <v>54</v>
      </c>
      <c r="K1751" t="s">
        <v>42</v>
      </c>
      <c r="L1751" t="s">
        <v>43</v>
      </c>
      <c r="M1751">
        <v>3</v>
      </c>
      <c r="N1751" t="s">
        <v>69</v>
      </c>
      <c r="O1751" t="s">
        <v>70</v>
      </c>
      <c r="P1751" t="s">
        <v>49</v>
      </c>
    </row>
    <row r="1752" spans="1:16" x14ac:dyDescent="0.25">
      <c r="A1752" t="s">
        <v>4185</v>
      </c>
      <c r="B1752" s="6">
        <v>45601</v>
      </c>
      <c r="C1752">
        <v>5642</v>
      </c>
      <c r="D1752" t="s">
        <v>4186</v>
      </c>
      <c r="E1752" t="s">
        <v>38</v>
      </c>
      <c r="F1752" t="s">
        <v>30</v>
      </c>
      <c r="G1752">
        <v>25589.66</v>
      </c>
      <c r="H1752">
        <v>14590.92</v>
      </c>
      <c r="I1752" t="s">
        <v>68</v>
      </c>
      <c r="J1752" t="s">
        <v>41</v>
      </c>
      <c r="K1752" t="s">
        <v>80</v>
      </c>
      <c r="L1752" t="s">
        <v>64</v>
      </c>
      <c r="M1752">
        <v>3</v>
      </c>
      <c r="N1752" t="s">
        <v>33</v>
      </c>
      <c r="O1752" t="s">
        <v>25</v>
      </c>
      <c r="P1752" t="s">
        <v>49</v>
      </c>
    </row>
    <row r="1753" spans="1:16" x14ac:dyDescent="0.25">
      <c r="A1753" t="s">
        <v>4187</v>
      </c>
      <c r="B1753" s="6">
        <v>45228</v>
      </c>
      <c r="C1753">
        <v>5488</v>
      </c>
      <c r="D1753" t="s">
        <v>4188</v>
      </c>
      <c r="E1753" t="s">
        <v>18</v>
      </c>
      <c r="F1753" t="s">
        <v>58</v>
      </c>
      <c r="G1753">
        <v>32622.87</v>
      </c>
      <c r="H1753">
        <v>20875.64</v>
      </c>
      <c r="I1753" t="s">
        <v>20</v>
      </c>
      <c r="J1753" t="s">
        <v>21</v>
      </c>
      <c r="K1753" t="s">
        <v>32</v>
      </c>
      <c r="L1753" t="s">
        <v>88</v>
      </c>
      <c r="M1753">
        <v>3</v>
      </c>
      <c r="N1753" t="s">
        <v>24</v>
      </c>
      <c r="O1753" t="s">
        <v>70</v>
      </c>
      <c r="P1753" t="s">
        <v>34</v>
      </c>
    </row>
    <row r="1754" spans="1:16" x14ac:dyDescent="0.25">
      <c r="A1754" t="s">
        <v>4189</v>
      </c>
      <c r="B1754" s="6">
        <v>44863</v>
      </c>
      <c r="C1754">
        <v>5230</v>
      </c>
      <c r="D1754" t="s">
        <v>4190</v>
      </c>
      <c r="E1754" t="s">
        <v>38</v>
      </c>
      <c r="F1754" t="s">
        <v>47</v>
      </c>
      <c r="G1754">
        <v>2705.01</v>
      </c>
      <c r="H1754">
        <v>1596.39</v>
      </c>
      <c r="I1754" t="s">
        <v>31</v>
      </c>
      <c r="J1754" t="s">
        <v>21</v>
      </c>
      <c r="K1754" t="s">
        <v>80</v>
      </c>
      <c r="L1754" t="s">
        <v>48</v>
      </c>
      <c r="M1754">
        <v>1</v>
      </c>
      <c r="N1754" t="s">
        <v>69</v>
      </c>
      <c r="O1754" t="s">
        <v>70</v>
      </c>
      <c r="P1754" t="s">
        <v>34</v>
      </c>
    </row>
    <row r="1755" spans="1:16" x14ac:dyDescent="0.25">
      <c r="A1755" t="s">
        <v>4191</v>
      </c>
      <c r="B1755" s="6">
        <v>44969</v>
      </c>
      <c r="C1755">
        <v>1431</v>
      </c>
      <c r="D1755" t="s">
        <v>4192</v>
      </c>
      <c r="E1755" t="s">
        <v>18</v>
      </c>
      <c r="F1755" t="s">
        <v>47</v>
      </c>
      <c r="G1755">
        <v>14352.3</v>
      </c>
      <c r="H1755">
        <v>7206.89</v>
      </c>
      <c r="I1755" t="s">
        <v>20</v>
      </c>
      <c r="J1755" t="s">
        <v>21</v>
      </c>
      <c r="K1755" t="s">
        <v>80</v>
      </c>
      <c r="L1755" t="s">
        <v>55</v>
      </c>
      <c r="M1755">
        <v>3</v>
      </c>
      <c r="N1755" t="s">
        <v>33</v>
      </c>
      <c r="O1755" t="s">
        <v>70</v>
      </c>
      <c r="P1755" t="s">
        <v>34</v>
      </c>
    </row>
    <row r="1756" spans="1:16" x14ac:dyDescent="0.25">
      <c r="A1756" t="s">
        <v>4193</v>
      </c>
      <c r="B1756" s="6">
        <v>44839</v>
      </c>
      <c r="C1756">
        <v>7920</v>
      </c>
      <c r="D1756" t="s">
        <v>4194</v>
      </c>
      <c r="E1756" t="s">
        <v>18</v>
      </c>
      <c r="F1756" t="s">
        <v>58</v>
      </c>
      <c r="G1756">
        <v>40068.39</v>
      </c>
      <c r="H1756">
        <v>21110.91</v>
      </c>
      <c r="I1756" t="s">
        <v>53</v>
      </c>
      <c r="J1756" t="s">
        <v>54</v>
      </c>
      <c r="K1756" t="s">
        <v>42</v>
      </c>
      <c r="L1756" t="s">
        <v>88</v>
      </c>
      <c r="M1756">
        <v>5</v>
      </c>
      <c r="N1756" t="s">
        <v>69</v>
      </c>
      <c r="O1756" t="s">
        <v>70</v>
      </c>
      <c r="P1756" t="s">
        <v>26</v>
      </c>
    </row>
    <row r="1757" spans="1:16" x14ac:dyDescent="0.25">
      <c r="A1757" t="s">
        <v>4195</v>
      </c>
      <c r="B1757" s="6">
        <v>44889</v>
      </c>
      <c r="C1757">
        <v>9472</v>
      </c>
      <c r="D1757" t="s">
        <v>4196</v>
      </c>
      <c r="E1757" t="s">
        <v>38</v>
      </c>
      <c r="F1757" t="s">
        <v>47</v>
      </c>
      <c r="G1757">
        <v>3279.7</v>
      </c>
      <c r="H1757">
        <v>2116.33</v>
      </c>
      <c r="I1757" t="s">
        <v>63</v>
      </c>
      <c r="J1757" t="s">
        <v>54</v>
      </c>
      <c r="K1757" t="s">
        <v>42</v>
      </c>
      <c r="L1757" t="s">
        <v>88</v>
      </c>
      <c r="M1757">
        <v>1</v>
      </c>
      <c r="N1757" t="s">
        <v>24</v>
      </c>
      <c r="O1757" t="s">
        <v>70</v>
      </c>
      <c r="P1757" t="s">
        <v>34</v>
      </c>
    </row>
    <row r="1758" spans="1:16" x14ac:dyDescent="0.25">
      <c r="A1758" t="s">
        <v>4197</v>
      </c>
      <c r="B1758" s="6">
        <v>44372</v>
      </c>
      <c r="C1758">
        <v>1746</v>
      </c>
      <c r="D1758" t="s">
        <v>4199</v>
      </c>
      <c r="E1758" t="s">
        <v>18</v>
      </c>
      <c r="F1758" t="s">
        <v>19</v>
      </c>
      <c r="G1758">
        <v>9855.7199999999993</v>
      </c>
      <c r="H1758">
        <v>5912.23</v>
      </c>
      <c r="I1758" t="s">
        <v>40</v>
      </c>
      <c r="J1758" t="s">
        <v>41</v>
      </c>
      <c r="K1758" t="s">
        <v>42</v>
      </c>
      <c r="L1758" t="s">
        <v>23</v>
      </c>
      <c r="M1758">
        <v>5</v>
      </c>
      <c r="N1758" t="s">
        <v>33</v>
      </c>
      <c r="O1758" t="s">
        <v>25</v>
      </c>
      <c r="P1758" t="s">
        <v>49</v>
      </c>
    </row>
    <row r="1759" spans="1:16" x14ac:dyDescent="0.25">
      <c r="A1759" t="s">
        <v>4200</v>
      </c>
      <c r="B1759" s="6">
        <v>45355</v>
      </c>
      <c r="C1759">
        <v>1545</v>
      </c>
      <c r="D1759" t="s">
        <v>4201</v>
      </c>
      <c r="E1759" t="s">
        <v>18</v>
      </c>
      <c r="F1759" t="s">
        <v>47</v>
      </c>
      <c r="G1759">
        <v>8288.1</v>
      </c>
      <c r="H1759">
        <v>5354.67</v>
      </c>
      <c r="I1759" t="s">
        <v>20</v>
      </c>
      <c r="J1759" t="s">
        <v>21</v>
      </c>
      <c r="K1759" t="s">
        <v>32</v>
      </c>
      <c r="L1759" t="s">
        <v>43</v>
      </c>
      <c r="M1759">
        <v>3</v>
      </c>
      <c r="N1759" t="s">
        <v>69</v>
      </c>
      <c r="O1759" t="s">
        <v>70</v>
      </c>
      <c r="P1759" t="s">
        <v>34</v>
      </c>
    </row>
    <row r="1760" spans="1:16" x14ac:dyDescent="0.25">
      <c r="A1760" t="s">
        <v>4202</v>
      </c>
      <c r="B1760" s="6">
        <v>44598</v>
      </c>
      <c r="C1760">
        <v>7738</v>
      </c>
      <c r="D1760" t="s">
        <v>3649</v>
      </c>
      <c r="E1760" t="s">
        <v>18</v>
      </c>
      <c r="F1760" t="s">
        <v>47</v>
      </c>
      <c r="G1760">
        <v>8966.27</v>
      </c>
      <c r="H1760">
        <v>4550.42</v>
      </c>
      <c r="I1760" t="s">
        <v>120</v>
      </c>
      <c r="J1760" t="s">
        <v>21</v>
      </c>
      <c r="K1760" t="s">
        <v>32</v>
      </c>
      <c r="L1760" t="s">
        <v>48</v>
      </c>
      <c r="M1760">
        <v>4</v>
      </c>
      <c r="N1760" t="s">
        <v>69</v>
      </c>
      <c r="O1760" t="s">
        <v>70</v>
      </c>
      <c r="P1760" t="s">
        <v>49</v>
      </c>
    </row>
    <row r="1761" spans="1:16" x14ac:dyDescent="0.25">
      <c r="A1761" t="s">
        <v>4203</v>
      </c>
      <c r="B1761" s="6">
        <v>44240</v>
      </c>
      <c r="C1761">
        <v>2301</v>
      </c>
      <c r="D1761" t="s">
        <v>4205</v>
      </c>
      <c r="E1761" t="s">
        <v>18</v>
      </c>
      <c r="F1761" t="s">
        <v>30</v>
      </c>
      <c r="G1761">
        <v>44948.41</v>
      </c>
      <c r="H1761">
        <v>25423.77</v>
      </c>
      <c r="I1761" t="s">
        <v>53</v>
      </c>
      <c r="J1761" t="s">
        <v>54</v>
      </c>
      <c r="K1761" t="s">
        <v>42</v>
      </c>
      <c r="L1761" t="s">
        <v>55</v>
      </c>
      <c r="M1761">
        <v>5</v>
      </c>
      <c r="N1761" t="s">
        <v>24</v>
      </c>
      <c r="O1761" t="s">
        <v>25</v>
      </c>
      <c r="P1761" t="s">
        <v>34</v>
      </c>
    </row>
    <row r="1762" spans="1:16" x14ac:dyDescent="0.25">
      <c r="A1762" t="s">
        <v>4206</v>
      </c>
      <c r="B1762" s="6">
        <v>44559</v>
      </c>
      <c r="C1762">
        <v>8531</v>
      </c>
      <c r="D1762" t="s">
        <v>4207</v>
      </c>
      <c r="E1762" t="s">
        <v>38</v>
      </c>
      <c r="F1762" t="s">
        <v>47</v>
      </c>
      <c r="G1762">
        <v>7694.42</v>
      </c>
      <c r="H1762">
        <v>4630.4799999999996</v>
      </c>
      <c r="I1762" t="s">
        <v>31</v>
      </c>
      <c r="J1762" t="s">
        <v>21</v>
      </c>
      <c r="K1762" t="s">
        <v>22</v>
      </c>
      <c r="L1762" t="s">
        <v>23</v>
      </c>
      <c r="M1762">
        <v>4</v>
      </c>
      <c r="N1762" t="s">
        <v>33</v>
      </c>
      <c r="O1762" t="s">
        <v>25</v>
      </c>
      <c r="P1762" t="s">
        <v>26</v>
      </c>
    </row>
    <row r="1763" spans="1:16" x14ac:dyDescent="0.25">
      <c r="A1763" t="s">
        <v>4208</v>
      </c>
      <c r="B1763" s="6">
        <v>45035</v>
      </c>
      <c r="C1763">
        <v>5229</v>
      </c>
      <c r="D1763" t="s">
        <v>4209</v>
      </c>
      <c r="E1763" t="s">
        <v>38</v>
      </c>
      <c r="F1763" t="s">
        <v>39</v>
      </c>
      <c r="G1763">
        <v>27354.03</v>
      </c>
      <c r="H1763">
        <v>15579.48</v>
      </c>
      <c r="I1763" t="s">
        <v>20</v>
      </c>
      <c r="J1763" t="s">
        <v>21</v>
      </c>
      <c r="K1763" t="s">
        <v>32</v>
      </c>
      <c r="L1763" t="s">
        <v>23</v>
      </c>
      <c r="M1763">
        <v>1</v>
      </c>
      <c r="N1763" t="s">
        <v>24</v>
      </c>
      <c r="O1763" t="s">
        <v>70</v>
      </c>
      <c r="P1763" t="s">
        <v>26</v>
      </c>
    </row>
    <row r="1764" spans="1:16" x14ac:dyDescent="0.25">
      <c r="A1764" t="s">
        <v>4210</v>
      </c>
      <c r="B1764" s="6">
        <v>44806</v>
      </c>
      <c r="C1764">
        <v>8348</v>
      </c>
      <c r="D1764" t="s">
        <v>4211</v>
      </c>
      <c r="E1764" t="s">
        <v>18</v>
      </c>
      <c r="F1764" t="s">
        <v>30</v>
      </c>
      <c r="G1764">
        <v>87826.19</v>
      </c>
      <c r="H1764">
        <v>55082.98</v>
      </c>
      <c r="I1764" t="s">
        <v>53</v>
      </c>
      <c r="J1764" t="s">
        <v>54</v>
      </c>
      <c r="K1764" t="s">
        <v>42</v>
      </c>
      <c r="L1764" t="s">
        <v>88</v>
      </c>
      <c r="M1764">
        <v>3</v>
      </c>
      <c r="N1764" t="s">
        <v>24</v>
      </c>
      <c r="O1764" t="s">
        <v>70</v>
      </c>
      <c r="P1764" t="s">
        <v>26</v>
      </c>
    </row>
    <row r="1765" spans="1:16" x14ac:dyDescent="0.25">
      <c r="A1765" t="s">
        <v>4212</v>
      </c>
      <c r="B1765" s="6">
        <v>45519</v>
      </c>
      <c r="C1765">
        <v>6130</v>
      </c>
      <c r="D1765" t="s">
        <v>4213</v>
      </c>
      <c r="E1765" t="s">
        <v>18</v>
      </c>
      <c r="F1765" t="s">
        <v>39</v>
      </c>
      <c r="G1765">
        <v>29764.41</v>
      </c>
      <c r="H1765">
        <v>18761.87</v>
      </c>
      <c r="I1765" t="s">
        <v>20</v>
      </c>
      <c r="J1765" t="s">
        <v>21</v>
      </c>
      <c r="K1765" t="s">
        <v>80</v>
      </c>
      <c r="L1765" t="s">
        <v>64</v>
      </c>
      <c r="M1765">
        <v>3</v>
      </c>
      <c r="N1765" t="s">
        <v>24</v>
      </c>
      <c r="O1765" t="s">
        <v>70</v>
      </c>
      <c r="P1765" t="s">
        <v>34</v>
      </c>
    </row>
    <row r="1766" spans="1:16" x14ac:dyDescent="0.25">
      <c r="A1766" t="s">
        <v>4214</v>
      </c>
      <c r="B1766" s="6">
        <v>44343</v>
      </c>
      <c r="C1766">
        <v>6476</v>
      </c>
      <c r="D1766" t="s">
        <v>4215</v>
      </c>
      <c r="E1766" t="s">
        <v>18</v>
      </c>
      <c r="F1766" t="s">
        <v>39</v>
      </c>
      <c r="G1766">
        <v>22427.5</v>
      </c>
      <c r="H1766">
        <v>13898.06</v>
      </c>
      <c r="I1766" t="s">
        <v>31</v>
      </c>
      <c r="J1766" t="s">
        <v>21</v>
      </c>
      <c r="K1766" t="s">
        <v>80</v>
      </c>
      <c r="L1766" t="s">
        <v>48</v>
      </c>
      <c r="M1766">
        <v>4</v>
      </c>
      <c r="N1766" t="s">
        <v>24</v>
      </c>
      <c r="O1766" t="s">
        <v>70</v>
      </c>
      <c r="P1766" t="s">
        <v>26</v>
      </c>
    </row>
    <row r="1767" spans="1:16" x14ac:dyDescent="0.25">
      <c r="A1767" t="s">
        <v>4216</v>
      </c>
      <c r="B1767" s="6">
        <v>45212</v>
      </c>
      <c r="C1767">
        <v>5610</v>
      </c>
      <c r="D1767" t="s">
        <v>4217</v>
      </c>
      <c r="E1767" t="s">
        <v>18</v>
      </c>
      <c r="F1767" t="s">
        <v>30</v>
      </c>
      <c r="G1767">
        <v>27043.78</v>
      </c>
      <c r="H1767">
        <v>12982.62</v>
      </c>
      <c r="I1767" t="s">
        <v>68</v>
      </c>
      <c r="J1767" t="s">
        <v>41</v>
      </c>
      <c r="K1767" t="s">
        <v>80</v>
      </c>
      <c r="L1767" t="s">
        <v>64</v>
      </c>
      <c r="M1767">
        <v>4</v>
      </c>
      <c r="N1767" t="s">
        <v>33</v>
      </c>
      <c r="O1767" t="s">
        <v>25</v>
      </c>
      <c r="P1767" t="s">
        <v>34</v>
      </c>
    </row>
    <row r="1768" spans="1:16" x14ac:dyDescent="0.25">
      <c r="A1768" t="s">
        <v>4218</v>
      </c>
      <c r="B1768" s="6">
        <v>44803</v>
      </c>
      <c r="C1768">
        <v>4407</v>
      </c>
      <c r="D1768" t="s">
        <v>696</v>
      </c>
      <c r="E1768" t="s">
        <v>18</v>
      </c>
      <c r="F1768" t="s">
        <v>58</v>
      </c>
      <c r="G1768">
        <v>37216.370000000003</v>
      </c>
      <c r="H1768">
        <v>17180.48</v>
      </c>
      <c r="I1768" t="s">
        <v>53</v>
      </c>
      <c r="J1768" t="s">
        <v>54</v>
      </c>
      <c r="K1768" t="s">
        <v>22</v>
      </c>
      <c r="L1768" t="s">
        <v>48</v>
      </c>
      <c r="M1768">
        <v>1</v>
      </c>
      <c r="N1768" t="s">
        <v>24</v>
      </c>
      <c r="O1768" t="s">
        <v>25</v>
      </c>
      <c r="P1768" t="s">
        <v>26</v>
      </c>
    </row>
    <row r="1769" spans="1:16" x14ac:dyDescent="0.25">
      <c r="A1769" t="s">
        <v>4219</v>
      </c>
      <c r="B1769" s="6">
        <v>45368</v>
      </c>
      <c r="C1769">
        <v>5759</v>
      </c>
      <c r="D1769" t="s">
        <v>4221</v>
      </c>
      <c r="E1769" t="s">
        <v>38</v>
      </c>
      <c r="F1769" t="s">
        <v>39</v>
      </c>
      <c r="G1769">
        <v>22915.47</v>
      </c>
      <c r="H1769">
        <v>12719.62</v>
      </c>
      <c r="I1769" t="s">
        <v>120</v>
      </c>
      <c r="J1769" t="s">
        <v>21</v>
      </c>
      <c r="K1769" t="s">
        <v>42</v>
      </c>
      <c r="L1769" t="s">
        <v>48</v>
      </c>
      <c r="M1769">
        <v>4</v>
      </c>
      <c r="N1769" t="s">
        <v>33</v>
      </c>
      <c r="O1769" t="s">
        <v>25</v>
      </c>
      <c r="P1769" t="s">
        <v>26</v>
      </c>
    </row>
    <row r="1770" spans="1:16" x14ac:dyDescent="0.25">
      <c r="A1770" t="s">
        <v>4222</v>
      </c>
      <c r="B1770" s="6">
        <v>44578</v>
      </c>
      <c r="C1770">
        <v>1220</v>
      </c>
      <c r="D1770" t="s">
        <v>4223</v>
      </c>
      <c r="E1770" t="s">
        <v>18</v>
      </c>
      <c r="F1770" t="s">
        <v>58</v>
      </c>
      <c r="G1770">
        <v>13221.34</v>
      </c>
      <c r="H1770">
        <v>6026.03</v>
      </c>
      <c r="I1770" t="s">
        <v>40</v>
      </c>
      <c r="J1770" t="s">
        <v>41</v>
      </c>
      <c r="K1770" t="s">
        <v>22</v>
      </c>
      <c r="L1770" t="s">
        <v>55</v>
      </c>
      <c r="M1770">
        <v>1</v>
      </c>
      <c r="N1770" t="s">
        <v>24</v>
      </c>
      <c r="O1770" t="s">
        <v>70</v>
      </c>
      <c r="P1770" t="s">
        <v>49</v>
      </c>
    </row>
    <row r="1771" spans="1:16" x14ac:dyDescent="0.25">
      <c r="A1771" t="s">
        <v>4224</v>
      </c>
      <c r="B1771" s="6">
        <v>44602</v>
      </c>
      <c r="C1771">
        <v>9222</v>
      </c>
      <c r="D1771" t="s">
        <v>4225</v>
      </c>
      <c r="E1771" t="s">
        <v>38</v>
      </c>
      <c r="F1771" t="s">
        <v>39</v>
      </c>
      <c r="G1771">
        <v>25880.31</v>
      </c>
      <c r="H1771">
        <v>16789.169999999998</v>
      </c>
      <c r="I1771" t="s">
        <v>40</v>
      </c>
      <c r="J1771" t="s">
        <v>41</v>
      </c>
      <c r="K1771" t="s">
        <v>22</v>
      </c>
      <c r="L1771" t="s">
        <v>43</v>
      </c>
      <c r="M1771">
        <v>1</v>
      </c>
      <c r="N1771" t="s">
        <v>24</v>
      </c>
      <c r="O1771" t="s">
        <v>25</v>
      </c>
      <c r="P1771" t="s">
        <v>26</v>
      </c>
    </row>
    <row r="1772" spans="1:16" x14ac:dyDescent="0.25">
      <c r="A1772" t="s">
        <v>4226</v>
      </c>
      <c r="B1772" s="6">
        <v>44780</v>
      </c>
      <c r="C1772">
        <v>6111</v>
      </c>
      <c r="D1772" t="s">
        <v>4227</v>
      </c>
      <c r="E1772" t="s">
        <v>38</v>
      </c>
      <c r="F1772" t="s">
        <v>19</v>
      </c>
      <c r="G1772">
        <v>10320.57</v>
      </c>
      <c r="H1772">
        <v>5521.61</v>
      </c>
      <c r="I1772" t="s">
        <v>120</v>
      </c>
      <c r="J1772" t="s">
        <v>21</v>
      </c>
      <c r="K1772" t="s">
        <v>22</v>
      </c>
      <c r="L1772" t="s">
        <v>43</v>
      </c>
      <c r="M1772">
        <v>4</v>
      </c>
      <c r="N1772" t="s">
        <v>24</v>
      </c>
      <c r="O1772" t="s">
        <v>70</v>
      </c>
      <c r="P1772" t="s">
        <v>34</v>
      </c>
    </row>
    <row r="1773" spans="1:16" x14ac:dyDescent="0.25">
      <c r="A1773" t="s">
        <v>4228</v>
      </c>
      <c r="B1773" s="6">
        <v>44895</v>
      </c>
      <c r="C1773">
        <v>9971</v>
      </c>
      <c r="D1773" t="s">
        <v>4229</v>
      </c>
      <c r="E1773" t="s">
        <v>18</v>
      </c>
      <c r="F1773" t="s">
        <v>30</v>
      </c>
      <c r="G1773">
        <v>63696.39</v>
      </c>
      <c r="H1773">
        <v>28864.95</v>
      </c>
      <c r="I1773" t="s">
        <v>31</v>
      </c>
      <c r="J1773" t="s">
        <v>21</v>
      </c>
      <c r="K1773" t="s">
        <v>42</v>
      </c>
      <c r="L1773" t="s">
        <v>48</v>
      </c>
      <c r="M1773">
        <v>2</v>
      </c>
      <c r="N1773" t="s">
        <v>33</v>
      </c>
      <c r="O1773" t="s">
        <v>25</v>
      </c>
      <c r="P1773" t="s">
        <v>49</v>
      </c>
    </row>
    <row r="1774" spans="1:16" x14ac:dyDescent="0.25">
      <c r="A1774" t="s">
        <v>4230</v>
      </c>
      <c r="B1774" s="6">
        <v>45068</v>
      </c>
      <c r="C1774">
        <v>4812</v>
      </c>
      <c r="D1774" t="s">
        <v>4231</v>
      </c>
      <c r="E1774" t="s">
        <v>18</v>
      </c>
      <c r="F1774" t="s">
        <v>30</v>
      </c>
      <c r="G1774">
        <v>14102.97</v>
      </c>
      <c r="H1774">
        <v>6855.4</v>
      </c>
      <c r="I1774" t="s">
        <v>20</v>
      </c>
      <c r="J1774" t="s">
        <v>21</v>
      </c>
      <c r="K1774" t="s">
        <v>32</v>
      </c>
      <c r="L1774" t="s">
        <v>64</v>
      </c>
      <c r="M1774">
        <v>4</v>
      </c>
      <c r="N1774" t="s">
        <v>69</v>
      </c>
      <c r="O1774" t="s">
        <v>70</v>
      </c>
      <c r="P1774" t="s">
        <v>34</v>
      </c>
    </row>
    <row r="1775" spans="1:16" x14ac:dyDescent="0.25">
      <c r="A1775" t="s">
        <v>4232</v>
      </c>
      <c r="B1775" s="6">
        <v>45143</v>
      </c>
      <c r="C1775">
        <v>3548</v>
      </c>
      <c r="D1775" t="s">
        <v>4233</v>
      </c>
      <c r="E1775" t="s">
        <v>18</v>
      </c>
      <c r="F1775" t="s">
        <v>19</v>
      </c>
      <c r="G1775">
        <v>9900.07</v>
      </c>
      <c r="H1775">
        <v>5157.05</v>
      </c>
      <c r="I1775" t="s">
        <v>53</v>
      </c>
      <c r="J1775" t="s">
        <v>54</v>
      </c>
      <c r="K1775" t="s">
        <v>32</v>
      </c>
      <c r="L1775" t="s">
        <v>55</v>
      </c>
      <c r="M1775">
        <v>5</v>
      </c>
      <c r="N1775" t="s">
        <v>33</v>
      </c>
      <c r="O1775" t="s">
        <v>25</v>
      </c>
      <c r="P1775" t="s">
        <v>34</v>
      </c>
    </row>
    <row r="1776" spans="1:16" x14ac:dyDescent="0.25">
      <c r="A1776" t="s">
        <v>4234</v>
      </c>
      <c r="B1776" s="6">
        <v>44973</v>
      </c>
      <c r="C1776">
        <v>8434</v>
      </c>
      <c r="D1776" t="s">
        <v>4235</v>
      </c>
      <c r="E1776" t="s">
        <v>38</v>
      </c>
      <c r="F1776" t="s">
        <v>58</v>
      </c>
      <c r="G1776">
        <v>19600.7</v>
      </c>
      <c r="H1776">
        <v>10604.79</v>
      </c>
      <c r="I1776" t="s">
        <v>63</v>
      </c>
      <c r="J1776" t="s">
        <v>54</v>
      </c>
      <c r="K1776" t="s">
        <v>42</v>
      </c>
      <c r="L1776" t="s">
        <v>23</v>
      </c>
      <c r="M1776">
        <v>1</v>
      </c>
      <c r="N1776" t="s">
        <v>33</v>
      </c>
      <c r="O1776" t="s">
        <v>70</v>
      </c>
      <c r="P1776" t="s">
        <v>34</v>
      </c>
    </row>
    <row r="1777" spans="1:16" x14ac:dyDescent="0.25">
      <c r="A1777" t="s">
        <v>4236</v>
      </c>
      <c r="B1777" s="6">
        <v>44312</v>
      </c>
      <c r="C1777">
        <v>8878</v>
      </c>
      <c r="D1777" t="s">
        <v>4237</v>
      </c>
      <c r="E1777" t="s">
        <v>18</v>
      </c>
      <c r="F1777" t="s">
        <v>47</v>
      </c>
      <c r="G1777">
        <v>13238.36</v>
      </c>
      <c r="H1777">
        <v>8584.0499999999993</v>
      </c>
      <c r="I1777" t="s">
        <v>84</v>
      </c>
      <c r="J1777" t="s">
        <v>54</v>
      </c>
      <c r="K1777" t="s">
        <v>80</v>
      </c>
      <c r="L1777" t="s">
        <v>64</v>
      </c>
      <c r="M1777">
        <v>3</v>
      </c>
      <c r="N1777" t="s">
        <v>69</v>
      </c>
      <c r="O1777" t="s">
        <v>70</v>
      </c>
      <c r="P1777" t="s">
        <v>34</v>
      </c>
    </row>
    <row r="1778" spans="1:16" x14ac:dyDescent="0.25">
      <c r="A1778" t="s">
        <v>4238</v>
      </c>
      <c r="B1778" s="6">
        <v>44384</v>
      </c>
      <c r="C1778">
        <v>9281</v>
      </c>
      <c r="D1778" t="s">
        <v>4239</v>
      </c>
      <c r="E1778" t="s">
        <v>18</v>
      </c>
      <c r="F1778" t="s">
        <v>58</v>
      </c>
      <c r="G1778">
        <v>8486.93</v>
      </c>
      <c r="H1778">
        <v>4422.2700000000004</v>
      </c>
      <c r="I1778" t="s">
        <v>63</v>
      </c>
      <c r="J1778" t="s">
        <v>54</v>
      </c>
      <c r="K1778" t="s">
        <v>42</v>
      </c>
      <c r="L1778" t="s">
        <v>23</v>
      </c>
      <c r="M1778">
        <v>3</v>
      </c>
      <c r="N1778" t="s">
        <v>69</v>
      </c>
      <c r="O1778" t="s">
        <v>70</v>
      </c>
      <c r="P1778" t="s">
        <v>34</v>
      </c>
    </row>
    <row r="1779" spans="1:16" x14ac:dyDescent="0.25">
      <c r="A1779" t="s">
        <v>4240</v>
      </c>
      <c r="B1779" s="6">
        <v>45561</v>
      </c>
      <c r="C1779">
        <v>6974</v>
      </c>
      <c r="D1779" t="s">
        <v>4241</v>
      </c>
      <c r="E1779" t="s">
        <v>18</v>
      </c>
      <c r="F1779" t="s">
        <v>39</v>
      </c>
      <c r="G1779">
        <v>37367.870000000003</v>
      </c>
      <c r="H1779">
        <v>20469.82</v>
      </c>
      <c r="I1779" t="s">
        <v>20</v>
      </c>
      <c r="J1779" t="s">
        <v>21</v>
      </c>
      <c r="K1779" t="s">
        <v>42</v>
      </c>
      <c r="L1779" t="s">
        <v>88</v>
      </c>
      <c r="M1779">
        <v>5</v>
      </c>
      <c r="N1779" t="s">
        <v>69</v>
      </c>
      <c r="O1779" t="s">
        <v>25</v>
      </c>
      <c r="P1779" t="s">
        <v>49</v>
      </c>
    </row>
    <row r="1780" spans="1:16" x14ac:dyDescent="0.25">
      <c r="A1780" t="s">
        <v>4242</v>
      </c>
      <c r="B1780" s="6">
        <v>45330</v>
      </c>
      <c r="C1780">
        <v>7145</v>
      </c>
      <c r="D1780" t="s">
        <v>3774</v>
      </c>
      <c r="E1780" t="s">
        <v>38</v>
      </c>
      <c r="F1780" t="s">
        <v>47</v>
      </c>
      <c r="G1780">
        <v>8765.7199999999993</v>
      </c>
      <c r="H1780">
        <v>4854.16</v>
      </c>
      <c r="I1780" t="s">
        <v>31</v>
      </c>
      <c r="J1780" t="s">
        <v>21</v>
      </c>
      <c r="K1780" t="s">
        <v>22</v>
      </c>
      <c r="L1780" t="s">
        <v>64</v>
      </c>
      <c r="M1780">
        <v>4</v>
      </c>
      <c r="N1780" t="s">
        <v>33</v>
      </c>
      <c r="O1780" t="s">
        <v>70</v>
      </c>
      <c r="P1780" t="s">
        <v>26</v>
      </c>
    </row>
    <row r="1781" spans="1:16" x14ac:dyDescent="0.25">
      <c r="A1781" t="s">
        <v>4243</v>
      </c>
      <c r="B1781" s="6">
        <v>44854</v>
      </c>
      <c r="C1781">
        <v>9974</v>
      </c>
      <c r="D1781" t="s">
        <v>4244</v>
      </c>
      <c r="E1781" t="s">
        <v>18</v>
      </c>
      <c r="F1781" t="s">
        <v>30</v>
      </c>
      <c r="G1781">
        <v>65460.79</v>
      </c>
      <c r="H1781">
        <v>42454.63</v>
      </c>
      <c r="I1781" t="s">
        <v>20</v>
      </c>
      <c r="J1781" t="s">
        <v>21</v>
      </c>
      <c r="K1781" t="s">
        <v>22</v>
      </c>
      <c r="L1781" t="s">
        <v>88</v>
      </c>
      <c r="M1781">
        <v>4</v>
      </c>
      <c r="N1781" t="s">
        <v>33</v>
      </c>
      <c r="O1781" t="s">
        <v>25</v>
      </c>
      <c r="P1781" t="s">
        <v>49</v>
      </c>
    </row>
    <row r="1782" spans="1:16" x14ac:dyDescent="0.25">
      <c r="A1782" t="s">
        <v>4245</v>
      </c>
      <c r="B1782" s="6">
        <v>44549</v>
      </c>
      <c r="C1782">
        <v>7061</v>
      </c>
      <c r="D1782" t="s">
        <v>4246</v>
      </c>
      <c r="E1782" t="s">
        <v>38</v>
      </c>
      <c r="F1782" t="s">
        <v>39</v>
      </c>
      <c r="G1782">
        <v>20126.240000000002</v>
      </c>
      <c r="H1782">
        <v>10031.57</v>
      </c>
      <c r="I1782" t="s">
        <v>68</v>
      </c>
      <c r="J1782" t="s">
        <v>41</v>
      </c>
      <c r="K1782" t="s">
        <v>22</v>
      </c>
      <c r="L1782" t="s">
        <v>43</v>
      </c>
      <c r="M1782">
        <v>1</v>
      </c>
      <c r="N1782" t="s">
        <v>33</v>
      </c>
      <c r="O1782" t="s">
        <v>25</v>
      </c>
      <c r="P1782" t="s">
        <v>26</v>
      </c>
    </row>
    <row r="1783" spans="1:16" x14ac:dyDescent="0.25">
      <c r="A1783" t="s">
        <v>4247</v>
      </c>
      <c r="B1783" s="6">
        <v>45443</v>
      </c>
      <c r="C1783">
        <v>2443</v>
      </c>
      <c r="D1783" t="s">
        <v>4248</v>
      </c>
      <c r="E1783" t="s">
        <v>18</v>
      </c>
      <c r="F1783" t="s">
        <v>39</v>
      </c>
      <c r="G1783">
        <v>19040.169999999998</v>
      </c>
      <c r="H1783">
        <v>9833.64</v>
      </c>
      <c r="I1783" t="s">
        <v>20</v>
      </c>
      <c r="J1783" t="s">
        <v>21</v>
      </c>
      <c r="K1783" t="s">
        <v>42</v>
      </c>
      <c r="L1783" t="s">
        <v>88</v>
      </c>
      <c r="M1783">
        <v>2</v>
      </c>
      <c r="N1783" t="s">
        <v>69</v>
      </c>
      <c r="O1783" t="s">
        <v>70</v>
      </c>
      <c r="P1783" t="s">
        <v>34</v>
      </c>
    </row>
    <row r="1784" spans="1:16" x14ac:dyDescent="0.25">
      <c r="A1784" t="s">
        <v>4249</v>
      </c>
      <c r="B1784" s="6">
        <v>44567</v>
      </c>
      <c r="C1784">
        <v>8224</v>
      </c>
      <c r="D1784" t="s">
        <v>4250</v>
      </c>
      <c r="E1784" t="s">
        <v>18</v>
      </c>
      <c r="F1784" t="s">
        <v>58</v>
      </c>
      <c r="G1784">
        <v>39424.31</v>
      </c>
      <c r="H1784">
        <v>18527.91</v>
      </c>
      <c r="I1784" t="s">
        <v>63</v>
      </c>
      <c r="J1784" t="s">
        <v>54</v>
      </c>
      <c r="K1784" t="s">
        <v>22</v>
      </c>
      <c r="L1784" t="s">
        <v>43</v>
      </c>
      <c r="M1784">
        <v>4</v>
      </c>
      <c r="N1784" t="s">
        <v>33</v>
      </c>
      <c r="O1784" t="s">
        <v>25</v>
      </c>
      <c r="P1784" t="s">
        <v>49</v>
      </c>
    </row>
    <row r="1785" spans="1:16" x14ac:dyDescent="0.25">
      <c r="A1785" t="s">
        <v>4251</v>
      </c>
      <c r="B1785" s="6">
        <v>45654</v>
      </c>
      <c r="C1785">
        <v>4889</v>
      </c>
      <c r="D1785" t="s">
        <v>4252</v>
      </c>
      <c r="E1785" t="s">
        <v>38</v>
      </c>
      <c r="F1785" t="s">
        <v>30</v>
      </c>
      <c r="G1785">
        <v>44705.19</v>
      </c>
      <c r="H1785">
        <v>28042.18</v>
      </c>
      <c r="I1785" t="s">
        <v>120</v>
      </c>
      <c r="J1785" t="s">
        <v>21</v>
      </c>
      <c r="K1785" t="s">
        <v>22</v>
      </c>
      <c r="L1785" t="s">
        <v>43</v>
      </c>
      <c r="M1785">
        <v>2</v>
      </c>
      <c r="N1785" t="s">
        <v>24</v>
      </c>
      <c r="O1785" t="s">
        <v>25</v>
      </c>
      <c r="P1785" t="s">
        <v>34</v>
      </c>
    </row>
    <row r="1786" spans="1:16" x14ac:dyDescent="0.25">
      <c r="A1786" t="s">
        <v>4253</v>
      </c>
      <c r="B1786" s="6">
        <v>44410</v>
      </c>
      <c r="C1786">
        <v>2344</v>
      </c>
      <c r="D1786" t="s">
        <v>418</v>
      </c>
      <c r="E1786" t="s">
        <v>18</v>
      </c>
      <c r="F1786" t="s">
        <v>39</v>
      </c>
      <c r="G1786">
        <v>4944.42</v>
      </c>
      <c r="H1786">
        <v>3185.89</v>
      </c>
      <c r="I1786" t="s">
        <v>40</v>
      </c>
      <c r="J1786" t="s">
        <v>41</v>
      </c>
      <c r="K1786" t="s">
        <v>80</v>
      </c>
      <c r="L1786" t="s">
        <v>48</v>
      </c>
      <c r="M1786">
        <v>4</v>
      </c>
      <c r="N1786" t="s">
        <v>24</v>
      </c>
      <c r="O1786" t="s">
        <v>25</v>
      </c>
      <c r="P1786" t="s">
        <v>26</v>
      </c>
    </row>
    <row r="1787" spans="1:16" x14ac:dyDescent="0.25">
      <c r="A1787" t="s">
        <v>4255</v>
      </c>
      <c r="B1787" s="6">
        <v>45008</v>
      </c>
      <c r="C1787">
        <v>5096</v>
      </c>
      <c r="D1787" t="s">
        <v>4257</v>
      </c>
      <c r="E1787" t="s">
        <v>18</v>
      </c>
      <c r="F1787" t="s">
        <v>19</v>
      </c>
      <c r="G1787">
        <v>13024.52</v>
      </c>
      <c r="H1787">
        <v>6182.73</v>
      </c>
      <c r="I1787" t="s">
        <v>40</v>
      </c>
      <c r="J1787" t="s">
        <v>41</v>
      </c>
      <c r="K1787" t="s">
        <v>32</v>
      </c>
      <c r="L1787" t="s">
        <v>64</v>
      </c>
      <c r="M1787">
        <v>5</v>
      </c>
      <c r="N1787" t="s">
        <v>69</v>
      </c>
      <c r="O1787" t="s">
        <v>25</v>
      </c>
      <c r="P1787" t="s">
        <v>26</v>
      </c>
    </row>
    <row r="1788" spans="1:16" x14ac:dyDescent="0.25">
      <c r="A1788" t="s">
        <v>4258</v>
      </c>
      <c r="B1788" s="6">
        <v>45014</v>
      </c>
      <c r="C1788">
        <v>7242</v>
      </c>
      <c r="D1788" t="s">
        <v>4259</v>
      </c>
      <c r="E1788" t="s">
        <v>38</v>
      </c>
      <c r="F1788" t="s">
        <v>39</v>
      </c>
      <c r="G1788">
        <v>44277.2</v>
      </c>
      <c r="H1788">
        <v>20194.63</v>
      </c>
      <c r="I1788" t="s">
        <v>120</v>
      </c>
      <c r="J1788" t="s">
        <v>21</v>
      </c>
      <c r="K1788" t="s">
        <v>32</v>
      </c>
      <c r="L1788" t="s">
        <v>48</v>
      </c>
      <c r="M1788">
        <v>3</v>
      </c>
      <c r="N1788" t="s">
        <v>24</v>
      </c>
      <c r="O1788" t="s">
        <v>70</v>
      </c>
      <c r="P1788" t="s">
        <v>49</v>
      </c>
    </row>
    <row r="1789" spans="1:16" x14ac:dyDescent="0.25">
      <c r="A1789" t="s">
        <v>4260</v>
      </c>
      <c r="B1789" s="6">
        <v>44998</v>
      </c>
      <c r="C1789">
        <v>6762</v>
      </c>
      <c r="D1789" t="s">
        <v>4261</v>
      </c>
      <c r="E1789" t="s">
        <v>38</v>
      </c>
      <c r="F1789" t="s">
        <v>58</v>
      </c>
      <c r="G1789">
        <v>17652.59</v>
      </c>
      <c r="H1789">
        <v>8412.06</v>
      </c>
      <c r="I1789" t="s">
        <v>63</v>
      </c>
      <c r="J1789" t="s">
        <v>54</v>
      </c>
      <c r="K1789" t="s">
        <v>80</v>
      </c>
      <c r="L1789" t="s">
        <v>55</v>
      </c>
      <c r="M1789">
        <v>2</v>
      </c>
      <c r="N1789" t="s">
        <v>33</v>
      </c>
      <c r="O1789" t="s">
        <v>25</v>
      </c>
      <c r="P1789" t="s">
        <v>49</v>
      </c>
    </row>
    <row r="1790" spans="1:16" x14ac:dyDescent="0.25">
      <c r="A1790" t="s">
        <v>4262</v>
      </c>
      <c r="B1790" s="6">
        <v>44992</v>
      </c>
      <c r="C1790">
        <v>4135</v>
      </c>
      <c r="D1790" t="s">
        <v>4263</v>
      </c>
      <c r="E1790" t="s">
        <v>38</v>
      </c>
      <c r="F1790" t="s">
        <v>30</v>
      </c>
      <c r="G1790">
        <v>92652.19</v>
      </c>
      <c r="H1790">
        <v>44375.73</v>
      </c>
      <c r="I1790" t="s">
        <v>120</v>
      </c>
      <c r="J1790" t="s">
        <v>21</v>
      </c>
      <c r="K1790" t="s">
        <v>42</v>
      </c>
      <c r="L1790" t="s">
        <v>55</v>
      </c>
      <c r="M1790">
        <v>3</v>
      </c>
      <c r="N1790" t="s">
        <v>33</v>
      </c>
      <c r="O1790" t="s">
        <v>70</v>
      </c>
      <c r="P1790" t="s">
        <v>26</v>
      </c>
    </row>
    <row r="1791" spans="1:16" x14ac:dyDescent="0.25">
      <c r="A1791" t="s">
        <v>4264</v>
      </c>
      <c r="B1791" s="6">
        <v>45303</v>
      </c>
      <c r="C1791">
        <v>9454</v>
      </c>
      <c r="D1791" t="s">
        <v>4265</v>
      </c>
      <c r="E1791" t="s">
        <v>38</v>
      </c>
      <c r="F1791" t="s">
        <v>47</v>
      </c>
      <c r="G1791">
        <v>4048.79</v>
      </c>
      <c r="H1791">
        <v>2129.75</v>
      </c>
      <c r="I1791" t="s">
        <v>84</v>
      </c>
      <c r="J1791" t="s">
        <v>54</v>
      </c>
      <c r="K1791" t="s">
        <v>42</v>
      </c>
      <c r="L1791" t="s">
        <v>43</v>
      </c>
      <c r="M1791">
        <v>1</v>
      </c>
      <c r="N1791" t="s">
        <v>33</v>
      </c>
      <c r="O1791" t="s">
        <v>70</v>
      </c>
      <c r="P1791" t="s">
        <v>26</v>
      </c>
    </row>
    <row r="1792" spans="1:16" x14ac:dyDescent="0.25">
      <c r="A1792" t="s">
        <v>4266</v>
      </c>
      <c r="B1792" s="6">
        <v>45536</v>
      </c>
      <c r="C1792">
        <v>8391</v>
      </c>
      <c r="D1792" t="s">
        <v>4267</v>
      </c>
      <c r="E1792" t="s">
        <v>38</v>
      </c>
      <c r="F1792" t="s">
        <v>19</v>
      </c>
      <c r="G1792">
        <v>20313.830000000002</v>
      </c>
      <c r="H1792">
        <v>11607.27</v>
      </c>
      <c r="I1792" t="s">
        <v>53</v>
      </c>
      <c r="J1792" t="s">
        <v>54</v>
      </c>
      <c r="K1792" t="s">
        <v>42</v>
      </c>
      <c r="L1792" t="s">
        <v>55</v>
      </c>
      <c r="M1792">
        <v>5</v>
      </c>
      <c r="N1792" t="s">
        <v>33</v>
      </c>
      <c r="O1792" t="s">
        <v>70</v>
      </c>
      <c r="P1792" t="s">
        <v>49</v>
      </c>
    </row>
    <row r="1793" spans="1:16" x14ac:dyDescent="0.25">
      <c r="A1793" t="s">
        <v>4268</v>
      </c>
      <c r="B1793" s="6">
        <v>44762</v>
      </c>
      <c r="C1793">
        <v>5253</v>
      </c>
      <c r="D1793" t="s">
        <v>4269</v>
      </c>
      <c r="E1793" t="s">
        <v>18</v>
      </c>
      <c r="F1793" t="s">
        <v>30</v>
      </c>
      <c r="G1793">
        <v>14575.23</v>
      </c>
      <c r="H1793">
        <v>9184.09</v>
      </c>
      <c r="I1793" t="s">
        <v>31</v>
      </c>
      <c r="J1793" t="s">
        <v>21</v>
      </c>
      <c r="K1793" t="s">
        <v>42</v>
      </c>
      <c r="L1793" t="s">
        <v>48</v>
      </c>
      <c r="M1793">
        <v>3</v>
      </c>
      <c r="N1793" t="s">
        <v>33</v>
      </c>
      <c r="O1793" t="s">
        <v>25</v>
      </c>
      <c r="P1793" t="s">
        <v>49</v>
      </c>
    </row>
    <row r="1794" spans="1:16" x14ac:dyDescent="0.25">
      <c r="A1794" t="s">
        <v>4270</v>
      </c>
      <c r="B1794" s="6">
        <v>45122</v>
      </c>
      <c r="C1794">
        <v>7972</v>
      </c>
      <c r="D1794" t="s">
        <v>4271</v>
      </c>
      <c r="E1794" t="s">
        <v>18</v>
      </c>
      <c r="F1794" t="s">
        <v>30</v>
      </c>
      <c r="G1794">
        <v>20018.080000000002</v>
      </c>
      <c r="H1794">
        <v>10566.96</v>
      </c>
      <c r="I1794" t="s">
        <v>31</v>
      </c>
      <c r="J1794" t="s">
        <v>21</v>
      </c>
      <c r="K1794" t="s">
        <v>22</v>
      </c>
      <c r="L1794" t="s">
        <v>64</v>
      </c>
      <c r="M1794">
        <v>2</v>
      </c>
      <c r="N1794" t="s">
        <v>69</v>
      </c>
      <c r="O1794" t="s">
        <v>25</v>
      </c>
      <c r="P1794" t="s">
        <v>49</v>
      </c>
    </row>
    <row r="1795" spans="1:16" x14ac:dyDescent="0.25">
      <c r="A1795" t="s">
        <v>4272</v>
      </c>
      <c r="B1795" s="6">
        <v>45391</v>
      </c>
      <c r="C1795">
        <v>7261</v>
      </c>
      <c r="D1795" t="s">
        <v>4273</v>
      </c>
      <c r="E1795" t="s">
        <v>18</v>
      </c>
      <c r="F1795" t="s">
        <v>47</v>
      </c>
      <c r="G1795">
        <v>21039.47</v>
      </c>
      <c r="H1795">
        <v>11495.94</v>
      </c>
      <c r="I1795" t="s">
        <v>63</v>
      </c>
      <c r="J1795" t="s">
        <v>54</v>
      </c>
      <c r="K1795" t="s">
        <v>42</v>
      </c>
      <c r="L1795" t="s">
        <v>48</v>
      </c>
      <c r="M1795">
        <v>4</v>
      </c>
      <c r="N1795" t="s">
        <v>69</v>
      </c>
      <c r="O1795" t="s">
        <v>25</v>
      </c>
      <c r="P1795" t="s">
        <v>49</v>
      </c>
    </row>
    <row r="1796" spans="1:16" x14ac:dyDescent="0.25">
      <c r="A1796" t="s">
        <v>4274</v>
      </c>
      <c r="B1796" s="6">
        <v>44259</v>
      </c>
      <c r="C1796">
        <v>9536</v>
      </c>
      <c r="D1796" t="s">
        <v>4275</v>
      </c>
      <c r="E1796" t="s">
        <v>38</v>
      </c>
      <c r="F1796" t="s">
        <v>30</v>
      </c>
      <c r="G1796">
        <v>55487.360000000001</v>
      </c>
      <c r="H1796">
        <v>31185.22</v>
      </c>
      <c r="I1796" t="s">
        <v>20</v>
      </c>
      <c r="J1796" t="s">
        <v>21</v>
      </c>
      <c r="K1796" t="s">
        <v>42</v>
      </c>
      <c r="L1796" t="s">
        <v>88</v>
      </c>
      <c r="M1796">
        <v>1</v>
      </c>
      <c r="N1796" t="s">
        <v>24</v>
      </c>
      <c r="O1796" t="s">
        <v>70</v>
      </c>
      <c r="P1796" t="s">
        <v>34</v>
      </c>
    </row>
    <row r="1797" spans="1:16" x14ac:dyDescent="0.25">
      <c r="A1797" t="s">
        <v>4276</v>
      </c>
      <c r="B1797" s="6">
        <v>45411</v>
      </c>
      <c r="C1797">
        <v>8217</v>
      </c>
      <c r="D1797" t="s">
        <v>4277</v>
      </c>
      <c r="E1797" t="s">
        <v>18</v>
      </c>
      <c r="F1797" t="s">
        <v>19</v>
      </c>
      <c r="G1797">
        <v>14539.4</v>
      </c>
      <c r="H1797">
        <v>8254.09</v>
      </c>
      <c r="I1797" t="s">
        <v>31</v>
      </c>
      <c r="J1797" t="s">
        <v>21</v>
      </c>
      <c r="K1797" t="s">
        <v>22</v>
      </c>
      <c r="L1797" t="s">
        <v>48</v>
      </c>
      <c r="M1797">
        <v>4</v>
      </c>
      <c r="N1797" t="s">
        <v>24</v>
      </c>
      <c r="O1797" t="s">
        <v>70</v>
      </c>
      <c r="P1797" t="s">
        <v>49</v>
      </c>
    </row>
    <row r="1798" spans="1:16" x14ac:dyDescent="0.25">
      <c r="A1798" t="s">
        <v>4278</v>
      </c>
      <c r="B1798" s="6">
        <v>45544</v>
      </c>
      <c r="C1798">
        <v>5191</v>
      </c>
      <c r="D1798" t="s">
        <v>108</v>
      </c>
      <c r="E1798" t="s">
        <v>38</v>
      </c>
      <c r="F1798" t="s">
        <v>58</v>
      </c>
      <c r="G1798">
        <v>57215.43</v>
      </c>
      <c r="H1798">
        <v>31797.14</v>
      </c>
      <c r="I1798" t="s">
        <v>63</v>
      </c>
      <c r="J1798" t="s">
        <v>54</v>
      </c>
      <c r="K1798" t="s">
        <v>80</v>
      </c>
      <c r="L1798" t="s">
        <v>88</v>
      </c>
      <c r="M1798">
        <v>4</v>
      </c>
      <c r="N1798" t="s">
        <v>24</v>
      </c>
      <c r="O1798" t="s">
        <v>25</v>
      </c>
      <c r="P1798" t="s">
        <v>26</v>
      </c>
    </row>
    <row r="1799" spans="1:16" x14ac:dyDescent="0.25">
      <c r="A1799" t="s">
        <v>4279</v>
      </c>
      <c r="B1799" s="6">
        <v>45022</v>
      </c>
      <c r="C1799">
        <v>9610</v>
      </c>
      <c r="D1799" t="s">
        <v>4280</v>
      </c>
      <c r="E1799" t="s">
        <v>18</v>
      </c>
      <c r="F1799" t="s">
        <v>47</v>
      </c>
      <c r="G1799">
        <v>15816.6</v>
      </c>
      <c r="H1799">
        <v>9967.84</v>
      </c>
      <c r="I1799" t="s">
        <v>84</v>
      </c>
      <c r="J1799" t="s">
        <v>54</v>
      </c>
      <c r="K1799" t="s">
        <v>22</v>
      </c>
      <c r="L1799" t="s">
        <v>43</v>
      </c>
      <c r="M1799">
        <v>2</v>
      </c>
      <c r="N1799" t="s">
        <v>33</v>
      </c>
      <c r="O1799" t="s">
        <v>25</v>
      </c>
      <c r="P1799" t="s">
        <v>26</v>
      </c>
    </row>
    <row r="1800" spans="1:16" x14ac:dyDescent="0.25">
      <c r="A1800" t="s">
        <v>4281</v>
      </c>
      <c r="B1800" s="6">
        <v>44714</v>
      </c>
      <c r="C1800">
        <v>7920</v>
      </c>
      <c r="D1800" t="s">
        <v>4282</v>
      </c>
      <c r="E1800" t="s">
        <v>38</v>
      </c>
      <c r="F1800" t="s">
        <v>30</v>
      </c>
      <c r="G1800">
        <v>93822.36</v>
      </c>
      <c r="H1800">
        <v>54213.16</v>
      </c>
      <c r="I1800" t="s">
        <v>84</v>
      </c>
      <c r="J1800" t="s">
        <v>54</v>
      </c>
      <c r="K1800" t="s">
        <v>22</v>
      </c>
      <c r="L1800" t="s">
        <v>43</v>
      </c>
      <c r="M1800">
        <v>4</v>
      </c>
      <c r="N1800" t="s">
        <v>33</v>
      </c>
      <c r="O1800" t="s">
        <v>70</v>
      </c>
      <c r="P1800" t="s">
        <v>26</v>
      </c>
    </row>
    <row r="1801" spans="1:16" x14ac:dyDescent="0.25">
      <c r="A1801" t="s">
        <v>4283</v>
      </c>
      <c r="B1801" s="6">
        <v>45221</v>
      </c>
      <c r="C1801">
        <v>6484</v>
      </c>
      <c r="D1801" t="s">
        <v>4284</v>
      </c>
      <c r="E1801" t="s">
        <v>18</v>
      </c>
      <c r="F1801" t="s">
        <v>19</v>
      </c>
      <c r="G1801">
        <v>5348.15</v>
      </c>
      <c r="H1801">
        <v>2788.97</v>
      </c>
      <c r="I1801" t="s">
        <v>120</v>
      </c>
      <c r="J1801" t="s">
        <v>21</v>
      </c>
      <c r="K1801" t="s">
        <v>32</v>
      </c>
      <c r="L1801" t="s">
        <v>55</v>
      </c>
      <c r="M1801">
        <v>4</v>
      </c>
      <c r="N1801" t="s">
        <v>33</v>
      </c>
      <c r="O1801" t="s">
        <v>25</v>
      </c>
      <c r="P1801" t="s">
        <v>49</v>
      </c>
    </row>
    <row r="1802" spans="1:16" x14ac:dyDescent="0.25">
      <c r="A1802" t="s">
        <v>4285</v>
      </c>
      <c r="B1802" s="6">
        <v>45245</v>
      </c>
      <c r="C1802">
        <v>5498</v>
      </c>
      <c r="D1802" t="s">
        <v>111</v>
      </c>
      <c r="E1802" t="s">
        <v>38</v>
      </c>
      <c r="F1802" t="s">
        <v>58</v>
      </c>
      <c r="G1802">
        <v>60331.69</v>
      </c>
      <c r="H1802">
        <v>28198.86</v>
      </c>
      <c r="I1802" t="s">
        <v>84</v>
      </c>
      <c r="J1802" t="s">
        <v>54</v>
      </c>
      <c r="K1802" t="s">
        <v>22</v>
      </c>
      <c r="L1802" t="s">
        <v>48</v>
      </c>
      <c r="M1802">
        <v>3</v>
      </c>
      <c r="N1802" t="s">
        <v>69</v>
      </c>
      <c r="O1802" t="s">
        <v>25</v>
      </c>
      <c r="P1802" t="s">
        <v>26</v>
      </c>
    </row>
    <row r="1803" spans="1:16" x14ac:dyDescent="0.25">
      <c r="A1803" t="s">
        <v>4286</v>
      </c>
      <c r="B1803" s="6">
        <v>45625</v>
      </c>
      <c r="C1803">
        <v>9077</v>
      </c>
      <c r="D1803" t="s">
        <v>4287</v>
      </c>
      <c r="E1803" t="s">
        <v>38</v>
      </c>
      <c r="F1803" t="s">
        <v>19</v>
      </c>
      <c r="G1803">
        <v>10843.49</v>
      </c>
      <c r="H1803">
        <v>5365.4</v>
      </c>
      <c r="I1803" t="s">
        <v>53</v>
      </c>
      <c r="J1803" t="s">
        <v>54</v>
      </c>
      <c r="K1803" t="s">
        <v>80</v>
      </c>
      <c r="L1803" t="s">
        <v>88</v>
      </c>
      <c r="M1803">
        <v>3</v>
      </c>
      <c r="N1803" t="s">
        <v>33</v>
      </c>
      <c r="O1803" t="s">
        <v>25</v>
      </c>
      <c r="P1803" t="s">
        <v>49</v>
      </c>
    </row>
    <row r="1804" spans="1:16" x14ac:dyDescent="0.25">
      <c r="A1804" t="s">
        <v>4288</v>
      </c>
      <c r="B1804" s="6">
        <v>44868</v>
      </c>
      <c r="C1804">
        <v>4892</v>
      </c>
      <c r="D1804" t="s">
        <v>4289</v>
      </c>
      <c r="E1804" t="s">
        <v>18</v>
      </c>
      <c r="F1804" t="s">
        <v>30</v>
      </c>
      <c r="G1804">
        <v>94423.91</v>
      </c>
      <c r="H1804">
        <v>43431.61</v>
      </c>
      <c r="I1804" t="s">
        <v>63</v>
      </c>
      <c r="J1804" t="s">
        <v>54</v>
      </c>
      <c r="K1804" t="s">
        <v>32</v>
      </c>
      <c r="L1804" t="s">
        <v>88</v>
      </c>
      <c r="M1804">
        <v>5</v>
      </c>
      <c r="N1804" t="s">
        <v>69</v>
      </c>
      <c r="O1804" t="s">
        <v>25</v>
      </c>
      <c r="P1804" t="s">
        <v>26</v>
      </c>
    </row>
    <row r="1805" spans="1:16" x14ac:dyDescent="0.25">
      <c r="A1805" t="s">
        <v>4290</v>
      </c>
      <c r="B1805" s="6">
        <v>43998</v>
      </c>
      <c r="C1805">
        <v>8788</v>
      </c>
      <c r="D1805" t="s">
        <v>4291</v>
      </c>
      <c r="E1805" t="s">
        <v>18</v>
      </c>
      <c r="F1805" t="s">
        <v>47</v>
      </c>
      <c r="G1805">
        <v>4191.21</v>
      </c>
      <c r="H1805">
        <v>2121.41</v>
      </c>
      <c r="I1805" t="s">
        <v>63</v>
      </c>
      <c r="J1805" t="s">
        <v>54</v>
      </c>
      <c r="K1805" t="s">
        <v>32</v>
      </c>
      <c r="L1805" t="s">
        <v>43</v>
      </c>
      <c r="M1805">
        <v>3</v>
      </c>
      <c r="N1805" t="s">
        <v>24</v>
      </c>
      <c r="O1805" t="s">
        <v>70</v>
      </c>
      <c r="P1805" t="s">
        <v>26</v>
      </c>
    </row>
    <row r="1806" spans="1:16" x14ac:dyDescent="0.25">
      <c r="A1806" t="s">
        <v>4292</v>
      </c>
      <c r="B1806" s="6">
        <v>45137</v>
      </c>
      <c r="C1806">
        <v>1799</v>
      </c>
      <c r="D1806" t="s">
        <v>2961</v>
      </c>
      <c r="E1806" t="s">
        <v>38</v>
      </c>
      <c r="F1806" t="s">
        <v>30</v>
      </c>
      <c r="G1806">
        <v>60471.95</v>
      </c>
      <c r="H1806">
        <v>35607.79</v>
      </c>
      <c r="I1806" t="s">
        <v>84</v>
      </c>
      <c r="J1806" t="s">
        <v>54</v>
      </c>
      <c r="K1806" t="s">
        <v>22</v>
      </c>
      <c r="L1806" t="s">
        <v>48</v>
      </c>
      <c r="M1806">
        <v>5</v>
      </c>
      <c r="N1806" t="s">
        <v>69</v>
      </c>
      <c r="O1806" t="s">
        <v>25</v>
      </c>
      <c r="P1806" t="s">
        <v>26</v>
      </c>
    </row>
    <row r="1807" spans="1:16" x14ac:dyDescent="0.25">
      <c r="A1807" t="s">
        <v>4293</v>
      </c>
      <c r="B1807" s="6">
        <v>44001</v>
      </c>
      <c r="C1807">
        <v>8186</v>
      </c>
      <c r="D1807" t="s">
        <v>4294</v>
      </c>
      <c r="E1807" t="s">
        <v>18</v>
      </c>
      <c r="F1807" t="s">
        <v>30</v>
      </c>
      <c r="G1807">
        <v>35419.629999999997</v>
      </c>
      <c r="H1807">
        <v>22180.79</v>
      </c>
      <c r="I1807" t="s">
        <v>53</v>
      </c>
      <c r="J1807" t="s">
        <v>54</v>
      </c>
      <c r="K1807" t="s">
        <v>80</v>
      </c>
      <c r="L1807" t="s">
        <v>64</v>
      </c>
      <c r="M1807">
        <v>4</v>
      </c>
      <c r="N1807" t="s">
        <v>33</v>
      </c>
      <c r="O1807" t="s">
        <v>25</v>
      </c>
      <c r="P1807" t="s">
        <v>34</v>
      </c>
    </row>
    <row r="1808" spans="1:16" x14ac:dyDescent="0.25">
      <c r="A1808" t="s">
        <v>4295</v>
      </c>
      <c r="B1808" s="6">
        <v>45128</v>
      </c>
      <c r="C1808">
        <v>8166</v>
      </c>
      <c r="D1808" t="s">
        <v>4297</v>
      </c>
      <c r="E1808" t="s">
        <v>38</v>
      </c>
      <c r="F1808" t="s">
        <v>39</v>
      </c>
      <c r="G1808">
        <v>48632.77</v>
      </c>
      <c r="H1808">
        <v>30944.01</v>
      </c>
      <c r="I1808" t="s">
        <v>63</v>
      </c>
      <c r="J1808" t="s">
        <v>54</v>
      </c>
      <c r="K1808" t="s">
        <v>80</v>
      </c>
      <c r="L1808" t="s">
        <v>48</v>
      </c>
      <c r="M1808">
        <v>2</v>
      </c>
      <c r="N1808" t="s">
        <v>24</v>
      </c>
      <c r="O1808" t="s">
        <v>25</v>
      </c>
      <c r="P1808" t="s">
        <v>34</v>
      </c>
    </row>
    <row r="1809" spans="1:16" x14ac:dyDescent="0.25">
      <c r="A1809" t="s">
        <v>4298</v>
      </c>
      <c r="B1809" s="6">
        <v>45445</v>
      </c>
      <c r="C1809">
        <v>2031</v>
      </c>
      <c r="D1809" t="s">
        <v>4300</v>
      </c>
      <c r="E1809" t="s">
        <v>18</v>
      </c>
      <c r="F1809" t="s">
        <v>47</v>
      </c>
      <c r="G1809">
        <v>12489.07</v>
      </c>
      <c r="H1809">
        <v>6002.64</v>
      </c>
      <c r="I1809" t="s">
        <v>120</v>
      </c>
      <c r="J1809" t="s">
        <v>21</v>
      </c>
      <c r="K1809" t="s">
        <v>42</v>
      </c>
      <c r="L1809" t="s">
        <v>64</v>
      </c>
      <c r="M1809">
        <v>4</v>
      </c>
      <c r="N1809" t="s">
        <v>24</v>
      </c>
      <c r="O1809" t="s">
        <v>70</v>
      </c>
      <c r="P1809" t="s">
        <v>26</v>
      </c>
    </row>
    <row r="1810" spans="1:16" x14ac:dyDescent="0.25">
      <c r="A1810" t="s">
        <v>4301</v>
      </c>
      <c r="B1810" s="6">
        <v>44240</v>
      </c>
      <c r="C1810">
        <v>6258</v>
      </c>
      <c r="D1810" t="s">
        <v>4302</v>
      </c>
      <c r="E1810" t="s">
        <v>18</v>
      </c>
      <c r="F1810" t="s">
        <v>19</v>
      </c>
      <c r="G1810">
        <v>7380.78</v>
      </c>
      <c r="H1810">
        <v>4592.17</v>
      </c>
      <c r="I1810" t="s">
        <v>59</v>
      </c>
      <c r="J1810" t="s">
        <v>41</v>
      </c>
      <c r="K1810" t="s">
        <v>80</v>
      </c>
      <c r="L1810" t="s">
        <v>64</v>
      </c>
      <c r="M1810">
        <v>3</v>
      </c>
      <c r="N1810" t="s">
        <v>69</v>
      </c>
      <c r="O1810" t="s">
        <v>25</v>
      </c>
      <c r="P1810" t="s">
        <v>26</v>
      </c>
    </row>
    <row r="1811" spans="1:16" x14ac:dyDescent="0.25">
      <c r="A1811" t="s">
        <v>4303</v>
      </c>
      <c r="B1811" s="6">
        <v>44872</v>
      </c>
      <c r="C1811">
        <v>7515</v>
      </c>
      <c r="D1811" t="s">
        <v>4304</v>
      </c>
      <c r="E1811" t="s">
        <v>38</v>
      </c>
      <c r="F1811" t="s">
        <v>58</v>
      </c>
      <c r="G1811">
        <v>23797.4</v>
      </c>
      <c r="H1811">
        <v>11979.59</v>
      </c>
      <c r="I1811" t="s">
        <v>59</v>
      </c>
      <c r="J1811" t="s">
        <v>41</v>
      </c>
      <c r="K1811" t="s">
        <v>80</v>
      </c>
      <c r="L1811" t="s">
        <v>55</v>
      </c>
      <c r="M1811">
        <v>4</v>
      </c>
      <c r="N1811" t="s">
        <v>24</v>
      </c>
      <c r="O1811" t="s">
        <v>70</v>
      </c>
      <c r="P1811" t="s">
        <v>26</v>
      </c>
    </row>
    <row r="1812" spans="1:16" x14ac:dyDescent="0.25">
      <c r="A1812" t="s">
        <v>4305</v>
      </c>
      <c r="B1812" s="6">
        <v>45580</v>
      </c>
      <c r="C1812">
        <v>2639</v>
      </c>
      <c r="D1812" t="s">
        <v>4307</v>
      </c>
      <c r="E1812" t="s">
        <v>18</v>
      </c>
      <c r="F1812" t="s">
        <v>58</v>
      </c>
      <c r="G1812">
        <v>23320.44</v>
      </c>
      <c r="H1812">
        <v>12241.57</v>
      </c>
      <c r="I1812" t="s">
        <v>59</v>
      </c>
      <c r="J1812" t="s">
        <v>41</v>
      </c>
      <c r="K1812" t="s">
        <v>22</v>
      </c>
      <c r="L1812" t="s">
        <v>23</v>
      </c>
      <c r="M1812">
        <v>5</v>
      </c>
      <c r="N1812" t="s">
        <v>24</v>
      </c>
      <c r="O1812" t="s">
        <v>25</v>
      </c>
      <c r="P1812" t="s">
        <v>26</v>
      </c>
    </row>
    <row r="1813" spans="1:16" x14ac:dyDescent="0.25">
      <c r="A1813" t="s">
        <v>4308</v>
      </c>
      <c r="B1813" s="6">
        <v>44906</v>
      </c>
      <c r="C1813">
        <v>8036</v>
      </c>
      <c r="D1813" t="s">
        <v>4310</v>
      </c>
      <c r="E1813" t="s">
        <v>38</v>
      </c>
      <c r="F1813" t="s">
        <v>19</v>
      </c>
      <c r="G1813">
        <v>12488.73</v>
      </c>
      <c r="H1813">
        <v>6064.14</v>
      </c>
      <c r="I1813" t="s">
        <v>31</v>
      </c>
      <c r="J1813" t="s">
        <v>21</v>
      </c>
      <c r="K1813" t="s">
        <v>32</v>
      </c>
      <c r="L1813" t="s">
        <v>43</v>
      </c>
      <c r="M1813">
        <v>3</v>
      </c>
      <c r="N1813" t="s">
        <v>24</v>
      </c>
      <c r="O1813" t="s">
        <v>25</v>
      </c>
      <c r="P1813" t="s">
        <v>34</v>
      </c>
    </row>
    <row r="1814" spans="1:16" x14ac:dyDescent="0.25">
      <c r="A1814" t="s">
        <v>4311</v>
      </c>
      <c r="B1814" s="6">
        <v>44580</v>
      </c>
      <c r="C1814">
        <v>1307</v>
      </c>
      <c r="D1814" t="s">
        <v>4312</v>
      </c>
      <c r="E1814" t="s">
        <v>38</v>
      </c>
      <c r="F1814" t="s">
        <v>39</v>
      </c>
      <c r="G1814">
        <v>21315.29</v>
      </c>
      <c r="H1814">
        <v>12683.81</v>
      </c>
      <c r="I1814" t="s">
        <v>53</v>
      </c>
      <c r="J1814" t="s">
        <v>54</v>
      </c>
      <c r="K1814" t="s">
        <v>42</v>
      </c>
      <c r="L1814" t="s">
        <v>48</v>
      </c>
      <c r="M1814">
        <v>2</v>
      </c>
      <c r="N1814" t="s">
        <v>24</v>
      </c>
      <c r="O1814" t="s">
        <v>25</v>
      </c>
      <c r="P1814" t="s">
        <v>34</v>
      </c>
    </row>
    <row r="1815" spans="1:16" x14ac:dyDescent="0.25">
      <c r="A1815" t="s">
        <v>4313</v>
      </c>
      <c r="B1815" s="6">
        <v>44772</v>
      </c>
      <c r="C1815">
        <v>3862</v>
      </c>
      <c r="D1815" t="s">
        <v>4314</v>
      </c>
      <c r="E1815" t="s">
        <v>18</v>
      </c>
      <c r="F1815" t="s">
        <v>30</v>
      </c>
      <c r="G1815">
        <v>64992.45</v>
      </c>
      <c r="H1815">
        <v>40036.239999999998</v>
      </c>
      <c r="I1815" t="s">
        <v>31</v>
      </c>
      <c r="J1815" t="s">
        <v>21</v>
      </c>
      <c r="K1815" t="s">
        <v>42</v>
      </c>
      <c r="L1815" t="s">
        <v>43</v>
      </c>
      <c r="M1815">
        <v>1</v>
      </c>
      <c r="N1815" t="s">
        <v>24</v>
      </c>
      <c r="O1815" t="s">
        <v>70</v>
      </c>
      <c r="P1815" t="s">
        <v>49</v>
      </c>
    </row>
    <row r="1816" spans="1:16" x14ac:dyDescent="0.25">
      <c r="A1816" t="s">
        <v>4315</v>
      </c>
      <c r="B1816" s="6">
        <v>44799</v>
      </c>
      <c r="C1816">
        <v>3047</v>
      </c>
      <c r="D1816" t="s">
        <v>3422</v>
      </c>
      <c r="E1816" t="s">
        <v>18</v>
      </c>
      <c r="F1816" t="s">
        <v>39</v>
      </c>
      <c r="G1816">
        <v>34694.01</v>
      </c>
      <c r="H1816">
        <v>16374.11</v>
      </c>
      <c r="I1816" t="s">
        <v>63</v>
      </c>
      <c r="J1816" t="s">
        <v>54</v>
      </c>
      <c r="K1816" t="s">
        <v>42</v>
      </c>
      <c r="L1816" t="s">
        <v>48</v>
      </c>
      <c r="M1816">
        <v>3</v>
      </c>
      <c r="N1816" t="s">
        <v>24</v>
      </c>
      <c r="O1816" t="s">
        <v>70</v>
      </c>
      <c r="P1816" t="s">
        <v>34</v>
      </c>
    </row>
    <row r="1817" spans="1:16" x14ac:dyDescent="0.25">
      <c r="A1817" t="s">
        <v>4317</v>
      </c>
      <c r="B1817" s="6">
        <v>44168</v>
      </c>
      <c r="C1817">
        <v>9790</v>
      </c>
      <c r="D1817" t="s">
        <v>4318</v>
      </c>
      <c r="E1817" t="s">
        <v>38</v>
      </c>
      <c r="F1817" t="s">
        <v>39</v>
      </c>
      <c r="G1817">
        <v>8553.92</v>
      </c>
      <c r="H1817">
        <v>4452.1400000000003</v>
      </c>
      <c r="I1817" t="s">
        <v>120</v>
      </c>
      <c r="J1817" t="s">
        <v>21</v>
      </c>
      <c r="K1817" t="s">
        <v>42</v>
      </c>
      <c r="L1817" t="s">
        <v>64</v>
      </c>
      <c r="M1817">
        <v>5</v>
      </c>
      <c r="N1817" t="s">
        <v>33</v>
      </c>
      <c r="O1817" t="s">
        <v>25</v>
      </c>
      <c r="P1817" t="s">
        <v>26</v>
      </c>
    </row>
    <row r="1818" spans="1:16" x14ac:dyDescent="0.25">
      <c r="A1818" t="s">
        <v>4319</v>
      </c>
      <c r="B1818" s="6">
        <v>45085</v>
      </c>
      <c r="C1818">
        <v>7447</v>
      </c>
      <c r="D1818" t="s">
        <v>4320</v>
      </c>
      <c r="E1818" t="s">
        <v>38</v>
      </c>
      <c r="F1818" t="s">
        <v>47</v>
      </c>
      <c r="G1818">
        <v>18553</v>
      </c>
      <c r="H1818">
        <v>9736.9599999999991</v>
      </c>
      <c r="I1818" t="s">
        <v>84</v>
      </c>
      <c r="J1818" t="s">
        <v>54</v>
      </c>
      <c r="K1818" t="s">
        <v>32</v>
      </c>
      <c r="L1818" t="s">
        <v>43</v>
      </c>
      <c r="M1818">
        <v>3</v>
      </c>
      <c r="N1818" t="s">
        <v>33</v>
      </c>
      <c r="O1818" t="s">
        <v>70</v>
      </c>
      <c r="P1818" t="s">
        <v>49</v>
      </c>
    </row>
    <row r="1819" spans="1:16" x14ac:dyDescent="0.25">
      <c r="A1819" t="s">
        <v>4321</v>
      </c>
      <c r="B1819" s="6">
        <v>44176</v>
      </c>
      <c r="C1819">
        <v>6636</v>
      </c>
      <c r="D1819" t="s">
        <v>4322</v>
      </c>
      <c r="E1819" t="s">
        <v>38</v>
      </c>
      <c r="F1819" t="s">
        <v>39</v>
      </c>
      <c r="G1819">
        <v>28481.07</v>
      </c>
      <c r="H1819">
        <v>14533.39</v>
      </c>
      <c r="I1819" t="s">
        <v>53</v>
      </c>
      <c r="J1819" t="s">
        <v>54</v>
      </c>
      <c r="K1819" t="s">
        <v>80</v>
      </c>
      <c r="L1819" t="s">
        <v>88</v>
      </c>
      <c r="M1819">
        <v>5</v>
      </c>
      <c r="N1819" t="s">
        <v>33</v>
      </c>
      <c r="O1819" t="s">
        <v>25</v>
      </c>
      <c r="P1819" t="s">
        <v>26</v>
      </c>
    </row>
    <row r="1820" spans="1:16" x14ac:dyDescent="0.25">
      <c r="A1820" t="s">
        <v>4323</v>
      </c>
      <c r="B1820" s="6">
        <v>44889</v>
      </c>
      <c r="C1820">
        <v>4168</v>
      </c>
      <c r="D1820" t="s">
        <v>4324</v>
      </c>
      <c r="E1820" t="s">
        <v>38</v>
      </c>
      <c r="F1820" t="s">
        <v>19</v>
      </c>
      <c r="G1820">
        <v>7117.01</v>
      </c>
      <c r="H1820">
        <v>3506.42</v>
      </c>
      <c r="I1820" t="s">
        <v>84</v>
      </c>
      <c r="J1820" t="s">
        <v>54</v>
      </c>
      <c r="K1820" t="s">
        <v>42</v>
      </c>
      <c r="L1820" t="s">
        <v>64</v>
      </c>
      <c r="M1820">
        <v>1</v>
      </c>
      <c r="N1820" t="s">
        <v>33</v>
      </c>
      <c r="O1820" t="s">
        <v>25</v>
      </c>
      <c r="P1820" t="s">
        <v>34</v>
      </c>
    </row>
    <row r="1821" spans="1:16" x14ac:dyDescent="0.25">
      <c r="A1821" t="s">
        <v>4325</v>
      </c>
      <c r="B1821" s="6">
        <v>44611</v>
      </c>
      <c r="C1821">
        <v>9072</v>
      </c>
      <c r="D1821" t="s">
        <v>4326</v>
      </c>
      <c r="E1821" t="s">
        <v>38</v>
      </c>
      <c r="F1821" t="s">
        <v>47</v>
      </c>
      <c r="G1821">
        <v>13805.46</v>
      </c>
      <c r="H1821">
        <v>8439.66</v>
      </c>
      <c r="I1821" t="s">
        <v>84</v>
      </c>
      <c r="J1821" t="s">
        <v>54</v>
      </c>
      <c r="K1821" t="s">
        <v>32</v>
      </c>
      <c r="L1821" t="s">
        <v>88</v>
      </c>
      <c r="M1821">
        <v>1</v>
      </c>
      <c r="N1821" t="s">
        <v>24</v>
      </c>
      <c r="O1821" t="s">
        <v>70</v>
      </c>
      <c r="P1821" t="s">
        <v>49</v>
      </c>
    </row>
    <row r="1822" spans="1:16" x14ac:dyDescent="0.25">
      <c r="A1822" t="s">
        <v>4327</v>
      </c>
      <c r="B1822" s="6">
        <v>44342</v>
      </c>
      <c r="C1822">
        <v>7593</v>
      </c>
      <c r="D1822" t="s">
        <v>300</v>
      </c>
      <c r="E1822" t="s">
        <v>18</v>
      </c>
      <c r="F1822" t="s">
        <v>30</v>
      </c>
      <c r="G1822">
        <v>21373.35</v>
      </c>
      <c r="H1822">
        <v>9726.58</v>
      </c>
      <c r="I1822" t="s">
        <v>63</v>
      </c>
      <c r="J1822" t="s">
        <v>54</v>
      </c>
      <c r="K1822" t="s">
        <v>80</v>
      </c>
      <c r="L1822" t="s">
        <v>55</v>
      </c>
      <c r="M1822">
        <v>1</v>
      </c>
      <c r="N1822" t="s">
        <v>33</v>
      </c>
      <c r="O1822" t="s">
        <v>25</v>
      </c>
      <c r="P1822" t="s">
        <v>49</v>
      </c>
    </row>
    <row r="1823" spans="1:16" x14ac:dyDescent="0.25">
      <c r="A1823" t="s">
        <v>4328</v>
      </c>
      <c r="B1823" s="6">
        <v>44580</v>
      </c>
      <c r="C1823">
        <v>8536</v>
      </c>
      <c r="D1823" t="s">
        <v>4329</v>
      </c>
      <c r="E1823" t="s">
        <v>38</v>
      </c>
      <c r="F1823" t="s">
        <v>19</v>
      </c>
      <c r="G1823">
        <v>14198.46</v>
      </c>
      <c r="H1823">
        <v>7777.58</v>
      </c>
      <c r="I1823" t="s">
        <v>63</v>
      </c>
      <c r="J1823" t="s">
        <v>54</v>
      </c>
      <c r="K1823" t="s">
        <v>80</v>
      </c>
      <c r="L1823" t="s">
        <v>48</v>
      </c>
      <c r="M1823">
        <v>5</v>
      </c>
      <c r="N1823" t="s">
        <v>33</v>
      </c>
      <c r="O1823" t="s">
        <v>25</v>
      </c>
      <c r="P1823" t="s">
        <v>34</v>
      </c>
    </row>
    <row r="1824" spans="1:16" x14ac:dyDescent="0.25">
      <c r="A1824" t="s">
        <v>4330</v>
      </c>
      <c r="B1824" s="6">
        <v>44383</v>
      </c>
      <c r="C1824">
        <v>4872</v>
      </c>
      <c r="D1824" t="s">
        <v>4331</v>
      </c>
      <c r="E1824" t="s">
        <v>38</v>
      </c>
      <c r="F1824" t="s">
        <v>47</v>
      </c>
      <c r="G1824">
        <v>6854.93</v>
      </c>
      <c r="H1824">
        <v>4012.68</v>
      </c>
      <c r="I1824" t="s">
        <v>120</v>
      </c>
      <c r="J1824" t="s">
        <v>21</v>
      </c>
      <c r="K1824" t="s">
        <v>42</v>
      </c>
      <c r="L1824" t="s">
        <v>23</v>
      </c>
      <c r="M1824">
        <v>4</v>
      </c>
      <c r="N1824" t="s">
        <v>24</v>
      </c>
      <c r="O1824" t="s">
        <v>25</v>
      </c>
      <c r="P1824" t="s">
        <v>49</v>
      </c>
    </row>
    <row r="1825" spans="1:16" x14ac:dyDescent="0.25">
      <c r="A1825" t="s">
        <v>4332</v>
      </c>
      <c r="B1825" s="6">
        <v>44812</v>
      </c>
      <c r="C1825">
        <v>8445</v>
      </c>
      <c r="D1825" t="s">
        <v>4333</v>
      </c>
      <c r="E1825" t="s">
        <v>18</v>
      </c>
      <c r="F1825" t="s">
        <v>30</v>
      </c>
      <c r="G1825">
        <v>21697.279999999999</v>
      </c>
      <c r="H1825">
        <v>12099.84</v>
      </c>
      <c r="I1825" t="s">
        <v>31</v>
      </c>
      <c r="J1825" t="s">
        <v>21</v>
      </c>
      <c r="K1825" t="s">
        <v>42</v>
      </c>
      <c r="L1825" t="s">
        <v>55</v>
      </c>
      <c r="M1825">
        <v>2</v>
      </c>
      <c r="N1825" t="s">
        <v>33</v>
      </c>
      <c r="O1825" t="s">
        <v>25</v>
      </c>
      <c r="P1825" t="s">
        <v>26</v>
      </c>
    </row>
    <row r="1826" spans="1:16" x14ac:dyDescent="0.25">
      <c r="A1826" t="s">
        <v>4334</v>
      </c>
      <c r="B1826" s="6">
        <v>44586</v>
      </c>
      <c r="C1826">
        <v>8669</v>
      </c>
      <c r="D1826" t="s">
        <v>4335</v>
      </c>
      <c r="E1826" t="s">
        <v>38</v>
      </c>
      <c r="F1826" t="s">
        <v>58</v>
      </c>
      <c r="G1826">
        <v>14103.83</v>
      </c>
      <c r="H1826">
        <v>8138.62</v>
      </c>
      <c r="I1826" t="s">
        <v>31</v>
      </c>
      <c r="J1826" t="s">
        <v>21</v>
      </c>
      <c r="K1826" t="s">
        <v>32</v>
      </c>
      <c r="L1826" t="s">
        <v>64</v>
      </c>
      <c r="M1826">
        <v>4</v>
      </c>
      <c r="N1826" t="s">
        <v>69</v>
      </c>
      <c r="O1826" t="s">
        <v>70</v>
      </c>
      <c r="P1826" t="s">
        <v>34</v>
      </c>
    </row>
    <row r="1827" spans="1:16" x14ac:dyDescent="0.25">
      <c r="A1827" t="s">
        <v>4336</v>
      </c>
      <c r="B1827" s="6">
        <v>44594</v>
      </c>
      <c r="C1827">
        <v>9522</v>
      </c>
      <c r="D1827" t="s">
        <v>4337</v>
      </c>
      <c r="E1827" t="s">
        <v>18</v>
      </c>
      <c r="F1827" t="s">
        <v>30</v>
      </c>
      <c r="G1827">
        <v>26309.26</v>
      </c>
      <c r="H1827">
        <v>15878.4</v>
      </c>
      <c r="I1827" t="s">
        <v>31</v>
      </c>
      <c r="J1827" t="s">
        <v>21</v>
      </c>
      <c r="K1827" t="s">
        <v>22</v>
      </c>
      <c r="L1827" t="s">
        <v>48</v>
      </c>
      <c r="M1827">
        <v>1</v>
      </c>
      <c r="N1827" t="s">
        <v>69</v>
      </c>
      <c r="O1827" t="s">
        <v>70</v>
      </c>
      <c r="P1827" t="s">
        <v>26</v>
      </c>
    </row>
    <row r="1828" spans="1:16" x14ac:dyDescent="0.25">
      <c r="A1828" t="s">
        <v>4338</v>
      </c>
      <c r="B1828" s="6">
        <v>44640</v>
      </c>
      <c r="C1828">
        <v>1412</v>
      </c>
      <c r="D1828" t="s">
        <v>2640</v>
      </c>
      <c r="E1828" t="s">
        <v>18</v>
      </c>
      <c r="F1828" t="s">
        <v>30</v>
      </c>
      <c r="G1828">
        <v>62343.44</v>
      </c>
      <c r="H1828">
        <v>32327.63</v>
      </c>
      <c r="I1828" t="s">
        <v>40</v>
      </c>
      <c r="J1828" t="s">
        <v>41</v>
      </c>
      <c r="K1828" t="s">
        <v>80</v>
      </c>
      <c r="L1828" t="s">
        <v>23</v>
      </c>
      <c r="M1828">
        <v>4</v>
      </c>
      <c r="N1828" t="s">
        <v>69</v>
      </c>
      <c r="O1828" t="s">
        <v>70</v>
      </c>
      <c r="P1828" t="s">
        <v>49</v>
      </c>
    </row>
    <row r="1829" spans="1:16" x14ac:dyDescent="0.25">
      <c r="A1829" t="s">
        <v>4339</v>
      </c>
      <c r="B1829" s="6">
        <v>45194</v>
      </c>
      <c r="C1829">
        <v>8031</v>
      </c>
      <c r="D1829" t="s">
        <v>4340</v>
      </c>
      <c r="E1829" t="s">
        <v>18</v>
      </c>
      <c r="F1829" t="s">
        <v>58</v>
      </c>
      <c r="G1829">
        <v>12964</v>
      </c>
      <c r="H1829">
        <v>6161.16</v>
      </c>
      <c r="I1829" t="s">
        <v>20</v>
      </c>
      <c r="J1829" t="s">
        <v>21</v>
      </c>
      <c r="K1829" t="s">
        <v>32</v>
      </c>
      <c r="L1829" t="s">
        <v>23</v>
      </c>
      <c r="M1829">
        <v>2</v>
      </c>
      <c r="N1829" t="s">
        <v>33</v>
      </c>
      <c r="O1829" t="s">
        <v>70</v>
      </c>
      <c r="P1829" t="s">
        <v>26</v>
      </c>
    </row>
    <row r="1830" spans="1:16" x14ac:dyDescent="0.25">
      <c r="A1830" t="s">
        <v>4341</v>
      </c>
      <c r="B1830" s="6">
        <v>43886</v>
      </c>
      <c r="C1830">
        <v>9015</v>
      </c>
      <c r="D1830" t="s">
        <v>4342</v>
      </c>
      <c r="E1830" t="s">
        <v>18</v>
      </c>
      <c r="F1830" t="s">
        <v>47</v>
      </c>
      <c r="G1830">
        <v>11732.65</v>
      </c>
      <c r="H1830">
        <v>7180.41</v>
      </c>
      <c r="I1830" t="s">
        <v>63</v>
      </c>
      <c r="J1830" t="s">
        <v>54</v>
      </c>
      <c r="K1830" t="s">
        <v>42</v>
      </c>
      <c r="L1830" t="s">
        <v>64</v>
      </c>
      <c r="M1830">
        <v>3</v>
      </c>
      <c r="N1830" t="s">
        <v>24</v>
      </c>
      <c r="O1830" t="s">
        <v>25</v>
      </c>
      <c r="P1830" t="s">
        <v>49</v>
      </c>
    </row>
    <row r="1831" spans="1:16" x14ac:dyDescent="0.25">
      <c r="A1831" t="s">
        <v>4343</v>
      </c>
      <c r="B1831" s="6">
        <v>44548</v>
      </c>
      <c r="C1831">
        <v>5590</v>
      </c>
      <c r="D1831" t="s">
        <v>2548</v>
      </c>
      <c r="E1831" t="s">
        <v>38</v>
      </c>
      <c r="F1831" t="s">
        <v>19</v>
      </c>
      <c r="G1831">
        <v>17243.86</v>
      </c>
      <c r="H1831">
        <v>8136.95</v>
      </c>
      <c r="I1831" t="s">
        <v>53</v>
      </c>
      <c r="J1831" t="s">
        <v>54</v>
      </c>
      <c r="K1831" t="s">
        <v>22</v>
      </c>
      <c r="L1831" t="s">
        <v>48</v>
      </c>
      <c r="M1831">
        <v>5</v>
      </c>
      <c r="N1831" t="s">
        <v>24</v>
      </c>
      <c r="O1831" t="s">
        <v>70</v>
      </c>
      <c r="P1831" t="s">
        <v>49</v>
      </c>
    </row>
    <row r="1832" spans="1:16" x14ac:dyDescent="0.25">
      <c r="A1832" t="s">
        <v>4344</v>
      </c>
      <c r="B1832" s="6">
        <v>45188</v>
      </c>
      <c r="C1832">
        <v>6539</v>
      </c>
      <c r="D1832" t="s">
        <v>4345</v>
      </c>
      <c r="E1832" t="s">
        <v>18</v>
      </c>
      <c r="F1832" t="s">
        <v>39</v>
      </c>
      <c r="G1832">
        <v>12298.53</v>
      </c>
      <c r="H1832">
        <v>6893.61</v>
      </c>
      <c r="I1832" t="s">
        <v>63</v>
      </c>
      <c r="J1832" t="s">
        <v>54</v>
      </c>
      <c r="K1832" t="s">
        <v>22</v>
      </c>
      <c r="L1832" t="s">
        <v>48</v>
      </c>
      <c r="M1832">
        <v>5</v>
      </c>
      <c r="N1832" t="s">
        <v>33</v>
      </c>
      <c r="O1832" t="s">
        <v>70</v>
      </c>
      <c r="P1832" t="s">
        <v>49</v>
      </c>
    </row>
    <row r="1833" spans="1:16" x14ac:dyDescent="0.25">
      <c r="A1833" t="s">
        <v>4346</v>
      </c>
      <c r="B1833" s="6">
        <v>45070</v>
      </c>
      <c r="C1833">
        <v>2315</v>
      </c>
      <c r="D1833" t="s">
        <v>4348</v>
      </c>
      <c r="E1833" t="s">
        <v>38</v>
      </c>
      <c r="F1833" t="s">
        <v>19</v>
      </c>
      <c r="G1833">
        <v>12473.86</v>
      </c>
      <c r="H1833">
        <v>5948.98</v>
      </c>
      <c r="I1833" t="s">
        <v>53</v>
      </c>
      <c r="J1833" t="s">
        <v>54</v>
      </c>
      <c r="K1833" t="s">
        <v>22</v>
      </c>
      <c r="L1833" t="s">
        <v>55</v>
      </c>
      <c r="M1833">
        <v>3</v>
      </c>
      <c r="N1833" t="s">
        <v>24</v>
      </c>
      <c r="O1833" t="s">
        <v>25</v>
      </c>
      <c r="P1833" t="s">
        <v>26</v>
      </c>
    </row>
    <row r="1834" spans="1:16" x14ac:dyDescent="0.25">
      <c r="A1834" t="s">
        <v>4349</v>
      </c>
      <c r="B1834" s="6">
        <v>44423</v>
      </c>
      <c r="C1834">
        <v>9875</v>
      </c>
      <c r="D1834" t="s">
        <v>4350</v>
      </c>
      <c r="E1834" t="s">
        <v>18</v>
      </c>
      <c r="F1834" t="s">
        <v>47</v>
      </c>
      <c r="G1834">
        <v>14170.58</v>
      </c>
      <c r="H1834">
        <v>6409.12</v>
      </c>
      <c r="I1834" t="s">
        <v>63</v>
      </c>
      <c r="J1834" t="s">
        <v>54</v>
      </c>
      <c r="K1834" t="s">
        <v>22</v>
      </c>
      <c r="L1834" t="s">
        <v>43</v>
      </c>
      <c r="M1834">
        <v>4</v>
      </c>
      <c r="N1834" t="s">
        <v>69</v>
      </c>
      <c r="O1834" t="s">
        <v>25</v>
      </c>
      <c r="P1834" t="s">
        <v>34</v>
      </c>
    </row>
    <row r="1835" spans="1:16" x14ac:dyDescent="0.25">
      <c r="A1835" t="s">
        <v>4351</v>
      </c>
      <c r="B1835" s="6">
        <v>45142</v>
      </c>
      <c r="C1835">
        <v>8916</v>
      </c>
      <c r="D1835" t="s">
        <v>4352</v>
      </c>
      <c r="E1835" t="s">
        <v>38</v>
      </c>
      <c r="F1835" t="s">
        <v>58</v>
      </c>
      <c r="G1835">
        <v>13812.73</v>
      </c>
      <c r="H1835">
        <v>7717.07</v>
      </c>
      <c r="I1835" t="s">
        <v>120</v>
      </c>
      <c r="J1835" t="s">
        <v>21</v>
      </c>
      <c r="K1835" t="s">
        <v>80</v>
      </c>
      <c r="L1835" t="s">
        <v>64</v>
      </c>
      <c r="M1835">
        <v>2</v>
      </c>
      <c r="N1835" t="s">
        <v>24</v>
      </c>
      <c r="O1835" t="s">
        <v>25</v>
      </c>
      <c r="P1835" t="s">
        <v>34</v>
      </c>
    </row>
    <row r="1836" spans="1:16" x14ac:dyDescent="0.25">
      <c r="A1836" t="s">
        <v>4353</v>
      </c>
      <c r="B1836" s="6">
        <v>44044</v>
      </c>
      <c r="C1836">
        <v>2536</v>
      </c>
      <c r="D1836" t="s">
        <v>3884</v>
      </c>
      <c r="E1836" t="s">
        <v>38</v>
      </c>
      <c r="F1836" t="s">
        <v>19</v>
      </c>
      <c r="G1836">
        <v>5072.03</v>
      </c>
      <c r="H1836">
        <v>2568.41</v>
      </c>
      <c r="I1836" t="s">
        <v>53</v>
      </c>
      <c r="J1836" t="s">
        <v>54</v>
      </c>
      <c r="K1836" t="s">
        <v>80</v>
      </c>
      <c r="L1836" t="s">
        <v>43</v>
      </c>
      <c r="M1836">
        <v>1</v>
      </c>
      <c r="N1836" t="s">
        <v>24</v>
      </c>
      <c r="O1836" t="s">
        <v>25</v>
      </c>
      <c r="P1836" t="s">
        <v>34</v>
      </c>
    </row>
    <row r="1837" spans="1:16" x14ac:dyDescent="0.25">
      <c r="A1837" t="s">
        <v>4354</v>
      </c>
      <c r="B1837" s="6">
        <v>45635</v>
      </c>
      <c r="C1837">
        <v>7342</v>
      </c>
      <c r="D1837" t="s">
        <v>4355</v>
      </c>
      <c r="E1837" t="s">
        <v>38</v>
      </c>
      <c r="F1837" t="s">
        <v>58</v>
      </c>
      <c r="G1837">
        <v>30197.46</v>
      </c>
      <c r="H1837">
        <v>18395.36</v>
      </c>
      <c r="I1837" t="s">
        <v>68</v>
      </c>
      <c r="J1837" t="s">
        <v>41</v>
      </c>
      <c r="K1837" t="s">
        <v>42</v>
      </c>
      <c r="L1837" t="s">
        <v>43</v>
      </c>
      <c r="M1837">
        <v>4</v>
      </c>
      <c r="N1837" t="s">
        <v>24</v>
      </c>
      <c r="O1837" t="s">
        <v>25</v>
      </c>
      <c r="P1837" t="s">
        <v>49</v>
      </c>
    </row>
    <row r="1838" spans="1:16" x14ac:dyDescent="0.25">
      <c r="A1838" t="s">
        <v>4356</v>
      </c>
      <c r="B1838" s="6">
        <v>45410</v>
      </c>
      <c r="C1838">
        <v>1334</v>
      </c>
      <c r="D1838" t="s">
        <v>4357</v>
      </c>
      <c r="E1838" t="s">
        <v>38</v>
      </c>
      <c r="F1838" t="s">
        <v>39</v>
      </c>
      <c r="G1838">
        <v>49339.06</v>
      </c>
      <c r="H1838">
        <v>24671.23</v>
      </c>
      <c r="I1838" t="s">
        <v>63</v>
      </c>
      <c r="J1838" t="s">
        <v>54</v>
      </c>
      <c r="K1838" t="s">
        <v>22</v>
      </c>
      <c r="L1838" t="s">
        <v>43</v>
      </c>
      <c r="M1838">
        <v>4</v>
      </c>
      <c r="N1838" t="s">
        <v>24</v>
      </c>
      <c r="O1838" t="s">
        <v>25</v>
      </c>
      <c r="P1838" t="s">
        <v>26</v>
      </c>
    </row>
    <row r="1839" spans="1:16" x14ac:dyDescent="0.25">
      <c r="A1839" t="s">
        <v>4358</v>
      </c>
      <c r="B1839" s="6">
        <v>45597</v>
      </c>
      <c r="C1839">
        <v>1869</v>
      </c>
      <c r="D1839" t="s">
        <v>4359</v>
      </c>
      <c r="E1839" t="s">
        <v>18</v>
      </c>
      <c r="F1839" t="s">
        <v>47</v>
      </c>
      <c r="G1839">
        <v>14105.84</v>
      </c>
      <c r="H1839">
        <v>8427.94</v>
      </c>
      <c r="I1839" t="s">
        <v>84</v>
      </c>
      <c r="J1839" t="s">
        <v>54</v>
      </c>
      <c r="K1839" t="s">
        <v>42</v>
      </c>
      <c r="L1839" t="s">
        <v>43</v>
      </c>
      <c r="M1839">
        <v>5</v>
      </c>
      <c r="N1839" t="s">
        <v>33</v>
      </c>
      <c r="O1839" t="s">
        <v>25</v>
      </c>
      <c r="P1839" t="s">
        <v>49</v>
      </c>
    </row>
    <row r="1840" spans="1:16" x14ac:dyDescent="0.25">
      <c r="A1840" t="s">
        <v>4360</v>
      </c>
      <c r="B1840" s="6">
        <v>43972</v>
      </c>
      <c r="C1840">
        <v>2931</v>
      </c>
      <c r="D1840" t="s">
        <v>4362</v>
      </c>
      <c r="E1840" t="s">
        <v>38</v>
      </c>
      <c r="F1840" t="s">
        <v>30</v>
      </c>
      <c r="G1840">
        <v>71393.37</v>
      </c>
      <c r="H1840">
        <v>33083.47</v>
      </c>
      <c r="I1840" t="s">
        <v>53</v>
      </c>
      <c r="J1840" t="s">
        <v>54</v>
      </c>
      <c r="K1840" t="s">
        <v>32</v>
      </c>
      <c r="L1840" t="s">
        <v>48</v>
      </c>
      <c r="M1840">
        <v>4</v>
      </c>
      <c r="N1840" t="s">
        <v>24</v>
      </c>
      <c r="O1840" t="s">
        <v>70</v>
      </c>
      <c r="P1840" t="s">
        <v>34</v>
      </c>
    </row>
    <row r="1841" spans="1:16" x14ac:dyDescent="0.25">
      <c r="A1841" t="s">
        <v>4363</v>
      </c>
      <c r="B1841" s="6">
        <v>44254</v>
      </c>
      <c r="C1841">
        <v>1410</v>
      </c>
      <c r="D1841" t="s">
        <v>4364</v>
      </c>
      <c r="E1841" t="s">
        <v>38</v>
      </c>
      <c r="F1841" t="s">
        <v>19</v>
      </c>
      <c r="G1841">
        <v>5622.21</v>
      </c>
      <c r="H1841">
        <v>2840.73</v>
      </c>
      <c r="I1841" t="s">
        <v>59</v>
      </c>
      <c r="J1841" t="s">
        <v>41</v>
      </c>
      <c r="K1841" t="s">
        <v>22</v>
      </c>
      <c r="L1841" t="s">
        <v>23</v>
      </c>
      <c r="M1841">
        <v>5</v>
      </c>
      <c r="N1841" t="s">
        <v>33</v>
      </c>
      <c r="O1841" t="s">
        <v>70</v>
      </c>
      <c r="P1841" t="s">
        <v>34</v>
      </c>
    </row>
    <row r="1842" spans="1:16" x14ac:dyDescent="0.25">
      <c r="A1842" t="s">
        <v>4365</v>
      </c>
      <c r="B1842" s="6">
        <v>44515</v>
      </c>
      <c r="C1842">
        <v>2354</v>
      </c>
      <c r="D1842" t="s">
        <v>1795</v>
      </c>
      <c r="E1842" t="s">
        <v>18</v>
      </c>
      <c r="F1842" t="s">
        <v>47</v>
      </c>
      <c r="G1842">
        <v>6462.69</v>
      </c>
      <c r="H1842">
        <v>3488.09</v>
      </c>
      <c r="I1842" t="s">
        <v>31</v>
      </c>
      <c r="J1842" t="s">
        <v>21</v>
      </c>
      <c r="K1842" t="s">
        <v>42</v>
      </c>
      <c r="L1842" t="s">
        <v>55</v>
      </c>
      <c r="M1842">
        <v>4</v>
      </c>
      <c r="N1842" t="s">
        <v>33</v>
      </c>
      <c r="O1842" t="s">
        <v>70</v>
      </c>
      <c r="P1842" t="s">
        <v>34</v>
      </c>
    </row>
    <row r="1843" spans="1:16" x14ac:dyDescent="0.25">
      <c r="A1843" t="s">
        <v>4366</v>
      </c>
      <c r="B1843" s="6">
        <v>44280</v>
      </c>
      <c r="C1843">
        <v>5984</v>
      </c>
      <c r="D1843" t="s">
        <v>4367</v>
      </c>
      <c r="E1843" t="s">
        <v>18</v>
      </c>
      <c r="F1843" t="s">
        <v>19</v>
      </c>
      <c r="G1843">
        <v>14158.04</v>
      </c>
      <c r="H1843">
        <v>8537.74</v>
      </c>
      <c r="I1843" t="s">
        <v>31</v>
      </c>
      <c r="J1843" t="s">
        <v>21</v>
      </c>
      <c r="K1843" t="s">
        <v>32</v>
      </c>
      <c r="L1843" t="s">
        <v>43</v>
      </c>
      <c r="M1843">
        <v>2</v>
      </c>
      <c r="N1843" t="s">
        <v>33</v>
      </c>
      <c r="O1843" t="s">
        <v>25</v>
      </c>
      <c r="P1843" t="s">
        <v>34</v>
      </c>
    </row>
    <row r="1844" spans="1:16" x14ac:dyDescent="0.25">
      <c r="A1844" t="s">
        <v>4368</v>
      </c>
      <c r="B1844" s="6">
        <v>45223</v>
      </c>
      <c r="C1844">
        <v>4613</v>
      </c>
      <c r="D1844" t="s">
        <v>4370</v>
      </c>
      <c r="E1844" t="s">
        <v>38</v>
      </c>
      <c r="F1844" t="s">
        <v>30</v>
      </c>
      <c r="G1844">
        <v>81633.789999999994</v>
      </c>
      <c r="H1844">
        <v>50814.14</v>
      </c>
      <c r="I1844" t="s">
        <v>31</v>
      </c>
      <c r="J1844" t="s">
        <v>21</v>
      </c>
      <c r="K1844" t="s">
        <v>80</v>
      </c>
      <c r="L1844" t="s">
        <v>55</v>
      </c>
      <c r="M1844">
        <v>4</v>
      </c>
      <c r="N1844" t="s">
        <v>69</v>
      </c>
      <c r="O1844" t="s">
        <v>25</v>
      </c>
      <c r="P1844" t="s">
        <v>34</v>
      </c>
    </row>
    <row r="1845" spans="1:16" x14ac:dyDescent="0.25">
      <c r="A1845" t="s">
        <v>4371</v>
      </c>
      <c r="B1845" s="6">
        <v>44793</v>
      </c>
      <c r="C1845">
        <v>5971</v>
      </c>
      <c r="D1845" t="s">
        <v>4373</v>
      </c>
      <c r="E1845" t="s">
        <v>18</v>
      </c>
      <c r="F1845" t="s">
        <v>58</v>
      </c>
      <c r="G1845">
        <v>12794.07</v>
      </c>
      <c r="H1845">
        <v>8086.05</v>
      </c>
      <c r="I1845" t="s">
        <v>20</v>
      </c>
      <c r="J1845" t="s">
        <v>21</v>
      </c>
      <c r="K1845" t="s">
        <v>80</v>
      </c>
      <c r="L1845" t="s">
        <v>55</v>
      </c>
      <c r="M1845">
        <v>3</v>
      </c>
      <c r="N1845" t="s">
        <v>33</v>
      </c>
      <c r="O1845" t="s">
        <v>25</v>
      </c>
      <c r="P1845" t="s">
        <v>49</v>
      </c>
    </row>
    <row r="1846" spans="1:16" x14ac:dyDescent="0.25">
      <c r="A1846" t="s">
        <v>4374</v>
      </c>
      <c r="B1846" s="6">
        <v>45033</v>
      </c>
      <c r="C1846">
        <v>8343</v>
      </c>
      <c r="D1846" t="s">
        <v>4375</v>
      </c>
      <c r="E1846" t="s">
        <v>38</v>
      </c>
      <c r="F1846" t="s">
        <v>19</v>
      </c>
      <c r="G1846">
        <v>10004.94</v>
      </c>
      <c r="H1846">
        <v>4732.9399999999996</v>
      </c>
      <c r="I1846" t="s">
        <v>40</v>
      </c>
      <c r="J1846" t="s">
        <v>41</v>
      </c>
      <c r="K1846" t="s">
        <v>80</v>
      </c>
      <c r="L1846" t="s">
        <v>64</v>
      </c>
      <c r="M1846">
        <v>4</v>
      </c>
      <c r="N1846" t="s">
        <v>24</v>
      </c>
      <c r="O1846" t="s">
        <v>70</v>
      </c>
      <c r="P1846" t="s">
        <v>26</v>
      </c>
    </row>
    <row r="1847" spans="1:16" x14ac:dyDescent="0.25">
      <c r="A1847" t="s">
        <v>4376</v>
      </c>
      <c r="B1847" s="6">
        <v>44897</v>
      </c>
      <c r="C1847">
        <v>8455</v>
      </c>
      <c r="D1847" t="s">
        <v>4377</v>
      </c>
      <c r="E1847" t="s">
        <v>18</v>
      </c>
      <c r="F1847" t="s">
        <v>39</v>
      </c>
      <c r="G1847">
        <v>41773.24</v>
      </c>
      <c r="H1847">
        <v>24137.02</v>
      </c>
      <c r="I1847" t="s">
        <v>53</v>
      </c>
      <c r="J1847" t="s">
        <v>54</v>
      </c>
      <c r="K1847" t="s">
        <v>80</v>
      </c>
      <c r="L1847" t="s">
        <v>23</v>
      </c>
      <c r="M1847">
        <v>1</v>
      </c>
      <c r="N1847" t="s">
        <v>33</v>
      </c>
      <c r="O1847" t="s">
        <v>25</v>
      </c>
      <c r="P1847" t="s">
        <v>49</v>
      </c>
    </row>
    <row r="1848" spans="1:16" x14ac:dyDescent="0.25">
      <c r="A1848" t="s">
        <v>4378</v>
      </c>
      <c r="B1848" s="6">
        <v>45462</v>
      </c>
      <c r="C1848">
        <v>5325</v>
      </c>
      <c r="D1848" t="s">
        <v>4379</v>
      </c>
      <c r="E1848" t="s">
        <v>38</v>
      </c>
      <c r="F1848" t="s">
        <v>47</v>
      </c>
      <c r="G1848">
        <v>4942.3500000000004</v>
      </c>
      <c r="H1848">
        <v>2224.38</v>
      </c>
      <c r="I1848" t="s">
        <v>31</v>
      </c>
      <c r="J1848" t="s">
        <v>21</v>
      </c>
      <c r="K1848" t="s">
        <v>42</v>
      </c>
      <c r="L1848" t="s">
        <v>43</v>
      </c>
      <c r="M1848">
        <v>1</v>
      </c>
      <c r="N1848" t="s">
        <v>24</v>
      </c>
      <c r="O1848" t="s">
        <v>70</v>
      </c>
      <c r="P1848" t="s">
        <v>34</v>
      </c>
    </row>
    <row r="1849" spans="1:16" x14ac:dyDescent="0.25">
      <c r="A1849" t="s">
        <v>4380</v>
      </c>
      <c r="B1849" s="6">
        <v>45103</v>
      </c>
      <c r="C1849">
        <v>1320</v>
      </c>
      <c r="D1849" t="s">
        <v>3768</v>
      </c>
      <c r="E1849" t="s">
        <v>38</v>
      </c>
      <c r="F1849" t="s">
        <v>47</v>
      </c>
      <c r="G1849">
        <v>15023.68</v>
      </c>
      <c r="H1849">
        <v>7248.02</v>
      </c>
      <c r="I1849" t="s">
        <v>20</v>
      </c>
      <c r="J1849" t="s">
        <v>21</v>
      </c>
      <c r="K1849" t="s">
        <v>22</v>
      </c>
      <c r="L1849" t="s">
        <v>64</v>
      </c>
      <c r="M1849">
        <v>5</v>
      </c>
      <c r="N1849" t="s">
        <v>24</v>
      </c>
      <c r="O1849" t="s">
        <v>25</v>
      </c>
      <c r="P1849" t="s">
        <v>34</v>
      </c>
    </row>
    <row r="1850" spans="1:16" x14ac:dyDescent="0.25">
      <c r="A1850" t="s">
        <v>4381</v>
      </c>
      <c r="B1850" s="6">
        <v>45503</v>
      </c>
      <c r="C1850">
        <v>2723</v>
      </c>
      <c r="D1850" t="s">
        <v>4382</v>
      </c>
      <c r="E1850" t="s">
        <v>18</v>
      </c>
      <c r="F1850" t="s">
        <v>47</v>
      </c>
      <c r="G1850">
        <v>2944.04</v>
      </c>
      <c r="H1850">
        <v>1886.17</v>
      </c>
      <c r="I1850" t="s">
        <v>40</v>
      </c>
      <c r="J1850" t="s">
        <v>41</v>
      </c>
      <c r="K1850" t="s">
        <v>80</v>
      </c>
      <c r="L1850" t="s">
        <v>64</v>
      </c>
      <c r="M1850">
        <v>3</v>
      </c>
      <c r="N1850" t="s">
        <v>69</v>
      </c>
      <c r="O1850" t="s">
        <v>25</v>
      </c>
      <c r="P1850" t="s">
        <v>49</v>
      </c>
    </row>
    <row r="1851" spans="1:16" x14ac:dyDescent="0.25">
      <c r="A1851" t="s">
        <v>4383</v>
      </c>
      <c r="B1851" s="6">
        <v>44486</v>
      </c>
      <c r="C1851">
        <v>3485</v>
      </c>
      <c r="D1851" t="s">
        <v>4384</v>
      </c>
      <c r="E1851" t="s">
        <v>18</v>
      </c>
      <c r="F1851" t="s">
        <v>39</v>
      </c>
      <c r="G1851">
        <v>16816.599999999999</v>
      </c>
      <c r="H1851">
        <v>9506.81</v>
      </c>
      <c r="I1851" t="s">
        <v>120</v>
      </c>
      <c r="J1851" t="s">
        <v>21</v>
      </c>
      <c r="K1851" t="s">
        <v>42</v>
      </c>
      <c r="L1851" t="s">
        <v>43</v>
      </c>
      <c r="M1851">
        <v>3</v>
      </c>
      <c r="N1851" t="s">
        <v>33</v>
      </c>
      <c r="O1851" t="s">
        <v>70</v>
      </c>
      <c r="P1851" t="s">
        <v>26</v>
      </c>
    </row>
    <row r="1852" spans="1:16" x14ac:dyDescent="0.25">
      <c r="A1852" t="s">
        <v>4385</v>
      </c>
      <c r="B1852" s="6">
        <v>45277</v>
      </c>
      <c r="C1852">
        <v>9657</v>
      </c>
      <c r="D1852" t="s">
        <v>4387</v>
      </c>
      <c r="E1852" t="s">
        <v>38</v>
      </c>
      <c r="F1852" t="s">
        <v>58</v>
      </c>
      <c r="G1852">
        <v>40756.910000000003</v>
      </c>
      <c r="H1852">
        <v>18433.599999999999</v>
      </c>
      <c r="I1852" t="s">
        <v>31</v>
      </c>
      <c r="J1852" t="s">
        <v>21</v>
      </c>
      <c r="K1852" t="s">
        <v>80</v>
      </c>
      <c r="L1852" t="s">
        <v>64</v>
      </c>
      <c r="M1852">
        <v>5</v>
      </c>
      <c r="N1852" t="s">
        <v>24</v>
      </c>
      <c r="O1852" t="s">
        <v>25</v>
      </c>
      <c r="P1852" t="s">
        <v>49</v>
      </c>
    </row>
    <row r="1853" spans="1:16" x14ac:dyDescent="0.25">
      <c r="A1853" t="s">
        <v>4388</v>
      </c>
      <c r="B1853" s="6">
        <v>45136</v>
      </c>
      <c r="C1853">
        <v>8804</v>
      </c>
      <c r="D1853" t="s">
        <v>4390</v>
      </c>
      <c r="E1853" t="s">
        <v>18</v>
      </c>
      <c r="F1853" t="s">
        <v>58</v>
      </c>
      <c r="G1853">
        <v>35785.06</v>
      </c>
      <c r="H1853">
        <v>22274.78</v>
      </c>
      <c r="I1853" t="s">
        <v>120</v>
      </c>
      <c r="J1853" t="s">
        <v>21</v>
      </c>
      <c r="K1853" t="s">
        <v>80</v>
      </c>
      <c r="L1853" t="s">
        <v>64</v>
      </c>
      <c r="M1853">
        <v>4</v>
      </c>
      <c r="N1853" t="s">
        <v>24</v>
      </c>
      <c r="O1853" t="s">
        <v>25</v>
      </c>
      <c r="P1853" t="s">
        <v>49</v>
      </c>
    </row>
    <row r="1854" spans="1:16" x14ac:dyDescent="0.25">
      <c r="A1854" t="s">
        <v>4391</v>
      </c>
      <c r="B1854" s="6">
        <v>44754</v>
      </c>
      <c r="C1854">
        <v>9142</v>
      </c>
      <c r="D1854" t="s">
        <v>4392</v>
      </c>
      <c r="E1854" t="s">
        <v>38</v>
      </c>
      <c r="F1854" t="s">
        <v>47</v>
      </c>
      <c r="G1854">
        <v>11838.89</v>
      </c>
      <c r="H1854">
        <v>7409.59</v>
      </c>
      <c r="I1854" t="s">
        <v>84</v>
      </c>
      <c r="J1854" t="s">
        <v>54</v>
      </c>
      <c r="K1854" t="s">
        <v>80</v>
      </c>
      <c r="L1854" t="s">
        <v>55</v>
      </c>
      <c r="M1854">
        <v>1</v>
      </c>
      <c r="N1854" t="s">
        <v>33</v>
      </c>
      <c r="O1854" t="s">
        <v>25</v>
      </c>
      <c r="P1854" t="s">
        <v>26</v>
      </c>
    </row>
    <row r="1855" spans="1:16" x14ac:dyDescent="0.25">
      <c r="A1855" t="s">
        <v>4393</v>
      </c>
      <c r="B1855" s="6">
        <v>45015</v>
      </c>
      <c r="C1855">
        <v>1532</v>
      </c>
      <c r="D1855" t="s">
        <v>4394</v>
      </c>
      <c r="E1855" t="s">
        <v>38</v>
      </c>
      <c r="F1855" t="s">
        <v>58</v>
      </c>
      <c r="G1855">
        <v>24121.24</v>
      </c>
      <c r="H1855">
        <v>15201.24</v>
      </c>
      <c r="I1855" t="s">
        <v>68</v>
      </c>
      <c r="J1855" t="s">
        <v>41</v>
      </c>
      <c r="K1855" t="s">
        <v>32</v>
      </c>
      <c r="L1855" t="s">
        <v>88</v>
      </c>
      <c r="M1855">
        <v>2</v>
      </c>
      <c r="N1855" t="s">
        <v>33</v>
      </c>
      <c r="O1855" t="s">
        <v>25</v>
      </c>
      <c r="P1855" t="s">
        <v>26</v>
      </c>
    </row>
    <row r="1856" spans="1:16" x14ac:dyDescent="0.25">
      <c r="A1856" t="s">
        <v>4395</v>
      </c>
      <c r="B1856" s="6">
        <v>45044</v>
      </c>
      <c r="C1856">
        <v>5586</v>
      </c>
      <c r="D1856" t="s">
        <v>4396</v>
      </c>
      <c r="E1856" t="s">
        <v>38</v>
      </c>
      <c r="F1856" t="s">
        <v>58</v>
      </c>
      <c r="G1856">
        <v>12191.79</v>
      </c>
      <c r="H1856">
        <v>6464.42</v>
      </c>
      <c r="I1856" t="s">
        <v>63</v>
      </c>
      <c r="J1856" t="s">
        <v>54</v>
      </c>
      <c r="K1856" t="s">
        <v>22</v>
      </c>
      <c r="L1856" t="s">
        <v>64</v>
      </c>
      <c r="M1856">
        <v>5</v>
      </c>
      <c r="N1856" t="s">
        <v>69</v>
      </c>
      <c r="O1856" t="s">
        <v>25</v>
      </c>
      <c r="P1856" t="s">
        <v>26</v>
      </c>
    </row>
    <row r="1857" spans="1:16" x14ac:dyDescent="0.25">
      <c r="A1857" t="s">
        <v>4397</v>
      </c>
      <c r="B1857" s="6">
        <v>44628</v>
      </c>
      <c r="C1857">
        <v>6587</v>
      </c>
      <c r="D1857" t="s">
        <v>4398</v>
      </c>
      <c r="E1857" t="s">
        <v>38</v>
      </c>
      <c r="F1857" t="s">
        <v>39</v>
      </c>
      <c r="G1857">
        <v>24743.63</v>
      </c>
      <c r="H1857">
        <v>13073.48</v>
      </c>
      <c r="I1857" t="s">
        <v>20</v>
      </c>
      <c r="J1857" t="s">
        <v>21</v>
      </c>
      <c r="K1857" t="s">
        <v>32</v>
      </c>
      <c r="L1857" t="s">
        <v>43</v>
      </c>
      <c r="M1857">
        <v>3</v>
      </c>
      <c r="N1857" t="s">
        <v>33</v>
      </c>
      <c r="O1857" t="s">
        <v>25</v>
      </c>
      <c r="P1857" t="s">
        <v>26</v>
      </c>
    </row>
    <row r="1858" spans="1:16" x14ac:dyDescent="0.25">
      <c r="A1858" t="s">
        <v>4399</v>
      </c>
      <c r="B1858" s="6">
        <v>44697</v>
      </c>
      <c r="C1858">
        <v>9700</v>
      </c>
      <c r="D1858" t="s">
        <v>4400</v>
      </c>
      <c r="E1858" t="s">
        <v>38</v>
      </c>
      <c r="F1858" t="s">
        <v>58</v>
      </c>
      <c r="G1858">
        <v>18628.93</v>
      </c>
      <c r="H1858">
        <v>10167.209999999999</v>
      </c>
      <c r="I1858" t="s">
        <v>20</v>
      </c>
      <c r="J1858" t="s">
        <v>21</v>
      </c>
      <c r="K1858" t="s">
        <v>42</v>
      </c>
      <c r="L1858" t="s">
        <v>23</v>
      </c>
      <c r="M1858">
        <v>1</v>
      </c>
      <c r="N1858" t="s">
        <v>33</v>
      </c>
      <c r="O1858" t="s">
        <v>25</v>
      </c>
      <c r="P1858" t="s">
        <v>49</v>
      </c>
    </row>
    <row r="1859" spans="1:16" x14ac:dyDescent="0.25">
      <c r="A1859" t="s">
        <v>4401</v>
      </c>
      <c r="B1859" s="6">
        <v>44721</v>
      </c>
      <c r="C1859">
        <v>9673</v>
      </c>
      <c r="D1859" t="s">
        <v>4403</v>
      </c>
      <c r="E1859" t="s">
        <v>18</v>
      </c>
      <c r="F1859" t="s">
        <v>58</v>
      </c>
      <c r="G1859">
        <v>19987.39</v>
      </c>
      <c r="H1859">
        <v>12889.57</v>
      </c>
      <c r="I1859" t="s">
        <v>120</v>
      </c>
      <c r="J1859" t="s">
        <v>21</v>
      </c>
      <c r="K1859" t="s">
        <v>80</v>
      </c>
      <c r="L1859" t="s">
        <v>88</v>
      </c>
      <c r="M1859">
        <v>2</v>
      </c>
      <c r="N1859" t="s">
        <v>33</v>
      </c>
      <c r="O1859" t="s">
        <v>70</v>
      </c>
      <c r="P1859" t="s">
        <v>34</v>
      </c>
    </row>
    <row r="1860" spans="1:16" x14ac:dyDescent="0.25">
      <c r="A1860" t="s">
        <v>4404</v>
      </c>
      <c r="B1860" s="6">
        <v>45155</v>
      </c>
      <c r="C1860">
        <v>7502</v>
      </c>
      <c r="D1860" t="s">
        <v>4406</v>
      </c>
      <c r="E1860" t="s">
        <v>18</v>
      </c>
      <c r="F1860" t="s">
        <v>30</v>
      </c>
      <c r="G1860">
        <v>70779.850000000006</v>
      </c>
      <c r="H1860">
        <v>32446.1</v>
      </c>
      <c r="I1860" t="s">
        <v>120</v>
      </c>
      <c r="J1860" t="s">
        <v>21</v>
      </c>
      <c r="K1860" t="s">
        <v>32</v>
      </c>
      <c r="L1860" t="s">
        <v>23</v>
      </c>
      <c r="M1860">
        <v>1</v>
      </c>
      <c r="N1860" t="s">
        <v>33</v>
      </c>
      <c r="O1860" t="s">
        <v>25</v>
      </c>
      <c r="P1860" t="s">
        <v>34</v>
      </c>
    </row>
    <row r="1861" spans="1:16" x14ac:dyDescent="0.25">
      <c r="A1861" t="s">
        <v>4407</v>
      </c>
      <c r="B1861" s="6">
        <v>45458</v>
      </c>
      <c r="C1861">
        <v>7574</v>
      </c>
      <c r="D1861" t="s">
        <v>2424</v>
      </c>
      <c r="E1861" t="s">
        <v>38</v>
      </c>
      <c r="F1861" t="s">
        <v>19</v>
      </c>
      <c r="G1861">
        <v>25314.45</v>
      </c>
      <c r="H1861">
        <v>16208.44</v>
      </c>
      <c r="I1861" t="s">
        <v>63</v>
      </c>
      <c r="J1861" t="s">
        <v>54</v>
      </c>
      <c r="K1861" t="s">
        <v>32</v>
      </c>
      <c r="L1861" t="s">
        <v>43</v>
      </c>
      <c r="M1861">
        <v>4</v>
      </c>
      <c r="N1861" t="s">
        <v>24</v>
      </c>
      <c r="O1861" t="s">
        <v>70</v>
      </c>
      <c r="P1861" t="s">
        <v>26</v>
      </c>
    </row>
    <row r="1862" spans="1:16" x14ac:dyDescent="0.25">
      <c r="A1862" t="s">
        <v>4409</v>
      </c>
      <c r="B1862" s="6">
        <v>45650</v>
      </c>
      <c r="C1862">
        <v>5122</v>
      </c>
      <c r="D1862" t="s">
        <v>4410</v>
      </c>
      <c r="E1862" t="s">
        <v>18</v>
      </c>
      <c r="F1862" t="s">
        <v>30</v>
      </c>
      <c r="G1862">
        <v>66380.91</v>
      </c>
      <c r="H1862">
        <v>37404.1</v>
      </c>
      <c r="I1862" t="s">
        <v>40</v>
      </c>
      <c r="J1862" t="s">
        <v>41</v>
      </c>
      <c r="K1862" t="s">
        <v>80</v>
      </c>
      <c r="L1862" t="s">
        <v>23</v>
      </c>
      <c r="M1862">
        <v>5</v>
      </c>
      <c r="N1862" t="s">
        <v>69</v>
      </c>
      <c r="O1862" t="s">
        <v>25</v>
      </c>
      <c r="P1862" t="s">
        <v>49</v>
      </c>
    </row>
    <row r="1863" spans="1:16" x14ac:dyDescent="0.25">
      <c r="A1863" t="s">
        <v>4411</v>
      </c>
      <c r="B1863" s="6">
        <v>44682</v>
      </c>
      <c r="C1863">
        <v>3994</v>
      </c>
      <c r="D1863" t="s">
        <v>4412</v>
      </c>
      <c r="E1863" t="s">
        <v>18</v>
      </c>
      <c r="F1863" t="s">
        <v>39</v>
      </c>
      <c r="G1863">
        <v>22543.24</v>
      </c>
      <c r="H1863">
        <v>10231.86</v>
      </c>
      <c r="I1863" t="s">
        <v>120</v>
      </c>
      <c r="J1863" t="s">
        <v>21</v>
      </c>
      <c r="K1863" t="s">
        <v>22</v>
      </c>
      <c r="L1863" t="s">
        <v>48</v>
      </c>
      <c r="M1863">
        <v>1</v>
      </c>
      <c r="N1863" t="s">
        <v>33</v>
      </c>
      <c r="O1863" t="s">
        <v>25</v>
      </c>
      <c r="P1863" t="s">
        <v>34</v>
      </c>
    </row>
    <row r="1864" spans="1:16" x14ac:dyDescent="0.25">
      <c r="A1864" t="s">
        <v>4413</v>
      </c>
      <c r="B1864" s="6">
        <v>44278</v>
      </c>
      <c r="C1864">
        <v>1059</v>
      </c>
      <c r="D1864" t="s">
        <v>2531</v>
      </c>
      <c r="E1864" t="s">
        <v>18</v>
      </c>
      <c r="F1864" t="s">
        <v>47</v>
      </c>
      <c r="G1864">
        <v>9808.56</v>
      </c>
      <c r="H1864">
        <v>5373.32</v>
      </c>
      <c r="I1864" t="s">
        <v>20</v>
      </c>
      <c r="J1864" t="s">
        <v>21</v>
      </c>
      <c r="K1864" t="s">
        <v>42</v>
      </c>
      <c r="L1864" t="s">
        <v>88</v>
      </c>
      <c r="M1864">
        <v>3</v>
      </c>
      <c r="N1864" t="s">
        <v>33</v>
      </c>
      <c r="O1864" t="s">
        <v>25</v>
      </c>
      <c r="P1864" t="s">
        <v>34</v>
      </c>
    </row>
    <row r="1865" spans="1:16" x14ac:dyDescent="0.25">
      <c r="A1865" t="s">
        <v>4415</v>
      </c>
      <c r="B1865" s="6">
        <v>43968</v>
      </c>
      <c r="C1865">
        <v>7800</v>
      </c>
      <c r="D1865" t="s">
        <v>4417</v>
      </c>
      <c r="E1865" t="s">
        <v>18</v>
      </c>
      <c r="F1865" t="s">
        <v>47</v>
      </c>
      <c r="G1865">
        <v>10072.93</v>
      </c>
      <c r="H1865">
        <v>5176.5600000000004</v>
      </c>
      <c r="I1865" t="s">
        <v>31</v>
      </c>
      <c r="J1865" t="s">
        <v>21</v>
      </c>
      <c r="K1865" t="s">
        <v>22</v>
      </c>
      <c r="L1865" t="s">
        <v>55</v>
      </c>
      <c r="M1865">
        <v>3</v>
      </c>
      <c r="N1865" t="s">
        <v>33</v>
      </c>
      <c r="O1865" t="s">
        <v>70</v>
      </c>
      <c r="P1865" t="s">
        <v>49</v>
      </c>
    </row>
    <row r="1866" spans="1:16" x14ac:dyDescent="0.25">
      <c r="A1866" t="s">
        <v>4418</v>
      </c>
      <c r="B1866" s="6">
        <v>44034</v>
      </c>
      <c r="C1866">
        <v>8885</v>
      </c>
      <c r="D1866" t="s">
        <v>4419</v>
      </c>
      <c r="E1866" t="s">
        <v>38</v>
      </c>
      <c r="F1866" t="s">
        <v>58</v>
      </c>
      <c r="G1866">
        <v>16935.41</v>
      </c>
      <c r="H1866">
        <v>9459.6200000000008</v>
      </c>
      <c r="I1866" t="s">
        <v>53</v>
      </c>
      <c r="J1866" t="s">
        <v>54</v>
      </c>
      <c r="K1866" t="s">
        <v>32</v>
      </c>
      <c r="L1866" t="s">
        <v>23</v>
      </c>
      <c r="M1866">
        <v>1</v>
      </c>
      <c r="N1866" t="s">
        <v>24</v>
      </c>
      <c r="O1866" t="s">
        <v>25</v>
      </c>
      <c r="P1866" t="s">
        <v>34</v>
      </c>
    </row>
    <row r="1867" spans="1:16" x14ac:dyDescent="0.25">
      <c r="A1867" t="s">
        <v>4420</v>
      </c>
      <c r="B1867" s="6">
        <v>44470</v>
      </c>
      <c r="C1867">
        <v>1171</v>
      </c>
      <c r="D1867" t="s">
        <v>4422</v>
      </c>
      <c r="E1867" t="s">
        <v>38</v>
      </c>
      <c r="F1867" t="s">
        <v>19</v>
      </c>
      <c r="G1867">
        <v>4294.33</v>
      </c>
      <c r="H1867">
        <v>2007.96</v>
      </c>
      <c r="I1867" t="s">
        <v>63</v>
      </c>
      <c r="J1867" t="s">
        <v>54</v>
      </c>
      <c r="K1867" t="s">
        <v>42</v>
      </c>
      <c r="L1867" t="s">
        <v>88</v>
      </c>
      <c r="M1867">
        <v>4</v>
      </c>
      <c r="N1867" t="s">
        <v>69</v>
      </c>
      <c r="O1867" t="s">
        <v>25</v>
      </c>
      <c r="P1867" t="s">
        <v>26</v>
      </c>
    </row>
    <row r="1868" spans="1:16" x14ac:dyDescent="0.25">
      <c r="A1868" t="s">
        <v>4423</v>
      </c>
      <c r="B1868" s="6">
        <v>45102</v>
      </c>
      <c r="C1868">
        <v>2633</v>
      </c>
      <c r="D1868" t="s">
        <v>4424</v>
      </c>
      <c r="E1868" t="s">
        <v>38</v>
      </c>
      <c r="F1868" t="s">
        <v>39</v>
      </c>
      <c r="G1868">
        <v>9977.2900000000009</v>
      </c>
      <c r="H1868">
        <v>5218.09</v>
      </c>
      <c r="I1868" t="s">
        <v>63</v>
      </c>
      <c r="J1868" t="s">
        <v>54</v>
      </c>
      <c r="K1868" t="s">
        <v>22</v>
      </c>
      <c r="L1868" t="s">
        <v>43</v>
      </c>
      <c r="M1868">
        <v>4</v>
      </c>
      <c r="N1868" t="s">
        <v>24</v>
      </c>
      <c r="O1868" t="s">
        <v>70</v>
      </c>
      <c r="P1868" t="s">
        <v>34</v>
      </c>
    </row>
    <row r="1869" spans="1:16" x14ac:dyDescent="0.25">
      <c r="A1869" t="s">
        <v>4425</v>
      </c>
      <c r="B1869" s="6">
        <v>44854</v>
      </c>
      <c r="C1869">
        <v>1757</v>
      </c>
      <c r="D1869" t="s">
        <v>4426</v>
      </c>
      <c r="E1869" t="s">
        <v>18</v>
      </c>
      <c r="F1869" t="s">
        <v>30</v>
      </c>
      <c r="G1869">
        <v>73932.160000000003</v>
      </c>
      <c r="H1869">
        <v>35557.49</v>
      </c>
      <c r="I1869" t="s">
        <v>20</v>
      </c>
      <c r="J1869" t="s">
        <v>21</v>
      </c>
      <c r="K1869" t="s">
        <v>42</v>
      </c>
      <c r="L1869" t="s">
        <v>23</v>
      </c>
      <c r="M1869">
        <v>2</v>
      </c>
      <c r="N1869" t="s">
        <v>33</v>
      </c>
      <c r="O1869" t="s">
        <v>25</v>
      </c>
      <c r="P1869" t="s">
        <v>49</v>
      </c>
    </row>
    <row r="1870" spans="1:16" x14ac:dyDescent="0.25">
      <c r="A1870" t="s">
        <v>4427</v>
      </c>
      <c r="B1870" s="6">
        <v>45028</v>
      </c>
      <c r="C1870">
        <v>6578</v>
      </c>
      <c r="D1870" t="s">
        <v>4429</v>
      </c>
      <c r="E1870" t="s">
        <v>18</v>
      </c>
      <c r="F1870" t="s">
        <v>47</v>
      </c>
      <c r="G1870">
        <v>13685.97</v>
      </c>
      <c r="H1870">
        <v>6441</v>
      </c>
      <c r="I1870" t="s">
        <v>63</v>
      </c>
      <c r="J1870" t="s">
        <v>54</v>
      </c>
      <c r="K1870" t="s">
        <v>42</v>
      </c>
      <c r="L1870" t="s">
        <v>88</v>
      </c>
      <c r="M1870">
        <v>1</v>
      </c>
      <c r="N1870" t="s">
        <v>33</v>
      </c>
      <c r="O1870" t="s">
        <v>70</v>
      </c>
      <c r="P1870" t="s">
        <v>49</v>
      </c>
    </row>
    <row r="1871" spans="1:16" x14ac:dyDescent="0.25">
      <c r="A1871" t="s">
        <v>4430</v>
      </c>
      <c r="B1871" s="6">
        <v>44206</v>
      </c>
      <c r="C1871">
        <v>6476</v>
      </c>
      <c r="D1871" t="s">
        <v>3422</v>
      </c>
      <c r="E1871" t="s">
        <v>38</v>
      </c>
      <c r="F1871" t="s">
        <v>39</v>
      </c>
      <c r="G1871">
        <v>14440.85</v>
      </c>
      <c r="H1871">
        <v>8979.93</v>
      </c>
      <c r="I1871" t="s">
        <v>20</v>
      </c>
      <c r="J1871" t="s">
        <v>21</v>
      </c>
      <c r="K1871" t="s">
        <v>42</v>
      </c>
      <c r="L1871" t="s">
        <v>23</v>
      </c>
      <c r="M1871">
        <v>3</v>
      </c>
      <c r="N1871" t="s">
        <v>24</v>
      </c>
      <c r="O1871" t="s">
        <v>25</v>
      </c>
      <c r="P1871" t="s">
        <v>26</v>
      </c>
    </row>
    <row r="1872" spans="1:16" x14ac:dyDescent="0.25">
      <c r="A1872" t="s">
        <v>4432</v>
      </c>
      <c r="B1872" s="6">
        <v>44602</v>
      </c>
      <c r="C1872">
        <v>9936</v>
      </c>
      <c r="D1872" t="s">
        <v>4433</v>
      </c>
      <c r="E1872" t="s">
        <v>18</v>
      </c>
      <c r="F1872" t="s">
        <v>39</v>
      </c>
      <c r="G1872">
        <v>29872.32</v>
      </c>
      <c r="H1872">
        <v>14504.91</v>
      </c>
      <c r="I1872" t="s">
        <v>20</v>
      </c>
      <c r="J1872" t="s">
        <v>21</v>
      </c>
      <c r="K1872" t="s">
        <v>80</v>
      </c>
      <c r="L1872" t="s">
        <v>48</v>
      </c>
      <c r="M1872">
        <v>4</v>
      </c>
      <c r="N1872" t="s">
        <v>33</v>
      </c>
      <c r="O1872" t="s">
        <v>70</v>
      </c>
      <c r="P1872" t="s">
        <v>34</v>
      </c>
    </row>
    <row r="1873" spans="1:16" x14ac:dyDescent="0.25">
      <c r="A1873" t="s">
        <v>4434</v>
      </c>
      <c r="B1873" s="6">
        <v>45424</v>
      </c>
      <c r="C1873">
        <v>4133</v>
      </c>
      <c r="D1873" t="s">
        <v>4435</v>
      </c>
      <c r="E1873" t="s">
        <v>38</v>
      </c>
      <c r="F1873" t="s">
        <v>30</v>
      </c>
      <c r="G1873">
        <v>33026.71</v>
      </c>
      <c r="H1873">
        <v>20696.79</v>
      </c>
      <c r="I1873" t="s">
        <v>120</v>
      </c>
      <c r="J1873" t="s">
        <v>21</v>
      </c>
      <c r="K1873" t="s">
        <v>42</v>
      </c>
      <c r="L1873" t="s">
        <v>43</v>
      </c>
      <c r="M1873">
        <v>4</v>
      </c>
      <c r="N1873" t="s">
        <v>24</v>
      </c>
      <c r="O1873" t="s">
        <v>25</v>
      </c>
      <c r="P1873" t="s">
        <v>34</v>
      </c>
    </row>
    <row r="1874" spans="1:16" x14ac:dyDescent="0.25">
      <c r="A1874" t="s">
        <v>4436</v>
      </c>
      <c r="B1874" s="6">
        <v>44926</v>
      </c>
      <c r="C1874">
        <v>4650</v>
      </c>
      <c r="D1874" t="s">
        <v>4437</v>
      </c>
      <c r="E1874" t="s">
        <v>18</v>
      </c>
      <c r="F1874" t="s">
        <v>39</v>
      </c>
      <c r="G1874">
        <v>41462.75</v>
      </c>
      <c r="H1874">
        <v>23744.75</v>
      </c>
      <c r="I1874" t="s">
        <v>63</v>
      </c>
      <c r="J1874" t="s">
        <v>54</v>
      </c>
      <c r="K1874" t="s">
        <v>22</v>
      </c>
      <c r="L1874" t="s">
        <v>23</v>
      </c>
      <c r="M1874">
        <v>3</v>
      </c>
      <c r="N1874" t="s">
        <v>69</v>
      </c>
      <c r="O1874" t="s">
        <v>70</v>
      </c>
      <c r="P1874" t="s">
        <v>49</v>
      </c>
    </row>
    <row r="1875" spans="1:16" x14ac:dyDescent="0.25">
      <c r="A1875" t="s">
        <v>4438</v>
      </c>
      <c r="B1875" s="6">
        <v>45317</v>
      </c>
      <c r="C1875">
        <v>1500</v>
      </c>
      <c r="D1875" t="s">
        <v>990</v>
      </c>
      <c r="E1875" t="s">
        <v>18</v>
      </c>
      <c r="F1875" t="s">
        <v>30</v>
      </c>
      <c r="G1875">
        <v>80154.84</v>
      </c>
      <c r="H1875">
        <v>36221.71</v>
      </c>
      <c r="I1875" t="s">
        <v>53</v>
      </c>
      <c r="J1875" t="s">
        <v>54</v>
      </c>
      <c r="K1875" t="s">
        <v>22</v>
      </c>
      <c r="L1875" t="s">
        <v>64</v>
      </c>
      <c r="M1875">
        <v>3</v>
      </c>
      <c r="N1875" t="s">
        <v>24</v>
      </c>
      <c r="O1875" t="s">
        <v>25</v>
      </c>
      <c r="P1875" t="s">
        <v>26</v>
      </c>
    </row>
    <row r="1876" spans="1:16" x14ac:dyDescent="0.25">
      <c r="A1876" t="s">
        <v>4440</v>
      </c>
      <c r="B1876" s="6">
        <v>45282</v>
      </c>
      <c r="C1876">
        <v>3062</v>
      </c>
      <c r="D1876" t="s">
        <v>4441</v>
      </c>
      <c r="E1876" t="s">
        <v>38</v>
      </c>
      <c r="F1876" t="s">
        <v>39</v>
      </c>
      <c r="G1876">
        <v>21577.77</v>
      </c>
      <c r="H1876">
        <v>10373.68</v>
      </c>
      <c r="I1876" t="s">
        <v>63</v>
      </c>
      <c r="J1876" t="s">
        <v>54</v>
      </c>
      <c r="K1876" t="s">
        <v>22</v>
      </c>
      <c r="L1876" t="s">
        <v>23</v>
      </c>
      <c r="M1876">
        <v>4</v>
      </c>
      <c r="N1876" t="s">
        <v>24</v>
      </c>
      <c r="O1876" t="s">
        <v>25</v>
      </c>
      <c r="P1876" t="s">
        <v>49</v>
      </c>
    </row>
    <row r="1877" spans="1:16" x14ac:dyDescent="0.25">
      <c r="A1877" t="s">
        <v>4442</v>
      </c>
      <c r="B1877" s="6">
        <v>45614</v>
      </c>
      <c r="C1877">
        <v>2642</v>
      </c>
      <c r="D1877" t="s">
        <v>4443</v>
      </c>
      <c r="E1877" t="s">
        <v>38</v>
      </c>
      <c r="F1877" t="s">
        <v>47</v>
      </c>
      <c r="G1877">
        <v>5442.32</v>
      </c>
      <c r="H1877">
        <v>2712.15</v>
      </c>
      <c r="I1877" t="s">
        <v>31</v>
      </c>
      <c r="J1877" t="s">
        <v>21</v>
      </c>
      <c r="K1877" t="s">
        <v>22</v>
      </c>
      <c r="L1877" t="s">
        <v>64</v>
      </c>
      <c r="M1877">
        <v>2</v>
      </c>
      <c r="N1877" t="s">
        <v>69</v>
      </c>
      <c r="O1877" t="s">
        <v>25</v>
      </c>
      <c r="P1877" t="s">
        <v>26</v>
      </c>
    </row>
    <row r="1878" spans="1:16" x14ac:dyDescent="0.25">
      <c r="A1878" t="s">
        <v>4444</v>
      </c>
      <c r="B1878" s="6">
        <v>45298</v>
      </c>
      <c r="C1878">
        <v>2077</v>
      </c>
      <c r="D1878" t="s">
        <v>4446</v>
      </c>
      <c r="E1878" t="s">
        <v>38</v>
      </c>
      <c r="F1878" t="s">
        <v>30</v>
      </c>
      <c r="G1878">
        <v>31783.17</v>
      </c>
      <c r="H1878">
        <v>18182.37</v>
      </c>
      <c r="I1878" t="s">
        <v>53</v>
      </c>
      <c r="J1878" t="s">
        <v>54</v>
      </c>
      <c r="K1878" t="s">
        <v>32</v>
      </c>
      <c r="L1878" t="s">
        <v>23</v>
      </c>
      <c r="M1878">
        <v>3</v>
      </c>
      <c r="N1878" t="s">
        <v>24</v>
      </c>
      <c r="O1878" t="s">
        <v>70</v>
      </c>
      <c r="P1878" t="s">
        <v>34</v>
      </c>
    </row>
    <row r="1879" spans="1:16" x14ac:dyDescent="0.25">
      <c r="A1879" t="s">
        <v>4447</v>
      </c>
      <c r="B1879" s="6">
        <v>45253</v>
      </c>
      <c r="C1879">
        <v>6292</v>
      </c>
      <c r="D1879" t="s">
        <v>921</v>
      </c>
      <c r="E1879" t="s">
        <v>38</v>
      </c>
      <c r="F1879" t="s">
        <v>58</v>
      </c>
      <c r="G1879">
        <v>45985.05</v>
      </c>
      <c r="H1879">
        <v>29077.21</v>
      </c>
      <c r="I1879" t="s">
        <v>53</v>
      </c>
      <c r="J1879" t="s">
        <v>54</v>
      </c>
      <c r="K1879" t="s">
        <v>80</v>
      </c>
      <c r="L1879" t="s">
        <v>64</v>
      </c>
      <c r="M1879">
        <v>1</v>
      </c>
      <c r="N1879" t="s">
        <v>69</v>
      </c>
      <c r="O1879" t="s">
        <v>25</v>
      </c>
      <c r="P1879" t="s">
        <v>49</v>
      </c>
    </row>
    <row r="1880" spans="1:16" x14ac:dyDescent="0.25">
      <c r="A1880" t="s">
        <v>4449</v>
      </c>
      <c r="B1880" s="6">
        <v>45375</v>
      </c>
      <c r="C1880">
        <v>8618</v>
      </c>
      <c r="D1880" t="s">
        <v>4450</v>
      </c>
      <c r="E1880" t="s">
        <v>18</v>
      </c>
      <c r="F1880" t="s">
        <v>58</v>
      </c>
      <c r="G1880">
        <v>34348.959999999999</v>
      </c>
      <c r="H1880">
        <v>15529.84</v>
      </c>
      <c r="I1880" t="s">
        <v>63</v>
      </c>
      <c r="J1880" t="s">
        <v>54</v>
      </c>
      <c r="K1880" t="s">
        <v>32</v>
      </c>
      <c r="L1880" t="s">
        <v>23</v>
      </c>
      <c r="M1880">
        <v>5</v>
      </c>
      <c r="N1880" t="s">
        <v>24</v>
      </c>
      <c r="O1880" t="s">
        <v>25</v>
      </c>
      <c r="P1880" t="s">
        <v>49</v>
      </c>
    </row>
    <row r="1881" spans="1:16" x14ac:dyDescent="0.25">
      <c r="A1881" t="s">
        <v>4451</v>
      </c>
      <c r="B1881" s="6">
        <v>45500</v>
      </c>
      <c r="C1881">
        <v>6107</v>
      </c>
      <c r="D1881" t="s">
        <v>1351</v>
      </c>
      <c r="E1881" t="s">
        <v>38</v>
      </c>
      <c r="F1881" t="s">
        <v>30</v>
      </c>
      <c r="G1881">
        <v>21217.85</v>
      </c>
      <c r="H1881">
        <v>11683.56</v>
      </c>
      <c r="I1881" t="s">
        <v>68</v>
      </c>
      <c r="J1881" t="s">
        <v>41</v>
      </c>
      <c r="K1881" t="s">
        <v>32</v>
      </c>
      <c r="L1881" t="s">
        <v>48</v>
      </c>
      <c r="M1881">
        <v>3</v>
      </c>
      <c r="N1881" t="s">
        <v>33</v>
      </c>
      <c r="O1881" t="s">
        <v>70</v>
      </c>
      <c r="P1881" t="s">
        <v>26</v>
      </c>
    </row>
    <row r="1882" spans="1:16" x14ac:dyDescent="0.25">
      <c r="A1882" t="s">
        <v>4452</v>
      </c>
      <c r="B1882" s="6">
        <v>44402</v>
      </c>
      <c r="C1882">
        <v>9072</v>
      </c>
      <c r="D1882" t="s">
        <v>4453</v>
      </c>
      <c r="E1882" t="s">
        <v>18</v>
      </c>
      <c r="F1882" t="s">
        <v>58</v>
      </c>
      <c r="G1882">
        <v>29573.52</v>
      </c>
      <c r="H1882">
        <v>17743.669999999998</v>
      </c>
      <c r="I1882" t="s">
        <v>120</v>
      </c>
      <c r="J1882" t="s">
        <v>21</v>
      </c>
      <c r="K1882" t="s">
        <v>80</v>
      </c>
      <c r="L1882" t="s">
        <v>64</v>
      </c>
      <c r="M1882">
        <v>3</v>
      </c>
      <c r="N1882" t="s">
        <v>69</v>
      </c>
      <c r="O1882" t="s">
        <v>25</v>
      </c>
      <c r="P1882" t="s">
        <v>49</v>
      </c>
    </row>
    <row r="1883" spans="1:16" x14ac:dyDescent="0.25">
      <c r="A1883" t="s">
        <v>4454</v>
      </c>
      <c r="B1883" s="6">
        <v>44491</v>
      </c>
      <c r="C1883">
        <v>1314</v>
      </c>
      <c r="D1883" t="s">
        <v>1189</v>
      </c>
      <c r="E1883" t="s">
        <v>38</v>
      </c>
      <c r="F1883" t="s">
        <v>39</v>
      </c>
      <c r="G1883">
        <v>17893.18</v>
      </c>
      <c r="H1883">
        <v>8810.64</v>
      </c>
      <c r="I1883" t="s">
        <v>63</v>
      </c>
      <c r="J1883" t="s">
        <v>54</v>
      </c>
      <c r="K1883" t="s">
        <v>32</v>
      </c>
      <c r="L1883" t="s">
        <v>48</v>
      </c>
      <c r="M1883">
        <v>3</v>
      </c>
      <c r="N1883" t="s">
        <v>33</v>
      </c>
      <c r="O1883" t="s">
        <v>25</v>
      </c>
      <c r="P1883" t="s">
        <v>49</v>
      </c>
    </row>
    <row r="1884" spans="1:16" x14ac:dyDescent="0.25">
      <c r="A1884" t="s">
        <v>4455</v>
      </c>
      <c r="B1884" s="6">
        <v>45553</v>
      </c>
      <c r="C1884">
        <v>4626</v>
      </c>
      <c r="D1884" t="s">
        <v>497</v>
      </c>
      <c r="E1884" t="s">
        <v>18</v>
      </c>
      <c r="F1884" t="s">
        <v>58</v>
      </c>
      <c r="G1884">
        <v>13093.01</v>
      </c>
      <c r="H1884">
        <v>7152.45</v>
      </c>
      <c r="I1884" t="s">
        <v>53</v>
      </c>
      <c r="J1884" t="s">
        <v>54</v>
      </c>
      <c r="K1884" t="s">
        <v>42</v>
      </c>
      <c r="L1884" t="s">
        <v>88</v>
      </c>
      <c r="M1884">
        <v>2</v>
      </c>
      <c r="N1884" t="s">
        <v>24</v>
      </c>
      <c r="O1884" t="s">
        <v>70</v>
      </c>
      <c r="P1884" t="s">
        <v>26</v>
      </c>
    </row>
    <row r="1885" spans="1:16" x14ac:dyDescent="0.25">
      <c r="A1885" t="s">
        <v>4456</v>
      </c>
      <c r="B1885" s="6">
        <v>44288</v>
      </c>
      <c r="C1885">
        <v>5802</v>
      </c>
      <c r="D1885" t="s">
        <v>4458</v>
      </c>
      <c r="E1885" t="s">
        <v>38</v>
      </c>
      <c r="F1885" t="s">
        <v>30</v>
      </c>
      <c r="G1885">
        <v>81741.31</v>
      </c>
      <c r="H1885">
        <v>37137.35</v>
      </c>
      <c r="I1885" t="s">
        <v>63</v>
      </c>
      <c r="J1885" t="s">
        <v>54</v>
      </c>
      <c r="K1885" t="s">
        <v>42</v>
      </c>
      <c r="L1885" t="s">
        <v>23</v>
      </c>
      <c r="M1885">
        <v>4</v>
      </c>
      <c r="N1885" t="s">
        <v>33</v>
      </c>
      <c r="O1885" t="s">
        <v>25</v>
      </c>
      <c r="P1885" t="s">
        <v>34</v>
      </c>
    </row>
    <row r="1886" spans="1:16" x14ac:dyDescent="0.25">
      <c r="A1886" t="s">
        <v>4459</v>
      </c>
      <c r="B1886" s="6">
        <v>44264</v>
      </c>
      <c r="C1886">
        <v>2570</v>
      </c>
      <c r="D1886" t="s">
        <v>4460</v>
      </c>
      <c r="E1886" t="s">
        <v>18</v>
      </c>
      <c r="F1886" t="s">
        <v>39</v>
      </c>
      <c r="G1886">
        <v>23548.36</v>
      </c>
      <c r="H1886">
        <v>11019.57</v>
      </c>
      <c r="I1886" t="s">
        <v>63</v>
      </c>
      <c r="J1886" t="s">
        <v>54</v>
      </c>
      <c r="K1886" t="s">
        <v>42</v>
      </c>
      <c r="L1886" t="s">
        <v>88</v>
      </c>
      <c r="M1886">
        <v>5</v>
      </c>
      <c r="N1886" t="s">
        <v>69</v>
      </c>
      <c r="O1886" t="s">
        <v>25</v>
      </c>
      <c r="P1886" t="s">
        <v>49</v>
      </c>
    </row>
    <row r="1887" spans="1:16" x14ac:dyDescent="0.25">
      <c r="A1887" t="s">
        <v>4461</v>
      </c>
      <c r="B1887" s="6">
        <v>45066</v>
      </c>
      <c r="C1887">
        <v>3495</v>
      </c>
      <c r="D1887" t="s">
        <v>4463</v>
      </c>
      <c r="E1887" t="s">
        <v>38</v>
      </c>
      <c r="F1887" t="s">
        <v>19</v>
      </c>
      <c r="G1887">
        <v>14853.46</v>
      </c>
      <c r="H1887">
        <v>7852.34</v>
      </c>
      <c r="I1887" t="s">
        <v>59</v>
      </c>
      <c r="J1887" t="s">
        <v>41</v>
      </c>
      <c r="K1887" t="s">
        <v>22</v>
      </c>
      <c r="L1887" t="s">
        <v>55</v>
      </c>
      <c r="M1887">
        <v>5</v>
      </c>
      <c r="N1887" t="s">
        <v>24</v>
      </c>
      <c r="O1887" t="s">
        <v>25</v>
      </c>
      <c r="P1887" t="s">
        <v>34</v>
      </c>
    </row>
    <row r="1888" spans="1:16" x14ac:dyDescent="0.25">
      <c r="A1888" t="s">
        <v>4464</v>
      </c>
      <c r="B1888" s="6">
        <v>44945</v>
      </c>
      <c r="C1888">
        <v>9468</v>
      </c>
      <c r="D1888" t="s">
        <v>4465</v>
      </c>
      <c r="E1888" t="s">
        <v>18</v>
      </c>
      <c r="F1888" t="s">
        <v>39</v>
      </c>
      <c r="G1888">
        <v>22727.41</v>
      </c>
      <c r="H1888">
        <v>14065.91</v>
      </c>
      <c r="I1888" t="s">
        <v>68</v>
      </c>
      <c r="J1888" t="s">
        <v>41</v>
      </c>
      <c r="K1888" t="s">
        <v>42</v>
      </c>
      <c r="L1888" t="s">
        <v>55</v>
      </c>
      <c r="M1888">
        <v>3</v>
      </c>
      <c r="N1888" t="s">
        <v>24</v>
      </c>
      <c r="O1888" t="s">
        <v>25</v>
      </c>
      <c r="P1888" t="s">
        <v>49</v>
      </c>
    </row>
    <row r="1889" spans="1:16" x14ac:dyDescent="0.25">
      <c r="A1889" t="s">
        <v>4466</v>
      </c>
      <c r="B1889" s="6">
        <v>45607</v>
      </c>
      <c r="C1889">
        <v>2803</v>
      </c>
      <c r="D1889" t="s">
        <v>4468</v>
      </c>
      <c r="E1889" t="s">
        <v>38</v>
      </c>
      <c r="F1889" t="s">
        <v>47</v>
      </c>
      <c r="G1889">
        <v>16725.12</v>
      </c>
      <c r="H1889">
        <v>10397.41</v>
      </c>
      <c r="I1889" t="s">
        <v>53</v>
      </c>
      <c r="J1889" t="s">
        <v>54</v>
      </c>
      <c r="K1889" t="s">
        <v>42</v>
      </c>
      <c r="L1889" t="s">
        <v>88</v>
      </c>
      <c r="M1889">
        <v>4</v>
      </c>
      <c r="N1889" t="s">
        <v>69</v>
      </c>
      <c r="O1889" t="s">
        <v>70</v>
      </c>
      <c r="P1889" t="s">
        <v>34</v>
      </c>
    </row>
    <row r="1890" spans="1:16" x14ac:dyDescent="0.25">
      <c r="A1890" t="s">
        <v>4469</v>
      </c>
      <c r="B1890" s="6">
        <v>45259</v>
      </c>
      <c r="C1890">
        <v>5549</v>
      </c>
      <c r="D1890" t="s">
        <v>4471</v>
      </c>
      <c r="E1890" t="s">
        <v>38</v>
      </c>
      <c r="F1890" t="s">
        <v>58</v>
      </c>
      <c r="G1890">
        <v>23602.36</v>
      </c>
      <c r="H1890">
        <v>14585.77</v>
      </c>
      <c r="I1890" t="s">
        <v>63</v>
      </c>
      <c r="J1890" t="s">
        <v>54</v>
      </c>
      <c r="K1890" t="s">
        <v>80</v>
      </c>
      <c r="L1890" t="s">
        <v>55</v>
      </c>
      <c r="M1890">
        <v>4</v>
      </c>
      <c r="N1890" t="s">
        <v>33</v>
      </c>
      <c r="O1890" t="s">
        <v>70</v>
      </c>
      <c r="P1890" t="s">
        <v>49</v>
      </c>
    </row>
    <row r="1891" spans="1:16" x14ac:dyDescent="0.25">
      <c r="A1891" t="s">
        <v>4472</v>
      </c>
      <c r="B1891" s="6">
        <v>45513</v>
      </c>
      <c r="C1891">
        <v>6176</v>
      </c>
      <c r="D1891" t="s">
        <v>4473</v>
      </c>
      <c r="E1891" t="s">
        <v>18</v>
      </c>
      <c r="F1891" t="s">
        <v>19</v>
      </c>
      <c r="G1891">
        <v>4542.8</v>
      </c>
      <c r="H1891">
        <v>2752.12</v>
      </c>
      <c r="I1891" t="s">
        <v>31</v>
      </c>
      <c r="J1891" t="s">
        <v>21</v>
      </c>
      <c r="K1891" t="s">
        <v>80</v>
      </c>
      <c r="L1891" t="s">
        <v>64</v>
      </c>
      <c r="M1891">
        <v>1</v>
      </c>
      <c r="N1891" t="s">
        <v>33</v>
      </c>
      <c r="O1891" t="s">
        <v>25</v>
      </c>
      <c r="P1891" t="s">
        <v>26</v>
      </c>
    </row>
    <row r="1892" spans="1:16" x14ac:dyDescent="0.25">
      <c r="A1892" t="s">
        <v>4474</v>
      </c>
      <c r="B1892" s="6">
        <v>45110</v>
      </c>
      <c r="C1892">
        <v>7881</v>
      </c>
      <c r="D1892" t="s">
        <v>4475</v>
      </c>
      <c r="E1892" t="s">
        <v>38</v>
      </c>
      <c r="F1892" t="s">
        <v>19</v>
      </c>
      <c r="G1892">
        <v>14046.19</v>
      </c>
      <c r="H1892">
        <v>6538.07</v>
      </c>
      <c r="I1892" t="s">
        <v>84</v>
      </c>
      <c r="J1892" t="s">
        <v>54</v>
      </c>
      <c r="K1892" t="s">
        <v>32</v>
      </c>
      <c r="L1892" t="s">
        <v>48</v>
      </c>
      <c r="M1892">
        <v>2</v>
      </c>
      <c r="N1892" t="s">
        <v>24</v>
      </c>
      <c r="O1892" t="s">
        <v>25</v>
      </c>
      <c r="P1892" t="s">
        <v>49</v>
      </c>
    </row>
    <row r="1893" spans="1:16" x14ac:dyDescent="0.25">
      <c r="A1893" t="s">
        <v>4476</v>
      </c>
      <c r="B1893" s="6">
        <v>43976</v>
      </c>
      <c r="C1893">
        <v>2573</v>
      </c>
      <c r="D1893" t="s">
        <v>4478</v>
      </c>
      <c r="E1893" t="s">
        <v>18</v>
      </c>
      <c r="F1893" t="s">
        <v>58</v>
      </c>
      <c r="G1893">
        <v>31598.23</v>
      </c>
      <c r="H1893">
        <v>18010.330000000002</v>
      </c>
      <c r="I1893" t="s">
        <v>84</v>
      </c>
      <c r="J1893" t="s">
        <v>54</v>
      </c>
      <c r="K1893" t="s">
        <v>80</v>
      </c>
      <c r="L1893" t="s">
        <v>43</v>
      </c>
      <c r="M1893">
        <v>5</v>
      </c>
      <c r="N1893" t="s">
        <v>24</v>
      </c>
      <c r="O1893" t="s">
        <v>25</v>
      </c>
      <c r="P1893" t="s">
        <v>49</v>
      </c>
    </row>
    <row r="1894" spans="1:16" x14ac:dyDescent="0.25">
      <c r="A1894" t="s">
        <v>4479</v>
      </c>
      <c r="B1894" s="6">
        <v>45628</v>
      </c>
      <c r="C1894">
        <v>7322</v>
      </c>
      <c r="D1894" t="s">
        <v>4480</v>
      </c>
      <c r="E1894" t="s">
        <v>18</v>
      </c>
      <c r="F1894" t="s">
        <v>19</v>
      </c>
      <c r="G1894">
        <v>17318.259999999998</v>
      </c>
      <c r="H1894">
        <v>8187.66</v>
      </c>
      <c r="I1894" t="s">
        <v>53</v>
      </c>
      <c r="J1894" t="s">
        <v>54</v>
      </c>
      <c r="K1894" t="s">
        <v>80</v>
      </c>
      <c r="L1894" t="s">
        <v>48</v>
      </c>
      <c r="M1894">
        <v>5</v>
      </c>
      <c r="N1894" t="s">
        <v>24</v>
      </c>
      <c r="O1894" t="s">
        <v>25</v>
      </c>
      <c r="P1894" t="s">
        <v>49</v>
      </c>
    </row>
    <row r="1895" spans="1:16" x14ac:dyDescent="0.25">
      <c r="A1895" t="s">
        <v>4481</v>
      </c>
      <c r="B1895" s="6">
        <v>44010</v>
      </c>
      <c r="C1895">
        <v>1576</v>
      </c>
      <c r="D1895" t="s">
        <v>4482</v>
      </c>
      <c r="E1895" t="s">
        <v>38</v>
      </c>
      <c r="F1895" t="s">
        <v>47</v>
      </c>
      <c r="G1895">
        <v>6008.3</v>
      </c>
      <c r="H1895">
        <v>3184.71</v>
      </c>
      <c r="I1895" t="s">
        <v>53</v>
      </c>
      <c r="J1895" t="s">
        <v>54</v>
      </c>
      <c r="K1895" t="s">
        <v>32</v>
      </c>
      <c r="L1895" t="s">
        <v>64</v>
      </c>
      <c r="M1895">
        <v>4</v>
      </c>
      <c r="N1895" t="s">
        <v>33</v>
      </c>
      <c r="O1895" t="s">
        <v>25</v>
      </c>
      <c r="P1895" t="s">
        <v>34</v>
      </c>
    </row>
    <row r="1896" spans="1:16" x14ac:dyDescent="0.25">
      <c r="A1896" t="s">
        <v>4483</v>
      </c>
      <c r="B1896" s="6">
        <v>45618</v>
      </c>
      <c r="C1896">
        <v>2839</v>
      </c>
      <c r="D1896" t="s">
        <v>4484</v>
      </c>
      <c r="E1896" t="s">
        <v>38</v>
      </c>
      <c r="F1896" t="s">
        <v>30</v>
      </c>
      <c r="G1896">
        <v>41870.89</v>
      </c>
      <c r="H1896">
        <v>24136.67</v>
      </c>
      <c r="I1896" t="s">
        <v>40</v>
      </c>
      <c r="J1896" t="s">
        <v>41</v>
      </c>
      <c r="K1896" t="s">
        <v>80</v>
      </c>
      <c r="L1896" t="s">
        <v>23</v>
      </c>
      <c r="M1896">
        <v>3</v>
      </c>
      <c r="N1896" t="s">
        <v>33</v>
      </c>
      <c r="O1896" t="s">
        <v>25</v>
      </c>
      <c r="P1896" t="s">
        <v>49</v>
      </c>
    </row>
    <row r="1897" spans="1:16" x14ac:dyDescent="0.25">
      <c r="A1897" t="s">
        <v>4485</v>
      </c>
      <c r="B1897" s="6">
        <v>44104</v>
      </c>
      <c r="C1897">
        <v>1814</v>
      </c>
      <c r="D1897" t="s">
        <v>3996</v>
      </c>
      <c r="E1897" t="s">
        <v>38</v>
      </c>
      <c r="F1897" t="s">
        <v>19</v>
      </c>
      <c r="G1897">
        <v>11027.77</v>
      </c>
      <c r="H1897">
        <v>7062.85</v>
      </c>
      <c r="I1897" t="s">
        <v>84</v>
      </c>
      <c r="J1897" t="s">
        <v>54</v>
      </c>
      <c r="K1897" t="s">
        <v>42</v>
      </c>
      <c r="L1897" t="s">
        <v>55</v>
      </c>
      <c r="M1897">
        <v>3</v>
      </c>
      <c r="N1897" t="s">
        <v>33</v>
      </c>
      <c r="O1897" t="s">
        <v>25</v>
      </c>
      <c r="P1897" t="s">
        <v>49</v>
      </c>
    </row>
    <row r="1898" spans="1:16" x14ac:dyDescent="0.25">
      <c r="A1898" t="s">
        <v>4486</v>
      </c>
      <c r="B1898" s="6">
        <v>44808</v>
      </c>
      <c r="C1898">
        <v>1578</v>
      </c>
      <c r="D1898" t="s">
        <v>4487</v>
      </c>
      <c r="E1898" t="s">
        <v>38</v>
      </c>
      <c r="F1898" t="s">
        <v>47</v>
      </c>
      <c r="G1898">
        <v>8683.77</v>
      </c>
      <c r="H1898">
        <v>4802.3</v>
      </c>
      <c r="I1898" t="s">
        <v>53</v>
      </c>
      <c r="J1898" t="s">
        <v>54</v>
      </c>
      <c r="K1898" t="s">
        <v>80</v>
      </c>
      <c r="L1898" t="s">
        <v>64</v>
      </c>
      <c r="M1898">
        <v>3</v>
      </c>
      <c r="N1898" t="s">
        <v>33</v>
      </c>
      <c r="O1898" t="s">
        <v>25</v>
      </c>
      <c r="P1898" t="s">
        <v>34</v>
      </c>
    </row>
    <row r="1899" spans="1:16" x14ac:dyDescent="0.25">
      <c r="A1899" t="s">
        <v>4488</v>
      </c>
      <c r="B1899" s="6">
        <v>44585</v>
      </c>
      <c r="C1899">
        <v>6987</v>
      </c>
      <c r="D1899" t="s">
        <v>4489</v>
      </c>
      <c r="E1899" t="s">
        <v>38</v>
      </c>
      <c r="F1899" t="s">
        <v>30</v>
      </c>
      <c r="G1899">
        <v>20345.75</v>
      </c>
      <c r="H1899">
        <v>10391.27</v>
      </c>
      <c r="I1899" t="s">
        <v>68</v>
      </c>
      <c r="J1899" t="s">
        <v>41</v>
      </c>
      <c r="K1899" t="s">
        <v>22</v>
      </c>
      <c r="L1899" t="s">
        <v>43</v>
      </c>
      <c r="M1899">
        <v>1</v>
      </c>
      <c r="N1899" t="s">
        <v>69</v>
      </c>
      <c r="O1899" t="s">
        <v>70</v>
      </c>
      <c r="P1899" t="s">
        <v>26</v>
      </c>
    </row>
    <row r="1900" spans="1:16" x14ac:dyDescent="0.25">
      <c r="A1900" t="s">
        <v>4490</v>
      </c>
      <c r="B1900" s="6">
        <v>44009</v>
      </c>
      <c r="C1900">
        <v>6670</v>
      </c>
      <c r="D1900" t="s">
        <v>2632</v>
      </c>
      <c r="E1900" t="s">
        <v>38</v>
      </c>
      <c r="F1900" t="s">
        <v>58</v>
      </c>
      <c r="G1900">
        <v>15192.92</v>
      </c>
      <c r="H1900">
        <v>9240.36</v>
      </c>
      <c r="I1900" t="s">
        <v>20</v>
      </c>
      <c r="J1900" t="s">
        <v>21</v>
      </c>
      <c r="K1900" t="s">
        <v>32</v>
      </c>
      <c r="L1900" t="s">
        <v>64</v>
      </c>
      <c r="M1900">
        <v>4</v>
      </c>
      <c r="N1900" t="s">
        <v>24</v>
      </c>
      <c r="O1900" t="s">
        <v>25</v>
      </c>
      <c r="P1900" t="s">
        <v>49</v>
      </c>
    </row>
    <row r="1901" spans="1:16" x14ac:dyDescent="0.25">
      <c r="A1901" t="s">
        <v>4491</v>
      </c>
      <c r="B1901" s="6">
        <v>44982</v>
      </c>
      <c r="C1901">
        <v>3635</v>
      </c>
      <c r="D1901" t="s">
        <v>4493</v>
      </c>
      <c r="E1901" t="s">
        <v>38</v>
      </c>
      <c r="F1901" t="s">
        <v>30</v>
      </c>
      <c r="G1901">
        <v>27412.84</v>
      </c>
      <c r="H1901">
        <v>13888.28</v>
      </c>
      <c r="I1901" t="s">
        <v>53</v>
      </c>
      <c r="J1901" t="s">
        <v>54</v>
      </c>
      <c r="K1901" t="s">
        <v>80</v>
      </c>
      <c r="L1901" t="s">
        <v>48</v>
      </c>
      <c r="M1901">
        <v>2</v>
      </c>
      <c r="N1901" t="s">
        <v>33</v>
      </c>
      <c r="O1901" t="s">
        <v>25</v>
      </c>
      <c r="P1901" t="s">
        <v>34</v>
      </c>
    </row>
    <row r="1902" spans="1:16" x14ac:dyDescent="0.25">
      <c r="A1902" t="s">
        <v>4494</v>
      </c>
      <c r="B1902" s="6">
        <v>45440</v>
      </c>
      <c r="C1902">
        <v>6263</v>
      </c>
      <c r="D1902" t="s">
        <v>4495</v>
      </c>
      <c r="E1902" t="s">
        <v>18</v>
      </c>
      <c r="F1902" t="s">
        <v>47</v>
      </c>
      <c r="G1902">
        <v>13409.13</v>
      </c>
      <c r="H1902">
        <v>8707.32</v>
      </c>
      <c r="I1902" t="s">
        <v>20</v>
      </c>
      <c r="J1902" t="s">
        <v>21</v>
      </c>
      <c r="K1902" t="s">
        <v>42</v>
      </c>
      <c r="L1902" t="s">
        <v>43</v>
      </c>
      <c r="M1902">
        <v>1</v>
      </c>
      <c r="N1902" t="s">
        <v>24</v>
      </c>
      <c r="O1902" t="s">
        <v>70</v>
      </c>
      <c r="P1902" t="s">
        <v>26</v>
      </c>
    </row>
    <row r="1903" spans="1:16" x14ac:dyDescent="0.25">
      <c r="A1903" t="s">
        <v>4496</v>
      </c>
      <c r="B1903" s="6">
        <v>45582</v>
      </c>
      <c r="C1903">
        <v>7577</v>
      </c>
      <c r="D1903" t="s">
        <v>4497</v>
      </c>
      <c r="E1903" t="s">
        <v>38</v>
      </c>
      <c r="F1903" t="s">
        <v>47</v>
      </c>
      <c r="G1903">
        <v>6826.59</v>
      </c>
      <c r="H1903">
        <v>3768.28</v>
      </c>
      <c r="I1903" t="s">
        <v>31</v>
      </c>
      <c r="J1903" t="s">
        <v>21</v>
      </c>
      <c r="K1903" t="s">
        <v>32</v>
      </c>
      <c r="L1903" t="s">
        <v>88</v>
      </c>
      <c r="M1903">
        <v>4</v>
      </c>
      <c r="N1903" t="s">
        <v>33</v>
      </c>
      <c r="O1903" t="s">
        <v>25</v>
      </c>
      <c r="P1903" t="s">
        <v>26</v>
      </c>
    </row>
    <row r="1904" spans="1:16" x14ac:dyDescent="0.25">
      <c r="A1904" t="s">
        <v>4498</v>
      </c>
      <c r="B1904" s="6">
        <v>44540</v>
      </c>
      <c r="C1904">
        <v>1450</v>
      </c>
      <c r="D1904" t="s">
        <v>4499</v>
      </c>
      <c r="E1904" t="s">
        <v>18</v>
      </c>
      <c r="F1904" t="s">
        <v>39</v>
      </c>
      <c r="G1904">
        <v>22226.38</v>
      </c>
      <c r="H1904">
        <v>11295.67</v>
      </c>
      <c r="I1904" t="s">
        <v>120</v>
      </c>
      <c r="J1904" t="s">
        <v>21</v>
      </c>
      <c r="K1904" t="s">
        <v>42</v>
      </c>
      <c r="L1904" t="s">
        <v>23</v>
      </c>
      <c r="M1904">
        <v>5</v>
      </c>
      <c r="N1904" t="s">
        <v>33</v>
      </c>
      <c r="O1904" t="s">
        <v>70</v>
      </c>
      <c r="P1904" t="s">
        <v>26</v>
      </c>
    </row>
    <row r="1905" spans="1:16" x14ac:dyDescent="0.25">
      <c r="A1905" t="s">
        <v>4500</v>
      </c>
      <c r="B1905" s="6">
        <v>44852</v>
      </c>
      <c r="C1905">
        <v>7762</v>
      </c>
      <c r="D1905" t="s">
        <v>4501</v>
      </c>
      <c r="E1905" t="s">
        <v>38</v>
      </c>
      <c r="F1905" t="s">
        <v>39</v>
      </c>
      <c r="G1905">
        <v>39682.199999999997</v>
      </c>
      <c r="H1905">
        <v>21137.22</v>
      </c>
      <c r="I1905" t="s">
        <v>31</v>
      </c>
      <c r="J1905" t="s">
        <v>21</v>
      </c>
      <c r="K1905" t="s">
        <v>80</v>
      </c>
      <c r="L1905" t="s">
        <v>23</v>
      </c>
      <c r="M1905">
        <v>5</v>
      </c>
      <c r="N1905" t="s">
        <v>24</v>
      </c>
      <c r="O1905" t="s">
        <v>70</v>
      </c>
      <c r="P1905" t="s">
        <v>34</v>
      </c>
    </row>
    <row r="1906" spans="1:16" x14ac:dyDescent="0.25">
      <c r="A1906" t="s">
        <v>4502</v>
      </c>
      <c r="B1906" s="6">
        <v>44369</v>
      </c>
      <c r="C1906">
        <v>8411</v>
      </c>
      <c r="D1906" t="s">
        <v>4503</v>
      </c>
      <c r="E1906" t="s">
        <v>38</v>
      </c>
      <c r="F1906" t="s">
        <v>19</v>
      </c>
      <c r="G1906">
        <v>12914.86</v>
      </c>
      <c r="H1906">
        <v>5955.52</v>
      </c>
      <c r="I1906" t="s">
        <v>84</v>
      </c>
      <c r="J1906" t="s">
        <v>54</v>
      </c>
      <c r="K1906" t="s">
        <v>32</v>
      </c>
      <c r="L1906" t="s">
        <v>23</v>
      </c>
      <c r="M1906">
        <v>2</v>
      </c>
      <c r="N1906" t="s">
        <v>33</v>
      </c>
      <c r="O1906" t="s">
        <v>25</v>
      </c>
      <c r="P1906" t="s">
        <v>34</v>
      </c>
    </row>
    <row r="1907" spans="1:16" x14ac:dyDescent="0.25">
      <c r="A1907" t="s">
        <v>4504</v>
      </c>
      <c r="B1907" s="6">
        <v>44979</v>
      </c>
      <c r="C1907">
        <v>6888</v>
      </c>
      <c r="D1907" t="s">
        <v>4505</v>
      </c>
      <c r="E1907" t="s">
        <v>18</v>
      </c>
      <c r="F1907" t="s">
        <v>19</v>
      </c>
      <c r="G1907">
        <v>18022.5</v>
      </c>
      <c r="H1907">
        <v>9979.6200000000008</v>
      </c>
      <c r="I1907" t="s">
        <v>53</v>
      </c>
      <c r="J1907" t="s">
        <v>54</v>
      </c>
      <c r="K1907" t="s">
        <v>22</v>
      </c>
      <c r="L1907" t="s">
        <v>88</v>
      </c>
      <c r="M1907">
        <v>1</v>
      </c>
      <c r="N1907" t="s">
        <v>69</v>
      </c>
      <c r="O1907" t="s">
        <v>70</v>
      </c>
      <c r="P1907" t="s">
        <v>26</v>
      </c>
    </row>
    <row r="1908" spans="1:16" x14ac:dyDescent="0.25">
      <c r="A1908" t="s">
        <v>4506</v>
      </c>
      <c r="B1908" s="6">
        <v>43866</v>
      </c>
      <c r="C1908">
        <v>7595</v>
      </c>
      <c r="D1908" t="s">
        <v>4508</v>
      </c>
      <c r="E1908" t="s">
        <v>38</v>
      </c>
      <c r="F1908" t="s">
        <v>47</v>
      </c>
      <c r="G1908">
        <v>2282.29</v>
      </c>
      <c r="H1908">
        <v>1274.55</v>
      </c>
      <c r="I1908" t="s">
        <v>31</v>
      </c>
      <c r="J1908" t="s">
        <v>21</v>
      </c>
      <c r="K1908" t="s">
        <v>22</v>
      </c>
      <c r="L1908" t="s">
        <v>23</v>
      </c>
      <c r="M1908">
        <v>2</v>
      </c>
      <c r="N1908" t="s">
        <v>24</v>
      </c>
      <c r="O1908" t="s">
        <v>25</v>
      </c>
      <c r="P1908" t="s">
        <v>49</v>
      </c>
    </row>
    <row r="1909" spans="1:16" x14ac:dyDescent="0.25">
      <c r="A1909" t="s">
        <v>4509</v>
      </c>
      <c r="B1909" s="6">
        <v>45225</v>
      </c>
      <c r="C1909">
        <v>7252</v>
      </c>
      <c r="D1909" t="s">
        <v>2256</v>
      </c>
      <c r="E1909" t="s">
        <v>18</v>
      </c>
      <c r="F1909" t="s">
        <v>30</v>
      </c>
      <c r="G1909">
        <v>58496.47</v>
      </c>
      <c r="H1909">
        <v>30141.89</v>
      </c>
      <c r="I1909" t="s">
        <v>53</v>
      </c>
      <c r="J1909" t="s">
        <v>54</v>
      </c>
      <c r="K1909" t="s">
        <v>80</v>
      </c>
      <c r="L1909" t="s">
        <v>64</v>
      </c>
      <c r="M1909">
        <v>5</v>
      </c>
      <c r="N1909" t="s">
        <v>33</v>
      </c>
      <c r="O1909" t="s">
        <v>25</v>
      </c>
      <c r="P1909" t="s">
        <v>34</v>
      </c>
    </row>
    <row r="1910" spans="1:16" x14ac:dyDescent="0.25">
      <c r="A1910" t="s">
        <v>4510</v>
      </c>
      <c r="B1910" s="6">
        <v>44329</v>
      </c>
      <c r="C1910">
        <v>3444</v>
      </c>
      <c r="D1910" t="s">
        <v>4511</v>
      </c>
      <c r="E1910" t="s">
        <v>38</v>
      </c>
      <c r="F1910" t="s">
        <v>58</v>
      </c>
      <c r="G1910">
        <v>28414.720000000001</v>
      </c>
      <c r="H1910">
        <v>17539.79</v>
      </c>
      <c r="I1910" t="s">
        <v>63</v>
      </c>
      <c r="J1910" t="s">
        <v>54</v>
      </c>
      <c r="K1910" t="s">
        <v>32</v>
      </c>
      <c r="L1910" t="s">
        <v>48</v>
      </c>
      <c r="M1910">
        <v>1</v>
      </c>
      <c r="N1910" t="s">
        <v>33</v>
      </c>
      <c r="O1910" t="s">
        <v>25</v>
      </c>
      <c r="P1910" t="s">
        <v>34</v>
      </c>
    </row>
    <row r="1911" spans="1:16" x14ac:dyDescent="0.25">
      <c r="A1911" t="s">
        <v>4512</v>
      </c>
      <c r="B1911" s="6">
        <v>45348</v>
      </c>
      <c r="C1911">
        <v>1517</v>
      </c>
      <c r="D1911" t="s">
        <v>4513</v>
      </c>
      <c r="E1911" t="s">
        <v>18</v>
      </c>
      <c r="F1911" t="s">
        <v>58</v>
      </c>
      <c r="G1911">
        <v>33104.379999999997</v>
      </c>
      <c r="H1911">
        <v>17417.2</v>
      </c>
      <c r="I1911" t="s">
        <v>53</v>
      </c>
      <c r="J1911" t="s">
        <v>54</v>
      </c>
      <c r="K1911" t="s">
        <v>22</v>
      </c>
      <c r="L1911" t="s">
        <v>88</v>
      </c>
      <c r="M1911">
        <v>1</v>
      </c>
      <c r="N1911" t="s">
        <v>24</v>
      </c>
      <c r="O1911" t="s">
        <v>25</v>
      </c>
      <c r="P1911" t="s">
        <v>49</v>
      </c>
    </row>
    <row r="1912" spans="1:16" x14ac:dyDescent="0.25">
      <c r="A1912" t="s">
        <v>4514</v>
      </c>
      <c r="B1912" s="6">
        <v>44609</v>
      </c>
      <c r="C1912">
        <v>3033</v>
      </c>
      <c r="D1912" t="s">
        <v>297</v>
      </c>
      <c r="E1912" t="s">
        <v>18</v>
      </c>
      <c r="F1912" t="s">
        <v>58</v>
      </c>
      <c r="G1912">
        <v>45767.47</v>
      </c>
      <c r="H1912">
        <v>27956.94</v>
      </c>
      <c r="I1912" t="s">
        <v>53</v>
      </c>
      <c r="J1912" t="s">
        <v>54</v>
      </c>
      <c r="K1912" t="s">
        <v>32</v>
      </c>
      <c r="L1912" t="s">
        <v>48</v>
      </c>
      <c r="M1912">
        <v>3</v>
      </c>
      <c r="N1912" t="s">
        <v>69</v>
      </c>
      <c r="O1912" t="s">
        <v>25</v>
      </c>
      <c r="P1912" t="s">
        <v>49</v>
      </c>
    </row>
    <row r="1913" spans="1:16" x14ac:dyDescent="0.25">
      <c r="A1913" t="s">
        <v>4516</v>
      </c>
      <c r="B1913" s="6">
        <v>45501</v>
      </c>
      <c r="C1913">
        <v>4463</v>
      </c>
      <c r="D1913" t="s">
        <v>2424</v>
      </c>
      <c r="E1913" t="s">
        <v>38</v>
      </c>
      <c r="F1913" t="s">
        <v>47</v>
      </c>
      <c r="G1913">
        <v>4115.4799999999996</v>
      </c>
      <c r="H1913">
        <v>1889.22</v>
      </c>
      <c r="I1913" t="s">
        <v>20</v>
      </c>
      <c r="J1913" t="s">
        <v>21</v>
      </c>
      <c r="K1913" t="s">
        <v>42</v>
      </c>
      <c r="L1913" t="s">
        <v>55</v>
      </c>
      <c r="M1913">
        <v>3</v>
      </c>
      <c r="N1913" t="s">
        <v>33</v>
      </c>
      <c r="O1913" t="s">
        <v>70</v>
      </c>
      <c r="P1913" t="s">
        <v>49</v>
      </c>
    </row>
    <row r="1914" spans="1:16" x14ac:dyDescent="0.25">
      <c r="A1914" t="s">
        <v>4517</v>
      </c>
      <c r="B1914" s="6">
        <v>44737</v>
      </c>
      <c r="C1914">
        <v>4792</v>
      </c>
      <c r="D1914" t="s">
        <v>4519</v>
      </c>
      <c r="E1914" t="s">
        <v>18</v>
      </c>
      <c r="F1914" t="s">
        <v>19</v>
      </c>
      <c r="G1914">
        <v>9678.61</v>
      </c>
      <c r="H1914">
        <v>4579.62</v>
      </c>
      <c r="I1914" t="s">
        <v>84</v>
      </c>
      <c r="J1914" t="s">
        <v>54</v>
      </c>
      <c r="K1914" t="s">
        <v>22</v>
      </c>
      <c r="L1914" t="s">
        <v>88</v>
      </c>
      <c r="M1914">
        <v>3</v>
      </c>
      <c r="N1914" t="s">
        <v>24</v>
      </c>
      <c r="O1914" t="s">
        <v>25</v>
      </c>
      <c r="P1914" t="s">
        <v>34</v>
      </c>
    </row>
    <row r="1915" spans="1:16" x14ac:dyDescent="0.25">
      <c r="A1915" t="s">
        <v>4520</v>
      </c>
      <c r="B1915" s="6">
        <v>44028</v>
      </c>
      <c r="C1915">
        <v>2639</v>
      </c>
      <c r="D1915" t="s">
        <v>4521</v>
      </c>
      <c r="E1915" t="s">
        <v>38</v>
      </c>
      <c r="F1915" t="s">
        <v>39</v>
      </c>
      <c r="G1915">
        <v>25919.29</v>
      </c>
      <c r="H1915">
        <v>14272.86</v>
      </c>
      <c r="I1915" t="s">
        <v>84</v>
      </c>
      <c r="J1915" t="s">
        <v>54</v>
      </c>
      <c r="K1915" t="s">
        <v>32</v>
      </c>
      <c r="L1915" t="s">
        <v>55</v>
      </c>
      <c r="M1915">
        <v>1</v>
      </c>
      <c r="N1915" t="s">
        <v>33</v>
      </c>
      <c r="O1915" t="s">
        <v>25</v>
      </c>
      <c r="P1915" t="s">
        <v>34</v>
      </c>
    </row>
    <row r="1916" spans="1:16" x14ac:dyDescent="0.25">
      <c r="A1916" t="s">
        <v>4522</v>
      </c>
      <c r="B1916" s="6">
        <v>45005</v>
      </c>
      <c r="C1916">
        <v>6375</v>
      </c>
      <c r="D1916" t="s">
        <v>4523</v>
      </c>
      <c r="E1916" t="s">
        <v>38</v>
      </c>
      <c r="F1916" t="s">
        <v>39</v>
      </c>
      <c r="G1916">
        <v>30806.47</v>
      </c>
      <c r="H1916">
        <v>18733.78</v>
      </c>
      <c r="I1916" t="s">
        <v>120</v>
      </c>
      <c r="J1916" t="s">
        <v>21</v>
      </c>
      <c r="K1916" t="s">
        <v>80</v>
      </c>
      <c r="L1916" t="s">
        <v>48</v>
      </c>
      <c r="M1916">
        <v>3</v>
      </c>
      <c r="N1916" t="s">
        <v>33</v>
      </c>
      <c r="O1916" t="s">
        <v>25</v>
      </c>
      <c r="P1916" t="s">
        <v>34</v>
      </c>
    </row>
    <row r="1917" spans="1:16" x14ac:dyDescent="0.25">
      <c r="A1917" t="s">
        <v>4524</v>
      </c>
      <c r="B1917" s="6">
        <v>45195</v>
      </c>
      <c r="C1917">
        <v>1060</v>
      </c>
      <c r="D1917" t="s">
        <v>4250</v>
      </c>
      <c r="E1917" t="s">
        <v>18</v>
      </c>
      <c r="F1917" t="s">
        <v>19</v>
      </c>
      <c r="G1917">
        <v>9771.11</v>
      </c>
      <c r="H1917">
        <v>4605.21</v>
      </c>
      <c r="I1917" t="s">
        <v>84</v>
      </c>
      <c r="J1917" t="s">
        <v>54</v>
      </c>
      <c r="K1917" t="s">
        <v>32</v>
      </c>
      <c r="L1917" t="s">
        <v>64</v>
      </c>
      <c r="M1917">
        <v>5</v>
      </c>
      <c r="N1917" t="s">
        <v>33</v>
      </c>
      <c r="O1917" t="s">
        <v>25</v>
      </c>
      <c r="P1917" t="s">
        <v>49</v>
      </c>
    </row>
    <row r="1918" spans="1:16" x14ac:dyDescent="0.25">
      <c r="A1918" t="s">
        <v>4525</v>
      </c>
      <c r="B1918" s="6">
        <v>45300</v>
      </c>
      <c r="C1918">
        <v>3749</v>
      </c>
      <c r="D1918" t="s">
        <v>4527</v>
      </c>
      <c r="E1918" t="s">
        <v>38</v>
      </c>
      <c r="F1918" t="s">
        <v>58</v>
      </c>
      <c r="G1918">
        <v>54128.800000000003</v>
      </c>
      <c r="H1918">
        <v>29239.51</v>
      </c>
      <c r="I1918" t="s">
        <v>53</v>
      </c>
      <c r="J1918" t="s">
        <v>54</v>
      </c>
      <c r="K1918" t="s">
        <v>32</v>
      </c>
      <c r="L1918" t="s">
        <v>55</v>
      </c>
      <c r="M1918">
        <v>5</v>
      </c>
      <c r="N1918" t="s">
        <v>33</v>
      </c>
      <c r="O1918" t="s">
        <v>25</v>
      </c>
      <c r="P1918" t="s">
        <v>34</v>
      </c>
    </row>
    <row r="1919" spans="1:16" x14ac:dyDescent="0.25">
      <c r="A1919" t="s">
        <v>4528</v>
      </c>
      <c r="B1919" s="6">
        <v>44104</v>
      </c>
      <c r="C1919">
        <v>7652</v>
      </c>
      <c r="D1919" t="s">
        <v>4529</v>
      </c>
      <c r="E1919" t="s">
        <v>38</v>
      </c>
      <c r="F1919" t="s">
        <v>47</v>
      </c>
      <c r="G1919">
        <v>5572.38</v>
      </c>
      <c r="H1919">
        <v>3384.45</v>
      </c>
      <c r="I1919" t="s">
        <v>84</v>
      </c>
      <c r="J1919" t="s">
        <v>54</v>
      </c>
      <c r="K1919" t="s">
        <v>32</v>
      </c>
      <c r="L1919" t="s">
        <v>88</v>
      </c>
      <c r="M1919">
        <v>2</v>
      </c>
      <c r="N1919" t="s">
        <v>33</v>
      </c>
      <c r="O1919" t="s">
        <v>25</v>
      </c>
      <c r="P1919" t="s">
        <v>34</v>
      </c>
    </row>
    <row r="1920" spans="1:16" x14ac:dyDescent="0.25">
      <c r="A1920" t="s">
        <v>4530</v>
      </c>
      <c r="B1920" s="6">
        <v>45496</v>
      </c>
      <c r="C1920">
        <v>5920</v>
      </c>
      <c r="D1920" t="s">
        <v>4531</v>
      </c>
      <c r="E1920" t="s">
        <v>38</v>
      </c>
      <c r="F1920" t="s">
        <v>30</v>
      </c>
      <c r="G1920">
        <v>102851.27</v>
      </c>
      <c r="H1920">
        <v>59368.83</v>
      </c>
      <c r="I1920" t="s">
        <v>53</v>
      </c>
      <c r="J1920" t="s">
        <v>54</v>
      </c>
      <c r="K1920" t="s">
        <v>42</v>
      </c>
      <c r="L1920" t="s">
        <v>43</v>
      </c>
      <c r="M1920">
        <v>3</v>
      </c>
      <c r="N1920" t="s">
        <v>24</v>
      </c>
      <c r="O1920" t="s">
        <v>25</v>
      </c>
      <c r="P1920" t="s">
        <v>49</v>
      </c>
    </row>
    <row r="1921" spans="1:16" x14ac:dyDescent="0.25">
      <c r="A1921" t="s">
        <v>4532</v>
      </c>
      <c r="B1921" s="6">
        <v>44064</v>
      </c>
      <c r="C1921">
        <v>1064</v>
      </c>
      <c r="D1921" t="s">
        <v>4534</v>
      </c>
      <c r="E1921" t="s">
        <v>18</v>
      </c>
      <c r="F1921" t="s">
        <v>58</v>
      </c>
      <c r="G1921">
        <v>22002.38</v>
      </c>
      <c r="H1921">
        <v>14080.13</v>
      </c>
      <c r="I1921" t="s">
        <v>63</v>
      </c>
      <c r="J1921" t="s">
        <v>54</v>
      </c>
      <c r="K1921" t="s">
        <v>32</v>
      </c>
      <c r="L1921" t="s">
        <v>48</v>
      </c>
      <c r="M1921">
        <v>4</v>
      </c>
      <c r="N1921" t="s">
        <v>33</v>
      </c>
      <c r="O1921" t="s">
        <v>70</v>
      </c>
      <c r="P1921" t="s">
        <v>49</v>
      </c>
    </row>
    <row r="1922" spans="1:16" x14ac:dyDescent="0.25">
      <c r="A1922" t="s">
        <v>4535</v>
      </c>
      <c r="B1922" s="6">
        <v>45519</v>
      </c>
      <c r="C1922">
        <v>2691</v>
      </c>
      <c r="D1922" t="s">
        <v>3366</v>
      </c>
      <c r="E1922" t="s">
        <v>18</v>
      </c>
      <c r="F1922" t="s">
        <v>47</v>
      </c>
      <c r="G1922">
        <v>21217.08</v>
      </c>
      <c r="H1922">
        <v>9861.2099999999991</v>
      </c>
      <c r="I1922" t="s">
        <v>63</v>
      </c>
      <c r="J1922" t="s">
        <v>54</v>
      </c>
      <c r="K1922" t="s">
        <v>22</v>
      </c>
      <c r="L1922" t="s">
        <v>43</v>
      </c>
      <c r="M1922">
        <v>4</v>
      </c>
      <c r="N1922" t="s">
        <v>69</v>
      </c>
      <c r="O1922" t="s">
        <v>70</v>
      </c>
      <c r="P1922" t="s">
        <v>34</v>
      </c>
    </row>
    <row r="1923" spans="1:16" x14ac:dyDescent="0.25">
      <c r="A1923" t="s">
        <v>4536</v>
      </c>
      <c r="B1923" s="6">
        <v>44712</v>
      </c>
      <c r="C1923">
        <v>6843</v>
      </c>
      <c r="D1923" t="s">
        <v>2977</v>
      </c>
      <c r="E1923" t="s">
        <v>38</v>
      </c>
      <c r="F1923" t="s">
        <v>47</v>
      </c>
      <c r="G1923">
        <v>13115.1</v>
      </c>
      <c r="H1923">
        <v>7011</v>
      </c>
      <c r="I1923" t="s">
        <v>20</v>
      </c>
      <c r="J1923" t="s">
        <v>21</v>
      </c>
      <c r="K1923" t="s">
        <v>42</v>
      </c>
      <c r="L1923" t="s">
        <v>23</v>
      </c>
      <c r="M1923">
        <v>2</v>
      </c>
      <c r="N1923" t="s">
        <v>33</v>
      </c>
      <c r="O1923" t="s">
        <v>70</v>
      </c>
      <c r="P1923" t="s">
        <v>34</v>
      </c>
    </row>
    <row r="1924" spans="1:16" x14ac:dyDescent="0.25">
      <c r="A1924" t="s">
        <v>4537</v>
      </c>
      <c r="B1924" s="6">
        <v>45467</v>
      </c>
      <c r="C1924">
        <v>3650</v>
      </c>
      <c r="D1924" t="s">
        <v>4538</v>
      </c>
      <c r="E1924" t="s">
        <v>18</v>
      </c>
      <c r="F1924" t="s">
        <v>39</v>
      </c>
      <c r="G1924">
        <v>32161.31</v>
      </c>
      <c r="H1924">
        <v>15173.05</v>
      </c>
      <c r="I1924" t="s">
        <v>31</v>
      </c>
      <c r="J1924" t="s">
        <v>21</v>
      </c>
      <c r="K1924" t="s">
        <v>22</v>
      </c>
      <c r="L1924" t="s">
        <v>23</v>
      </c>
      <c r="M1924">
        <v>2</v>
      </c>
      <c r="N1924" t="s">
        <v>33</v>
      </c>
      <c r="O1924" t="s">
        <v>70</v>
      </c>
      <c r="P1924" t="s">
        <v>26</v>
      </c>
    </row>
    <row r="1925" spans="1:16" x14ac:dyDescent="0.25">
      <c r="A1925" t="s">
        <v>4539</v>
      </c>
      <c r="B1925" s="6">
        <v>45123</v>
      </c>
      <c r="C1925">
        <v>7622</v>
      </c>
      <c r="D1925" t="s">
        <v>990</v>
      </c>
      <c r="E1925" t="s">
        <v>38</v>
      </c>
      <c r="F1925" t="s">
        <v>19</v>
      </c>
      <c r="G1925">
        <v>9120.99</v>
      </c>
      <c r="H1925">
        <v>4808.43</v>
      </c>
      <c r="I1925" t="s">
        <v>84</v>
      </c>
      <c r="J1925" t="s">
        <v>54</v>
      </c>
      <c r="K1925" t="s">
        <v>22</v>
      </c>
      <c r="L1925" t="s">
        <v>48</v>
      </c>
      <c r="M1925">
        <v>5</v>
      </c>
      <c r="N1925" t="s">
        <v>24</v>
      </c>
      <c r="O1925" t="s">
        <v>70</v>
      </c>
      <c r="P1925" t="s">
        <v>26</v>
      </c>
    </row>
    <row r="1926" spans="1:16" x14ac:dyDescent="0.25">
      <c r="A1926" t="s">
        <v>4540</v>
      </c>
      <c r="B1926" s="6">
        <v>45082</v>
      </c>
      <c r="C1926">
        <v>3535</v>
      </c>
      <c r="D1926" t="s">
        <v>952</v>
      </c>
      <c r="E1926" t="s">
        <v>38</v>
      </c>
      <c r="F1926" t="s">
        <v>58</v>
      </c>
      <c r="G1926">
        <v>36905.300000000003</v>
      </c>
      <c r="H1926">
        <v>21904.45</v>
      </c>
      <c r="I1926" t="s">
        <v>53</v>
      </c>
      <c r="J1926" t="s">
        <v>54</v>
      </c>
      <c r="K1926" t="s">
        <v>32</v>
      </c>
      <c r="L1926" t="s">
        <v>23</v>
      </c>
      <c r="M1926">
        <v>5</v>
      </c>
      <c r="N1926" t="s">
        <v>69</v>
      </c>
      <c r="O1926" t="s">
        <v>70</v>
      </c>
      <c r="P1926" t="s">
        <v>34</v>
      </c>
    </row>
    <row r="1927" spans="1:16" x14ac:dyDescent="0.25">
      <c r="A1927" t="s">
        <v>4542</v>
      </c>
      <c r="B1927" s="6">
        <v>45172</v>
      </c>
      <c r="C1927">
        <v>7357</v>
      </c>
      <c r="D1927" t="s">
        <v>4543</v>
      </c>
      <c r="E1927" t="s">
        <v>38</v>
      </c>
      <c r="F1927" t="s">
        <v>39</v>
      </c>
      <c r="G1927">
        <v>24930.38</v>
      </c>
      <c r="H1927">
        <v>12518.91</v>
      </c>
      <c r="I1927" t="s">
        <v>40</v>
      </c>
      <c r="J1927" t="s">
        <v>41</v>
      </c>
      <c r="K1927" t="s">
        <v>22</v>
      </c>
      <c r="L1927" t="s">
        <v>23</v>
      </c>
      <c r="M1927">
        <v>3</v>
      </c>
      <c r="N1927" t="s">
        <v>24</v>
      </c>
      <c r="O1927" t="s">
        <v>70</v>
      </c>
      <c r="P1927" t="s">
        <v>34</v>
      </c>
    </row>
    <row r="1928" spans="1:16" x14ac:dyDescent="0.25">
      <c r="A1928" t="s">
        <v>4544</v>
      </c>
      <c r="B1928" s="6">
        <v>43834</v>
      </c>
      <c r="C1928">
        <v>6961</v>
      </c>
      <c r="D1928" t="s">
        <v>4546</v>
      </c>
      <c r="E1928" t="s">
        <v>18</v>
      </c>
      <c r="F1928" t="s">
        <v>30</v>
      </c>
      <c r="G1928">
        <v>26365.18</v>
      </c>
      <c r="H1928">
        <v>13071.83</v>
      </c>
      <c r="I1928" t="s">
        <v>59</v>
      </c>
      <c r="J1928" t="s">
        <v>41</v>
      </c>
      <c r="K1928" t="s">
        <v>42</v>
      </c>
      <c r="L1928" t="s">
        <v>64</v>
      </c>
      <c r="M1928">
        <v>5</v>
      </c>
      <c r="N1928" t="s">
        <v>33</v>
      </c>
      <c r="O1928" t="s">
        <v>70</v>
      </c>
      <c r="P1928" t="s">
        <v>26</v>
      </c>
    </row>
    <row r="1929" spans="1:16" x14ac:dyDescent="0.25">
      <c r="A1929" t="s">
        <v>4547</v>
      </c>
      <c r="B1929" s="6">
        <v>45227</v>
      </c>
      <c r="C1929">
        <v>4079</v>
      </c>
      <c r="D1929" t="s">
        <v>4548</v>
      </c>
      <c r="E1929" t="s">
        <v>38</v>
      </c>
      <c r="F1929" t="s">
        <v>58</v>
      </c>
      <c r="G1929">
        <v>49340.89</v>
      </c>
      <c r="H1929">
        <v>26083.02</v>
      </c>
      <c r="I1929" t="s">
        <v>53</v>
      </c>
      <c r="J1929" t="s">
        <v>54</v>
      </c>
      <c r="K1929" t="s">
        <v>80</v>
      </c>
      <c r="L1929" t="s">
        <v>23</v>
      </c>
      <c r="M1929">
        <v>5</v>
      </c>
      <c r="N1929" t="s">
        <v>24</v>
      </c>
      <c r="O1929" t="s">
        <v>25</v>
      </c>
      <c r="P1929" t="s">
        <v>26</v>
      </c>
    </row>
    <row r="1930" spans="1:16" x14ac:dyDescent="0.25">
      <c r="A1930" t="s">
        <v>4549</v>
      </c>
      <c r="B1930" s="6">
        <v>45094</v>
      </c>
      <c r="C1930">
        <v>8962</v>
      </c>
      <c r="D1930" t="s">
        <v>4550</v>
      </c>
      <c r="E1930" t="s">
        <v>18</v>
      </c>
      <c r="F1930" t="s">
        <v>19</v>
      </c>
      <c r="G1930">
        <v>21777.57</v>
      </c>
      <c r="H1930">
        <v>10805.06</v>
      </c>
      <c r="I1930" t="s">
        <v>53</v>
      </c>
      <c r="J1930" t="s">
        <v>54</v>
      </c>
      <c r="K1930" t="s">
        <v>32</v>
      </c>
      <c r="L1930" t="s">
        <v>88</v>
      </c>
      <c r="M1930">
        <v>2</v>
      </c>
      <c r="N1930" t="s">
        <v>24</v>
      </c>
      <c r="O1930" t="s">
        <v>70</v>
      </c>
      <c r="P1930" t="s">
        <v>26</v>
      </c>
    </row>
    <row r="1931" spans="1:16" x14ac:dyDescent="0.25">
      <c r="A1931" t="s">
        <v>4551</v>
      </c>
      <c r="B1931" s="6">
        <v>45369</v>
      </c>
      <c r="C1931">
        <v>6278</v>
      </c>
      <c r="D1931" t="s">
        <v>1932</v>
      </c>
      <c r="E1931" t="s">
        <v>18</v>
      </c>
      <c r="F1931" t="s">
        <v>39</v>
      </c>
      <c r="G1931">
        <v>33678.89</v>
      </c>
      <c r="H1931">
        <v>20896.03</v>
      </c>
      <c r="I1931" t="s">
        <v>120</v>
      </c>
      <c r="J1931" t="s">
        <v>21</v>
      </c>
      <c r="K1931" t="s">
        <v>22</v>
      </c>
      <c r="L1931" t="s">
        <v>88</v>
      </c>
      <c r="M1931">
        <v>1</v>
      </c>
      <c r="N1931" t="s">
        <v>24</v>
      </c>
      <c r="O1931" t="s">
        <v>25</v>
      </c>
      <c r="P1931" t="s">
        <v>26</v>
      </c>
    </row>
    <row r="1932" spans="1:16" x14ac:dyDescent="0.25">
      <c r="A1932" t="s">
        <v>4552</v>
      </c>
      <c r="B1932" s="6">
        <v>45348</v>
      </c>
      <c r="C1932">
        <v>1907</v>
      </c>
      <c r="D1932" t="s">
        <v>1353</v>
      </c>
      <c r="E1932" t="s">
        <v>18</v>
      </c>
      <c r="F1932" t="s">
        <v>58</v>
      </c>
      <c r="G1932">
        <v>57397.68</v>
      </c>
      <c r="H1932">
        <v>30697.8</v>
      </c>
      <c r="I1932" t="s">
        <v>84</v>
      </c>
      <c r="J1932" t="s">
        <v>54</v>
      </c>
      <c r="K1932" t="s">
        <v>80</v>
      </c>
      <c r="L1932" t="s">
        <v>55</v>
      </c>
      <c r="M1932">
        <v>5</v>
      </c>
      <c r="N1932" t="s">
        <v>24</v>
      </c>
      <c r="O1932" t="s">
        <v>25</v>
      </c>
      <c r="P1932" t="s">
        <v>34</v>
      </c>
    </row>
    <row r="1933" spans="1:16" x14ac:dyDescent="0.25">
      <c r="A1933" t="s">
        <v>4553</v>
      </c>
      <c r="B1933" s="6">
        <v>44998</v>
      </c>
      <c r="C1933">
        <v>4784</v>
      </c>
      <c r="D1933" t="s">
        <v>4554</v>
      </c>
      <c r="E1933" t="s">
        <v>18</v>
      </c>
      <c r="F1933" t="s">
        <v>19</v>
      </c>
      <c r="G1933">
        <v>3605.03</v>
      </c>
      <c r="H1933">
        <v>2155.71</v>
      </c>
      <c r="I1933" t="s">
        <v>40</v>
      </c>
      <c r="J1933" t="s">
        <v>41</v>
      </c>
      <c r="K1933" t="s">
        <v>32</v>
      </c>
      <c r="L1933" t="s">
        <v>48</v>
      </c>
      <c r="M1933">
        <v>2</v>
      </c>
      <c r="N1933" t="s">
        <v>24</v>
      </c>
      <c r="O1933" t="s">
        <v>25</v>
      </c>
      <c r="P1933" t="s">
        <v>34</v>
      </c>
    </row>
    <row r="1934" spans="1:16" x14ac:dyDescent="0.25">
      <c r="A1934" t="s">
        <v>4555</v>
      </c>
      <c r="B1934" s="6">
        <v>45289</v>
      </c>
      <c r="C1934">
        <v>7633</v>
      </c>
      <c r="D1934" t="s">
        <v>4557</v>
      </c>
      <c r="E1934" t="s">
        <v>38</v>
      </c>
      <c r="F1934" t="s">
        <v>58</v>
      </c>
      <c r="G1934">
        <v>10980.23</v>
      </c>
      <c r="H1934">
        <v>6420.92</v>
      </c>
      <c r="I1934" t="s">
        <v>40</v>
      </c>
      <c r="J1934" t="s">
        <v>41</v>
      </c>
      <c r="K1934" t="s">
        <v>32</v>
      </c>
      <c r="L1934" t="s">
        <v>55</v>
      </c>
      <c r="M1934">
        <v>1</v>
      </c>
      <c r="N1934" t="s">
        <v>33</v>
      </c>
      <c r="O1934" t="s">
        <v>25</v>
      </c>
      <c r="P1934" t="s">
        <v>26</v>
      </c>
    </row>
    <row r="1935" spans="1:16" x14ac:dyDescent="0.25">
      <c r="A1935" t="s">
        <v>4558</v>
      </c>
      <c r="B1935" s="6">
        <v>44408</v>
      </c>
      <c r="C1935">
        <v>6193</v>
      </c>
      <c r="D1935" t="s">
        <v>4559</v>
      </c>
      <c r="E1935" t="s">
        <v>38</v>
      </c>
      <c r="F1935" t="s">
        <v>47</v>
      </c>
      <c r="G1935">
        <v>2870.95</v>
      </c>
      <c r="H1935">
        <v>1371.45</v>
      </c>
      <c r="I1935" t="s">
        <v>120</v>
      </c>
      <c r="J1935" t="s">
        <v>21</v>
      </c>
      <c r="K1935" t="s">
        <v>22</v>
      </c>
      <c r="L1935" t="s">
        <v>43</v>
      </c>
      <c r="M1935">
        <v>5</v>
      </c>
      <c r="N1935" t="s">
        <v>33</v>
      </c>
      <c r="O1935" t="s">
        <v>25</v>
      </c>
      <c r="P1935" t="s">
        <v>34</v>
      </c>
    </row>
    <row r="1936" spans="1:16" x14ac:dyDescent="0.25">
      <c r="A1936" t="s">
        <v>4560</v>
      </c>
      <c r="B1936" s="6">
        <v>45439</v>
      </c>
      <c r="C1936">
        <v>8875</v>
      </c>
      <c r="D1936" t="s">
        <v>4562</v>
      </c>
      <c r="E1936" t="s">
        <v>38</v>
      </c>
      <c r="F1936" t="s">
        <v>30</v>
      </c>
      <c r="G1936">
        <v>24912.79</v>
      </c>
      <c r="H1936">
        <v>14348.24</v>
      </c>
      <c r="I1936" t="s">
        <v>63</v>
      </c>
      <c r="J1936" t="s">
        <v>54</v>
      </c>
      <c r="K1936" t="s">
        <v>32</v>
      </c>
      <c r="L1936" t="s">
        <v>55</v>
      </c>
      <c r="M1936">
        <v>2</v>
      </c>
      <c r="N1936" t="s">
        <v>33</v>
      </c>
      <c r="O1936" t="s">
        <v>25</v>
      </c>
      <c r="P1936" t="s">
        <v>26</v>
      </c>
    </row>
    <row r="1937" spans="1:16" x14ac:dyDescent="0.25">
      <c r="A1937" t="s">
        <v>4563</v>
      </c>
      <c r="B1937" s="6">
        <v>44658</v>
      </c>
      <c r="C1937">
        <v>2083</v>
      </c>
      <c r="D1937" t="s">
        <v>852</v>
      </c>
      <c r="E1937" t="s">
        <v>38</v>
      </c>
      <c r="F1937" t="s">
        <v>30</v>
      </c>
      <c r="G1937">
        <v>73876.02</v>
      </c>
      <c r="H1937">
        <v>39664.71</v>
      </c>
      <c r="I1937" t="s">
        <v>120</v>
      </c>
      <c r="J1937" t="s">
        <v>21</v>
      </c>
      <c r="K1937" t="s">
        <v>22</v>
      </c>
      <c r="L1937" t="s">
        <v>23</v>
      </c>
      <c r="M1937">
        <v>2</v>
      </c>
      <c r="N1937" t="s">
        <v>33</v>
      </c>
      <c r="O1937" t="s">
        <v>25</v>
      </c>
      <c r="P1937" t="s">
        <v>26</v>
      </c>
    </row>
    <row r="1938" spans="1:16" x14ac:dyDescent="0.25">
      <c r="A1938" t="s">
        <v>4565</v>
      </c>
      <c r="B1938" s="6">
        <v>44372</v>
      </c>
      <c r="C1938">
        <v>9743</v>
      </c>
      <c r="D1938" t="s">
        <v>2103</v>
      </c>
      <c r="E1938" t="s">
        <v>18</v>
      </c>
      <c r="F1938" t="s">
        <v>39</v>
      </c>
      <c r="G1938">
        <v>30788.59</v>
      </c>
      <c r="H1938">
        <v>17765.41</v>
      </c>
      <c r="I1938" t="s">
        <v>31</v>
      </c>
      <c r="J1938" t="s">
        <v>21</v>
      </c>
      <c r="K1938" t="s">
        <v>80</v>
      </c>
      <c r="L1938" t="s">
        <v>64</v>
      </c>
      <c r="M1938">
        <v>1</v>
      </c>
      <c r="N1938" t="s">
        <v>33</v>
      </c>
      <c r="O1938" t="s">
        <v>70</v>
      </c>
      <c r="P1938" t="s">
        <v>26</v>
      </c>
    </row>
    <row r="1939" spans="1:16" x14ac:dyDescent="0.25">
      <c r="A1939" t="s">
        <v>4566</v>
      </c>
      <c r="B1939" s="6">
        <v>45091</v>
      </c>
      <c r="C1939">
        <v>4055</v>
      </c>
      <c r="D1939" t="s">
        <v>4567</v>
      </c>
      <c r="E1939" t="s">
        <v>38</v>
      </c>
      <c r="F1939" t="s">
        <v>30</v>
      </c>
      <c r="G1939">
        <v>29331.51</v>
      </c>
      <c r="H1939">
        <v>16806.37</v>
      </c>
      <c r="I1939" t="s">
        <v>120</v>
      </c>
      <c r="J1939" t="s">
        <v>21</v>
      </c>
      <c r="K1939" t="s">
        <v>42</v>
      </c>
      <c r="L1939" t="s">
        <v>88</v>
      </c>
      <c r="M1939">
        <v>3</v>
      </c>
      <c r="N1939" t="s">
        <v>24</v>
      </c>
      <c r="O1939" t="s">
        <v>25</v>
      </c>
      <c r="P1939" t="s">
        <v>26</v>
      </c>
    </row>
    <row r="1940" spans="1:16" x14ac:dyDescent="0.25">
      <c r="A1940" t="s">
        <v>4568</v>
      </c>
      <c r="B1940" s="6">
        <v>45569</v>
      </c>
      <c r="C1940">
        <v>9311</v>
      </c>
      <c r="D1940" t="s">
        <v>4569</v>
      </c>
      <c r="E1940" t="s">
        <v>18</v>
      </c>
      <c r="F1940" t="s">
        <v>19</v>
      </c>
      <c r="G1940">
        <v>15136.47</v>
      </c>
      <c r="H1940">
        <v>9486.91</v>
      </c>
      <c r="I1940" t="s">
        <v>40</v>
      </c>
      <c r="J1940" t="s">
        <v>41</v>
      </c>
      <c r="K1940" t="s">
        <v>22</v>
      </c>
      <c r="L1940" t="s">
        <v>88</v>
      </c>
      <c r="M1940">
        <v>2</v>
      </c>
      <c r="N1940" t="s">
        <v>33</v>
      </c>
      <c r="O1940" t="s">
        <v>25</v>
      </c>
      <c r="P1940" t="s">
        <v>26</v>
      </c>
    </row>
    <row r="1941" spans="1:16" x14ac:dyDescent="0.25">
      <c r="A1941" t="s">
        <v>4570</v>
      </c>
      <c r="B1941" s="6">
        <v>45172</v>
      </c>
      <c r="C1941">
        <v>6471</v>
      </c>
      <c r="D1941" t="s">
        <v>4571</v>
      </c>
      <c r="E1941" t="s">
        <v>38</v>
      </c>
      <c r="F1941" t="s">
        <v>58</v>
      </c>
      <c r="G1941">
        <v>39090.550000000003</v>
      </c>
      <c r="H1941">
        <v>22233.39</v>
      </c>
      <c r="I1941" t="s">
        <v>31</v>
      </c>
      <c r="J1941" t="s">
        <v>21</v>
      </c>
      <c r="K1941" t="s">
        <v>22</v>
      </c>
      <c r="L1941" t="s">
        <v>48</v>
      </c>
      <c r="M1941">
        <v>4</v>
      </c>
      <c r="N1941" t="s">
        <v>24</v>
      </c>
      <c r="O1941" t="s">
        <v>25</v>
      </c>
      <c r="P1941" t="s">
        <v>34</v>
      </c>
    </row>
    <row r="1942" spans="1:16" x14ac:dyDescent="0.25">
      <c r="A1942" t="s">
        <v>4572</v>
      </c>
      <c r="B1942" s="6">
        <v>45587</v>
      </c>
      <c r="C1942">
        <v>3489</v>
      </c>
      <c r="D1942" t="s">
        <v>4573</v>
      </c>
      <c r="E1942" t="s">
        <v>18</v>
      </c>
      <c r="F1942" t="s">
        <v>58</v>
      </c>
      <c r="G1942">
        <v>42987.32</v>
      </c>
      <c r="H1942">
        <v>21635.06</v>
      </c>
      <c r="I1942" t="s">
        <v>31</v>
      </c>
      <c r="J1942" t="s">
        <v>21</v>
      </c>
      <c r="K1942" t="s">
        <v>80</v>
      </c>
      <c r="L1942" t="s">
        <v>23</v>
      </c>
      <c r="M1942">
        <v>4</v>
      </c>
      <c r="N1942" t="s">
        <v>33</v>
      </c>
      <c r="O1942" t="s">
        <v>25</v>
      </c>
      <c r="P1942" t="s">
        <v>49</v>
      </c>
    </row>
    <row r="1943" spans="1:16" x14ac:dyDescent="0.25">
      <c r="A1943" t="s">
        <v>4574</v>
      </c>
      <c r="B1943" s="6">
        <v>44294</v>
      </c>
      <c r="C1943">
        <v>9334</v>
      </c>
      <c r="D1943" t="s">
        <v>4575</v>
      </c>
      <c r="E1943" t="s">
        <v>38</v>
      </c>
      <c r="F1943" t="s">
        <v>19</v>
      </c>
      <c r="G1943">
        <v>2901.05</v>
      </c>
      <c r="H1943">
        <v>1767.5</v>
      </c>
      <c r="I1943" t="s">
        <v>59</v>
      </c>
      <c r="J1943" t="s">
        <v>41</v>
      </c>
      <c r="K1943" t="s">
        <v>32</v>
      </c>
      <c r="L1943" t="s">
        <v>43</v>
      </c>
      <c r="M1943">
        <v>3</v>
      </c>
      <c r="N1943" t="s">
        <v>33</v>
      </c>
      <c r="O1943" t="s">
        <v>70</v>
      </c>
      <c r="P1943" t="s">
        <v>49</v>
      </c>
    </row>
    <row r="1944" spans="1:16" x14ac:dyDescent="0.25">
      <c r="A1944" t="s">
        <v>4576</v>
      </c>
      <c r="B1944" s="6">
        <v>45584</v>
      </c>
      <c r="C1944">
        <v>6881</v>
      </c>
      <c r="D1944" t="s">
        <v>4577</v>
      </c>
      <c r="E1944" t="s">
        <v>38</v>
      </c>
      <c r="F1944" t="s">
        <v>19</v>
      </c>
      <c r="G1944">
        <v>14872.84</v>
      </c>
      <c r="H1944">
        <v>7632.29</v>
      </c>
      <c r="I1944" t="s">
        <v>59</v>
      </c>
      <c r="J1944" t="s">
        <v>41</v>
      </c>
      <c r="K1944" t="s">
        <v>42</v>
      </c>
      <c r="L1944" t="s">
        <v>55</v>
      </c>
      <c r="M1944">
        <v>5</v>
      </c>
      <c r="N1944" t="s">
        <v>69</v>
      </c>
      <c r="O1944" t="s">
        <v>70</v>
      </c>
      <c r="P1944" t="s">
        <v>34</v>
      </c>
    </row>
    <row r="1945" spans="1:16" x14ac:dyDescent="0.25">
      <c r="A1945" t="s">
        <v>4578</v>
      </c>
      <c r="B1945" s="6">
        <v>44076</v>
      </c>
      <c r="C1945">
        <v>4548</v>
      </c>
      <c r="D1945" t="s">
        <v>4580</v>
      </c>
      <c r="E1945" t="s">
        <v>38</v>
      </c>
      <c r="F1945" t="s">
        <v>19</v>
      </c>
      <c r="G1945">
        <v>13099.53</v>
      </c>
      <c r="H1945">
        <v>7089.6</v>
      </c>
      <c r="I1945" t="s">
        <v>120</v>
      </c>
      <c r="J1945" t="s">
        <v>21</v>
      </c>
      <c r="K1945" t="s">
        <v>32</v>
      </c>
      <c r="L1945" t="s">
        <v>48</v>
      </c>
      <c r="M1945">
        <v>5</v>
      </c>
      <c r="N1945" t="s">
        <v>33</v>
      </c>
      <c r="O1945" t="s">
        <v>70</v>
      </c>
      <c r="P1945" t="s">
        <v>34</v>
      </c>
    </row>
    <row r="1946" spans="1:16" x14ac:dyDescent="0.25">
      <c r="A1946" t="s">
        <v>4581</v>
      </c>
      <c r="B1946" s="6">
        <v>44279</v>
      </c>
      <c r="C1946">
        <v>5778</v>
      </c>
      <c r="D1946" t="s">
        <v>4582</v>
      </c>
      <c r="E1946" t="s">
        <v>18</v>
      </c>
      <c r="F1946" t="s">
        <v>47</v>
      </c>
      <c r="G1946">
        <v>3229.63</v>
      </c>
      <c r="H1946">
        <v>1473.12</v>
      </c>
      <c r="I1946" t="s">
        <v>59</v>
      </c>
      <c r="J1946" t="s">
        <v>41</v>
      </c>
      <c r="K1946" t="s">
        <v>22</v>
      </c>
      <c r="L1946" t="s">
        <v>43</v>
      </c>
      <c r="M1946">
        <v>1</v>
      </c>
      <c r="N1946" t="s">
        <v>33</v>
      </c>
      <c r="O1946" t="s">
        <v>70</v>
      </c>
      <c r="P1946" t="s">
        <v>26</v>
      </c>
    </row>
    <row r="1947" spans="1:16" x14ac:dyDescent="0.25">
      <c r="A1947" t="s">
        <v>4583</v>
      </c>
      <c r="B1947" s="6">
        <v>45012</v>
      </c>
      <c r="C1947">
        <v>5140</v>
      </c>
      <c r="D1947" t="s">
        <v>4584</v>
      </c>
      <c r="E1947" t="s">
        <v>18</v>
      </c>
      <c r="F1947" t="s">
        <v>19</v>
      </c>
      <c r="G1947">
        <v>12550.53</v>
      </c>
      <c r="H1947">
        <v>6207.92</v>
      </c>
      <c r="I1947" t="s">
        <v>31</v>
      </c>
      <c r="J1947" t="s">
        <v>21</v>
      </c>
      <c r="K1947" t="s">
        <v>32</v>
      </c>
      <c r="L1947" t="s">
        <v>55</v>
      </c>
      <c r="M1947">
        <v>1</v>
      </c>
      <c r="N1947" t="s">
        <v>69</v>
      </c>
      <c r="O1947" t="s">
        <v>70</v>
      </c>
      <c r="P1947" t="s">
        <v>49</v>
      </c>
    </row>
    <row r="1948" spans="1:16" x14ac:dyDescent="0.25">
      <c r="A1948" t="s">
        <v>4585</v>
      </c>
      <c r="B1948" s="6">
        <v>44780</v>
      </c>
      <c r="C1948">
        <v>5761</v>
      </c>
      <c r="D1948" t="s">
        <v>819</v>
      </c>
      <c r="E1948" t="s">
        <v>38</v>
      </c>
      <c r="F1948" t="s">
        <v>58</v>
      </c>
      <c r="G1948">
        <v>13525.8</v>
      </c>
      <c r="H1948">
        <v>6093.83</v>
      </c>
      <c r="I1948" t="s">
        <v>20</v>
      </c>
      <c r="J1948" t="s">
        <v>21</v>
      </c>
      <c r="K1948" t="s">
        <v>32</v>
      </c>
      <c r="L1948" t="s">
        <v>55</v>
      </c>
      <c r="M1948">
        <v>1</v>
      </c>
      <c r="N1948" t="s">
        <v>24</v>
      </c>
      <c r="O1948" t="s">
        <v>70</v>
      </c>
      <c r="P1948" t="s">
        <v>49</v>
      </c>
    </row>
    <row r="1949" spans="1:16" x14ac:dyDescent="0.25">
      <c r="A1949" t="s">
        <v>4586</v>
      </c>
      <c r="B1949" s="6">
        <v>45327</v>
      </c>
      <c r="C1949">
        <v>3624</v>
      </c>
      <c r="D1949" t="s">
        <v>4587</v>
      </c>
      <c r="E1949" t="s">
        <v>38</v>
      </c>
      <c r="F1949" t="s">
        <v>30</v>
      </c>
      <c r="G1949">
        <v>85131.38</v>
      </c>
      <c r="H1949">
        <v>45628.41</v>
      </c>
      <c r="I1949" t="s">
        <v>84</v>
      </c>
      <c r="J1949" t="s">
        <v>54</v>
      </c>
      <c r="K1949" t="s">
        <v>32</v>
      </c>
      <c r="L1949" t="s">
        <v>48</v>
      </c>
      <c r="M1949">
        <v>4</v>
      </c>
      <c r="N1949" t="s">
        <v>33</v>
      </c>
      <c r="O1949" t="s">
        <v>25</v>
      </c>
      <c r="P1949" t="s">
        <v>49</v>
      </c>
    </row>
    <row r="1950" spans="1:16" x14ac:dyDescent="0.25">
      <c r="A1950" t="s">
        <v>4588</v>
      </c>
      <c r="B1950" s="6">
        <v>44936</v>
      </c>
      <c r="C1950">
        <v>6954</v>
      </c>
      <c r="D1950" t="s">
        <v>4590</v>
      </c>
      <c r="E1950" t="s">
        <v>18</v>
      </c>
      <c r="F1950" t="s">
        <v>39</v>
      </c>
      <c r="G1950">
        <v>9278.1</v>
      </c>
      <c r="H1950">
        <v>4388.21</v>
      </c>
      <c r="I1950" t="s">
        <v>120</v>
      </c>
      <c r="J1950" t="s">
        <v>21</v>
      </c>
      <c r="K1950" t="s">
        <v>42</v>
      </c>
      <c r="L1950" t="s">
        <v>48</v>
      </c>
      <c r="M1950">
        <v>5</v>
      </c>
      <c r="N1950" t="s">
        <v>24</v>
      </c>
      <c r="O1950" t="s">
        <v>70</v>
      </c>
      <c r="P1950" t="s">
        <v>26</v>
      </c>
    </row>
    <row r="1951" spans="1:16" x14ac:dyDescent="0.25">
      <c r="A1951" t="s">
        <v>4591</v>
      </c>
      <c r="B1951" s="6">
        <v>43938</v>
      </c>
      <c r="C1951">
        <v>1175</v>
      </c>
      <c r="D1951" t="s">
        <v>2486</v>
      </c>
      <c r="E1951" t="s">
        <v>38</v>
      </c>
      <c r="F1951" t="s">
        <v>58</v>
      </c>
      <c r="G1951">
        <v>11683.52</v>
      </c>
      <c r="H1951">
        <v>5819.86</v>
      </c>
      <c r="I1951" t="s">
        <v>63</v>
      </c>
      <c r="J1951" t="s">
        <v>54</v>
      </c>
      <c r="K1951" t="s">
        <v>22</v>
      </c>
      <c r="L1951" t="s">
        <v>23</v>
      </c>
      <c r="M1951">
        <v>5</v>
      </c>
      <c r="N1951" t="s">
        <v>33</v>
      </c>
      <c r="O1951" t="s">
        <v>70</v>
      </c>
      <c r="P1951" t="s">
        <v>26</v>
      </c>
    </row>
    <row r="1952" spans="1:16" x14ac:dyDescent="0.25">
      <c r="A1952" t="s">
        <v>4592</v>
      </c>
      <c r="B1952" s="6">
        <v>45432</v>
      </c>
      <c r="C1952">
        <v>8485</v>
      </c>
      <c r="D1952" t="s">
        <v>4594</v>
      </c>
      <c r="E1952" t="s">
        <v>38</v>
      </c>
      <c r="F1952" t="s">
        <v>58</v>
      </c>
      <c r="G1952">
        <v>47318.13</v>
      </c>
      <c r="H1952">
        <v>26728.27</v>
      </c>
      <c r="I1952" t="s">
        <v>31</v>
      </c>
      <c r="J1952" t="s">
        <v>21</v>
      </c>
      <c r="K1952" t="s">
        <v>80</v>
      </c>
      <c r="L1952" t="s">
        <v>43</v>
      </c>
      <c r="M1952">
        <v>2</v>
      </c>
      <c r="N1952" t="s">
        <v>69</v>
      </c>
      <c r="O1952" t="s">
        <v>25</v>
      </c>
      <c r="P1952" t="s">
        <v>49</v>
      </c>
    </row>
    <row r="1953" spans="1:16" x14ac:dyDescent="0.25">
      <c r="A1953" t="s">
        <v>4595</v>
      </c>
      <c r="B1953" s="6">
        <v>44413</v>
      </c>
      <c r="C1953">
        <v>7316</v>
      </c>
      <c r="D1953" t="s">
        <v>4596</v>
      </c>
      <c r="E1953" t="s">
        <v>38</v>
      </c>
      <c r="F1953" t="s">
        <v>19</v>
      </c>
      <c r="G1953">
        <v>14320.6</v>
      </c>
      <c r="H1953">
        <v>7319.4</v>
      </c>
      <c r="I1953" t="s">
        <v>53</v>
      </c>
      <c r="J1953" t="s">
        <v>54</v>
      </c>
      <c r="K1953" t="s">
        <v>32</v>
      </c>
      <c r="L1953" t="s">
        <v>23</v>
      </c>
      <c r="M1953">
        <v>1</v>
      </c>
      <c r="N1953" t="s">
        <v>33</v>
      </c>
      <c r="O1953" t="s">
        <v>25</v>
      </c>
      <c r="P1953" t="s">
        <v>34</v>
      </c>
    </row>
    <row r="1954" spans="1:16" x14ac:dyDescent="0.25">
      <c r="A1954" t="s">
        <v>4597</v>
      </c>
      <c r="B1954" s="6">
        <v>44697</v>
      </c>
      <c r="C1954">
        <v>8607</v>
      </c>
      <c r="D1954" t="s">
        <v>4598</v>
      </c>
      <c r="E1954" t="s">
        <v>18</v>
      </c>
      <c r="F1954" t="s">
        <v>39</v>
      </c>
      <c r="G1954">
        <v>9612.85</v>
      </c>
      <c r="H1954">
        <v>5376.65</v>
      </c>
      <c r="I1954" t="s">
        <v>63</v>
      </c>
      <c r="J1954" t="s">
        <v>54</v>
      </c>
      <c r="K1954" t="s">
        <v>42</v>
      </c>
      <c r="L1954" t="s">
        <v>48</v>
      </c>
      <c r="M1954">
        <v>3</v>
      </c>
      <c r="N1954" t="s">
        <v>24</v>
      </c>
      <c r="O1954" t="s">
        <v>25</v>
      </c>
      <c r="P1954" t="s">
        <v>49</v>
      </c>
    </row>
    <row r="1955" spans="1:16" x14ac:dyDescent="0.25">
      <c r="A1955" t="s">
        <v>4599</v>
      </c>
      <c r="B1955" s="6">
        <v>44408</v>
      </c>
      <c r="C1955">
        <v>9449</v>
      </c>
      <c r="D1955" t="s">
        <v>4600</v>
      </c>
      <c r="E1955" t="s">
        <v>18</v>
      </c>
      <c r="F1955" t="s">
        <v>39</v>
      </c>
      <c r="G1955">
        <v>22397.08</v>
      </c>
      <c r="H1955">
        <v>11403.33</v>
      </c>
      <c r="I1955" t="s">
        <v>120</v>
      </c>
      <c r="J1955" t="s">
        <v>21</v>
      </c>
      <c r="K1955" t="s">
        <v>22</v>
      </c>
      <c r="L1955" t="s">
        <v>88</v>
      </c>
      <c r="M1955">
        <v>1</v>
      </c>
      <c r="N1955" t="s">
        <v>33</v>
      </c>
      <c r="O1955" t="s">
        <v>25</v>
      </c>
      <c r="P1955" t="s">
        <v>49</v>
      </c>
    </row>
    <row r="1956" spans="1:16" x14ac:dyDescent="0.25">
      <c r="A1956" t="s">
        <v>4601</v>
      </c>
      <c r="B1956" s="6">
        <v>45504</v>
      </c>
      <c r="C1956">
        <v>4197</v>
      </c>
      <c r="D1956" t="s">
        <v>4602</v>
      </c>
      <c r="E1956" t="s">
        <v>18</v>
      </c>
      <c r="F1956" t="s">
        <v>30</v>
      </c>
      <c r="G1956">
        <v>33827.269999999997</v>
      </c>
      <c r="H1956">
        <v>16321.17</v>
      </c>
      <c r="I1956" t="s">
        <v>59</v>
      </c>
      <c r="J1956" t="s">
        <v>41</v>
      </c>
      <c r="K1956" t="s">
        <v>42</v>
      </c>
      <c r="L1956" t="s">
        <v>88</v>
      </c>
      <c r="M1956">
        <v>2</v>
      </c>
      <c r="N1956" t="s">
        <v>24</v>
      </c>
      <c r="O1956" t="s">
        <v>70</v>
      </c>
      <c r="P1956" t="s">
        <v>26</v>
      </c>
    </row>
    <row r="1957" spans="1:16" x14ac:dyDescent="0.25">
      <c r="A1957" t="s">
        <v>4603</v>
      </c>
      <c r="B1957" s="6">
        <v>44842</v>
      </c>
      <c r="C1957">
        <v>8471</v>
      </c>
      <c r="D1957" t="s">
        <v>4604</v>
      </c>
      <c r="E1957" t="s">
        <v>38</v>
      </c>
      <c r="F1957" t="s">
        <v>47</v>
      </c>
      <c r="G1957">
        <v>10449.51</v>
      </c>
      <c r="H1957">
        <v>5193.43</v>
      </c>
      <c r="I1957" t="s">
        <v>31</v>
      </c>
      <c r="J1957" t="s">
        <v>21</v>
      </c>
      <c r="K1957" t="s">
        <v>42</v>
      </c>
      <c r="L1957" t="s">
        <v>48</v>
      </c>
      <c r="M1957">
        <v>1</v>
      </c>
      <c r="N1957" t="s">
        <v>69</v>
      </c>
      <c r="O1957" t="s">
        <v>70</v>
      </c>
      <c r="P1957" t="s">
        <v>34</v>
      </c>
    </row>
    <row r="1958" spans="1:16" x14ac:dyDescent="0.25">
      <c r="A1958" t="s">
        <v>4605</v>
      </c>
      <c r="B1958" s="6">
        <v>44908</v>
      </c>
      <c r="C1958">
        <v>6965</v>
      </c>
      <c r="D1958" t="s">
        <v>4607</v>
      </c>
      <c r="E1958" t="s">
        <v>18</v>
      </c>
      <c r="F1958" t="s">
        <v>58</v>
      </c>
      <c r="G1958">
        <v>36548.769999999997</v>
      </c>
      <c r="H1958">
        <v>17082.45</v>
      </c>
      <c r="I1958" t="s">
        <v>120</v>
      </c>
      <c r="J1958" t="s">
        <v>21</v>
      </c>
      <c r="K1958" t="s">
        <v>42</v>
      </c>
      <c r="L1958" t="s">
        <v>23</v>
      </c>
      <c r="M1958">
        <v>3</v>
      </c>
      <c r="N1958" t="s">
        <v>33</v>
      </c>
      <c r="O1958" t="s">
        <v>70</v>
      </c>
      <c r="P1958" t="s">
        <v>26</v>
      </c>
    </row>
    <row r="1959" spans="1:16" x14ac:dyDescent="0.25">
      <c r="A1959" t="s">
        <v>4608</v>
      </c>
      <c r="B1959" s="6">
        <v>45132</v>
      </c>
      <c r="C1959">
        <v>4621</v>
      </c>
      <c r="D1959" t="s">
        <v>4609</v>
      </c>
      <c r="E1959" t="s">
        <v>18</v>
      </c>
      <c r="F1959" t="s">
        <v>30</v>
      </c>
      <c r="G1959">
        <v>96337.46</v>
      </c>
      <c r="H1959">
        <v>48676.63</v>
      </c>
      <c r="I1959" t="s">
        <v>31</v>
      </c>
      <c r="J1959" t="s">
        <v>21</v>
      </c>
      <c r="K1959" t="s">
        <v>22</v>
      </c>
      <c r="L1959" t="s">
        <v>23</v>
      </c>
      <c r="M1959">
        <v>1</v>
      </c>
      <c r="N1959" t="s">
        <v>33</v>
      </c>
      <c r="O1959" t="s">
        <v>70</v>
      </c>
      <c r="P1959" t="s">
        <v>49</v>
      </c>
    </row>
    <row r="1960" spans="1:16" x14ac:dyDescent="0.25">
      <c r="A1960" t="s">
        <v>4610</v>
      </c>
      <c r="B1960" s="6">
        <v>45533</v>
      </c>
      <c r="C1960">
        <v>9905</v>
      </c>
      <c r="D1960" t="s">
        <v>4611</v>
      </c>
      <c r="E1960" t="s">
        <v>38</v>
      </c>
      <c r="F1960" t="s">
        <v>58</v>
      </c>
      <c r="G1960">
        <v>9838.18</v>
      </c>
      <c r="H1960">
        <v>6176.11</v>
      </c>
      <c r="I1960" t="s">
        <v>40</v>
      </c>
      <c r="J1960" t="s">
        <v>41</v>
      </c>
      <c r="K1960" t="s">
        <v>42</v>
      </c>
      <c r="L1960" t="s">
        <v>23</v>
      </c>
      <c r="M1960">
        <v>2</v>
      </c>
      <c r="N1960" t="s">
        <v>24</v>
      </c>
      <c r="O1960" t="s">
        <v>70</v>
      </c>
      <c r="P1960" t="s">
        <v>34</v>
      </c>
    </row>
    <row r="1961" spans="1:16" x14ac:dyDescent="0.25">
      <c r="A1961" t="s">
        <v>4612</v>
      </c>
      <c r="B1961" s="6">
        <v>45630</v>
      </c>
      <c r="C1961">
        <v>3966</v>
      </c>
      <c r="D1961" t="s">
        <v>4613</v>
      </c>
      <c r="E1961" t="s">
        <v>18</v>
      </c>
      <c r="F1961" t="s">
        <v>47</v>
      </c>
      <c r="G1961">
        <v>6163.89</v>
      </c>
      <c r="H1961">
        <v>3751.9</v>
      </c>
      <c r="I1961" t="s">
        <v>59</v>
      </c>
      <c r="J1961" t="s">
        <v>41</v>
      </c>
      <c r="K1961" t="s">
        <v>80</v>
      </c>
      <c r="L1961" t="s">
        <v>64</v>
      </c>
      <c r="M1961">
        <v>3</v>
      </c>
      <c r="N1961" t="s">
        <v>33</v>
      </c>
      <c r="O1961" t="s">
        <v>25</v>
      </c>
      <c r="P1961" t="s">
        <v>26</v>
      </c>
    </row>
    <row r="1962" spans="1:16" x14ac:dyDescent="0.25">
      <c r="A1962" t="s">
        <v>4614</v>
      </c>
      <c r="B1962" s="6">
        <v>45572</v>
      </c>
      <c r="C1962">
        <v>1300</v>
      </c>
      <c r="D1962" t="s">
        <v>4615</v>
      </c>
      <c r="E1962" t="s">
        <v>38</v>
      </c>
      <c r="F1962" t="s">
        <v>19</v>
      </c>
      <c r="G1962">
        <v>21749.47</v>
      </c>
      <c r="H1962">
        <v>11821.86</v>
      </c>
      <c r="I1962" t="s">
        <v>63</v>
      </c>
      <c r="J1962" t="s">
        <v>54</v>
      </c>
      <c r="K1962" t="s">
        <v>32</v>
      </c>
      <c r="L1962" t="s">
        <v>64</v>
      </c>
      <c r="M1962">
        <v>3</v>
      </c>
      <c r="N1962" t="s">
        <v>33</v>
      </c>
      <c r="O1962" t="s">
        <v>70</v>
      </c>
      <c r="P1962" t="s">
        <v>26</v>
      </c>
    </row>
    <row r="1963" spans="1:16" x14ac:dyDescent="0.25">
      <c r="A1963" t="s">
        <v>4616</v>
      </c>
      <c r="B1963" s="6">
        <v>45109</v>
      </c>
      <c r="C1963">
        <v>8614</v>
      </c>
      <c r="D1963" t="s">
        <v>4617</v>
      </c>
      <c r="E1963" t="s">
        <v>18</v>
      </c>
      <c r="F1963" t="s">
        <v>58</v>
      </c>
      <c r="G1963">
        <v>51785.48</v>
      </c>
      <c r="H1963">
        <v>24432.7</v>
      </c>
      <c r="I1963" t="s">
        <v>53</v>
      </c>
      <c r="J1963" t="s">
        <v>54</v>
      </c>
      <c r="K1963" t="s">
        <v>42</v>
      </c>
      <c r="L1963" t="s">
        <v>48</v>
      </c>
      <c r="M1963">
        <v>2</v>
      </c>
      <c r="N1963" t="s">
        <v>33</v>
      </c>
      <c r="O1963" t="s">
        <v>70</v>
      </c>
      <c r="P1963" t="s">
        <v>26</v>
      </c>
    </row>
    <row r="1964" spans="1:16" x14ac:dyDescent="0.25">
      <c r="A1964" t="s">
        <v>4618</v>
      </c>
      <c r="B1964" s="6">
        <v>44565</v>
      </c>
      <c r="C1964">
        <v>4207</v>
      </c>
      <c r="D1964" t="s">
        <v>4619</v>
      </c>
      <c r="E1964" t="s">
        <v>38</v>
      </c>
      <c r="F1964" t="s">
        <v>30</v>
      </c>
      <c r="G1964">
        <v>54565.16</v>
      </c>
      <c r="H1964">
        <v>31983.46</v>
      </c>
      <c r="I1964" t="s">
        <v>84</v>
      </c>
      <c r="J1964" t="s">
        <v>54</v>
      </c>
      <c r="K1964" t="s">
        <v>22</v>
      </c>
      <c r="L1964" t="s">
        <v>23</v>
      </c>
      <c r="M1964">
        <v>5</v>
      </c>
      <c r="N1964" t="s">
        <v>24</v>
      </c>
      <c r="O1964" t="s">
        <v>70</v>
      </c>
      <c r="P1964" t="s">
        <v>49</v>
      </c>
    </row>
    <row r="1965" spans="1:16" x14ac:dyDescent="0.25">
      <c r="A1965" t="s">
        <v>4620</v>
      </c>
      <c r="B1965" s="6">
        <v>45545</v>
      </c>
      <c r="C1965">
        <v>7396</v>
      </c>
      <c r="D1965" t="s">
        <v>4621</v>
      </c>
      <c r="E1965" t="s">
        <v>18</v>
      </c>
      <c r="F1965" t="s">
        <v>58</v>
      </c>
      <c r="G1965">
        <v>44246.9</v>
      </c>
      <c r="H1965">
        <v>26527.8</v>
      </c>
      <c r="I1965" t="s">
        <v>20</v>
      </c>
      <c r="J1965" t="s">
        <v>21</v>
      </c>
      <c r="K1965" t="s">
        <v>80</v>
      </c>
      <c r="L1965" t="s">
        <v>43</v>
      </c>
      <c r="M1965">
        <v>5</v>
      </c>
      <c r="N1965" t="s">
        <v>33</v>
      </c>
      <c r="O1965" t="s">
        <v>25</v>
      </c>
      <c r="P1965" t="s">
        <v>34</v>
      </c>
    </row>
    <row r="1966" spans="1:16" x14ac:dyDescent="0.25">
      <c r="A1966" t="s">
        <v>4622</v>
      </c>
      <c r="B1966" s="6">
        <v>45404</v>
      </c>
      <c r="C1966">
        <v>9533</v>
      </c>
      <c r="D1966" t="s">
        <v>4623</v>
      </c>
      <c r="E1966" t="s">
        <v>38</v>
      </c>
      <c r="F1966" t="s">
        <v>47</v>
      </c>
      <c r="G1966">
        <v>14815.13</v>
      </c>
      <c r="H1966">
        <v>9279.98</v>
      </c>
      <c r="I1966" t="s">
        <v>20</v>
      </c>
      <c r="J1966" t="s">
        <v>21</v>
      </c>
      <c r="K1966" t="s">
        <v>42</v>
      </c>
      <c r="L1966" t="s">
        <v>23</v>
      </c>
      <c r="M1966">
        <v>5</v>
      </c>
      <c r="N1966" t="s">
        <v>33</v>
      </c>
      <c r="O1966" t="s">
        <v>70</v>
      </c>
      <c r="P1966" t="s">
        <v>49</v>
      </c>
    </row>
    <row r="1967" spans="1:16" x14ac:dyDescent="0.25">
      <c r="A1967" t="s">
        <v>4624</v>
      </c>
      <c r="B1967" s="6">
        <v>45206</v>
      </c>
      <c r="C1967">
        <v>4847</v>
      </c>
      <c r="D1967" t="s">
        <v>4625</v>
      </c>
      <c r="E1967" t="s">
        <v>38</v>
      </c>
      <c r="F1967" t="s">
        <v>39</v>
      </c>
      <c r="G1967">
        <v>17306.54</v>
      </c>
      <c r="H1967">
        <v>8628.0499999999993</v>
      </c>
      <c r="I1967" t="s">
        <v>40</v>
      </c>
      <c r="J1967" t="s">
        <v>41</v>
      </c>
      <c r="K1967" t="s">
        <v>22</v>
      </c>
      <c r="L1967" t="s">
        <v>48</v>
      </c>
      <c r="M1967">
        <v>1</v>
      </c>
      <c r="N1967" t="s">
        <v>24</v>
      </c>
      <c r="O1967" t="s">
        <v>25</v>
      </c>
      <c r="P1967" t="s">
        <v>34</v>
      </c>
    </row>
    <row r="1968" spans="1:16" x14ac:dyDescent="0.25">
      <c r="A1968" t="s">
        <v>4626</v>
      </c>
      <c r="B1968" s="6">
        <v>45626</v>
      </c>
      <c r="C1968">
        <v>5533</v>
      </c>
      <c r="D1968" t="s">
        <v>4628</v>
      </c>
      <c r="E1968" t="s">
        <v>38</v>
      </c>
      <c r="F1968" t="s">
        <v>47</v>
      </c>
      <c r="G1968">
        <v>10352.42</v>
      </c>
      <c r="H1968">
        <v>6523.38</v>
      </c>
      <c r="I1968" t="s">
        <v>31</v>
      </c>
      <c r="J1968" t="s">
        <v>21</v>
      </c>
      <c r="K1968" t="s">
        <v>42</v>
      </c>
      <c r="L1968" t="s">
        <v>88</v>
      </c>
      <c r="M1968">
        <v>3</v>
      </c>
      <c r="N1968" t="s">
        <v>33</v>
      </c>
      <c r="O1968" t="s">
        <v>70</v>
      </c>
      <c r="P1968" t="s">
        <v>34</v>
      </c>
    </row>
    <row r="1969" spans="1:16" x14ac:dyDescent="0.25">
      <c r="A1969" t="s">
        <v>4629</v>
      </c>
      <c r="B1969" s="6">
        <v>44524</v>
      </c>
      <c r="C1969">
        <v>5666</v>
      </c>
      <c r="D1969" t="s">
        <v>4631</v>
      </c>
      <c r="E1969" t="s">
        <v>18</v>
      </c>
      <c r="F1969" t="s">
        <v>19</v>
      </c>
      <c r="G1969">
        <v>7973.25</v>
      </c>
      <c r="H1969">
        <v>4308.62</v>
      </c>
      <c r="I1969" t="s">
        <v>63</v>
      </c>
      <c r="J1969" t="s">
        <v>54</v>
      </c>
      <c r="K1969" t="s">
        <v>42</v>
      </c>
      <c r="L1969" t="s">
        <v>43</v>
      </c>
      <c r="M1969">
        <v>1</v>
      </c>
      <c r="N1969" t="s">
        <v>24</v>
      </c>
      <c r="O1969" t="s">
        <v>25</v>
      </c>
      <c r="P1969" t="s">
        <v>49</v>
      </c>
    </row>
    <row r="1970" spans="1:16" x14ac:dyDescent="0.25">
      <c r="A1970" t="s">
        <v>4632</v>
      </c>
      <c r="B1970" s="6">
        <v>45399</v>
      </c>
      <c r="C1970">
        <v>9449</v>
      </c>
      <c r="D1970" t="s">
        <v>4633</v>
      </c>
      <c r="E1970" t="s">
        <v>38</v>
      </c>
      <c r="F1970" t="s">
        <v>30</v>
      </c>
      <c r="G1970">
        <v>122551.12</v>
      </c>
      <c r="H1970">
        <v>70756.86</v>
      </c>
      <c r="I1970" t="s">
        <v>53</v>
      </c>
      <c r="J1970" t="s">
        <v>54</v>
      </c>
      <c r="K1970" t="s">
        <v>22</v>
      </c>
      <c r="L1970" t="s">
        <v>64</v>
      </c>
      <c r="M1970">
        <v>5</v>
      </c>
      <c r="N1970" t="s">
        <v>24</v>
      </c>
      <c r="O1970" t="s">
        <v>25</v>
      </c>
      <c r="P1970" t="s">
        <v>34</v>
      </c>
    </row>
    <row r="1971" spans="1:16" x14ac:dyDescent="0.25">
      <c r="A1971" t="s">
        <v>4634</v>
      </c>
      <c r="B1971" s="6">
        <v>45636</v>
      </c>
      <c r="C1971">
        <v>6404</v>
      </c>
      <c r="D1971" t="s">
        <v>4636</v>
      </c>
      <c r="E1971" t="s">
        <v>38</v>
      </c>
      <c r="F1971" t="s">
        <v>30</v>
      </c>
      <c r="G1971">
        <v>90926.25</v>
      </c>
      <c r="H1971">
        <v>55417.15</v>
      </c>
      <c r="I1971" t="s">
        <v>53</v>
      </c>
      <c r="J1971" t="s">
        <v>54</v>
      </c>
      <c r="K1971" t="s">
        <v>22</v>
      </c>
      <c r="L1971" t="s">
        <v>64</v>
      </c>
      <c r="M1971">
        <v>4</v>
      </c>
      <c r="N1971" t="s">
        <v>24</v>
      </c>
      <c r="O1971" t="s">
        <v>70</v>
      </c>
      <c r="P1971" t="s">
        <v>26</v>
      </c>
    </row>
    <row r="1972" spans="1:16" x14ac:dyDescent="0.25">
      <c r="A1972" t="s">
        <v>4637</v>
      </c>
      <c r="B1972" s="6">
        <v>45647</v>
      </c>
      <c r="C1972">
        <v>1930</v>
      </c>
      <c r="D1972" t="s">
        <v>4638</v>
      </c>
      <c r="E1972" t="s">
        <v>38</v>
      </c>
      <c r="F1972" t="s">
        <v>58</v>
      </c>
      <c r="G1972">
        <v>30121.62</v>
      </c>
      <c r="H1972">
        <v>14144.28</v>
      </c>
      <c r="I1972" t="s">
        <v>40</v>
      </c>
      <c r="J1972" t="s">
        <v>41</v>
      </c>
      <c r="K1972" t="s">
        <v>80</v>
      </c>
      <c r="L1972" t="s">
        <v>64</v>
      </c>
      <c r="M1972">
        <v>4</v>
      </c>
      <c r="N1972" t="s">
        <v>33</v>
      </c>
      <c r="O1972" t="s">
        <v>70</v>
      </c>
      <c r="P1972" t="s">
        <v>49</v>
      </c>
    </row>
    <row r="1973" spans="1:16" x14ac:dyDescent="0.25">
      <c r="A1973" t="s">
        <v>4639</v>
      </c>
      <c r="B1973" s="6">
        <v>44928</v>
      </c>
      <c r="C1973">
        <v>9320</v>
      </c>
      <c r="D1973" t="s">
        <v>4640</v>
      </c>
      <c r="E1973" t="s">
        <v>18</v>
      </c>
      <c r="F1973" t="s">
        <v>19</v>
      </c>
      <c r="G1973">
        <v>7869.98</v>
      </c>
      <c r="H1973">
        <v>3788.17</v>
      </c>
      <c r="I1973" t="s">
        <v>59</v>
      </c>
      <c r="J1973" t="s">
        <v>41</v>
      </c>
      <c r="K1973" t="s">
        <v>32</v>
      </c>
      <c r="L1973" t="s">
        <v>23</v>
      </c>
      <c r="M1973">
        <v>5</v>
      </c>
      <c r="N1973" t="s">
        <v>33</v>
      </c>
      <c r="O1973" t="s">
        <v>25</v>
      </c>
      <c r="P1973" t="s">
        <v>26</v>
      </c>
    </row>
    <row r="1974" spans="1:16" x14ac:dyDescent="0.25">
      <c r="A1974" t="s">
        <v>4641</v>
      </c>
      <c r="B1974" s="6">
        <v>44480</v>
      </c>
      <c r="C1974">
        <v>1708</v>
      </c>
      <c r="D1974" t="s">
        <v>4643</v>
      </c>
      <c r="E1974" t="s">
        <v>18</v>
      </c>
      <c r="F1974" t="s">
        <v>30</v>
      </c>
      <c r="G1974">
        <v>28934.55</v>
      </c>
      <c r="H1974">
        <v>17447.41</v>
      </c>
      <c r="I1974" t="s">
        <v>84</v>
      </c>
      <c r="J1974" t="s">
        <v>54</v>
      </c>
      <c r="K1974" t="s">
        <v>32</v>
      </c>
      <c r="L1974" t="s">
        <v>48</v>
      </c>
      <c r="M1974">
        <v>4</v>
      </c>
      <c r="N1974" t="s">
        <v>33</v>
      </c>
      <c r="O1974" t="s">
        <v>25</v>
      </c>
      <c r="P1974" t="s">
        <v>26</v>
      </c>
    </row>
    <row r="1975" spans="1:16" x14ac:dyDescent="0.25">
      <c r="A1975" t="s">
        <v>4644</v>
      </c>
      <c r="B1975" s="6">
        <v>45437</v>
      </c>
      <c r="C1975">
        <v>8380</v>
      </c>
      <c r="D1975" t="s">
        <v>4645</v>
      </c>
      <c r="E1975" t="s">
        <v>18</v>
      </c>
      <c r="F1975" t="s">
        <v>19</v>
      </c>
      <c r="G1975">
        <v>10958.98</v>
      </c>
      <c r="H1975">
        <v>6443.82</v>
      </c>
      <c r="I1975" t="s">
        <v>84</v>
      </c>
      <c r="J1975" t="s">
        <v>54</v>
      </c>
      <c r="K1975" t="s">
        <v>32</v>
      </c>
      <c r="L1975" t="s">
        <v>23</v>
      </c>
      <c r="M1975">
        <v>2</v>
      </c>
      <c r="N1975" t="s">
        <v>33</v>
      </c>
      <c r="O1975" t="s">
        <v>25</v>
      </c>
      <c r="P1975" t="s">
        <v>26</v>
      </c>
    </row>
    <row r="1976" spans="1:16" x14ac:dyDescent="0.25">
      <c r="A1976" t="s">
        <v>4646</v>
      </c>
      <c r="B1976" s="6">
        <v>43955</v>
      </c>
      <c r="C1976">
        <v>6143</v>
      </c>
      <c r="D1976" t="s">
        <v>4648</v>
      </c>
      <c r="E1976" t="s">
        <v>38</v>
      </c>
      <c r="F1976" t="s">
        <v>39</v>
      </c>
      <c r="G1976">
        <v>16536.89</v>
      </c>
      <c r="H1976">
        <v>8934.83</v>
      </c>
      <c r="I1976" t="s">
        <v>84</v>
      </c>
      <c r="J1976" t="s">
        <v>54</v>
      </c>
      <c r="K1976" t="s">
        <v>22</v>
      </c>
      <c r="L1976" t="s">
        <v>23</v>
      </c>
      <c r="M1976">
        <v>1</v>
      </c>
      <c r="N1976" t="s">
        <v>33</v>
      </c>
      <c r="O1976" t="s">
        <v>25</v>
      </c>
      <c r="P1976" t="s">
        <v>34</v>
      </c>
    </row>
    <row r="1977" spans="1:16" x14ac:dyDescent="0.25">
      <c r="A1977" t="s">
        <v>4649</v>
      </c>
      <c r="B1977" s="6">
        <v>44746</v>
      </c>
      <c r="C1977">
        <v>5490</v>
      </c>
      <c r="D1977" t="s">
        <v>4651</v>
      </c>
      <c r="E1977" t="s">
        <v>38</v>
      </c>
      <c r="F1977" t="s">
        <v>47</v>
      </c>
      <c r="G1977">
        <v>14987.93</v>
      </c>
      <c r="H1977">
        <v>7077.77</v>
      </c>
      <c r="I1977" t="s">
        <v>53</v>
      </c>
      <c r="J1977" t="s">
        <v>54</v>
      </c>
      <c r="K1977" t="s">
        <v>32</v>
      </c>
      <c r="L1977" t="s">
        <v>55</v>
      </c>
      <c r="M1977">
        <v>5</v>
      </c>
      <c r="N1977" t="s">
        <v>24</v>
      </c>
      <c r="O1977" t="s">
        <v>70</v>
      </c>
      <c r="P1977" t="s">
        <v>49</v>
      </c>
    </row>
    <row r="1978" spans="1:16" x14ac:dyDescent="0.25">
      <c r="A1978" t="s">
        <v>4652</v>
      </c>
      <c r="B1978" s="6">
        <v>44934</v>
      </c>
      <c r="C1978">
        <v>6323</v>
      </c>
      <c r="D1978" t="s">
        <v>4653</v>
      </c>
      <c r="E1978" t="s">
        <v>18</v>
      </c>
      <c r="F1978" t="s">
        <v>58</v>
      </c>
      <c r="G1978">
        <v>33383.83</v>
      </c>
      <c r="H1978">
        <v>17728.29</v>
      </c>
      <c r="I1978" t="s">
        <v>84</v>
      </c>
      <c r="J1978" t="s">
        <v>54</v>
      </c>
      <c r="K1978" t="s">
        <v>32</v>
      </c>
      <c r="L1978" t="s">
        <v>23</v>
      </c>
      <c r="M1978">
        <v>2</v>
      </c>
      <c r="N1978" t="s">
        <v>69</v>
      </c>
      <c r="O1978" t="s">
        <v>25</v>
      </c>
      <c r="P1978" t="s">
        <v>26</v>
      </c>
    </row>
    <row r="1979" spans="1:16" x14ac:dyDescent="0.25">
      <c r="A1979" t="s">
        <v>4654</v>
      </c>
      <c r="B1979" s="6">
        <v>44707</v>
      </c>
      <c r="C1979">
        <v>6778</v>
      </c>
      <c r="D1979" t="s">
        <v>4655</v>
      </c>
      <c r="E1979" t="s">
        <v>18</v>
      </c>
      <c r="F1979" t="s">
        <v>58</v>
      </c>
      <c r="G1979">
        <v>32834.28</v>
      </c>
      <c r="H1979">
        <v>20927.32</v>
      </c>
      <c r="I1979" t="s">
        <v>31</v>
      </c>
      <c r="J1979" t="s">
        <v>21</v>
      </c>
      <c r="K1979" t="s">
        <v>42</v>
      </c>
      <c r="L1979" t="s">
        <v>88</v>
      </c>
      <c r="M1979">
        <v>3</v>
      </c>
      <c r="N1979" t="s">
        <v>69</v>
      </c>
      <c r="O1979" t="s">
        <v>25</v>
      </c>
      <c r="P1979" t="s">
        <v>34</v>
      </c>
    </row>
    <row r="1980" spans="1:16" x14ac:dyDescent="0.25">
      <c r="A1980" t="s">
        <v>4656</v>
      </c>
      <c r="B1980" s="6">
        <v>44565</v>
      </c>
      <c r="C1980">
        <v>9166</v>
      </c>
      <c r="D1980" t="s">
        <v>4657</v>
      </c>
      <c r="E1980" t="s">
        <v>38</v>
      </c>
      <c r="F1980" t="s">
        <v>58</v>
      </c>
      <c r="G1980">
        <v>43706.32</v>
      </c>
      <c r="H1980">
        <v>24962.560000000001</v>
      </c>
      <c r="I1980" t="s">
        <v>53</v>
      </c>
      <c r="J1980" t="s">
        <v>54</v>
      </c>
      <c r="K1980" t="s">
        <v>42</v>
      </c>
      <c r="L1980" t="s">
        <v>23</v>
      </c>
      <c r="M1980">
        <v>2</v>
      </c>
      <c r="N1980" t="s">
        <v>24</v>
      </c>
      <c r="O1980" t="s">
        <v>25</v>
      </c>
      <c r="P1980" t="s">
        <v>26</v>
      </c>
    </row>
    <row r="1981" spans="1:16" x14ac:dyDescent="0.25">
      <c r="A1981" t="s">
        <v>4658</v>
      </c>
      <c r="B1981" s="6">
        <v>45137</v>
      </c>
      <c r="C1981">
        <v>1478</v>
      </c>
      <c r="D1981" t="s">
        <v>4659</v>
      </c>
      <c r="E1981" t="s">
        <v>18</v>
      </c>
      <c r="F1981" t="s">
        <v>58</v>
      </c>
      <c r="G1981">
        <v>38741.65</v>
      </c>
      <c r="H1981">
        <v>23824.639999999999</v>
      </c>
      <c r="I1981" t="s">
        <v>31</v>
      </c>
      <c r="J1981" t="s">
        <v>21</v>
      </c>
      <c r="K1981" t="s">
        <v>80</v>
      </c>
      <c r="L1981" t="s">
        <v>43</v>
      </c>
      <c r="M1981">
        <v>4</v>
      </c>
      <c r="N1981" t="s">
        <v>24</v>
      </c>
      <c r="O1981" t="s">
        <v>70</v>
      </c>
      <c r="P1981" t="s">
        <v>26</v>
      </c>
    </row>
    <row r="1982" spans="1:16" x14ac:dyDescent="0.25">
      <c r="A1982" t="s">
        <v>4660</v>
      </c>
      <c r="B1982" s="6">
        <v>45021</v>
      </c>
      <c r="C1982">
        <v>4010</v>
      </c>
      <c r="D1982" t="s">
        <v>4661</v>
      </c>
      <c r="E1982" t="s">
        <v>18</v>
      </c>
      <c r="F1982" t="s">
        <v>47</v>
      </c>
      <c r="G1982">
        <v>2825.43</v>
      </c>
      <c r="H1982">
        <v>1522.41</v>
      </c>
      <c r="I1982" t="s">
        <v>59</v>
      </c>
      <c r="J1982" t="s">
        <v>41</v>
      </c>
      <c r="K1982" t="s">
        <v>42</v>
      </c>
      <c r="L1982" t="s">
        <v>48</v>
      </c>
      <c r="M1982">
        <v>1</v>
      </c>
      <c r="N1982" t="s">
        <v>33</v>
      </c>
      <c r="O1982" t="s">
        <v>25</v>
      </c>
      <c r="P1982" t="s">
        <v>49</v>
      </c>
    </row>
    <row r="1983" spans="1:16" x14ac:dyDescent="0.25">
      <c r="A1983" t="s">
        <v>4662</v>
      </c>
      <c r="B1983" s="6">
        <v>44961</v>
      </c>
      <c r="C1983">
        <v>2766</v>
      </c>
      <c r="D1983" t="s">
        <v>4664</v>
      </c>
      <c r="E1983" t="s">
        <v>18</v>
      </c>
      <c r="F1983" t="s">
        <v>47</v>
      </c>
      <c r="G1983">
        <v>4117.1099999999997</v>
      </c>
      <c r="H1983">
        <v>2023.32</v>
      </c>
      <c r="I1983" t="s">
        <v>84</v>
      </c>
      <c r="J1983" t="s">
        <v>54</v>
      </c>
      <c r="K1983" t="s">
        <v>32</v>
      </c>
      <c r="L1983" t="s">
        <v>88</v>
      </c>
      <c r="M1983">
        <v>3</v>
      </c>
      <c r="N1983" t="s">
        <v>24</v>
      </c>
      <c r="O1983" t="s">
        <v>25</v>
      </c>
      <c r="P1983" t="s">
        <v>49</v>
      </c>
    </row>
    <row r="1984" spans="1:16" x14ac:dyDescent="0.25">
      <c r="A1984" t="s">
        <v>4665</v>
      </c>
      <c r="B1984" s="6">
        <v>44599</v>
      </c>
      <c r="C1984">
        <v>4172</v>
      </c>
      <c r="D1984" t="s">
        <v>3098</v>
      </c>
      <c r="E1984" t="s">
        <v>18</v>
      </c>
      <c r="F1984" t="s">
        <v>47</v>
      </c>
      <c r="G1984">
        <v>11936.36</v>
      </c>
      <c r="H1984">
        <v>7323.91</v>
      </c>
      <c r="I1984" t="s">
        <v>20</v>
      </c>
      <c r="J1984" t="s">
        <v>21</v>
      </c>
      <c r="K1984" t="s">
        <v>22</v>
      </c>
      <c r="L1984" t="s">
        <v>48</v>
      </c>
      <c r="M1984">
        <v>5</v>
      </c>
      <c r="N1984" t="s">
        <v>33</v>
      </c>
      <c r="O1984" t="s">
        <v>70</v>
      </c>
      <c r="P1984" t="s">
        <v>49</v>
      </c>
    </row>
    <row r="1985" spans="1:16" x14ac:dyDescent="0.25">
      <c r="A1985" t="s">
        <v>4667</v>
      </c>
      <c r="B1985" s="6">
        <v>44574</v>
      </c>
      <c r="C1985">
        <v>2393</v>
      </c>
      <c r="D1985" t="s">
        <v>4668</v>
      </c>
      <c r="E1985" t="s">
        <v>18</v>
      </c>
      <c r="F1985" t="s">
        <v>58</v>
      </c>
      <c r="G1985">
        <v>14413.44</v>
      </c>
      <c r="H1985">
        <v>7690.73</v>
      </c>
      <c r="I1985" t="s">
        <v>20</v>
      </c>
      <c r="J1985" t="s">
        <v>21</v>
      </c>
      <c r="K1985" t="s">
        <v>22</v>
      </c>
      <c r="L1985" t="s">
        <v>43</v>
      </c>
      <c r="M1985">
        <v>2</v>
      </c>
      <c r="N1985" t="s">
        <v>69</v>
      </c>
      <c r="O1985" t="s">
        <v>25</v>
      </c>
      <c r="P1985" t="s">
        <v>49</v>
      </c>
    </row>
    <row r="1986" spans="1:16" x14ac:dyDescent="0.25">
      <c r="A1986" t="s">
        <v>4669</v>
      </c>
      <c r="B1986" s="6">
        <v>44954</v>
      </c>
      <c r="C1986">
        <v>5687</v>
      </c>
      <c r="D1986" t="s">
        <v>4670</v>
      </c>
      <c r="E1986" t="s">
        <v>38</v>
      </c>
      <c r="F1986" t="s">
        <v>39</v>
      </c>
      <c r="G1986">
        <v>26683.279999999999</v>
      </c>
      <c r="H1986">
        <v>14897.13</v>
      </c>
      <c r="I1986" t="s">
        <v>31</v>
      </c>
      <c r="J1986" t="s">
        <v>21</v>
      </c>
      <c r="K1986" t="s">
        <v>80</v>
      </c>
      <c r="L1986" t="s">
        <v>23</v>
      </c>
      <c r="M1986">
        <v>5</v>
      </c>
      <c r="N1986" t="s">
        <v>69</v>
      </c>
      <c r="O1986" t="s">
        <v>25</v>
      </c>
      <c r="P1986" t="s">
        <v>26</v>
      </c>
    </row>
    <row r="1987" spans="1:16" x14ac:dyDescent="0.25">
      <c r="A1987" t="s">
        <v>4671</v>
      </c>
      <c r="B1987" s="6">
        <v>45305</v>
      </c>
      <c r="C1987">
        <v>3742</v>
      </c>
      <c r="D1987" t="s">
        <v>4672</v>
      </c>
      <c r="E1987" t="s">
        <v>38</v>
      </c>
      <c r="F1987" t="s">
        <v>19</v>
      </c>
      <c r="G1987">
        <v>26478.87</v>
      </c>
      <c r="H1987">
        <v>14846.21</v>
      </c>
      <c r="I1987" t="s">
        <v>84</v>
      </c>
      <c r="J1987" t="s">
        <v>54</v>
      </c>
      <c r="K1987" t="s">
        <v>42</v>
      </c>
      <c r="L1987" t="s">
        <v>88</v>
      </c>
      <c r="M1987">
        <v>4</v>
      </c>
      <c r="N1987" t="s">
        <v>24</v>
      </c>
      <c r="O1987" t="s">
        <v>25</v>
      </c>
      <c r="P1987" t="s">
        <v>49</v>
      </c>
    </row>
    <row r="1988" spans="1:16" x14ac:dyDescent="0.25">
      <c r="A1988" t="s">
        <v>4673</v>
      </c>
      <c r="B1988" s="6">
        <v>44933</v>
      </c>
      <c r="C1988">
        <v>7831</v>
      </c>
      <c r="D1988" t="s">
        <v>4674</v>
      </c>
      <c r="E1988" t="s">
        <v>18</v>
      </c>
      <c r="F1988" t="s">
        <v>47</v>
      </c>
      <c r="G1988">
        <v>14606.13</v>
      </c>
      <c r="H1988">
        <v>9161.31</v>
      </c>
      <c r="I1988" t="s">
        <v>84</v>
      </c>
      <c r="J1988" t="s">
        <v>54</v>
      </c>
      <c r="K1988" t="s">
        <v>42</v>
      </c>
      <c r="L1988" t="s">
        <v>64</v>
      </c>
      <c r="M1988">
        <v>2</v>
      </c>
      <c r="N1988" t="s">
        <v>24</v>
      </c>
      <c r="O1988" t="s">
        <v>25</v>
      </c>
      <c r="P1988" t="s">
        <v>34</v>
      </c>
    </row>
    <row r="1989" spans="1:16" x14ac:dyDescent="0.25">
      <c r="A1989" t="s">
        <v>4675</v>
      </c>
      <c r="B1989" s="6">
        <v>45282</v>
      </c>
      <c r="C1989">
        <v>8688</v>
      </c>
      <c r="D1989" t="s">
        <v>3912</v>
      </c>
      <c r="E1989" t="s">
        <v>38</v>
      </c>
      <c r="F1989" t="s">
        <v>58</v>
      </c>
      <c r="G1989">
        <v>38993.050000000003</v>
      </c>
      <c r="H1989">
        <v>21729.599999999999</v>
      </c>
      <c r="I1989" t="s">
        <v>53</v>
      </c>
      <c r="J1989" t="s">
        <v>54</v>
      </c>
      <c r="K1989" t="s">
        <v>22</v>
      </c>
      <c r="L1989" t="s">
        <v>64</v>
      </c>
      <c r="M1989">
        <v>1</v>
      </c>
      <c r="N1989" t="s">
        <v>69</v>
      </c>
      <c r="O1989" t="s">
        <v>70</v>
      </c>
      <c r="P1989" t="s">
        <v>34</v>
      </c>
    </row>
    <row r="1990" spans="1:16" x14ac:dyDescent="0.25">
      <c r="A1990" t="s">
        <v>4676</v>
      </c>
      <c r="B1990" s="6">
        <v>45319</v>
      </c>
      <c r="C1990">
        <v>2415</v>
      </c>
      <c r="D1990" t="s">
        <v>4677</v>
      </c>
      <c r="E1990" t="s">
        <v>18</v>
      </c>
      <c r="F1990" t="s">
        <v>30</v>
      </c>
      <c r="G1990">
        <v>117084.57</v>
      </c>
      <c r="H1990">
        <v>64723.16</v>
      </c>
      <c r="I1990" t="s">
        <v>53</v>
      </c>
      <c r="J1990" t="s">
        <v>54</v>
      </c>
      <c r="K1990" t="s">
        <v>80</v>
      </c>
      <c r="L1990" t="s">
        <v>23</v>
      </c>
      <c r="M1990">
        <v>5</v>
      </c>
      <c r="N1990" t="s">
        <v>33</v>
      </c>
      <c r="O1990" t="s">
        <v>25</v>
      </c>
      <c r="P1990" t="s">
        <v>26</v>
      </c>
    </row>
    <row r="1991" spans="1:16" x14ac:dyDescent="0.25">
      <c r="A1991" t="s">
        <v>4678</v>
      </c>
      <c r="B1991" s="6">
        <v>45497</v>
      </c>
      <c r="C1991">
        <v>2166</v>
      </c>
      <c r="D1991" t="s">
        <v>4679</v>
      </c>
      <c r="E1991" t="s">
        <v>38</v>
      </c>
      <c r="F1991" t="s">
        <v>30</v>
      </c>
      <c r="G1991">
        <v>38465.620000000003</v>
      </c>
      <c r="H1991">
        <v>20675.63</v>
      </c>
      <c r="I1991" t="s">
        <v>20</v>
      </c>
      <c r="J1991" t="s">
        <v>21</v>
      </c>
      <c r="K1991" t="s">
        <v>22</v>
      </c>
      <c r="L1991" t="s">
        <v>88</v>
      </c>
      <c r="M1991">
        <v>2</v>
      </c>
      <c r="N1991" t="s">
        <v>69</v>
      </c>
      <c r="O1991" t="s">
        <v>25</v>
      </c>
      <c r="P1991" t="s">
        <v>49</v>
      </c>
    </row>
    <row r="1992" spans="1:16" x14ac:dyDescent="0.25">
      <c r="A1992" t="s">
        <v>4680</v>
      </c>
      <c r="B1992" s="6">
        <v>45495</v>
      </c>
      <c r="C1992">
        <v>9442</v>
      </c>
      <c r="D1992" t="s">
        <v>887</v>
      </c>
      <c r="E1992" t="s">
        <v>18</v>
      </c>
      <c r="F1992" t="s">
        <v>39</v>
      </c>
      <c r="G1992">
        <v>31154.67</v>
      </c>
      <c r="H1992">
        <v>14482.38</v>
      </c>
      <c r="I1992" t="s">
        <v>68</v>
      </c>
      <c r="J1992" t="s">
        <v>41</v>
      </c>
      <c r="K1992" t="s">
        <v>80</v>
      </c>
      <c r="L1992" t="s">
        <v>64</v>
      </c>
      <c r="M1992">
        <v>3</v>
      </c>
      <c r="N1992" t="s">
        <v>69</v>
      </c>
      <c r="O1992" t="s">
        <v>70</v>
      </c>
      <c r="P1992" t="s">
        <v>49</v>
      </c>
    </row>
    <row r="1993" spans="1:16" x14ac:dyDescent="0.25">
      <c r="A1993" t="s">
        <v>4681</v>
      </c>
      <c r="B1993" s="6">
        <v>45195</v>
      </c>
      <c r="C1993">
        <v>3018</v>
      </c>
      <c r="D1993" t="s">
        <v>1298</v>
      </c>
      <c r="E1993" t="s">
        <v>18</v>
      </c>
      <c r="F1993" t="s">
        <v>58</v>
      </c>
      <c r="G1993">
        <v>31184.44</v>
      </c>
      <c r="H1993">
        <v>20249.36</v>
      </c>
      <c r="I1993" t="s">
        <v>40</v>
      </c>
      <c r="J1993" t="s">
        <v>41</v>
      </c>
      <c r="K1993" t="s">
        <v>32</v>
      </c>
      <c r="L1993" t="s">
        <v>43</v>
      </c>
      <c r="M1993">
        <v>3</v>
      </c>
      <c r="N1993" t="s">
        <v>33</v>
      </c>
      <c r="O1993" t="s">
        <v>25</v>
      </c>
      <c r="P1993" t="s">
        <v>49</v>
      </c>
    </row>
    <row r="1994" spans="1:16" x14ac:dyDescent="0.25">
      <c r="A1994" t="s">
        <v>4682</v>
      </c>
      <c r="B1994" s="6">
        <v>44140</v>
      </c>
      <c r="C1994">
        <v>5287</v>
      </c>
      <c r="D1994" t="s">
        <v>4683</v>
      </c>
      <c r="E1994" t="s">
        <v>18</v>
      </c>
      <c r="F1994" t="s">
        <v>19</v>
      </c>
      <c r="G1994">
        <v>9966.01</v>
      </c>
      <c r="H1994">
        <v>4490.21</v>
      </c>
      <c r="I1994" t="s">
        <v>53</v>
      </c>
      <c r="J1994" t="s">
        <v>54</v>
      </c>
      <c r="K1994" t="s">
        <v>22</v>
      </c>
      <c r="L1994" t="s">
        <v>64</v>
      </c>
      <c r="M1994">
        <v>1</v>
      </c>
      <c r="N1994" t="s">
        <v>24</v>
      </c>
      <c r="O1994" t="s">
        <v>70</v>
      </c>
      <c r="P1994" t="s">
        <v>49</v>
      </c>
    </row>
    <row r="1995" spans="1:16" x14ac:dyDescent="0.25">
      <c r="A1995" t="s">
        <v>4684</v>
      </c>
      <c r="B1995" s="6">
        <v>44070</v>
      </c>
      <c r="C1995">
        <v>2695</v>
      </c>
      <c r="D1995" t="s">
        <v>4685</v>
      </c>
      <c r="E1995" t="s">
        <v>18</v>
      </c>
      <c r="F1995" t="s">
        <v>39</v>
      </c>
      <c r="G1995">
        <v>20297.48</v>
      </c>
      <c r="H1995">
        <v>10291.76</v>
      </c>
      <c r="I1995" t="s">
        <v>63</v>
      </c>
      <c r="J1995" t="s">
        <v>54</v>
      </c>
      <c r="K1995" t="s">
        <v>42</v>
      </c>
      <c r="L1995" t="s">
        <v>23</v>
      </c>
      <c r="M1995">
        <v>2</v>
      </c>
      <c r="N1995" t="s">
        <v>33</v>
      </c>
      <c r="O1995" t="s">
        <v>25</v>
      </c>
      <c r="P1995" t="s">
        <v>34</v>
      </c>
    </row>
    <row r="1996" spans="1:16" x14ac:dyDescent="0.25">
      <c r="A1996" t="s">
        <v>4686</v>
      </c>
      <c r="B1996" s="6">
        <v>45258</v>
      </c>
      <c r="C1996">
        <v>7754</v>
      </c>
      <c r="D1996" t="s">
        <v>4687</v>
      </c>
      <c r="E1996" t="s">
        <v>18</v>
      </c>
      <c r="F1996" t="s">
        <v>39</v>
      </c>
      <c r="G1996">
        <v>33464.769999999997</v>
      </c>
      <c r="H1996">
        <v>17251.240000000002</v>
      </c>
      <c r="I1996" t="s">
        <v>31</v>
      </c>
      <c r="J1996" t="s">
        <v>21</v>
      </c>
      <c r="K1996" t="s">
        <v>22</v>
      </c>
      <c r="L1996" t="s">
        <v>55</v>
      </c>
      <c r="M1996">
        <v>1</v>
      </c>
      <c r="N1996" t="s">
        <v>69</v>
      </c>
      <c r="O1996" t="s">
        <v>25</v>
      </c>
      <c r="P1996" t="s">
        <v>26</v>
      </c>
    </row>
    <row r="1997" spans="1:16" x14ac:dyDescent="0.25">
      <c r="A1997" t="s">
        <v>4688</v>
      </c>
      <c r="B1997" s="6">
        <v>44481</v>
      </c>
      <c r="C1997">
        <v>1460</v>
      </c>
      <c r="D1997" t="s">
        <v>1932</v>
      </c>
      <c r="E1997" t="s">
        <v>18</v>
      </c>
      <c r="F1997" t="s">
        <v>58</v>
      </c>
      <c r="G1997">
        <v>8606.11</v>
      </c>
      <c r="H1997">
        <v>3955.48</v>
      </c>
      <c r="I1997" t="s">
        <v>53</v>
      </c>
      <c r="J1997" t="s">
        <v>54</v>
      </c>
      <c r="K1997" t="s">
        <v>42</v>
      </c>
      <c r="L1997" t="s">
        <v>48</v>
      </c>
      <c r="M1997">
        <v>3</v>
      </c>
      <c r="N1997" t="s">
        <v>24</v>
      </c>
      <c r="O1997" t="s">
        <v>25</v>
      </c>
      <c r="P1997" t="s">
        <v>49</v>
      </c>
    </row>
    <row r="1998" spans="1:16" x14ac:dyDescent="0.25">
      <c r="A1998" t="s">
        <v>4689</v>
      </c>
      <c r="B1998" s="6">
        <v>43837</v>
      </c>
      <c r="C1998">
        <v>3820</v>
      </c>
      <c r="D1998" t="s">
        <v>4690</v>
      </c>
      <c r="E1998" t="s">
        <v>38</v>
      </c>
      <c r="F1998" t="s">
        <v>30</v>
      </c>
      <c r="G1998">
        <v>34745.97</v>
      </c>
      <c r="H1998">
        <v>19974.560000000001</v>
      </c>
      <c r="I1998" t="s">
        <v>84</v>
      </c>
      <c r="J1998" t="s">
        <v>54</v>
      </c>
      <c r="K1998" t="s">
        <v>80</v>
      </c>
      <c r="L1998" t="s">
        <v>88</v>
      </c>
      <c r="M1998">
        <v>4</v>
      </c>
      <c r="N1998" t="s">
        <v>24</v>
      </c>
      <c r="O1998" t="s">
        <v>70</v>
      </c>
      <c r="P1998" t="s">
        <v>34</v>
      </c>
    </row>
    <row r="1999" spans="1:16" x14ac:dyDescent="0.25">
      <c r="A1999" t="s">
        <v>4691</v>
      </c>
      <c r="B1999" s="6">
        <v>45158</v>
      </c>
      <c r="C1999">
        <v>5168</v>
      </c>
      <c r="D1999" t="s">
        <v>4692</v>
      </c>
      <c r="E1999" t="s">
        <v>18</v>
      </c>
      <c r="F1999" t="s">
        <v>30</v>
      </c>
      <c r="G1999">
        <v>42892.76</v>
      </c>
      <c r="H1999">
        <v>22592.28</v>
      </c>
      <c r="I1999" t="s">
        <v>31</v>
      </c>
      <c r="J1999" t="s">
        <v>21</v>
      </c>
      <c r="K1999" t="s">
        <v>42</v>
      </c>
      <c r="L1999" t="s">
        <v>48</v>
      </c>
      <c r="M1999">
        <v>2</v>
      </c>
      <c r="N1999" t="s">
        <v>33</v>
      </c>
      <c r="O1999" t="s">
        <v>25</v>
      </c>
      <c r="P1999" t="s">
        <v>34</v>
      </c>
    </row>
    <row r="2000" spans="1:16" x14ac:dyDescent="0.25">
      <c r="A2000" t="s">
        <v>4693</v>
      </c>
      <c r="B2000" s="6">
        <v>44910</v>
      </c>
      <c r="C2000">
        <v>2522</v>
      </c>
      <c r="D2000" t="s">
        <v>4694</v>
      </c>
      <c r="E2000" t="s">
        <v>18</v>
      </c>
      <c r="F2000" t="s">
        <v>58</v>
      </c>
      <c r="G2000">
        <v>20182.98</v>
      </c>
      <c r="H2000">
        <v>12866.37</v>
      </c>
      <c r="I2000" t="s">
        <v>84</v>
      </c>
      <c r="J2000" t="s">
        <v>54</v>
      </c>
      <c r="K2000" t="s">
        <v>32</v>
      </c>
      <c r="L2000" t="s">
        <v>64</v>
      </c>
      <c r="M2000">
        <v>4</v>
      </c>
      <c r="N2000" t="s">
        <v>24</v>
      </c>
      <c r="O2000" t="s">
        <v>25</v>
      </c>
      <c r="P2000" t="s">
        <v>49</v>
      </c>
    </row>
    <row r="2001" spans="1:16" x14ac:dyDescent="0.25">
      <c r="A2001" t="s">
        <v>4695</v>
      </c>
      <c r="B2001" s="6">
        <v>44620</v>
      </c>
      <c r="C2001">
        <v>7172</v>
      </c>
      <c r="D2001" t="s">
        <v>4697</v>
      </c>
      <c r="E2001" t="s">
        <v>18</v>
      </c>
      <c r="F2001" t="s">
        <v>30</v>
      </c>
      <c r="G2001">
        <v>73136.23</v>
      </c>
      <c r="H2001">
        <v>37595.4</v>
      </c>
      <c r="I2001" t="s">
        <v>31</v>
      </c>
      <c r="J2001" t="s">
        <v>21</v>
      </c>
      <c r="K2001" t="s">
        <v>80</v>
      </c>
      <c r="L2001" t="s">
        <v>55</v>
      </c>
      <c r="M2001">
        <v>4</v>
      </c>
      <c r="N2001" t="s">
        <v>33</v>
      </c>
      <c r="O2001" t="s">
        <v>70</v>
      </c>
      <c r="P2001" t="s">
        <v>34</v>
      </c>
    </row>
    <row r="2002" spans="1:16" x14ac:dyDescent="0.25">
      <c r="A2002" t="s">
        <v>4698</v>
      </c>
      <c r="B2002" s="6">
        <v>44967</v>
      </c>
      <c r="C2002">
        <v>5470</v>
      </c>
      <c r="D2002" t="s">
        <v>4700</v>
      </c>
      <c r="E2002" t="s">
        <v>18</v>
      </c>
      <c r="F2002" t="s">
        <v>19</v>
      </c>
      <c r="G2002">
        <v>12621.1</v>
      </c>
      <c r="H2002">
        <v>6213.21</v>
      </c>
      <c r="I2002" t="s">
        <v>31</v>
      </c>
      <c r="J2002" t="s">
        <v>21</v>
      </c>
      <c r="K2002" t="s">
        <v>42</v>
      </c>
      <c r="L2002" t="s">
        <v>43</v>
      </c>
      <c r="M2002">
        <v>4</v>
      </c>
      <c r="N2002" t="s">
        <v>33</v>
      </c>
      <c r="O2002" t="s">
        <v>70</v>
      </c>
      <c r="P2002" t="s">
        <v>49</v>
      </c>
    </row>
    <row r="2003" spans="1:16" x14ac:dyDescent="0.25">
      <c r="A2003" t="s">
        <v>4701</v>
      </c>
      <c r="B2003" s="6">
        <v>44147</v>
      </c>
      <c r="C2003">
        <v>8155</v>
      </c>
      <c r="D2003" t="s">
        <v>4703</v>
      </c>
      <c r="E2003" t="s">
        <v>18</v>
      </c>
      <c r="F2003" t="s">
        <v>39</v>
      </c>
      <c r="G2003">
        <v>11724.92</v>
      </c>
      <c r="H2003">
        <v>6152.97</v>
      </c>
      <c r="I2003" t="s">
        <v>53</v>
      </c>
      <c r="J2003" t="s">
        <v>54</v>
      </c>
      <c r="K2003" t="s">
        <v>32</v>
      </c>
      <c r="L2003" t="s">
        <v>88</v>
      </c>
      <c r="M2003">
        <v>2</v>
      </c>
      <c r="N2003" t="s">
        <v>69</v>
      </c>
      <c r="O2003" t="s">
        <v>70</v>
      </c>
      <c r="P2003" t="s">
        <v>26</v>
      </c>
    </row>
    <row r="2004" spans="1:16" x14ac:dyDescent="0.25">
      <c r="A2004" t="s">
        <v>4704</v>
      </c>
      <c r="B2004" s="6">
        <v>45650</v>
      </c>
      <c r="C2004">
        <v>7093</v>
      </c>
      <c r="D2004" t="s">
        <v>4705</v>
      </c>
      <c r="E2004" t="s">
        <v>18</v>
      </c>
      <c r="F2004" t="s">
        <v>58</v>
      </c>
      <c r="G2004">
        <v>65399.87</v>
      </c>
      <c r="H2004">
        <v>32703.67</v>
      </c>
      <c r="I2004" t="s">
        <v>63</v>
      </c>
      <c r="J2004" t="s">
        <v>54</v>
      </c>
      <c r="K2004" t="s">
        <v>80</v>
      </c>
      <c r="L2004" t="s">
        <v>43</v>
      </c>
      <c r="M2004">
        <v>5</v>
      </c>
      <c r="N2004" t="s">
        <v>24</v>
      </c>
      <c r="O2004" t="s">
        <v>70</v>
      </c>
      <c r="P2004" t="s">
        <v>34</v>
      </c>
    </row>
    <row r="2005" spans="1:16" x14ac:dyDescent="0.25">
      <c r="A2005" t="s">
        <v>4706</v>
      </c>
      <c r="B2005" s="6">
        <v>44857</v>
      </c>
      <c r="C2005">
        <v>2929</v>
      </c>
      <c r="D2005" t="s">
        <v>4708</v>
      </c>
      <c r="E2005" t="s">
        <v>18</v>
      </c>
      <c r="F2005" t="s">
        <v>58</v>
      </c>
      <c r="G2005">
        <v>9935.67</v>
      </c>
      <c r="H2005">
        <v>5780.73</v>
      </c>
      <c r="I2005" t="s">
        <v>20</v>
      </c>
      <c r="J2005" t="s">
        <v>21</v>
      </c>
      <c r="K2005" t="s">
        <v>32</v>
      </c>
      <c r="L2005" t="s">
        <v>48</v>
      </c>
      <c r="M2005">
        <v>3</v>
      </c>
      <c r="N2005" t="s">
        <v>24</v>
      </c>
      <c r="O2005" t="s">
        <v>70</v>
      </c>
      <c r="P2005" t="s">
        <v>26</v>
      </c>
    </row>
    <row r="2006" spans="1:16" x14ac:dyDescent="0.25">
      <c r="A2006" t="s">
        <v>4709</v>
      </c>
      <c r="B2006" s="6">
        <v>44411</v>
      </c>
      <c r="C2006">
        <v>3537</v>
      </c>
      <c r="D2006" t="s">
        <v>4710</v>
      </c>
      <c r="E2006" t="s">
        <v>38</v>
      </c>
      <c r="F2006" t="s">
        <v>47</v>
      </c>
      <c r="G2006">
        <v>6504.09</v>
      </c>
      <c r="H2006">
        <v>4160.37</v>
      </c>
      <c r="I2006" t="s">
        <v>68</v>
      </c>
      <c r="J2006" t="s">
        <v>41</v>
      </c>
      <c r="K2006" t="s">
        <v>32</v>
      </c>
      <c r="L2006" t="s">
        <v>55</v>
      </c>
      <c r="M2006">
        <v>3</v>
      </c>
      <c r="N2006" t="s">
        <v>69</v>
      </c>
      <c r="O2006" t="s">
        <v>25</v>
      </c>
      <c r="P2006" t="s">
        <v>26</v>
      </c>
    </row>
    <row r="2007" spans="1:16" x14ac:dyDescent="0.25">
      <c r="A2007" t="s">
        <v>4711</v>
      </c>
      <c r="B2007" s="6">
        <v>45572</v>
      </c>
      <c r="C2007">
        <v>3308</v>
      </c>
      <c r="D2007" t="s">
        <v>4712</v>
      </c>
      <c r="E2007" t="s">
        <v>18</v>
      </c>
      <c r="F2007" t="s">
        <v>47</v>
      </c>
      <c r="G2007">
        <v>12349.98</v>
      </c>
      <c r="H2007">
        <v>7544.27</v>
      </c>
      <c r="I2007" t="s">
        <v>40</v>
      </c>
      <c r="J2007" t="s">
        <v>41</v>
      </c>
      <c r="K2007" t="s">
        <v>80</v>
      </c>
      <c r="L2007" t="s">
        <v>48</v>
      </c>
      <c r="M2007">
        <v>3</v>
      </c>
      <c r="N2007" t="s">
        <v>24</v>
      </c>
      <c r="O2007" t="s">
        <v>25</v>
      </c>
      <c r="P2007" t="s">
        <v>34</v>
      </c>
    </row>
    <row r="2008" spans="1:16" x14ac:dyDescent="0.25">
      <c r="A2008" t="s">
        <v>4713</v>
      </c>
      <c r="B2008" s="6">
        <v>45160</v>
      </c>
      <c r="C2008">
        <v>8893</v>
      </c>
      <c r="D2008" t="s">
        <v>4714</v>
      </c>
      <c r="E2008" t="s">
        <v>38</v>
      </c>
      <c r="F2008" t="s">
        <v>39</v>
      </c>
      <c r="G2008">
        <v>40727.07</v>
      </c>
      <c r="H2008">
        <v>26363.99</v>
      </c>
      <c r="I2008" t="s">
        <v>63</v>
      </c>
      <c r="J2008" t="s">
        <v>54</v>
      </c>
      <c r="K2008" t="s">
        <v>32</v>
      </c>
      <c r="L2008" t="s">
        <v>55</v>
      </c>
      <c r="M2008">
        <v>3</v>
      </c>
      <c r="N2008" t="s">
        <v>33</v>
      </c>
      <c r="O2008" t="s">
        <v>25</v>
      </c>
      <c r="P2008" t="s">
        <v>34</v>
      </c>
    </row>
    <row r="2009" spans="1:16" x14ac:dyDescent="0.25">
      <c r="A2009" t="s">
        <v>4715</v>
      </c>
      <c r="B2009" s="6">
        <v>44635</v>
      </c>
      <c r="C2009">
        <v>3964</v>
      </c>
      <c r="D2009" t="s">
        <v>4716</v>
      </c>
      <c r="E2009" t="s">
        <v>38</v>
      </c>
      <c r="F2009" t="s">
        <v>47</v>
      </c>
      <c r="G2009">
        <v>9690.2099999999991</v>
      </c>
      <c r="H2009">
        <v>6187.66</v>
      </c>
      <c r="I2009" t="s">
        <v>63</v>
      </c>
      <c r="J2009" t="s">
        <v>54</v>
      </c>
      <c r="K2009" t="s">
        <v>80</v>
      </c>
      <c r="L2009" t="s">
        <v>43</v>
      </c>
      <c r="M2009">
        <v>5</v>
      </c>
      <c r="N2009" t="s">
        <v>24</v>
      </c>
      <c r="O2009" t="s">
        <v>70</v>
      </c>
      <c r="P2009" t="s">
        <v>49</v>
      </c>
    </row>
    <row r="2010" spans="1:16" x14ac:dyDescent="0.25">
      <c r="A2010" t="s">
        <v>4717</v>
      </c>
      <c r="B2010" s="6">
        <v>45077</v>
      </c>
      <c r="C2010">
        <v>6396</v>
      </c>
      <c r="D2010" t="s">
        <v>4718</v>
      </c>
      <c r="E2010" t="s">
        <v>38</v>
      </c>
      <c r="F2010" t="s">
        <v>30</v>
      </c>
      <c r="G2010">
        <v>65975.960000000006</v>
      </c>
      <c r="H2010">
        <v>39697.629999999997</v>
      </c>
      <c r="I2010" t="s">
        <v>40</v>
      </c>
      <c r="J2010" t="s">
        <v>41</v>
      </c>
      <c r="K2010" t="s">
        <v>22</v>
      </c>
      <c r="L2010" t="s">
        <v>23</v>
      </c>
      <c r="M2010">
        <v>3</v>
      </c>
      <c r="N2010" t="s">
        <v>33</v>
      </c>
      <c r="O2010" t="s">
        <v>70</v>
      </c>
      <c r="P2010" t="s">
        <v>26</v>
      </c>
    </row>
    <row r="2011" spans="1:16" x14ac:dyDescent="0.25">
      <c r="A2011" t="s">
        <v>4719</v>
      </c>
      <c r="B2011" s="6">
        <v>45504</v>
      </c>
      <c r="C2011">
        <v>6378</v>
      </c>
      <c r="D2011" t="s">
        <v>2435</v>
      </c>
      <c r="E2011" t="s">
        <v>38</v>
      </c>
      <c r="F2011" t="s">
        <v>47</v>
      </c>
      <c r="G2011">
        <v>5968.67</v>
      </c>
      <c r="H2011">
        <v>3227.47</v>
      </c>
      <c r="I2011" t="s">
        <v>31</v>
      </c>
      <c r="J2011" t="s">
        <v>21</v>
      </c>
      <c r="K2011" t="s">
        <v>22</v>
      </c>
      <c r="L2011" t="s">
        <v>48</v>
      </c>
      <c r="M2011">
        <v>5</v>
      </c>
      <c r="N2011" t="s">
        <v>33</v>
      </c>
      <c r="O2011" t="s">
        <v>25</v>
      </c>
      <c r="P2011" t="s">
        <v>26</v>
      </c>
    </row>
    <row r="2012" spans="1:16" x14ac:dyDescent="0.25">
      <c r="A2012" t="s">
        <v>4720</v>
      </c>
      <c r="B2012" s="6">
        <v>45562</v>
      </c>
      <c r="C2012">
        <v>5826</v>
      </c>
      <c r="D2012" t="s">
        <v>4721</v>
      </c>
      <c r="E2012" t="s">
        <v>38</v>
      </c>
      <c r="F2012" t="s">
        <v>58</v>
      </c>
      <c r="G2012">
        <v>37936.980000000003</v>
      </c>
      <c r="H2012">
        <v>20273.009999999998</v>
      </c>
      <c r="I2012" t="s">
        <v>20</v>
      </c>
      <c r="J2012" t="s">
        <v>21</v>
      </c>
      <c r="K2012" t="s">
        <v>42</v>
      </c>
      <c r="L2012" t="s">
        <v>64</v>
      </c>
      <c r="M2012">
        <v>1</v>
      </c>
      <c r="N2012" t="s">
        <v>69</v>
      </c>
      <c r="O2012" t="s">
        <v>25</v>
      </c>
      <c r="P2012" t="s">
        <v>34</v>
      </c>
    </row>
    <row r="2013" spans="1:16" x14ac:dyDescent="0.25">
      <c r="A2013" t="s">
        <v>4722</v>
      </c>
      <c r="B2013" s="6">
        <v>44319</v>
      </c>
      <c r="C2013">
        <v>8624</v>
      </c>
      <c r="D2013" t="s">
        <v>3623</v>
      </c>
      <c r="E2013" t="s">
        <v>18</v>
      </c>
      <c r="F2013" t="s">
        <v>58</v>
      </c>
      <c r="G2013">
        <v>32963.89</v>
      </c>
      <c r="H2013">
        <v>17044.23</v>
      </c>
      <c r="I2013" t="s">
        <v>53</v>
      </c>
      <c r="J2013" t="s">
        <v>54</v>
      </c>
      <c r="K2013" t="s">
        <v>42</v>
      </c>
      <c r="L2013" t="s">
        <v>43</v>
      </c>
      <c r="M2013">
        <v>1</v>
      </c>
      <c r="N2013" t="s">
        <v>69</v>
      </c>
      <c r="O2013" t="s">
        <v>70</v>
      </c>
      <c r="P2013" t="s">
        <v>26</v>
      </c>
    </row>
    <row r="2014" spans="1:16" x14ac:dyDescent="0.25">
      <c r="A2014" t="s">
        <v>4724</v>
      </c>
      <c r="B2014" s="6">
        <v>44715</v>
      </c>
      <c r="C2014">
        <v>5064</v>
      </c>
      <c r="D2014" t="s">
        <v>4726</v>
      </c>
      <c r="E2014" t="s">
        <v>18</v>
      </c>
      <c r="F2014" t="s">
        <v>19</v>
      </c>
      <c r="G2014">
        <v>7909.33</v>
      </c>
      <c r="H2014">
        <v>4255.21</v>
      </c>
      <c r="I2014" t="s">
        <v>63</v>
      </c>
      <c r="J2014" t="s">
        <v>54</v>
      </c>
      <c r="K2014" t="s">
        <v>32</v>
      </c>
      <c r="L2014" t="s">
        <v>48</v>
      </c>
      <c r="M2014">
        <v>4</v>
      </c>
      <c r="N2014" t="s">
        <v>33</v>
      </c>
      <c r="O2014" t="s">
        <v>25</v>
      </c>
      <c r="P2014" t="s">
        <v>49</v>
      </c>
    </row>
    <row r="2015" spans="1:16" x14ac:dyDescent="0.25">
      <c r="A2015" t="s">
        <v>4727</v>
      </c>
      <c r="B2015" s="6">
        <v>45506</v>
      </c>
      <c r="C2015">
        <v>2026</v>
      </c>
      <c r="D2015" t="s">
        <v>4728</v>
      </c>
      <c r="E2015" t="s">
        <v>18</v>
      </c>
      <c r="F2015" t="s">
        <v>30</v>
      </c>
      <c r="G2015">
        <v>32241.41</v>
      </c>
      <c r="H2015">
        <v>15001.91</v>
      </c>
      <c r="I2015" t="s">
        <v>53</v>
      </c>
      <c r="J2015" t="s">
        <v>54</v>
      </c>
      <c r="K2015" t="s">
        <v>22</v>
      </c>
      <c r="L2015" t="s">
        <v>64</v>
      </c>
      <c r="M2015">
        <v>5</v>
      </c>
      <c r="N2015" t="s">
        <v>69</v>
      </c>
      <c r="O2015" t="s">
        <v>25</v>
      </c>
      <c r="P2015" t="s">
        <v>34</v>
      </c>
    </row>
    <row r="2016" spans="1:16" x14ac:dyDescent="0.25">
      <c r="A2016" t="s">
        <v>4729</v>
      </c>
      <c r="B2016" s="6">
        <v>44725</v>
      </c>
      <c r="C2016">
        <v>6680</v>
      </c>
      <c r="D2016" t="s">
        <v>4730</v>
      </c>
      <c r="E2016" t="s">
        <v>38</v>
      </c>
      <c r="F2016" t="s">
        <v>47</v>
      </c>
      <c r="G2016">
        <v>8919.99</v>
      </c>
      <c r="H2016">
        <v>4686.04</v>
      </c>
      <c r="I2016" t="s">
        <v>20</v>
      </c>
      <c r="J2016" t="s">
        <v>21</v>
      </c>
      <c r="K2016" t="s">
        <v>42</v>
      </c>
      <c r="L2016" t="s">
        <v>64</v>
      </c>
      <c r="M2016">
        <v>3</v>
      </c>
      <c r="N2016" t="s">
        <v>24</v>
      </c>
      <c r="O2016" t="s">
        <v>25</v>
      </c>
      <c r="P2016" t="s">
        <v>49</v>
      </c>
    </row>
    <row r="2017" spans="1:16" x14ac:dyDescent="0.25">
      <c r="A2017" t="s">
        <v>4731</v>
      </c>
      <c r="B2017" s="6">
        <v>45194</v>
      </c>
      <c r="C2017">
        <v>6547</v>
      </c>
      <c r="D2017" t="s">
        <v>4732</v>
      </c>
      <c r="E2017" t="s">
        <v>18</v>
      </c>
      <c r="F2017" t="s">
        <v>19</v>
      </c>
      <c r="G2017">
        <v>3969.56</v>
      </c>
      <c r="H2017">
        <v>1922.34</v>
      </c>
      <c r="I2017" t="s">
        <v>68</v>
      </c>
      <c r="J2017" t="s">
        <v>41</v>
      </c>
      <c r="K2017" t="s">
        <v>80</v>
      </c>
      <c r="L2017" t="s">
        <v>64</v>
      </c>
      <c r="M2017">
        <v>5</v>
      </c>
      <c r="N2017" t="s">
        <v>33</v>
      </c>
      <c r="O2017" t="s">
        <v>70</v>
      </c>
      <c r="P2017" t="s">
        <v>49</v>
      </c>
    </row>
    <row r="2018" spans="1:16" x14ac:dyDescent="0.25">
      <c r="A2018" t="s">
        <v>4733</v>
      </c>
      <c r="B2018" s="6">
        <v>45085</v>
      </c>
      <c r="C2018">
        <v>9795</v>
      </c>
      <c r="D2018" t="s">
        <v>985</v>
      </c>
      <c r="E2018" t="s">
        <v>18</v>
      </c>
      <c r="F2018" t="s">
        <v>47</v>
      </c>
      <c r="G2018">
        <v>20588.490000000002</v>
      </c>
      <c r="H2018">
        <v>12726.56</v>
      </c>
      <c r="I2018" t="s">
        <v>84</v>
      </c>
      <c r="J2018" t="s">
        <v>54</v>
      </c>
      <c r="K2018" t="s">
        <v>42</v>
      </c>
      <c r="L2018" t="s">
        <v>64</v>
      </c>
      <c r="M2018">
        <v>1</v>
      </c>
      <c r="N2018" t="s">
        <v>33</v>
      </c>
      <c r="O2018" t="s">
        <v>25</v>
      </c>
      <c r="P2018" t="s">
        <v>26</v>
      </c>
    </row>
    <row r="2019" spans="1:16" x14ac:dyDescent="0.25">
      <c r="A2019" t="s">
        <v>4734</v>
      </c>
      <c r="B2019" s="6">
        <v>45211</v>
      </c>
      <c r="C2019">
        <v>2493</v>
      </c>
      <c r="D2019" t="s">
        <v>3746</v>
      </c>
      <c r="E2019" t="s">
        <v>18</v>
      </c>
      <c r="F2019" t="s">
        <v>58</v>
      </c>
      <c r="G2019">
        <v>18118.830000000002</v>
      </c>
      <c r="H2019">
        <v>8730.89</v>
      </c>
      <c r="I2019" t="s">
        <v>31</v>
      </c>
      <c r="J2019" t="s">
        <v>21</v>
      </c>
      <c r="K2019" t="s">
        <v>22</v>
      </c>
      <c r="L2019" t="s">
        <v>23</v>
      </c>
      <c r="M2019">
        <v>4</v>
      </c>
      <c r="N2019" t="s">
        <v>69</v>
      </c>
      <c r="O2019" t="s">
        <v>25</v>
      </c>
      <c r="P2019" t="s">
        <v>34</v>
      </c>
    </row>
    <row r="2020" spans="1:16" x14ac:dyDescent="0.25">
      <c r="A2020" t="s">
        <v>4735</v>
      </c>
      <c r="B2020" s="6">
        <v>45571</v>
      </c>
      <c r="C2020">
        <v>3231</v>
      </c>
      <c r="D2020" t="s">
        <v>4736</v>
      </c>
      <c r="E2020" t="s">
        <v>38</v>
      </c>
      <c r="F2020" t="s">
        <v>47</v>
      </c>
      <c r="G2020">
        <v>21463.9</v>
      </c>
      <c r="H2020">
        <v>12674.1</v>
      </c>
      <c r="I2020" t="s">
        <v>53</v>
      </c>
      <c r="J2020" t="s">
        <v>54</v>
      </c>
      <c r="K2020" t="s">
        <v>42</v>
      </c>
      <c r="L2020" t="s">
        <v>23</v>
      </c>
      <c r="M2020">
        <v>4</v>
      </c>
      <c r="N2020" t="s">
        <v>33</v>
      </c>
      <c r="O2020" t="s">
        <v>25</v>
      </c>
      <c r="P2020" t="s">
        <v>34</v>
      </c>
    </row>
    <row r="2021" spans="1:16" x14ac:dyDescent="0.25">
      <c r="A2021" t="s">
        <v>4737</v>
      </c>
      <c r="B2021" s="6">
        <v>44078</v>
      </c>
      <c r="C2021">
        <v>4710</v>
      </c>
      <c r="D2021" t="s">
        <v>4738</v>
      </c>
      <c r="E2021" t="s">
        <v>38</v>
      </c>
      <c r="F2021" t="s">
        <v>39</v>
      </c>
      <c r="G2021">
        <v>12061.04</v>
      </c>
      <c r="H2021">
        <v>5620.43</v>
      </c>
      <c r="I2021" t="s">
        <v>40</v>
      </c>
      <c r="J2021" t="s">
        <v>41</v>
      </c>
      <c r="K2021" t="s">
        <v>22</v>
      </c>
      <c r="L2021" t="s">
        <v>64</v>
      </c>
      <c r="M2021">
        <v>2</v>
      </c>
      <c r="N2021" t="s">
        <v>24</v>
      </c>
      <c r="O2021" t="s">
        <v>25</v>
      </c>
      <c r="P2021" t="s">
        <v>26</v>
      </c>
    </row>
    <row r="2022" spans="1:16" x14ac:dyDescent="0.25">
      <c r="A2022" t="s">
        <v>4739</v>
      </c>
      <c r="B2022" s="6">
        <v>45617</v>
      </c>
      <c r="C2022">
        <v>8869</v>
      </c>
      <c r="D2022" t="s">
        <v>4741</v>
      </c>
      <c r="E2022" t="s">
        <v>18</v>
      </c>
      <c r="F2022" t="s">
        <v>39</v>
      </c>
      <c r="G2022">
        <v>27435.09</v>
      </c>
      <c r="H2022">
        <v>14679.33</v>
      </c>
      <c r="I2022" t="s">
        <v>84</v>
      </c>
      <c r="J2022" t="s">
        <v>54</v>
      </c>
      <c r="K2022" t="s">
        <v>32</v>
      </c>
      <c r="L2022" t="s">
        <v>48</v>
      </c>
      <c r="M2022">
        <v>2</v>
      </c>
      <c r="N2022" t="s">
        <v>69</v>
      </c>
      <c r="O2022" t="s">
        <v>70</v>
      </c>
      <c r="P2022" t="s">
        <v>34</v>
      </c>
    </row>
    <row r="2023" spans="1:16" x14ac:dyDescent="0.25">
      <c r="A2023" t="s">
        <v>4742</v>
      </c>
      <c r="B2023" s="6">
        <v>44000</v>
      </c>
      <c r="C2023">
        <v>6564</v>
      </c>
      <c r="D2023" t="s">
        <v>2279</v>
      </c>
      <c r="E2023" t="s">
        <v>38</v>
      </c>
      <c r="F2023" t="s">
        <v>19</v>
      </c>
      <c r="G2023">
        <v>10299.69</v>
      </c>
      <c r="H2023">
        <v>5602.65</v>
      </c>
      <c r="I2023" t="s">
        <v>31</v>
      </c>
      <c r="J2023" t="s">
        <v>21</v>
      </c>
      <c r="K2023" t="s">
        <v>22</v>
      </c>
      <c r="L2023" t="s">
        <v>23</v>
      </c>
      <c r="M2023">
        <v>4</v>
      </c>
      <c r="N2023" t="s">
        <v>33</v>
      </c>
      <c r="O2023" t="s">
        <v>70</v>
      </c>
      <c r="P2023" t="s">
        <v>26</v>
      </c>
    </row>
    <row r="2024" spans="1:16" x14ac:dyDescent="0.25">
      <c r="A2024" t="s">
        <v>4743</v>
      </c>
      <c r="B2024" s="6">
        <v>45303</v>
      </c>
      <c r="C2024">
        <v>3674</v>
      </c>
      <c r="D2024" t="s">
        <v>4744</v>
      </c>
      <c r="E2024" t="s">
        <v>38</v>
      </c>
      <c r="F2024" t="s">
        <v>47</v>
      </c>
      <c r="G2024">
        <v>4532.9799999999996</v>
      </c>
      <c r="H2024">
        <v>2698.77</v>
      </c>
      <c r="I2024" t="s">
        <v>53</v>
      </c>
      <c r="J2024" t="s">
        <v>54</v>
      </c>
      <c r="K2024" t="s">
        <v>32</v>
      </c>
      <c r="L2024" t="s">
        <v>88</v>
      </c>
      <c r="M2024">
        <v>3</v>
      </c>
      <c r="N2024" t="s">
        <v>33</v>
      </c>
      <c r="O2024" t="s">
        <v>70</v>
      </c>
      <c r="P2024" t="s">
        <v>49</v>
      </c>
    </row>
    <row r="2025" spans="1:16" x14ac:dyDescent="0.25">
      <c r="A2025" t="s">
        <v>4745</v>
      </c>
      <c r="B2025" s="6">
        <v>45522</v>
      </c>
      <c r="C2025">
        <v>1633</v>
      </c>
      <c r="D2025" t="s">
        <v>4747</v>
      </c>
      <c r="E2025" t="s">
        <v>38</v>
      </c>
      <c r="F2025" t="s">
        <v>19</v>
      </c>
      <c r="G2025">
        <v>6264.73</v>
      </c>
      <c r="H2025">
        <v>3339.81</v>
      </c>
      <c r="I2025" t="s">
        <v>31</v>
      </c>
      <c r="J2025" t="s">
        <v>21</v>
      </c>
      <c r="K2025" t="s">
        <v>22</v>
      </c>
      <c r="L2025" t="s">
        <v>88</v>
      </c>
      <c r="M2025">
        <v>5</v>
      </c>
      <c r="N2025" t="s">
        <v>33</v>
      </c>
      <c r="O2025" t="s">
        <v>70</v>
      </c>
      <c r="P2025" t="s">
        <v>34</v>
      </c>
    </row>
    <row r="2026" spans="1:16" x14ac:dyDescent="0.25">
      <c r="A2026" t="s">
        <v>4748</v>
      </c>
      <c r="B2026" s="6">
        <v>45102</v>
      </c>
      <c r="C2026">
        <v>1166</v>
      </c>
      <c r="D2026" t="s">
        <v>4749</v>
      </c>
      <c r="E2026" t="s">
        <v>38</v>
      </c>
      <c r="F2026" t="s">
        <v>30</v>
      </c>
      <c r="G2026">
        <v>113664.25</v>
      </c>
      <c r="H2026">
        <v>57480.86</v>
      </c>
      <c r="I2026" t="s">
        <v>84</v>
      </c>
      <c r="J2026" t="s">
        <v>54</v>
      </c>
      <c r="K2026" t="s">
        <v>42</v>
      </c>
      <c r="L2026" t="s">
        <v>48</v>
      </c>
      <c r="M2026">
        <v>4</v>
      </c>
      <c r="N2026" t="s">
        <v>24</v>
      </c>
      <c r="O2026" t="s">
        <v>25</v>
      </c>
      <c r="P2026" t="s">
        <v>26</v>
      </c>
    </row>
    <row r="2027" spans="1:16" x14ac:dyDescent="0.25">
      <c r="A2027" t="s">
        <v>4750</v>
      </c>
      <c r="B2027" s="6">
        <v>45375</v>
      </c>
      <c r="C2027">
        <v>9918</v>
      </c>
      <c r="D2027" t="s">
        <v>4751</v>
      </c>
      <c r="E2027" t="s">
        <v>38</v>
      </c>
      <c r="F2027" t="s">
        <v>47</v>
      </c>
      <c r="G2027">
        <v>8628.89</v>
      </c>
      <c r="H2027">
        <v>4685.91</v>
      </c>
      <c r="I2027" t="s">
        <v>31</v>
      </c>
      <c r="J2027" t="s">
        <v>21</v>
      </c>
      <c r="K2027" t="s">
        <v>80</v>
      </c>
      <c r="L2027" t="s">
        <v>55</v>
      </c>
      <c r="M2027">
        <v>1</v>
      </c>
      <c r="N2027" t="s">
        <v>24</v>
      </c>
      <c r="O2027" t="s">
        <v>25</v>
      </c>
      <c r="P2027" t="s">
        <v>26</v>
      </c>
    </row>
    <row r="2028" spans="1:16" x14ac:dyDescent="0.25">
      <c r="A2028" t="s">
        <v>4752</v>
      </c>
      <c r="B2028" s="6">
        <v>44865</v>
      </c>
      <c r="C2028">
        <v>5571</v>
      </c>
      <c r="D2028" t="s">
        <v>1418</v>
      </c>
      <c r="E2028" t="s">
        <v>18</v>
      </c>
      <c r="F2028" t="s">
        <v>39</v>
      </c>
      <c r="G2028">
        <v>25101.13</v>
      </c>
      <c r="H2028">
        <v>11455.02</v>
      </c>
      <c r="I2028" t="s">
        <v>84</v>
      </c>
      <c r="J2028" t="s">
        <v>54</v>
      </c>
      <c r="K2028" t="s">
        <v>80</v>
      </c>
      <c r="L2028" t="s">
        <v>55</v>
      </c>
      <c r="M2028">
        <v>5</v>
      </c>
      <c r="N2028" t="s">
        <v>24</v>
      </c>
      <c r="O2028" t="s">
        <v>25</v>
      </c>
      <c r="P2028" t="s">
        <v>26</v>
      </c>
    </row>
    <row r="2029" spans="1:16" x14ac:dyDescent="0.25">
      <c r="A2029" t="s">
        <v>4754</v>
      </c>
      <c r="B2029" s="6">
        <v>45417</v>
      </c>
      <c r="C2029">
        <v>9382</v>
      </c>
      <c r="D2029" t="s">
        <v>841</v>
      </c>
      <c r="E2029" t="s">
        <v>18</v>
      </c>
      <c r="F2029" t="s">
        <v>58</v>
      </c>
      <c r="G2029">
        <v>50506.400000000001</v>
      </c>
      <c r="H2029">
        <v>25165.56</v>
      </c>
      <c r="I2029" t="s">
        <v>84</v>
      </c>
      <c r="J2029" t="s">
        <v>54</v>
      </c>
      <c r="K2029" t="s">
        <v>80</v>
      </c>
      <c r="L2029" t="s">
        <v>55</v>
      </c>
      <c r="M2029">
        <v>4</v>
      </c>
      <c r="N2029" t="s">
        <v>33</v>
      </c>
      <c r="O2029" t="s">
        <v>25</v>
      </c>
      <c r="P2029" t="s">
        <v>34</v>
      </c>
    </row>
    <row r="2030" spans="1:16" x14ac:dyDescent="0.25">
      <c r="A2030" t="s">
        <v>4756</v>
      </c>
      <c r="B2030" s="6">
        <v>45572</v>
      </c>
      <c r="C2030">
        <v>1625</v>
      </c>
      <c r="D2030" t="s">
        <v>4757</v>
      </c>
      <c r="E2030" t="s">
        <v>18</v>
      </c>
      <c r="F2030" t="s">
        <v>58</v>
      </c>
      <c r="G2030">
        <v>64538.84</v>
      </c>
      <c r="H2030">
        <v>33766.400000000001</v>
      </c>
      <c r="I2030" t="s">
        <v>84</v>
      </c>
      <c r="J2030" t="s">
        <v>54</v>
      </c>
      <c r="K2030" t="s">
        <v>32</v>
      </c>
      <c r="L2030" t="s">
        <v>23</v>
      </c>
      <c r="M2030">
        <v>4</v>
      </c>
      <c r="N2030" t="s">
        <v>33</v>
      </c>
      <c r="O2030" t="s">
        <v>70</v>
      </c>
      <c r="P2030" t="s">
        <v>34</v>
      </c>
    </row>
    <row r="2031" spans="1:16" x14ac:dyDescent="0.25">
      <c r="A2031" t="s">
        <v>4758</v>
      </c>
      <c r="B2031" s="6">
        <v>45178</v>
      </c>
      <c r="C2031">
        <v>9380</v>
      </c>
      <c r="D2031" t="s">
        <v>4759</v>
      </c>
      <c r="E2031" t="s">
        <v>38</v>
      </c>
      <c r="F2031" t="s">
        <v>58</v>
      </c>
      <c r="G2031">
        <v>14659.02</v>
      </c>
      <c r="H2031">
        <v>7531.13</v>
      </c>
      <c r="I2031" t="s">
        <v>63</v>
      </c>
      <c r="J2031" t="s">
        <v>54</v>
      </c>
      <c r="K2031" t="s">
        <v>80</v>
      </c>
      <c r="L2031" t="s">
        <v>88</v>
      </c>
      <c r="M2031">
        <v>5</v>
      </c>
      <c r="N2031" t="s">
        <v>33</v>
      </c>
      <c r="O2031" t="s">
        <v>70</v>
      </c>
      <c r="P2031" t="s">
        <v>34</v>
      </c>
    </row>
    <row r="2032" spans="1:16" x14ac:dyDescent="0.25">
      <c r="A2032" t="s">
        <v>4760</v>
      </c>
      <c r="B2032" s="6">
        <v>44815</v>
      </c>
      <c r="C2032">
        <v>6623</v>
      </c>
      <c r="D2032" t="s">
        <v>4761</v>
      </c>
      <c r="E2032" t="s">
        <v>38</v>
      </c>
      <c r="F2032" t="s">
        <v>19</v>
      </c>
      <c r="G2032">
        <v>17655.810000000001</v>
      </c>
      <c r="H2032">
        <v>8034.87</v>
      </c>
      <c r="I2032" t="s">
        <v>31</v>
      </c>
      <c r="J2032" t="s">
        <v>21</v>
      </c>
      <c r="K2032" t="s">
        <v>42</v>
      </c>
      <c r="L2032" t="s">
        <v>88</v>
      </c>
      <c r="M2032">
        <v>2</v>
      </c>
      <c r="N2032" t="s">
        <v>24</v>
      </c>
      <c r="O2032" t="s">
        <v>25</v>
      </c>
      <c r="P2032" t="s">
        <v>49</v>
      </c>
    </row>
    <row r="2033" spans="1:16" x14ac:dyDescent="0.25">
      <c r="A2033" t="s">
        <v>4762</v>
      </c>
      <c r="B2033" s="6">
        <v>44748</v>
      </c>
      <c r="C2033">
        <v>2217</v>
      </c>
      <c r="D2033" t="s">
        <v>4763</v>
      </c>
      <c r="E2033" t="s">
        <v>18</v>
      </c>
      <c r="F2033" t="s">
        <v>30</v>
      </c>
      <c r="G2033">
        <v>57571.39</v>
      </c>
      <c r="H2033">
        <v>36754.26</v>
      </c>
      <c r="I2033" t="s">
        <v>20</v>
      </c>
      <c r="J2033" t="s">
        <v>21</v>
      </c>
      <c r="K2033" t="s">
        <v>42</v>
      </c>
      <c r="L2033" t="s">
        <v>23</v>
      </c>
      <c r="M2033">
        <v>3</v>
      </c>
      <c r="N2033" t="s">
        <v>33</v>
      </c>
      <c r="O2033" t="s">
        <v>70</v>
      </c>
      <c r="P2033" t="s">
        <v>34</v>
      </c>
    </row>
    <row r="2034" spans="1:16" x14ac:dyDescent="0.25">
      <c r="A2034" t="s">
        <v>4764</v>
      </c>
      <c r="B2034" s="6">
        <v>44965</v>
      </c>
      <c r="C2034">
        <v>6133</v>
      </c>
      <c r="D2034" t="s">
        <v>4766</v>
      </c>
      <c r="E2034" t="s">
        <v>18</v>
      </c>
      <c r="F2034" t="s">
        <v>19</v>
      </c>
      <c r="G2034">
        <v>13945.04</v>
      </c>
      <c r="H2034">
        <v>7977.28</v>
      </c>
      <c r="I2034" t="s">
        <v>40</v>
      </c>
      <c r="J2034" t="s">
        <v>41</v>
      </c>
      <c r="K2034" t="s">
        <v>32</v>
      </c>
      <c r="L2034" t="s">
        <v>55</v>
      </c>
      <c r="M2034">
        <v>3</v>
      </c>
      <c r="N2034" t="s">
        <v>69</v>
      </c>
      <c r="O2034" t="s">
        <v>25</v>
      </c>
      <c r="P2034" t="s">
        <v>34</v>
      </c>
    </row>
    <row r="2035" spans="1:16" x14ac:dyDescent="0.25">
      <c r="A2035" t="s">
        <v>4767</v>
      </c>
      <c r="B2035" s="6">
        <v>45312</v>
      </c>
      <c r="C2035">
        <v>3220</v>
      </c>
      <c r="D2035" t="s">
        <v>1965</v>
      </c>
      <c r="E2035" t="s">
        <v>38</v>
      </c>
      <c r="F2035" t="s">
        <v>58</v>
      </c>
      <c r="G2035">
        <v>39168.720000000001</v>
      </c>
      <c r="H2035">
        <v>23619.01</v>
      </c>
      <c r="I2035" t="s">
        <v>120</v>
      </c>
      <c r="J2035" t="s">
        <v>21</v>
      </c>
      <c r="K2035" t="s">
        <v>42</v>
      </c>
      <c r="L2035" t="s">
        <v>64</v>
      </c>
      <c r="M2035">
        <v>2</v>
      </c>
      <c r="N2035" t="s">
        <v>33</v>
      </c>
      <c r="O2035" t="s">
        <v>70</v>
      </c>
      <c r="P2035" t="s">
        <v>49</v>
      </c>
    </row>
    <row r="2036" spans="1:16" x14ac:dyDescent="0.25">
      <c r="A2036" t="s">
        <v>4769</v>
      </c>
      <c r="B2036" s="6">
        <v>45641</v>
      </c>
      <c r="C2036">
        <v>3823</v>
      </c>
      <c r="D2036" t="s">
        <v>4770</v>
      </c>
      <c r="E2036" t="s">
        <v>18</v>
      </c>
      <c r="F2036" t="s">
        <v>58</v>
      </c>
      <c r="G2036">
        <v>55610.45</v>
      </c>
      <c r="H2036">
        <v>33230.879999999997</v>
      </c>
      <c r="I2036" t="s">
        <v>63</v>
      </c>
      <c r="J2036" t="s">
        <v>54</v>
      </c>
      <c r="K2036" t="s">
        <v>42</v>
      </c>
      <c r="L2036" t="s">
        <v>88</v>
      </c>
      <c r="M2036">
        <v>1</v>
      </c>
      <c r="N2036" t="s">
        <v>24</v>
      </c>
      <c r="O2036" t="s">
        <v>25</v>
      </c>
      <c r="P2036" t="s">
        <v>26</v>
      </c>
    </row>
    <row r="2037" spans="1:16" x14ac:dyDescent="0.25">
      <c r="A2037" t="s">
        <v>4771</v>
      </c>
      <c r="B2037" s="6">
        <v>44938</v>
      </c>
      <c r="C2037">
        <v>5104</v>
      </c>
      <c r="D2037" t="s">
        <v>841</v>
      </c>
      <c r="E2037" t="s">
        <v>18</v>
      </c>
      <c r="F2037" t="s">
        <v>39</v>
      </c>
      <c r="G2037">
        <v>11047.68</v>
      </c>
      <c r="H2037">
        <v>6554.7</v>
      </c>
      <c r="I2037" t="s">
        <v>59</v>
      </c>
      <c r="J2037" t="s">
        <v>41</v>
      </c>
      <c r="K2037" t="s">
        <v>22</v>
      </c>
      <c r="L2037" t="s">
        <v>88</v>
      </c>
      <c r="M2037">
        <v>2</v>
      </c>
      <c r="N2037" t="s">
        <v>33</v>
      </c>
      <c r="O2037" t="s">
        <v>25</v>
      </c>
      <c r="P2037" t="s">
        <v>49</v>
      </c>
    </row>
    <row r="2038" spans="1:16" x14ac:dyDescent="0.25">
      <c r="A2038" t="s">
        <v>4772</v>
      </c>
      <c r="B2038" s="6">
        <v>45536</v>
      </c>
      <c r="C2038">
        <v>5143</v>
      </c>
      <c r="D2038" t="s">
        <v>4773</v>
      </c>
      <c r="E2038" t="s">
        <v>18</v>
      </c>
      <c r="F2038" t="s">
        <v>58</v>
      </c>
      <c r="G2038">
        <v>16303.67</v>
      </c>
      <c r="H2038">
        <v>10306.84</v>
      </c>
      <c r="I2038" t="s">
        <v>31</v>
      </c>
      <c r="J2038" t="s">
        <v>21</v>
      </c>
      <c r="K2038" t="s">
        <v>32</v>
      </c>
      <c r="L2038" t="s">
        <v>23</v>
      </c>
      <c r="M2038">
        <v>3</v>
      </c>
      <c r="N2038" t="s">
        <v>33</v>
      </c>
      <c r="O2038" t="s">
        <v>25</v>
      </c>
      <c r="P2038" t="s">
        <v>49</v>
      </c>
    </row>
    <row r="2039" spans="1:16" x14ac:dyDescent="0.25">
      <c r="A2039" t="s">
        <v>4774</v>
      </c>
      <c r="B2039" s="6">
        <v>45396</v>
      </c>
      <c r="C2039">
        <v>4821</v>
      </c>
      <c r="D2039" t="s">
        <v>4775</v>
      </c>
      <c r="E2039" t="s">
        <v>38</v>
      </c>
      <c r="F2039" t="s">
        <v>47</v>
      </c>
      <c r="G2039">
        <v>11730.99</v>
      </c>
      <c r="H2039">
        <v>6944.87</v>
      </c>
      <c r="I2039" t="s">
        <v>68</v>
      </c>
      <c r="J2039" t="s">
        <v>41</v>
      </c>
      <c r="K2039" t="s">
        <v>80</v>
      </c>
      <c r="L2039" t="s">
        <v>55</v>
      </c>
      <c r="M2039">
        <v>2</v>
      </c>
      <c r="N2039" t="s">
        <v>33</v>
      </c>
      <c r="O2039" t="s">
        <v>70</v>
      </c>
      <c r="P2039" t="s">
        <v>49</v>
      </c>
    </row>
    <row r="2040" spans="1:16" x14ac:dyDescent="0.25">
      <c r="A2040" t="s">
        <v>4776</v>
      </c>
      <c r="B2040" s="6">
        <v>44774</v>
      </c>
      <c r="C2040">
        <v>4041</v>
      </c>
      <c r="D2040" t="s">
        <v>4777</v>
      </c>
      <c r="E2040" t="s">
        <v>38</v>
      </c>
      <c r="F2040" t="s">
        <v>47</v>
      </c>
      <c r="G2040">
        <v>6588.25</v>
      </c>
      <c r="H2040">
        <v>4044.38</v>
      </c>
      <c r="I2040" t="s">
        <v>63</v>
      </c>
      <c r="J2040" t="s">
        <v>54</v>
      </c>
      <c r="K2040" t="s">
        <v>22</v>
      </c>
      <c r="L2040" t="s">
        <v>55</v>
      </c>
      <c r="M2040">
        <v>2</v>
      </c>
      <c r="N2040" t="s">
        <v>33</v>
      </c>
      <c r="O2040" t="s">
        <v>25</v>
      </c>
      <c r="P2040" t="s">
        <v>26</v>
      </c>
    </row>
    <row r="2041" spans="1:16" x14ac:dyDescent="0.25">
      <c r="A2041" t="s">
        <v>4778</v>
      </c>
      <c r="B2041" s="6">
        <v>43945</v>
      </c>
      <c r="C2041">
        <v>2511</v>
      </c>
      <c r="D2041" t="s">
        <v>4779</v>
      </c>
      <c r="E2041" t="s">
        <v>38</v>
      </c>
      <c r="F2041" t="s">
        <v>58</v>
      </c>
      <c r="G2041">
        <v>16822.310000000001</v>
      </c>
      <c r="H2041">
        <v>8597.26</v>
      </c>
      <c r="I2041" t="s">
        <v>40</v>
      </c>
      <c r="J2041" t="s">
        <v>41</v>
      </c>
      <c r="K2041" t="s">
        <v>22</v>
      </c>
      <c r="L2041" t="s">
        <v>23</v>
      </c>
      <c r="M2041">
        <v>5</v>
      </c>
      <c r="N2041" t="s">
        <v>24</v>
      </c>
      <c r="O2041" t="s">
        <v>70</v>
      </c>
      <c r="P2041" t="s">
        <v>49</v>
      </c>
    </row>
    <row r="2042" spans="1:16" x14ac:dyDescent="0.25">
      <c r="A2042" t="s">
        <v>4780</v>
      </c>
      <c r="B2042" s="6">
        <v>45273</v>
      </c>
      <c r="C2042">
        <v>5948</v>
      </c>
      <c r="D2042" t="s">
        <v>4781</v>
      </c>
      <c r="E2042" t="s">
        <v>38</v>
      </c>
      <c r="F2042" t="s">
        <v>19</v>
      </c>
      <c r="G2042">
        <v>6656.04</v>
      </c>
      <c r="H2042">
        <v>3150.99</v>
      </c>
      <c r="I2042" t="s">
        <v>31</v>
      </c>
      <c r="J2042" t="s">
        <v>21</v>
      </c>
      <c r="K2042" t="s">
        <v>22</v>
      </c>
      <c r="L2042" t="s">
        <v>48</v>
      </c>
      <c r="M2042">
        <v>5</v>
      </c>
      <c r="N2042" t="s">
        <v>69</v>
      </c>
      <c r="O2042" t="s">
        <v>25</v>
      </c>
      <c r="P2042" t="s">
        <v>26</v>
      </c>
    </row>
    <row r="2043" spans="1:16" x14ac:dyDescent="0.25">
      <c r="A2043" t="s">
        <v>4782</v>
      </c>
      <c r="B2043" s="6">
        <v>44849</v>
      </c>
      <c r="C2043">
        <v>2541</v>
      </c>
      <c r="D2043" t="s">
        <v>4783</v>
      </c>
      <c r="E2043" t="s">
        <v>38</v>
      </c>
      <c r="F2043" t="s">
        <v>58</v>
      </c>
      <c r="G2043">
        <v>52184.08</v>
      </c>
      <c r="H2043">
        <v>25919.88</v>
      </c>
      <c r="I2043" t="s">
        <v>63</v>
      </c>
      <c r="J2043" t="s">
        <v>54</v>
      </c>
      <c r="K2043" t="s">
        <v>80</v>
      </c>
      <c r="L2043" t="s">
        <v>48</v>
      </c>
      <c r="M2043">
        <v>4</v>
      </c>
      <c r="N2043" t="s">
        <v>24</v>
      </c>
      <c r="O2043" t="s">
        <v>70</v>
      </c>
      <c r="P2043" t="s">
        <v>49</v>
      </c>
    </row>
    <row r="2044" spans="1:16" x14ac:dyDescent="0.25">
      <c r="A2044" t="s">
        <v>4784</v>
      </c>
      <c r="B2044" s="6">
        <v>44166</v>
      </c>
      <c r="C2044">
        <v>9976</v>
      </c>
      <c r="D2044" t="s">
        <v>4786</v>
      </c>
      <c r="E2044" t="s">
        <v>18</v>
      </c>
      <c r="F2044" t="s">
        <v>47</v>
      </c>
      <c r="G2044">
        <v>5754.24</v>
      </c>
      <c r="H2044">
        <v>3611.2</v>
      </c>
      <c r="I2044" t="s">
        <v>68</v>
      </c>
      <c r="J2044" t="s">
        <v>41</v>
      </c>
      <c r="K2044" t="s">
        <v>80</v>
      </c>
      <c r="L2044" t="s">
        <v>88</v>
      </c>
      <c r="M2044">
        <v>1</v>
      </c>
      <c r="N2044" t="s">
        <v>33</v>
      </c>
      <c r="O2044" t="s">
        <v>70</v>
      </c>
      <c r="P2044" t="s">
        <v>26</v>
      </c>
    </row>
    <row r="2045" spans="1:16" x14ac:dyDescent="0.25">
      <c r="A2045" t="s">
        <v>4787</v>
      </c>
      <c r="B2045" s="6">
        <v>43958</v>
      </c>
      <c r="C2045">
        <v>5317</v>
      </c>
      <c r="D2045" t="s">
        <v>859</v>
      </c>
      <c r="E2045" t="s">
        <v>38</v>
      </c>
      <c r="F2045" t="s">
        <v>19</v>
      </c>
      <c r="G2045">
        <v>8759.64</v>
      </c>
      <c r="H2045">
        <v>5620.45</v>
      </c>
      <c r="I2045" t="s">
        <v>63</v>
      </c>
      <c r="J2045" t="s">
        <v>54</v>
      </c>
      <c r="K2045" t="s">
        <v>22</v>
      </c>
      <c r="L2045" t="s">
        <v>88</v>
      </c>
      <c r="M2045">
        <v>5</v>
      </c>
      <c r="N2045" t="s">
        <v>24</v>
      </c>
      <c r="O2045" t="s">
        <v>25</v>
      </c>
      <c r="P2045" t="s">
        <v>26</v>
      </c>
    </row>
    <row r="2046" spans="1:16" x14ac:dyDescent="0.25">
      <c r="A2046" t="s">
        <v>4788</v>
      </c>
      <c r="B2046" s="6">
        <v>45370</v>
      </c>
      <c r="C2046">
        <v>8524</v>
      </c>
      <c r="D2046" t="s">
        <v>3454</v>
      </c>
      <c r="E2046" t="s">
        <v>18</v>
      </c>
      <c r="F2046" t="s">
        <v>30</v>
      </c>
      <c r="G2046">
        <v>26723.279999999999</v>
      </c>
      <c r="H2046">
        <v>16437.54</v>
      </c>
      <c r="I2046" t="s">
        <v>59</v>
      </c>
      <c r="J2046" t="s">
        <v>41</v>
      </c>
      <c r="K2046" t="s">
        <v>32</v>
      </c>
      <c r="L2046" t="s">
        <v>55</v>
      </c>
      <c r="M2046">
        <v>4</v>
      </c>
      <c r="N2046" t="s">
        <v>33</v>
      </c>
      <c r="O2046" t="s">
        <v>25</v>
      </c>
      <c r="P2046" t="s">
        <v>34</v>
      </c>
    </row>
    <row r="2047" spans="1:16" x14ac:dyDescent="0.25">
      <c r="A2047" t="s">
        <v>4789</v>
      </c>
      <c r="B2047" s="6">
        <v>44174</v>
      </c>
      <c r="C2047">
        <v>6168</v>
      </c>
      <c r="D2047" t="s">
        <v>4790</v>
      </c>
      <c r="E2047" t="s">
        <v>38</v>
      </c>
      <c r="F2047" t="s">
        <v>19</v>
      </c>
      <c r="G2047">
        <v>9933.77</v>
      </c>
      <c r="H2047">
        <v>6399.42</v>
      </c>
      <c r="I2047" t="s">
        <v>40</v>
      </c>
      <c r="J2047" t="s">
        <v>41</v>
      </c>
      <c r="K2047" t="s">
        <v>32</v>
      </c>
      <c r="L2047" t="s">
        <v>43</v>
      </c>
      <c r="M2047">
        <v>5</v>
      </c>
      <c r="N2047" t="s">
        <v>33</v>
      </c>
      <c r="O2047" t="s">
        <v>70</v>
      </c>
      <c r="P2047" t="s">
        <v>26</v>
      </c>
    </row>
    <row r="2048" spans="1:16" x14ac:dyDescent="0.25">
      <c r="A2048" t="s">
        <v>4791</v>
      </c>
      <c r="B2048" s="6">
        <v>44873</v>
      </c>
      <c r="C2048">
        <v>7596</v>
      </c>
      <c r="D2048" t="s">
        <v>4792</v>
      </c>
      <c r="E2048" t="s">
        <v>38</v>
      </c>
      <c r="F2048" t="s">
        <v>58</v>
      </c>
      <c r="G2048">
        <v>27236.26</v>
      </c>
      <c r="H2048">
        <v>15549.7</v>
      </c>
      <c r="I2048" t="s">
        <v>53</v>
      </c>
      <c r="J2048" t="s">
        <v>54</v>
      </c>
      <c r="K2048" t="s">
        <v>32</v>
      </c>
      <c r="L2048" t="s">
        <v>23</v>
      </c>
      <c r="M2048">
        <v>2</v>
      </c>
      <c r="N2048" t="s">
        <v>24</v>
      </c>
      <c r="O2048" t="s">
        <v>25</v>
      </c>
      <c r="P2048" t="s">
        <v>34</v>
      </c>
    </row>
    <row r="2049" spans="1:16" x14ac:dyDescent="0.25">
      <c r="A2049" t="s">
        <v>4793</v>
      </c>
      <c r="B2049" s="6">
        <v>45305</v>
      </c>
      <c r="C2049">
        <v>9117</v>
      </c>
      <c r="D2049" t="s">
        <v>4794</v>
      </c>
      <c r="E2049" t="s">
        <v>18</v>
      </c>
      <c r="F2049" t="s">
        <v>39</v>
      </c>
      <c r="G2049">
        <v>24080.240000000002</v>
      </c>
      <c r="H2049">
        <v>11069.96</v>
      </c>
      <c r="I2049" t="s">
        <v>84</v>
      </c>
      <c r="J2049" t="s">
        <v>54</v>
      </c>
      <c r="K2049" t="s">
        <v>80</v>
      </c>
      <c r="L2049" t="s">
        <v>23</v>
      </c>
      <c r="M2049">
        <v>2</v>
      </c>
      <c r="N2049" t="s">
        <v>33</v>
      </c>
      <c r="O2049" t="s">
        <v>25</v>
      </c>
      <c r="P2049" t="s">
        <v>26</v>
      </c>
    </row>
    <row r="2050" spans="1:16" x14ac:dyDescent="0.25">
      <c r="A2050" t="s">
        <v>4795</v>
      </c>
      <c r="B2050" s="6">
        <v>45178</v>
      </c>
      <c r="C2050">
        <v>5674</v>
      </c>
      <c r="D2050" t="s">
        <v>4796</v>
      </c>
      <c r="E2050" t="s">
        <v>18</v>
      </c>
      <c r="F2050" t="s">
        <v>39</v>
      </c>
      <c r="G2050">
        <v>31694.79</v>
      </c>
      <c r="H2050">
        <v>18389.89</v>
      </c>
      <c r="I2050" t="s">
        <v>120</v>
      </c>
      <c r="J2050" t="s">
        <v>21</v>
      </c>
      <c r="K2050" t="s">
        <v>32</v>
      </c>
      <c r="L2050" t="s">
        <v>64</v>
      </c>
      <c r="M2050">
        <v>3</v>
      </c>
      <c r="N2050" t="s">
        <v>24</v>
      </c>
      <c r="O2050" t="s">
        <v>25</v>
      </c>
      <c r="P2050" t="s">
        <v>49</v>
      </c>
    </row>
    <row r="2051" spans="1:16" x14ac:dyDescent="0.25">
      <c r="A2051" t="s">
        <v>4797</v>
      </c>
      <c r="B2051" s="6">
        <v>45569</v>
      </c>
      <c r="C2051">
        <v>7124</v>
      </c>
      <c r="D2051" t="s">
        <v>4798</v>
      </c>
      <c r="E2051" t="s">
        <v>38</v>
      </c>
      <c r="F2051" t="s">
        <v>30</v>
      </c>
      <c r="G2051">
        <v>82770.880000000005</v>
      </c>
      <c r="H2051">
        <v>43141.35</v>
      </c>
      <c r="I2051" t="s">
        <v>20</v>
      </c>
      <c r="J2051" t="s">
        <v>21</v>
      </c>
      <c r="K2051" t="s">
        <v>22</v>
      </c>
      <c r="L2051" t="s">
        <v>23</v>
      </c>
      <c r="M2051">
        <v>5</v>
      </c>
      <c r="N2051" t="s">
        <v>24</v>
      </c>
      <c r="O2051" t="s">
        <v>70</v>
      </c>
      <c r="P2051" t="s">
        <v>34</v>
      </c>
    </row>
    <row r="2052" spans="1:16" x14ac:dyDescent="0.25">
      <c r="A2052" t="s">
        <v>4799</v>
      </c>
      <c r="B2052" s="6">
        <v>45011</v>
      </c>
      <c r="C2052">
        <v>8018</v>
      </c>
      <c r="D2052" t="s">
        <v>4800</v>
      </c>
      <c r="E2052" t="s">
        <v>38</v>
      </c>
      <c r="F2052" t="s">
        <v>47</v>
      </c>
      <c r="G2052">
        <v>10675.75</v>
      </c>
      <c r="H2052">
        <v>6744.67</v>
      </c>
      <c r="I2052" t="s">
        <v>20</v>
      </c>
      <c r="J2052" t="s">
        <v>21</v>
      </c>
      <c r="K2052" t="s">
        <v>80</v>
      </c>
      <c r="L2052" t="s">
        <v>23</v>
      </c>
      <c r="M2052">
        <v>4</v>
      </c>
      <c r="N2052" t="s">
        <v>69</v>
      </c>
      <c r="O2052" t="s">
        <v>70</v>
      </c>
      <c r="P2052" t="s">
        <v>26</v>
      </c>
    </row>
    <row r="2053" spans="1:16" x14ac:dyDescent="0.25">
      <c r="A2053" t="s">
        <v>4801</v>
      </c>
      <c r="B2053" s="6">
        <v>44186</v>
      </c>
      <c r="C2053">
        <v>7737</v>
      </c>
      <c r="D2053" t="s">
        <v>4802</v>
      </c>
      <c r="E2053" t="s">
        <v>38</v>
      </c>
      <c r="F2053" t="s">
        <v>30</v>
      </c>
      <c r="G2053">
        <v>39640.71</v>
      </c>
      <c r="H2053">
        <v>21952.09</v>
      </c>
      <c r="I2053" t="s">
        <v>63</v>
      </c>
      <c r="J2053" t="s">
        <v>54</v>
      </c>
      <c r="K2053" t="s">
        <v>80</v>
      </c>
      <c r="L2053" t="s">
        <v>64</v>
      </c>
      <c r="M2053">
        <v>3</v>
      </c>
      <c r="N2053" t="s">
        <v>24</v>
      </c>
      <c r="O2053" t="s">
        <v>70</v>
      </c>
      <c r="P2053" t="s">
        <v>49</v>
      </c>
    </row>
    <row r="2054" spans="1:16" x14ac:dyDescent="0.25">
      <c r="A2054" t="s">
        <v>4803</v>
      </c>
      <c r="B2054" s="6">
        <v>45358</v>
      </c>
      <c r="C2054">
        <v>7558</v>
      </c>
      <c r="D2054" t="s">
        <v>4804</v>
      </c>
      <c r="E2054" t="s">
        <v>18</v>
      </c>
      <c r="F2054" t="s">
        <v>39</v>
      </c>
      <c r="G2054">
        <v>15729.63</v>
      </c>
      <c r="H2054">
        <v>8125.66</v>
      </c>
      <c r="I2054" t="s">
        <v>53</v>
      </c>
      <c r="J2054" t="s">
        <v>54</v>
      </c>
      <c r="K2054" t="s">
        <v>32</v>
      </c>
      <c r="L2054" t="s">
        <v>43</v>
      </c>
      <c r="M2054">
        <v>4</v>
      </c>
      <c r="N2054" t="s">
        <v>24</v>
      </c>
      <c r="O2054" t="s">
        <v>25</v>
      </c>
      <c r="P2054" t="s">
        <v>34</v>
      </c>
    </row>
    <row r="2055" spans="1:16" x14ac:dyDescent="0.25">
      <c r="A2055" t="s">
        <v>4805</v>
      </c>
      <c r="B2055" s="6">
        <v>44334</v>
      </c>
      <c r="C2055">
        <v>2302</v>
      </c>
      <c r="D2055" t="s">
        <v>4807</v>
      </c>
      <c r="E2055" t="s">
        <v>38</v>
      </c>
      <c r="F2055" t="s">
        <v>58</v>
      </c>
      <c r="G2055">
        <v>24743.42</v>
      </c>
      <c r="H2055">
        <v>13826.87</v>
      </c>
      <c r="I2055" t="s">
        <v>53</v>
      </c>
      <c r="J2055" t="s">
        <v>54</v>
      </c>
      <c r="K2055" t="s">
        <v>42</v>
      </c>
      <c r="L2055" t="s">
        <v>48</v>
      </c>
      <c r="M2055">
        <v>2</v>
      </c>
      <c r="N2055" t="s">
        <v>24</v>
      </c>
      <c r="O2055" t="s">
        <v>70</v>
      </c>
      <c r="P2055" t="s">
        <v>26</v>
      </c>
    </row>
    <row r="2056" spans="1:16" x14ac:dyDescent="0.25">
      <c r="A2056" t="s">
        <v>4808</v>
      </c>
      <c r="B2056" s="6">
        <v>44577</v>
      </c>
      <c r="C2056">
        <v>7144</v>
      </c>
      <c r="D2056" t="s">
        <v>1251</v>
      </c>
      <c r="E2056" t="s">
        <v>18</v>
      </c>
      <c r="F2056" t="s">
        <v>58</v>
      </c>
      <c r="G2056">
        <v>13566.07</v>
      </c>
      <c r="H2056">
        <v>7753.2</v>
      </c>
      <c r="I2056" t="s">
        <v>53</v>
      </c>
      <c r="J2056" t="s">
        <v>54</v>
      </c>
      <c r="K2056" t="s">
        <v>80</v>
      </c>
      <c r="L2056" t="s">
        <v>48</v>
      </c>
      <c r="M2056">
        <v>1</v>
      </c>
      <c r="N2056" t="s">
        <v>24</v>
      </c>
      <c r="O2056" t="s">
        <v>25</v>
      </c>
      <c r="P2056" t="s">
        <v>49</v>
      </c>
    </row>
    <row r="2057" spans="1:16" x14ac:dyDescent="0.25">
      <c r="A2057" t="s">
        <v>4809</v>
      </c>
      <c r="B2057" s="6">
        <v>45381</v>
      </c>
      <c r="C2057">
        <v>9204</v>
      </c>
      <c r="D2057" t="s">
        <v>4811</v>
      </c>
      <c r="E2057" t="s">
        <v>18</v>
      </c>
      <c r="F2057" t="s">
        <v>47</v>
      </c>
      <c r="G2057">
        <v>9058.98</v>
      </c>
      <c r="H2057">
        <v>5440.93</v>
      </c>
      <c r="I2057" t="s">
        <v>120</v>
      </c>
      <c r="J2057" t="s">
        <v>21</v>
      </c>
      <c r="K2057" t="s">
        <v>32</v>
      </c>
      <c r="L2057" t="s">
        <v>64</v>
      </c>
      <c r="M2057">
        <v>4</v>
      </c>
      <c r="N2057" t="s">
        <v>33</v>
      </c>
      <c r="O2057" t="s">
        <v>25</v>
      </c>
      <c r="P2057" t="s">
        <v>26</v>
      </c>
    </row>
    <row r="2058" spans="1:16" x14ac:dyDescent="0.25">
      <c r="A2058" t="s">
        <v>4812</v>
      </c>
      <c r="B2058" s="6">
        <v>45070</v>
      </c>
      <c r="C2058">
        <v>6802</v>
      </c>
      <c r="D2058" t="s">
        <v>1588</v>
      </c>
      <c r="E2058" t="s">
        <v>38</v>
      </c>
      <c r="F2058" t="s">
        <v>39</v>
      </c>
      <c r="G2058">
        <v>45542.3</v>
      </c>
      <c r="H2058">
        <v>20755.099999999999</v>
      </c>
      <c r="I2058" t="s">
        <v>84</v>
      </c>
      <c r="J2058" t="s">
        <v>54</v>
      </c>
      <c r="K2058" t="s">
        <v>32</v>
      </c>
      <c r="L2058" t="s">
        <v>55</v>
      </c>
      <c r="M2058">
        <v>1</v>
      </c>
      <c r="N2058" t="s">
        <v>33</v>
      </c>
      <c r="O2058" t="s">
        <v>70</v>
      </c>
      <c r="P2058" t="s">
        <v>49</v>
      </c>
    </row>
    <row r="2059" spans="1:16" x14ac:dyDescent="0.25">
      <c r="A2059" t="s">
        <v>4813</v>
      </c>
      <c r="B2059" s="6">
        <v>44309</v>
      </c>
      <c r="C2059">
        <v>7167</v>
      </c>
      <c r="D2059" t="s">
        <v>3439</v>
      </c>
      <c r="E2059" t="s">
        <v>38</v>
      </c>
      <c r="F2059" t="s">
        <v>30</v>
      </c>
      <c r="G2059">
        <v>49864.03</v>
      </c>
      <c r="H2059">
        <v>29290.02</v>
      </c>
      <c r="I2059" t="s">
        <v>68</v>
      </c>
      <c r="J2059" t="s">
        <v>41</v>
      </c>
      <c r="K2059" t="s">
        <v>22</v>
      </c>
      <c r="L2059" t="s">
        <v>48</v>
      </c>
      <c r="M2059">
        <v>4</v>
      </c>
      <c r="N2059" t="s">
        <v>24</v>
      </c>
      <c r="O2059" t="s">
        <v>70</v>
      </c>
      <c r="P2059" t="s">
        <v>34</v>
      </c>
    </row>
    <row r="2060" spans="1:16" x14ac:dyDescent="0.25">
      <c r="A2060" t="s">
        <v>4814</v>
      </c>
      <c r="B2060" s="6">
        <v>44955</v>
      </c>
      <c r="C2060">
        <v>6322</v>
      </c>
      <c r="D2060" t="s">
        <v>4815</v>
      </c>
      <c r="E2060" t="s">
        <v>38</v>
      </c>
      <c r="F2060" t="s">
        <v>30</v>
      </c>
      <c r="G2060">
        <v>15602.92</v>
      </c>
      <c r="H2060">
        <v>9486.5499999999993</v>
      </c>
      <c r="I2060" t="s">
        <v>20</v>
      </c>
      <c r="J2060" t="s">
        <v>21</v>
      </c>
      <c r="K2060" t="s">
        <v>32</v>
      </c>
      <c r="L2060" t="s">
        <v>88</v>
      </c>
      <c r="M2060">
        <v>1</v>
      </c>
      <c r="N2060" t="s">
        <v>24</v>
      </c>
      <c r="O2060" t="s">
        <v>70</v>
      </c>
      <c r="P2060" t="s">
        <v>26</v>
      </c>
    </row>
    <row r="2061" spans="1:16" x14ac:dyDescent="0.25">
      <c r="A2061" t="s">
        <v>4816</v>
      </c>
      <c r="B2061" s="6">
        <v>44293</v>
      </c>
      <c r="C2061">
        <v>5253</v>
      </c>
      <c r="D2061" t="s">
        <v>3894</v>
      </c>
      <c r="E2061" t="s">
        <v>18</v>
      </c>
      <c r="F2061" t="s">
        <v>58</v>
      </c>
      <c r="G2061">
        <v>17238.28</v>
      </c>
      <c r="H2061">
        <v>10571.36</v>
      </c>
      <c r="I2061" t="s">
        <v>53</v>
      </c>
      <c r="J2061" t="s">
        <v>54</v>
      </c>
      <c r="K2061" t="s">
        <v>42</v>
      </c>
      <c r="L2061" t="s">
        <v>43</v>
      </c>
      <c r="M2061">
        <v>3</v>
      </c>
      <c r="N2061" t="s">
        <v>33</v>
      </c>
      <c r="O2061" t="s">
        <v>70</v>
      </c>
      <c r="P2061" t="s">
        <v>34</v>
      </c>
    </row>
    <row r="2062" spans="1:16" x14ac:dyDescent="0.25">
      <c r="A2062" t="s">
        <v>4817</v>
      </c>
      <c r="B2062" s="6">
        <v>44811</v>
      </c>
      <c r="C2062">
        <v>6418</v>
      </c>
      <c r="D2062" t="s">
        <v>4818</v>
      </c>
      <c r="E2062" t="s">
        <v>38</v>
      </c>
      <c r="F2062" t="s">
        <v>58</v>
      </c>
      <c r="G2062">
        <v>30316.57</v>
      </c>
      <c r="H2062">
        <v>14395</v>
      </c>
      <c r="I2062" t="s">
        <v>68</v>
      </c>
      <c r="J2062" t="s">
        <v>41</v>
      </c>
      <c r="K2062" t="s">
        <v>32</v>
      </c>
      <c r="L2062" t="s">
        <v>43</v>
      </c>
      <c r="M2062">
        <v>3</v>
      </c>
      <c r="N2062" t="s">
        <v>33</v>
      </c>
      <c r="O2062" t="s">
        <v>70</v>
      </c>
      <c r="P2062" t="s">
        <v>34</v>
      </c>
    </row>
    <row r="2063" spans="1:16" x14ac:dyDescent="0.25">
      <c r="A2063" t="s">
        <v>4819</v>
      </c>
      <c r="B2063" s="6">
        <v>45648</v>
      </c>
      <c r="C2063">
        <v>6795</v>
      </c>
      <c r="D2063" t="s">
        <v>4820</v>
      </c>
      <c r="E2063" t="s">
        <v>38</v>
      </c>
      <c r="F2063" t="s">
        <v>39</v>
      </c>
      <c r="G2063">
        <v>16956.32</v>
      </c>
      <c r="H2063">
        <v>8792.85</v>
      </c>
      <c r="I2063" t="s">
        <v>53</v>
      </c>
      <c r="J2063" t="s">
        <v>54</v>
      </c>
      <c r="K2063" t="s">
        <v>22</v>
      </c>
      <c r="L2063" t="s">
        <v>55</v>
      </c>
      <c r="M2063">
        <v>1</v>
      </c>
      <c r="N2063" t="s">
        <v>33</v>
      </c>
      <c r="O2063" t="s">
        <v>70</v>
      </c>
      <c r="P2063" t="s">
        <v>49</v>
      </c>
    </row>
    <row r="2064" spans="1:16" x14ac:dyDescent="0.25">
      <c r="A2064" t="s">
        <v>4821</v>
      </c>
      <c r="B2064" s="6">
        <v>44353</v>
      </c>
      <c r="C2064">
        <v>5662</v>
      </c>
      <c r="D2064" t="s">
        <v>3513</v>
      </c>
      <c r="E2064" t="s">
        <v>38</v>
      </c>
      <c r="F2064" t="s">
        <v>47</v>
      </c>
      <c r="G2064">
        <v>6256.07</v>
      </c>
      <c r="H2064">
        <v>3108.31</v>
      </c>
      <c r="I2064" t="s">
        <v>40</v>
      </c>
      <c r="J2064" t="s">
        <v>41</v>
      </c>
      <c r="K2064" t="s">
        <v>22</v>
      </c>
      <c r="L2064" t="s">
        <v>64</v>
      </c>
      <c r="M2064">
        <v>2</v>
      </c>
      <c r="N2064" t="s">
        <v>24</v>
      </c>
      <c r="O2064" t="s">
        <v>70</v>
      </c>
      <c r="P2064" t="s">
        <v>34</v>
      </c>
    </row>
    <row r="2065" spans="1:16" x14ac:dyDescent="0.25">
      <c r="A2065" t="s">
        <v>4822</v>
      </c>
      <c r="B2065" s="6">
        <v>44973</v>
      </c>
      <c r="C2065">
        <v>1756</v>
      </c>
      <c r="D2065" t="s">
        <v>1257</v>
      </c>
      <c r="E2065" t="s">
        <v>18</v>
      </c>
      <c r="F2065" t="s">
        <v>30</v>
      </c>
      <c r="G2065">
        <v>25676.71</v>
      </c>
      <c r="H2065">
        <v>11620.04</v>
      </c>
      <c r="I2065" t="s">
        <v>84</v>
      </c>
      <c r="J2065" t="s">
        <v>54</v>
      </c>
      <c r="K2065" t="s">
        <v>22</v>
      </c>
      <c r="L2065" t="s">
        <v>23</v>
      </c>
      <c r="M2065">
        <v>5</v>
      </c>
      <c r="N2065" t="s">
        <v>33</v>
      </c>
      <c r="O2065" t="s">
        <v>70</v>
      </c>
      <c r="P2065" t="s">
        <v>34</v>
      </c>
    </row>
    <row r="2066" spans="1:16" x14ac:dyDescent="0.25">
      <c r="A2066" t="s">
        <v>4823</v>
      </c>
      <c r="B2066" s="6">
        <v>44335</v>
      </c>
      <c r="C2066">
        <v>5943</v>
      </c>
      <c r="D2066" t="s">
        <v>4824</v>
      </c>
      <c r="E2066" t="s">
        <v>38</v>
      </c>
      <c r="F2066" t="s">
        <v>19</v>
      </c>
      <c r="G2066">
        <v>4899.0600000000004</v>
      </c>
      <c r="H2066">
        <v>3106.99</v>
      </c>
      <c r="I2066" t="s">
        <v>63</v>
      </c>
      <c r="J2066" t="s">
        <v>54</v>
      </c>
      <c r="K2066" t="s">
        <v>42</v>
      </c>
      <c r="L2066" t="s">
        <v>23</v>
      </c>
      <c r="M2066">
        <v>2</v>
      </c>
      <c r="N2066" t="s">
        <v>33</v>
      </c>
      <c r="O2066" t="s">
        <v>25</v>
      </c>
      <c r="P2066" t="s">
        <v>26</v>
      </c>
    </row>
    <row r="2067" spans="1:16" x14ac:dyDescent="0.25">
      <c r="A2067" t="s">
        <v>4825</v>
      </c>
      <c r="B2067" s="6">
        <v>44283</v>
      </c>
      <c r="C2067">
        <v>9763</v>
      </c>
      <c r="D2067" t="s">
        <v>4826</v>
      </c>
      <c r="E2067" t="s">
        <v>38</v>
      </c>
      <c r="F2067" t="s">
        <v>58</v>
      </c>
      <c r="G2067">
        <v>29222.02</v>
      </c>
      <c r="H2067">
        <v>18172.849999999999</v>
      </c>
      <c r="I2067" t="s">
        <v>31</v>
      </c>
      <c r="J2067" t="s">
        <v>21</v>
      </c>
      <c r="K2067" t="s">
        <v>80</v>
      </c>
      <c r="L2067" t="s">
        <v>43</v>
      </c>
      <c r="M2067">
        <v>5</v>
      </c>
      <c r="N2067" t="s">
        <v>33</v>
      </c>
      <c r="O2067" t="s">
        <v>25</v>
      </c>
      <c r="P2067" t="s">
        <v>26</v>
      </c>
    </row>
    <row r="2068" spans="1:16" x14ac:dyDescent="0.25">
      <c r="A2068" t="s">
        <v>4827</v>
      </c>
      <c r="B2068" s="6">
        <v>45291</v>
      </c>
      <c r="C2068">
        <v>2570</v>
      </c>
      <c r="D2068" t="s">
        <v>4828</v>
      </c>
      <c r="E2068" t="s">
        <v>18</v>
      </c>
      <c r="F2068" t="s">
        <v>39</v>
      </c>
      <c r="G2068">
        <v>25218.799999999999</v>
      </c>
      <c r="H2068">
        <v>14174.82</v>
      </c>
      <c r="I2068" t="s">
        <v>53</v>
      </c>
      <c r="J2068" t="s">
        <v>54</v>
      </c>
      <c r="K2068" t="s">
        <v>22</v>
      </c>
      <c r="L2068" t="s">
        <v>43</v>
      </c>
      <c r="M2068">
        <v>4</v>
      </c>
      <c r="N2068" t="s">
        <v>69</v>
      </c>
      <c r="O2068" t="s">
        <v>70</v>
      </c>
      <c r="P2068" t="s">
        <v>49</v>
      </c>
    </row>
    <row r="2069" spans="1:16" x14ac:dyDescent="0.25">
      <c r="A2069" t="s">
        <v>4829</v>
      </c>
      <c r="B2069" s="6">
        <v>45293</v>
      </c>
      <c r="C2069">
        <v>2979</v>
      </c>
      <c r="D2069" t="s">
        <v>4830</v>
      </c>
      <c r="E2069" t="s">
        <v>18</v>
      </c>
      <c r="F2069" t="s">
        <v>58</v>
      </c>
      <c r="G2069">
        <v>55734.1</v>
      </c>
      <c r="H2069">
        <v>26409.72</v>
      </c>
      <c r="I2069" t="s">
        <v>120</v>
      </c>
      <c r="J2069" t="s">
        <v>21</v>
      </c>
      <c r="K2069" t="s">
        <v>42</v>
      </c>
      <c r="L2069" t="s">
        <v>64</v>
      </c>
      <c r="M2069">
        <v>3</v>
      </c>
      <c r="N2069" t="s">
        <v>33</v>
      </c>
      <c r="O2069" t="s">
        <v>70</v>
      </c>
      <c r="P2069" t="s">
        <v>26</v>
      </c>
    </row>
    <row r="2070" spans="1:16" x14ac:dyDescent="0.25">
      <c r="A2070" t="s">
        <v>4831</v>
      </c>
      <c r="B2070" s="6">
        <v>44492</v>
      </c>
      <c r="C2070">
        <v>6951</v>
      </c>
      <c r="D2070" t="s">
        <v>4833</v>
      </c>
      <c r="E2070" t="s">
        <v>38</v>
      </c>
      <c r="F2070" t="s">
        <v>47</v>
      </c>
      <c r="G2070">
        <v>2968.06</v>
      </c>
      <c r="H2070">
        <v>1791.19</v>
      </c>
      <c r="I2070" t="s">
        <v>40</v>
      </c>
      <c r="J2070" t="s">
        <v>41</v>
      </c>
      <c r="K2070" t="s">
        <v>80</v>
      </c>
      <c r="L2070" t="s">
        <v>23</v>
      </c>
      <c r="M2070">
        <v>5</v>
      </c>
      <c r="N2070" t="s">
        <v>69</v>
      </c>
      <c r="O2070" t="s">
        <v>70</v>
      </c>
      <c r="P2070" t="s">
        <v>34</v>
      </c>
    </row>
    <row r="2071" spans="1:16" x14ac:dyDescent="0.25">
      <c r="A2071" t="s">
        <v>4834</v>
      </c>
      <c r="B2071" s="6">
        <v>45634</v>
      </c>
      <c r="C2071">
        <v>5790</v>
      </c>
      <c r="D2071" t="s">
        <v>4836</v>
      </c>
      <c r="E2071" t="s">
        <v>38</v>
      </c>
      <c r="F2071" t="s">
        <v>39</v>
      </c>
      <c r="G2071">
        <v>20747.07</v>
      </c>
      <c r="H2071">
        <v>9570.65</v>
      </c>
      <c r="I2071" t="s">
        <v>68</v>
      </c>
      <c r="J2071" t="s">
        <v>41</v>
      </c>
      <c r="K2071" t="s">
        <v>22</v>
      </c>
      <c r="L2071" t="s">
        <v>48</v>
      </c>
      <c r="M2071">
        <v>2</v>
      </c>
      <c r="N2071" t="s">
        <v>33</v>
      </c>
      <c r="O2071" t="s">
        <v>25</v>
      </c>
      <c r="P2071" t="s">
        <v>26</v>
      </c>
    </row>
    <row r="2072" spans="1:16" x14ac:dyDescent="0.25">
      <c r="A2072" t="s">
        <v>4837</v>
      </c>
      <c r="B2072" s="6">
        <v>44942</v>
      </c>
      <c r="C2072">
        <v>3677</v>
      </c>
      <c r="D2072" t="s">
        <v>4838</v>
      </c>
      <c r="E2072" t="s">
        <v>18</v>
      </c>
      <c r="F2072" t="s">
        <v>19</v>
      </c>
      <c r="G2072">
        <v>12957.64</v>
      </c>
      <c r="H2072">
        <v>7312.65</v>
      </c>
      <c r="I2072" t="s">
        <v>84</v>
      </c>
      <c r="J2072" t="s">
        <v>54</v>
      </c>
      <c r="K2072" t="s">
        <v>22</v>
      </c>
      <c r="L2072" t="s">
        <v>43</v>
      </c>
      <c r="M2072">
        <v>4</v>
      </c>
      <c r="N2072" t="s">
        <v>24</v>
      </c>
      <c r="O2072" t="s">
        <v>25</v>
      </c>
      <c r="P2072" t="s">
        <v>26</v>
      </c>
    </row>
    <row r="2073" spans="1:16" x14ac:dyDescent="0.25">
      <c r="A2073" t="s">
        <v>4839</v>
      </c>
      <c r="B2073" s="6">
        <v>45396</v>
      </c>
      <c r="C2073">
        <v>4522</v>
      </c>
      <c r="D2073" t="s">
        <v>4840</v>
      </c>
      <c r="E2073" t="s">
        <v>38</v>
      </c>
      <c r="F2073" t="s">
        <v>39</v>
      </c>
      <c r="G2073">
        <v>33239.019999999997</v>
      </c>
      <c r="H2073">
        <v>17682.28</v>
      </c>
      <c r="I2073" t="s">
        <v>53</v>
      </c>
      <c r="J2073" t="s">
        <v>54</v>
      </c>
      <c r="K2073" t="s">
        <v>80</v>
      </c>
      <c r="L2073" t="s">
        <v>48</v>
      </c>
      <c r="M2073">
        <v>5</v>
      </c>
      <c r="N2073" t="s">
        <v>33</v>
      </c>
      <c r="O2073" t="s">
        <v>25</v>
      </c>
      <c r="P2073" t="s">
        <v>49</v>
      </c>
    </row>
    <row r="2074" spans="1:16" x14ac:dyDescent="0.25">
      <c r="A2074" t="s">
        <v>4841</v>
      </c>
      <c r="B2074" s="6">
        <v>45533</v>
      </c>
      <c r="C2074">
        <v>1346</v>
      </c>
      <c r="D2074" t="s">
        <v>4842</v>
      </c>
      <c r="E2074" t="s">
        <v>38</v>
      </c>
      <c r="F2074" t="s">
        <v>58</v>
      </c>
      <c r="G2074">
        <v>14588.69</v>
      </c>
      <c r="H2074">
        <v>7282.58</v>
      </c>
      <c r="I2074" t="s">
        <v>63</v>
      </c>
      <c r="J2074" t="s">
        <v>54</v>
      </c>
      <c r="K2074" t="s">
        <v>22</v>
      </c>
      <c r="L2074" t="s">
        <v>43</v>
      </c>
      <c r="M2074">
        <v>5</v>
      </c>
      <c r="N2074" t="s">
        <v>24</v>
      </c>
      <c r="O2074" t="s">
        <v>25</v>
      </c>
      <c r="P2074" t="s">
        <v>49</v>
      </c>
    </row>
    <row r="2075" spans="1:16" x14ac:dyDescent="0.25">
      <c r="A2075" t="s">
        <v>4843</v>
      </c>
      <c r="B2075" s="6">
        <v>45407</v>
      </c>
      <c r="C2075">
        <v>1599</v>
      </c>
      <c r="D2075" t="s">
        <v>4844</v>
      </c>
      <c r="E2075" t="s">
        <v>38</v>
      </c>
      <c r="F2075" t="s">
        <v>19</v>
      </c>
      <c r="G2075">
        <v>18884.939999999999</v>
      </c>
      <c r="H2075">
        <v>11498.95</v>
      </c>
      <c r="I2075" t="s">
        <v>120</v>
      </c>
      <c r="J2075" t="s">
        <v>21</v>
      </c>
      <c r="K2075" t="s">
        <v>22</v>
      </c>
      <c r="L2075" t="s">
        <v>43</v>
      </c>
      <c r="M2075">
        <v>5</v>
      </c>
      <c r="N2075" t="s">
        <v>33</v>
      </c>
      <c r="O2075" t="s">
        <v>25</v>
      </c>
      <c r="P2075" t="s">
        <v>49</v>
      </c>
    </row>
    <row r="2076" spans="1:16" x14ac:dyDescent="0.25">
      <c r="A2076" t="s">
        <v>4845</v>
      </c>
      <c r="B2076" s="6">
        <v>45082</v>
      </c>
      <c r="C2076">
        <v>8213</v>
      </c>
      <c r="D2076" t="s">
        <v>3761</v>
      </c>
      <c r="E2076" t="s">
        <v>38</v>
      </c>
      <c r="F2076" t="s">
        <v>19</v>
      </c>
      <c r="G2076">
        <v>23516.73</v>
      </c>
      <c r="H2076">
        <v>11410.33</v>
      </c>
      <c r="I2076" t="s">
        <v>84</v>
      </c>
      <c r="J2076" t="s">
        <v>54</v>
      </c>
      <c r="K2076" t="s">
        <v>80</v>
      </c>
      <c r="L2076" t="s">
        <v>88</v>
      </c>
      <c r="M2076">
        <v>1</v>
      </c>
      <c r="N2076" t="s">
        <v>69</v>
      </c>
      <c r="O2076" t="s">
        <v>70</v>
      </c>
      <c r="P2076" t="s">
        <v>49</v>
      </c>
    </row>
    <row r="2077" spans="1:16" x14ac:dyDescent="0.25">
      <c r="A2077" t="s">
        <v>4846</v>
      </c>
      <c r="B2077" s="6">
        <v>44780</v>
      </c>
      <c r="C2077">
        <v>7474</v>
      </c>
      <c r="D2077" t="s">
        <v>4847</v>
      </c>
      <c r="E2077" t="s">
        <v>38</v>
      </c>
      <c r="F2077" t="s">
        <v>39</v>
      </c>
      <c r="G2077">
        <v>22005.3</v>
      </c>
      <c r="H2077">
        <v>10297.65</v>
      </c>
      <c r="I2077" t="s">
        <v>59</v>
      </c>
      <c r="J2077" t="s">
        <v>41</v>
      </c>
      <c r="K2077" t="s">
        <v>32</v>
      </c>
      <c r="L2077" t="s">
        <v>43</v>
      </c>
      <c r="M2077">
        <v>1</v>
      </c>
      <c r="N2077" t="s">
        <v>33</v>
      </c>
      <c r="O2077" t="s">
        <v>25</v>
      </c>
      <c r="P2077" t="s">
        <v>34</v>
      </c>
    </row>
    <row r="2078" spans="1:16" x14ac:dyDescent="0.25">
      <c r="A2078" t="s">
        <v>4848</v>
      </c>
      <c r="B2078" s="6">
        <v>45312</v>
      </c>
      <c r="C2078">
        <v>6035</v>
      </c>
      <c r="D2078" t="s">
        <v>4849</v>
      </c>
      <c r="E2078" t="s">
        <v>38</v>
      </c>
      <c r="F2078" t="s">
        <v>58</v>
      </c>
      <c r="G2078">
        <v>45368.03</v>
      </c>
      <c r="H2078">
        <v>27264.34</v>
      </c>
      <c r="I2078" t="s">
        <v>120</v>
      </c>
      <c r="J2078" t="s">
        <v>21</v>
      </c>
      <c r="K2078" t="s">
        <v>22</v>
      </c>
      <c r="L2078" t="s">
        <v>23</v>
      </c>
      <c r="M2078">
        <v>4</v>
      </c>
      <c r="N2078" t="s">
        <v>69</v>
      </c>
      <c r="O2078" t="s">
        <v>25</v>
      </c>
      <c r="P2078" t="s">
        <v>26</v>
      </c>
    </row>
    <row r="2079" spans="1:16" x14ac:dyDescent="0.25">
      <c r="A2079" t="s">
        <v>4850</v>
      </c>
      <c r="B2079" s="6">
        <v>44692</v>
      </c>
      <c r="C2079">
        <v>3815</v>
      </c>
      <c r="D2079" t="s">
        <v>734</v>
      </c>
      <c r="E2079" t="s">
        <v>38</v>
      </c>
      <c r="F2079" t="s">
        <v>47</v>
      </c>
      <c r="G2079">
        <v>17286.7</v>
      </c>
      <c r="H2079">
        <v>8548.9</v>
      </c>
      <c r="I2079" t="s">
        <v>63</v>
      </c>
      <c r="J2079" t="s">
        <v>54</v>
      </c>
      <c r="K2079" t="s">
        <v>22</v>
      </c>
      <c r="L2079" t="s">
        <v>43</v>
      </c>
      <c r="M2079">
        <v>1</v>
      </c>
      <c r="N2079" t="s">
        <v>69</v>
      </c>
      <c r="O2079" t="s">
        <v>25</v>
      </c>
      <c r="P2079" t="s">
        <v>34</v>
      </c>
    </row>
    <row r="2080" spans="1:16" x14ac:dyDescent="0.25">
      <c r="A2080" t="s">
        <v>4851</v>
      </c>
      <c r="B2080" s="6">
        <v>44241</v>
      </c>
      <c r="C2080">
        <v>9436</v>
      </c>
      <c r="D2080" t="s">
        <v>4853</v>
      </c>
      <c r="E2080" t="s">
        <v>38</v>
      </c>
      <c r="F2080" t="s">
        <v>19</v>
      </c>
      <c r="G2080">
        <v>4782.3100000000004</v>
      </c>
      <c r="H2080">
        <v>2294.06</v>
      </c>
      <c r="I2080" t="s">
        <v>20</v>
      </c>
      <c r="J2080" t="s">
        <v>21</v>
      </c>
      <c r="K2080" t="s">
        <v>80</v>
      </c>
      <c r="L2080" t="s">
        <v>64</v>
      </c>
      <c r="M2080">
        <v>4</v>
      </c>
      <c r="N2080" t="s">
        <v>33</v>
      </c>
      <c r="O2080" t="s">
        <v>25</v>
      </c>
      <c r="P2080" t="s">
        <v>49</v>
      </c>
    </row>
    <row r="2081" spans="1:16" x14ac:dyDescent="0.25">
      <c r="A2081" t="s">
        <v>4854</v>
      </c>
      <c r="B2081" s="6">
        <v>44939</v>
      </c>
      <c r="C2081">
        <v>6868</v>
      </c>
      <c r="D2081" t="s">
        <v>4855</v>
      </c>
      <c r="E2081" t="s">
        <v>18</v>
      </c>
      <c r="F2081" t="s">
        <v>19</v>
      </c>
      <c r="G2081">
        <v>10685.67</v>
      </c>
      <c r="H2081">
        <v>6783.58</v>
      </c>
      <c r="I2081" t="s">
        <v>120</v>
      </c>
      <c r="J2081" t="s">
        <v>21</v>
      </c>
      <c r="K2081" t="s">
        <v>80</v>
      </c>
      <c r="L2081" t="s">
        <v>43</v>
      </c>
      <c r="M2081">
        <v>2</v>
      </c>
      <c r="N2081" t="s">
        <v>33</v>
      </c>
      <c r="O2081" t="s">
        <v>25</v>
      </c>
      <c r="P2081" t="s">
        <v>26</v>
      </c>
    </row>
    <row r="2082" spans="1:16" x14ac:dyDescent="0.25">
      <c r="A2082" t="s">
        <v>4856</v>
      </c>
      <c r="B2082" s="6">
        <v>45108</v>
      </c>
      <c r="C2082">
        <v>3610</v>
      </c>
      <c r="D2082" t="s">
        <v>1189</v>
      </c>
      <c r="E2082" t="s">
        <v>18</v>
      </c>
      <c r="F2082" t="s">
        <v>58</v>
      </c>
      <c r="G2082">
        <v>34800.93</v>
      </c>
      <c r="H2082">
        <v>21891.24</v>
      </c>
      <c r="I2082" t="s">
        <v>53</v>
      </c>
      <c r="J2082" t="s">
        <v>54</v>
      </c>
      <c r="K2082" t="s">
        <v>32</v>
      </c>
      <c r="L2082" t="s">
        <v>64</v>
      </c>
      <c r="M2082">
        <v>2</v>
      </c>
      <c r="N2082" t="s">
        <v>33</v>
      </c>
      <c r="O2082" t="s">
        <v>70</v>
      </c>
      <c r="P2082" t="s">
        <v>26</v>
      </c>
    </row>
    <row r="2083" spans="1:16" x14ac:dyDescent="0.25">
      <c r="A2083" t="s">
        <v>4857</v>
      </c>
      <c r="B2083" s="6">
        <v>45649</v>
      </c>
      <c r="C2083">
        <v>1113</v>
      </c>
      <c r="D2083" t="s">
        <v>4858</v>
      </c>
      <c r="E2083" t="s">
        <v>38</v>
      </c>
      <c r="F2083" t="s">
        <v>47</v>
      </c>
      <c r="G2083">
        <v>6423.28</v>
      </c>
      <c r="H2083">
        <v>3157.19</v>
      </c>
      <c r="I2083" t="s">
        <v>63</v>
      </c>
      <c r="J2083" t="s">
        <v>54</v>
      </c>
      <c r="K2083" t="s">
        <v>22</v>
      </c>
      <c r="L2083" t="s">
        <v>23</v>
      </c>
      <c r="M2083">
        <v>4</v>
      </c>
      <c r="N2083" t="s">
        <v>33</v>
      </c>
      <c r="O2083" t="s">
        <v>25</v>
      </c>
      <c r="P2083" t="s">
        <v>26</v>
      </c>
    </row>
    <row r="2084" spans="1:16" x14ac:dyDescent="0.25">
      <c r="A2084" t="s">
        <v>4859</v>
      </c>
      <c r="B2084" s="6">
        <v>45202</v>
      </c>
      <c r="C2084">
        <v>4449</v>
      </c>
      <c r="D2084" t="s">
        <v>4860</v>
      </c>
      <c r="E2084" t="s">
        <v>38</v>
      </c>
      <c r="F2084" t="s">
        <v>19</v>
      </c>
      <c r="G2084">
        <v>7610.22</v>
      </c>
      <c r="H2084">
        <v>4390.51</v>
      </c>
      <c r="I2084" t="s">
        <v>68</v>
      </c>
      <c r="J2084" t="s">
        <v>41</v>
      </c>
      <c r="K2084" t="s">
        <v>22</v>
      </c>
      <c r="L2084" t="s">
        <v>23</v>
      </c>
      <c r="M2084">
        <v>3</v>
      </c>
      <c r="N2084" t="s">
        <v>24</v>
      </c>
      <c r="O2084" t="s">
        <v>70</v>
      </c>
      <c r="P2084" t="s">
        <v>49</v>
      </c>
    </row>
    <row r="2085" spans="1:16" x14ac:dyDescent="0.25">
      <c r="A2085" t="s">
        <v>4861</v>
      </c>
      <c r="B2085" s="6">
        <v>44865</v>
      </c>
      <c r="C2085">
        <v>7089</v>
      </c>
      <c r="D2085" t="s">
        <v>4862</v>
      </c>
      <c r="E2085" t="s">
        <v>18</v>
      </c>
      <c r="F2085" t="s">
        <v>30</v>
      </c>
      <c r="G2085">
        <v>35144.14</v>
      </c>
      <c r="H2085">
        <v>18773.759999999998</v>
      </c>
      <c r="I2085" t="s">
        <v>59</v>
      </c>
      <c r="J2085" t="s">
        <v>41</v>
      </c>
      <c r="K2085" t="s">
        <v>80</v>
      </c>
      <c r="L2085" t="s">
        <v>43</v>
      </c>
      <c r="M2085">
        <v>1</v>
      </c>
      <c r="N2085" t="s">
        <v>69</v>
      </c>
      <c r="O2085" t="s">
        <v>70</v>
      </c>
      <c r="P2085" t="s">
        <v>34</v>
      </c>
    </row>
    <row r="2086" spans="1:16" x14ac:dyDescent="0.25">
      <c r="A2086" t="s">
        <v>4863</v>
      </c>
      <c r="B2086" s="6">
        <v>44915</v>
      </c>
      <c r="C2086">
        <v>2570</v>
      </c>
      <c r="D2086" t="s">
        <v>4864</v>
      </c>
      <c r="E2086" t="s">
        <v>38</v>
      </c>
      <c r="F2086" t="s">
        <v>39</v>
      </c>
      <c r="G2086">
        <v>27782.92</v>
      </c>
      <c r="H2086">
        <v>16373.74</v>
      </c>
      <c r="I2086" t="s">
        <v>84</v>
      </c>
      <c r="J2086" t="s">
        <v>54</v>
      </c>
      <c r="K2086" t="s">
        <v>32</v>
      </c>
      <c r="L2086" t="s">
        <v>64</v>
      </c>
      <c r="M2086">
        <v>5</v>
      </c>
      <c r="N2086" t="s">
        <v>24</v>
      </c>
      <c r="O2086" t="s">
        <v>25</v>
      </c>
      <c r="P2086" t="s">
        <v>26</v>
      </c>
    </row>
    <row r="2087" spans="1:16" x14ac:dyDescent="0.25">
      <c r="A2087" t="s">
        <v>4865</v>
      </c>
      <c r="B2087" s="6">
        <v>45393</v>
      </c>
      <c r="C2087">
        <v>8023</v>
      </c>
      <c r="D2087" t="s">
        <v>4867</v>
      </c>
      <c r="E2087" t="s">
        <v>38</v>
      </c>
      <c r="F2087" t="s">
        <v>58</v>
      </c>
      <c r="G2087">
        <v>46229.09</v>
      </c>
      <c r="H2087">
        <v>23235.42</v>
      </c>
      <c r="I2087" t="s">
        <v>84</v>
      </c>
      <c r="J2087" t="s">
        <v>54</v>
      </c>
      <c r="K2087" t="s">
        <v>32</v>
      </c>
      <c r="L2087" t="s">
        <v>43</v>
      </c>
      <c r="M2087">
        <v>5</v>
      </c>
      <c r="N2087" t="s">
        <v>33</v>
      </c>
      <c r="O2087" t="s">
        <v>70</v>
      </c>
      <c r="P2087" t="s">
        <v>26</v>
      </c>
    </row>
    <row r="2088" spans="1:16" x14ac:dyDescent="0.25">
      <c r="A2088" t="s">
        <v>4868</v>
      </c>
      <c r="B2088" s="6">
        <v>45273</v>
      </c>
      <c r="C2088">
        <v>9484</v>
      </c>
      <c r="D2088" t="s">
        <v>4869</v>
      </c>
      <c r="E2088" t="s">
        <v>18</v>
      </c>
      <c r="F2088" t="s">
        <v>30</v>
      </c>
      <c r="G2088">
        <v>84833.47</v>
      </c>
      <c r="H2088">
        <v>39537.53</v>
      </c>
      <c r="I2088" t="s">
        <v>53</v>
      </c>
      <c r="J2088" t="s">
        <v>54</v>
      </c>
      <c r="K2088" t="s">
        <v>42</v>
      </c>
      <c r="L2088" t="s">
        <v>55</v>
      </c>
      <c r="M2088">
        <v>2</v>
      </c>
      <c r="N2088" t="s">
        <v>33</v>
      </c>
      <c r="O2088" t="s">
        <v>25</v>
      </c>
      <c r="P2088" t="s">
        <v>34</v>
      </c>
    </row>
    <row r="2089" spans="1:16" x14ac:dyDescent="0.25">
      <c r="A2089" t="s">
        <v>4870</v>
      </c>
      <c r="B2089" s="6">
        <v>44747</v>
      </c>
      <c r="C2089">
        <v>1489</v>
      </c>
      <c r="D2089" t="s">
        <v>4871</v>
      </c>
      <c r="E2089" t="s">
        <v>18</v>
      </c>
      <c r="F2089" t="s">
        <v>30</v>
      </c>
      <c r="G2089">
        <v>36208.39</v>
      </c>
      <c r="H2089">
        <v>19162.37</v>
      </c>
      <c r="I2089" t="s">
        <v>31</v>
      </c>
      <c r="J2089" t="s">
        <v>21</v>
      </c>
      <c r="K2089" t="s">
        <v>80</v>
      </c>
      <c r="L2089" t="s">
        <v>48</v>
      </c>
      <c r="M2089">
        <v>5</v>
      </c>
      <c r="N2089" t="s">
        <v>33</v>
      </c>
      <c r="O2089" t="s">
        <v>70</v>
      </c>
      <c r="P2089" t="s">
        <v>26</v>
      </c>
    </row>
    <row r="2090" spans="1:16" x14ac:dyDescent="0.25">
      <c r="A2090" t="s">
        <v>4872</v>
      </c>
      <c r="B2090" s="6">
        <v>44775</v>
      </c>
      <c r="C2090">
        <v>2533</v>
      </c>
      <c r="D2090" t="s">
        <v>4873</v>
      </c>
      <c r="E2090" t="s">
        <v>38</v>
      </c>
      <c r="F2090" t="s">
        <v>39</v>
      </c>
      <c r="G2090">
        <v>41221.99</v>
      </c>
      <c r="H2090">
        <v>23306.959999999999</v>
      </c>
      <c r="I2090" t="s">
        <v>53</v>
      </c>
      <c r="J2090" t="s">
        <v>54</v>
      </c>
      <c r="K2090" t="s">
        <v>80</v>
      </c>
      <c r="L2090" t="s">
        <v>23</v>
      </c>
      <c r="M2090">
        <v>2</v>
      </c>
      <c r="N2090" t="s">
        <v>24</v>
      </c>
      <c r="O2090" t="s">
        <v>25</v>
      </c>
      <c r="P2090" t="s">
        <v>49</v>
      </c>
    </row>
    <row r="2091" spans="1:16" x14ac:dyDescent="0.25">
      <c r="A2091" t="s">
        <v>4874</v>
      </c>
      <c r="B2091" s="6">
        <v>45021</v>
      </c>
      <c r="C2091">
        <v>3402</v>
      </c>
      <c r="D2091" t="s">
        <v>4875</v>
      </c>
      <c r="E2091" t="s">
        <v>38</v>
      </c>
      <c r="F2091" t="s">
        <v>58</v>
      </c>
      <c r="G2091">
        <v>30500.68</v>
      </c>
      <c r="H2091">
        <v>14656.82</v>
      </c>
      <c r="I2091" t="s">
        <v>84</v>
      </c>
      <c r="J2091" t="s">
        <v>54</v>
      </c>
      <c r="K2091" t="s">
        <v>42</v>
      </c>
      <c r="L2091" t="s">
        <v>88</v>
      </c>
      <c r="M2091">
        <v>5</v>
      </c>
      <c r="N2091" t="s">
        <v>24</v>
      </c>
      <c r="O2091" t="s">
        <v>25</v>
      </c>
      <c r="P2091" t="s">
        <v>49</v>
      </c>
    </row>
    <row r="2092" spans="1:16" x14ac:dyDescent="0.25">
      <c r="A2092" t="s">
        <v>4876</v>
      </c>
      <c r="B2092" s="6">
        <v>45408</v>
      </c>
      <c r="C2092">
        <v>5213</v>
      </c>
      <c r="D2092" t="s">
        <v>4877</v>
      </c>
      <c r="E2092" t="s">
        <v>38</v>
      </c>
      <c r="F2092" t="s">
        <v>30</v>
      </c>
      <c r="G2092">
        <v>118406.45</v>
      </c>
      <c r="H2092">
        <v>60127.51</v>
      </c>
      <c r="I2092" t="s">
        <v>63</v>
      </c>
      <c r="J2092" t="s">
        <v>54</v>
      </c>
      <c r="K2092" t="s">
        <v>32</v>
      </c>
      <c r="L2092" t="s">
        <v>43</v>
      </c>
      <c r="M2092">
        <v>5</v>
      </c>
      <c r="N2092" t="s">
        <v>33</v>
      </c>
      <c r="O2092" t="s">
        <v>70</v>
      </c>
      <c r="P2092" t="s">
        <v>34</v>
      </c>
    </row>
    <row r="2093" spans="1:16" x14ac:dyDescent="0.25">
      <c r="A2093" t="s">
        <v>4878</v>
      </c>
      <c r="B2093" s="6">
        <v>45028</v>
      </c>
      <c r="C2093">
        <v>8699</v>
      </c>
      <c r="D2093" t="s">
        <v>4879</v>
      </c>
      <c r="E2093" t="s">
        <v>18</v>
      </c>
      <c r="F2093" t="s">
        <v>19</v>
      </c>
      <c r="G2093">
        <v>15106.09</v>
      </c>
      <c r="H2093">
        <v>7453.95</v>
      </c>
      <c r="I2093" t="s">
        <v>53</v>
      </c>
      <c r="J2093" t="s">
        <v>54</v>
      </c>
      <c r="K2093" t="s">
        <v>22</v>
      </c>
      <c r="L2093" t="s">
        <v>23</v>
      </c>
      <c r="M2093">
        <v>1</v>
      </c>
      <c r="N2093" t="s">
        <v>33</v>
      </c>
      <c r="O2093" t="s">
        <v>25</v>
      </c>
      <c r="P2093" t="s">
        <v>34</v>
      </c>
    </row>
    <row r="2094" spans="1:16" x14ac:dyDescent="0.25">
      <c r="A2094" t="s">
        <v>4880</v>
      </c>
      <c r="B2094" s="6">
        <v>44282</v>
      </c>
      <c r="C2094">
        <v>7398</v>
      </c>
      <c r="D2094" t="s">
        <v>4881</v>
      </c>
      <c r="E2094" t="s">
        <v>38</v>
      </c>
      <c r="F2094" t="s">
        <v>19</v>
      </c>
      <c r="G2094">
        <v>4125.18</v>
      </c>
      <c r="H2094">
        <v>2437.5500000000002</v>
      </c>
      <c r="I2094" t="s">
        <v>59</v>
      </c>
      <c r="J2094" t="s">
        <v>41</v>
      </c>
      <c r="K2094" t="s">
        <v>32</v>
      </c>
      <c r="L2094" t="s">
        <v>23</v>
      </c>
      <c r="M2094">
        <v>2</v>
      </c>
      <c r="N2094" t="s">
        <v>33</v>
      </c>
      <c r="O2094" t="s">
        <v>25</v>
      </c>
      <c r="P2094" t="s">
        <v>34</v>
      </c>
    </row>
    <row r="2095" spans="1:16" x14ac:dyDescent="0.25">
      <c r="A2095" t="s">
        <v>4882</v>
      </c>
      <c r="B2095" s="6">
        <v>44762</v>
      </c>
      <c r="C2095">
        <v>2573</v>
      </c>
      <c r="D2095" t="s">
        <v>4883</v>
      </c>
      <c r="E2095" t="s">
        <v>18</v>
      </c>
      <c r="F2095" t="s">
        <v>47</v>
      </c>
      <c r="G2095">
        <v>2917.32</v>
      </c>
      <c r="H2095">
        <v>1318.85</v>
      </c>
      <c r="I2095" t="s">
        <v>31</v>
      </c>
      <c r="J2095" t="s">
        <v>21</v>
      </c>
      <c r="K2095" t="s">
        <v>80</v>
      </c>
      <c r="L2095" t="s">
        <v>64</v>
      </c>
      <c r="M2095">
        <v>1</v>
      </c>
      <c r="N2095" t="s">
        <v>24</v>
      </c>
      <c r="O2095" t="s">
        <v>25</v>
      </c>
      <c r="P2095" t="s">
        <v>49</v>
      </c>
    </row>
    <row r="2096" spans="1:16" x14ac:dyDescent="0.25">
      <c r="A2096" t="s">
        <v>4884</v>
      </c>
      <c r="B2096" s="6">
        <v>45577</v>
      </c>
      <c r="C2096">
        <v>4239</v>
      </c>
      <c r="D2096" t="s">
        <v>4088</v>
      </c>
      <c r="E2096" t="s">
        <v>38</v>
      </c>
      <c r="F2096" t="s">
        <v>39</v>
      </c>
      <c r="G2096">
        <v>35947.85</v>
      </c>
      <c r="H2096">
        <v>20591.2</v>
      </c>
      <c r="I2096" t="s">
        <v>53</v>
      </c>
      <c r="J2096" t="s">
        <v>54</v>
      </c>
      <c r="K2096" t="s">
        <v>42</v>
      </c>
      <c r="L2096" t="s">
        <v>55</v>
      </c>
      <c r="M2096">
        <v>4</v>
      </c>
      <c r="N2096" t="s">
        <v>69</v>
      </c>
      <c r="O2096" t="s">
        <v>70</v>
      </c>
      <c r="P2096" t="s">
        <v>49</v>
      </c>
    </row>
    <row r="2097" spans="1:16" x14ac:dyDescent="0.25">
      <c r="A2097" t="s">
        <v>4885</v>
      </c>
      <c r="B2097" s="6">
        <v>44043</v>
      </c>
      <c r="C2097">
        <v>6992</v>
      </c>
      <c r="D2097" t="s">
        <v>2847</v>
      </c>
      <c r="E2097" t="s">
        <v>18</v>
      </c>
      <c r="F2097" t="s">
        <v>58</v>
      </c>
      <c r="G2097">
        <v>6401.79</v>
      </c>
      <c r="H2097">
        <v>3329.02</v>
      </c>
      <c r="I2097" t="s">
        <v>31</v>
      </c>
      <c r="J2097" t="s">
        <v>21</v>
      </c>
      <c r="K2097" t="s">
        <v>80</v>
      </c>
      <c r="L2097" t="s">
        <v>23</v>
      </c>
      <c r="M2097">
        <v>3</v>
      </c>
      <c r="N2097" t="s">
        <v>33</v>
      </c>
      <c r="O2097" t="s">
        <v>70</v>
      </c>
      <c r="P2097" t="s">
        <v>34</v>
      </c>
    </row>
    <row r="2098" spans="1:16" x14ac:dyDescent="0.25">
      <c r="A2098" t="s">
        <v>4886</v>
      </c>
      <c r="B2098" s="6">
        <v>45046</v>
      </c>
      <c r="C2098">
        <v>8216</v>
      </c>
      <c r="D2098" t="s">
        <v>4887</v>
      </c>
      <c r="E2098" t="s">
        <v>18</v>
      </c>
      <c r="F2098" t="s">
        <v>19</v>
      </c>
      <c r="G2098">
        <v>19721.45</v>
      </c>
      <c r="H2098">
        <v>11976.36</v>
      </c>
      <c r="I2098" t="s">
        <v>53</v>
      </c>
      <c r="J2098" t="s">
        <v>54</v>
      </c>
      <c r="K2098" t="s">
        <v>42</v>
      </c>
      <c r="L2098" t="s">
        <v>23</v>
      </c>
      <c r="M2098">
        <v>5</v>
      </c>
      <c r="N2098" t="s">
        <v>69</v>
      </c>
      <c r="O2098" t="s">
        <v>25</v>
      </c>
      <c r="P2098" t="s">
        <v>34</v>
      </c>
    </row>
    <row r="2099" spans="1:16" x14ac:dyDescent="0.25">
      <c r="A2099" t="s">
        <v>4888</v>
      </c>
      <c r="B2099" s="6">
        <v>43928</v>
      </c>
      <c r="C2099">
        <v>9885</v>
      </c>
      <c r="D2099" t="s">
        <v>4889</v>
      </c>
      <c r="E2099" t="s">
        <v>38</v>
      </c>
      <c r="F2099" t="s">
        <v>47</v>
      </c>
      <c r="G2099">
        <v>10576.69</v>
      </c>
      <c r="H2099">
        <v>5695.64</v>
      </c>
      <c r="I2099" t="s">
        <v>53</v>
      </c>
      <c r="J2099" t="s">
        <v>54</v>
      </c>
      <c r="K2099" t="s">
        <v>32</v>
      </c>
      <c r="L2099" t="s">
        <v>64</v>
      </c>
      <c r="M2099">
        <v>3</v>
      </c>
      <c r="N2099" t="s">
        <v>33</v>
      </c>
      <c r="O2099" t="s">
        <v>25</v>
      </c>
      <c r="P2099" t="s">
        <v>26</v>
      </c>
    </row>
    <row r="2100" spans="1:16" x14ac:dyDescent="0.25">
      <c r="A2100" t="s">
        <v>4890</v>
      </c>
      <c r="B2100" s="6">
        <v>45184</v>
      </c>
      <c r="C2100">
        <v>7472</v>
      </c>
      <c r="D2100" t="s">
        <v>4891</v>
      </c>
      <c r="E2100" t="s">
        <v>18</v>
      </c>
      <c r="F2100" t="s">
        <v>30</v>
      </c>
      <c r="G2100">
        <v>76502.8</v>
      </c>
      <c r="H2100">
        <v>35309.99</v>
      </c>
      <c r="I2100" t="s">
        <v>120</v>
      </c>
      <c r="J2100" t="s">
        <v>21</v>
      </c>
      <c r="K2100" t="s">
        <v>32</v>
      </c>
      <c r="L2100" t="s">
        <v>55</v>
      </c>
      <c r="M2100">
        <v>5</v>
      </c>
      <c r="N2100" t="s">
        <v>69</v>
      </c>
      <c r="O2100" t="s">
        <v>70</v>
      </c>
      <c r="P2100" t="s">
        <v>49</v>
      </c>
    </row>
    <row r="2101" spans="1:16" x14ac:dyDescent="0.25">
      <c r="A2101" t="s">
        <v>4892</v>
      </c>
      <c r="B2101" s="6">
        <v>45376</v>
      </c>
      <c r="C2101">
        <v>4642</v>
      </c>
      <c r="D2101" t="s">
        <v>4893</v>
      </c>
      <c r="E2101" t="s">
        <v>38</v>
      </c>
      <c r="F2101" t="s">
        <v>47</v>
      </c>
      <c r="G2101">
        <v>18272.41</v>
      </c>
      <c r="H2101">
        <v>9071.1299999999992</v>
      </c>
      <c r="I2101" t="s">
        <v>53</v>
      </c>
      <c r="J2101" t="s">
        <v>54</v>
      </c>
      <c r="K2101" t="s">
        <v>42</v>
      </c>
      <c r="L2101" t="s">
        <v>43</v>
      </c>
      <c r="M2101">
        <v>4</v>
      </c>
      <c r="N2101" t="s">
        <v>24</v>
      </c>
      <c r="O2101" t="s">
        <v>25</v>
      </c>
      <c r="P2101" t="s">
        <v>26</v>
      </c>
    </row>
    <row r="2102" spans="1:16" x14ac:dyDescent="0.25">
      <c r="A2102" t="s">
        <v>4894</v>
      </c>
      <c r="B2102" s="6">
        <v>44682</v>
      </c>
      <c r="C2102">
        <v>8403</v>
      </c>
      <c r="D2102" t="s">
        <v>3160</v>
      </c>
      <c r="E2102" t="s">
        <v>18</v>
      </c>
      <c r="F2102" t="s">
        <v>19</v>
      </c>
      <c r="G2102">
        <v>4288.8999999999996</v>
      </c>
      <c r="H2102">
        <v>2398.27</v>
      </c>
      <c r="I2102" t="s">
        <v>63</v>
      </c>
      <c r="J2102" t="s">
        <v>54</v>
      </c>
      <c r="K2102" t="s">
        <v>32</v>
      </c>
      <c r="L2102" t="s">
        <v>88</v>
      </c>
      <c r="M2102">
        <v>3</v>
      </c>
      <c r="N2102" t="s">
        <v>33</v>
      </c>
      <c r="O2102" t="s">
        <v>25</v>
      </c>
      <c r="P2102" t="s">
        <v>34</v>
      </c>
    </row>
    <row r="2103" spans="1:16" x14ac:dyDescent="0.25">
      <c r="A2103" t="s">
        <v>4895</v>
      </c>
      <c r="B2103" s="6">
        <v>44075</v>
      </c>
      <c r="C2103">
        <v>5252</v>
      </c>
      <c r="D2103" t="s">
        <v>4897</v>
      </c>
      <c r="E2103" t="s">
        <v>38</v>
      </c>
      <c r="F2103" t="s">
        <v>30</v>
      </c>
      <c r="G2103">
        <v>28946.65</v>
      </c>
      <c r="H2103">
        <v>15517.21</v>
      </c>
      <c r="I2103" t="s">
        <v>53</v>
      </c>
      <c r="J2103" t="s">
        <v>54</v>
      </c>
      <c r="K2103" t="s">
        <v>22</v>
      </c>
      <c r="L2103" t="s">
        <v>48</v>
      </c>
      <c r="M2103">
        <v>1</v>
      </c>
      <c r="N2103" t="s">
        <v>33</v>
      </c>
      <c r="O2103" t="s">
        <v>25</v>
      </c>
      <c r="P2103" t="s">
        <v>26</v>
      </c>
    </row>
    <row r="2104" spans="1:16" x14ac:dyDescent="0.25">
      <c r="A2104" t="s">
        <v>4898</v>
      </c>
      <c r="B2104" s="6">
        <v>44491</v>
      </c>
      <c r="C2104">
        <v>7636</v>
      </c>
      <c r="D2104" t="s">
        <v>4899</v>
      </c>
      <c r="E2104" t="s">
        <v>38</v>
      </c>
      <c r="F2104" t="s">
        <v>47</v>
      </c>
      <c r="G2104">
        <v>9395.43</v>
      </c>
      <c r="H2104">
        <v>5263.79</v>
      </c>
      <c r="I2104" t="s">
        <v>68</v>
      </c>
      <c r="J2104" t="s">
        <v>41</v>
      </c>
      <c r="K2104" t="s">
        <v>80</v>
      </c>
      <c r="L2104" t="s">
        <v>48</v>
      </c>
      <c r="M2104">
        <v>5</v>
      </c>
      <c r="N2104" t="s">
        <v>24</v>
      </c>
      <c r="O2104" t="s">
        <v>70</v>
      </c>
      <c r="P2104" t="s">
        <v>49</v>
      </c>
    </row>
    <row r="2105" spans="1:16" x14ac:dyDescent="0.25">
      <c r="A2105" t="s">
        <v>4900</v>
      </c>
      <c r="B2105" s="6">
        <v>45446</v>
      </c>
      <c r="C2105">
        <v>6142</v>
      </c>
      <c r="D2105" t="s">
        <v>4901</v>
      </c>
      <c r="E2105" t="s">
        <v>18</v>
      </c>
      <c r="F2105" t="s">
        <v>58</v>
      </c>
      <c r="G2105">
        <v>19937.150000000001</v>
      </c>
      <c r="H2105">
        <v>10458.26</v>
      </c>
      <c r="I2105" t="s">
        <v>31</v>
      </c>
      <c r="J2105" t="s">
        <v>21</v>
      </c>
      <c r="K2105" t="s">
        <v>80</v>
      </c>
      <c r="L2105" t="s">
        <v>48</v>
      </c>
      <c r="M2105">
        <v>4</v>
      </c>
      <c r="N2105" t="s">
        <v>33</v>
      </c>
      <c r="O2105" t="s">
        <v>70</v>
      </c>
      <c r="P2105" t="s">
        <v>49</v>
      </c>
    </row>
    <row r="2106" spans="1:16" x14ac:dyDescent="0.25">
      <c r="A2106" t="s">
        <v>4902</v>
      </c>
      <c r="B2106" s="6">
        <v>45377</v>
      </c>
      <c r="C2106">
        <v>6549</v>
      </c>
      <c r="D2106" t="s">
        <v>1504</v>
      </c>
      <c r="E2106" t="s">
        <v>38</v>
      </c>
      <c r="F2106" t="s">
        <v>58</v>
      </c>
      <c r="G2106">
        <v>22712.77</v>
      </c>
      <c r="H2106">
        <v>12576.78</v>
      </c>
      <c r="I2106" t="s">
        <v>84</v>
      </c>
      <c r="J2106" t="s">
        <v>54</v>
      </c>
      <c r="K2106" t="s">
        <v>22</v>
      </c>
      <c r="L2106" t="s">
        <v>55</v>
      </c>
      <c r="M2106">
        <v>1</v>
      </c>
      <c r="N2106" t="s">
        <v>33</v>
      </c>
      <c r="O2106" t="s">
        <v>25</v>
      </c>
      <c r="P2106" t="s">
        <v>34</v>
      </c>
    </row>
    <row r="2107" spans="1:16" x14ac:dyDescent="0.25">
      <c r="A2107" t="s">
        <v>4904</v>
      </c>
      <c r="B2107" s="6">
        <v>44022</v>
      </c>
      <c r="C2107">
        <v>1897</v>
      </c>
      <c r="D2107" t="s">
        <v>4905</v>
      </c>
      <c r="E2107" t="s">
        <v>38</v>
      </c>
      <c r="F2107" t="s">
        <v>47</v>
      </c>
      <c r="G2107">
        <v>6663.33</v>
      </c>
      <c r="H2107">
        <v>3870.16</v>
      </c>
      <c r="I2107" t="s">
        <v>68</v>
      </c>
      <c r="J2107" t="s">
        <v>41</v>
      </c>
      <c r="K2107" t="s">
        <v>22</v>
      </c>
      <c r="L2107" t="s">
        <v>43</v>
      </c>
      <c r="M2107">
        <v>3</v>
      </c>
      <c r="N2107" t="s">
        <v>24</v>
      </c>
      <c r="O2107" t="s">
        <v>70</v>
      </c>
      <c r="P2107" t="s">
        <v>26</v>
      </c>
    </row>
    <row r="2108" spans="1:16" x14ac:dyDescent="0.25">
      <c r="A2108" t="s">
        <v>4906</v>
      </c>
      <c r="B2108" s="6">
        <v>45310</v>
      </c>
      <c r="C2108">
        <v>6505</v>
      </c>
      <c r="D2108" t="s">
        <v>4907</v>
      </c>
      <c r="E2108" t="s">
        <v>18</v>
      </c>
      <c r="F2108" t="s">
        <v>19</v>
      </c>
      <c r="G2108">
        <v>17769.009999999998</v>
      </c>
      <c r="H2108">
        <v>10383.65</v>
      </c>
      <c r="I2108" t="s">
        <v>53</v>
      </c>
      <c r="J2108" t="s">
        <v>54</v>
      </c>
      <c r="K2108" t="s">
        <v>32</v>
      </c>
      <c r="L2108" t="s">
        <v>43</v>
      </c>
      <c r="M2108">
        <v>4</v>
      </c>
      <c r="N2108" t="s">
        <v>24</v>
      </c>
      <c r="O2108" t="s">
        <v>25</v>
      </c>
      <c r="P2108" t="s">
        <v>34</v>
      </c>
    </row>
    <row r="2109" spans="1:16" x14ac:dyDescent="0.25">
      <c r="A2109" t="s">
        <v>4908</v>
      </c>
      <c r="B2109" s="6">
        <v>43836</v>
      </c>
      <c r="C2109">
        <v>6098</v>
      </c>
      <c r="D2109" t="s">
        <v>4910</v>
      </c>
      <c r="E2109" t="s">
        <v>18</v>
      </c>
      <c r="F2109" t="s">
        <v>58</v>
      </c>
      <c r="G2109">
        <v>22579.119999999999</v>
      </c>
      <c r="H2109">
        <v>11081.87</v>
      </c>
      <c r="I2109" t="s">
        <v>120</v>
      </c>
      <c r="J2109" t="s">
        <v>21</v>
      </c>
      <c r="K2109" t="s">
        <v>32</v>
      </c>
      <c r="L2109" t="s">
        <v>43</v>
      </c>
      <c r="M2109">
        <v>3</v>
      </c>
      <c r="N2109" t="s">
        <v>33</v>
      </c>
      <c r="O2109" t="s">
        <v>70</v>
      </c>
      <c r="P2109" t="s">
        <v>49</v>
      </c>
    </row>
    <row r="2110" spans="1:16" x14ac:dyDescent="0.25">
      <c r="A2110" t="s">
        <v>4911</v>
      </c>
      <c r="B2110" s="6">
        <v>45404</v>
      </c>
      <c r="C2110">
        <v>3301</v>
      </c>
      <c r="D2110" t="s">
        <v>4912</v>
      </c>
      <c r="E2110" t="s">
        <v>18</v>
      </c>
      <c r="F2110" t="s">
        <v>58</v>
      </c>
      <c r="G2110">
        <v>54313.54</v>
      </c>
      <c r="H2110">
        <v>27476.66</v>
      </c>
      <c r="I2110" t="s">
        <v>53</v>
      </c>
      <c r="J2110" t="s">
        <v>54</v>
      </c>
      <c r="K2110" t="s">
        <v>42</v>
      </c>
      <c r="L2110" t="s">
        <v>23</v>
      </c>
      <c r="M2110">
        <v>2</v>
      </c>
      <c r="N2110" t="s">
        <v>33</v>
      </c>
      <c r="O2110" t="s">
        <v>70</v>
      </c>
      <c r="P2110" t="s">
        <v>34</v>
      </c>
    </row>
    <row r="2111" spans="1:16" x14ac:dyDescent="0.25">
      <c r="A2111" t="s">
        <v>4913</v>
      </c>
      <c r="B2111" s="6">
        <v>45536</v>
      </c>
      <c r="C2111">
        <v>2196</v>
      </c>
      <c r="D2111" t="s">
        <v>4914</v>
      </c>
      <c r="E2111" t="s">
        <v>38</v>
      </c>
      <c r="F2111" t="s">
        <v>47</v>
      </c>
      <c r="G2111">
        <v>13050.5</v>
      </c>
      <c r="H2111">
        <v>7235.59</v>
      </c>
      <c r="I2111" t="s">
        <v>63</v>
      </c>
      <c r="J2111" t="s">
        <v>54</v>
      </c>
      <c r="K2111" t="s">
        <v>42</v>
      </c>
      <c r="L2111" t="s">
        <v>64</v>
      </c>
      <c r="M2111">
        <v>2</v>
      </c>
      <c r="N2111" t="s">
        <v>24</v>
      </c>
      <c r="O2111" t="s">
        <v>25</v>
      </c>
      <c r="P2111" t="s">
        <v>26</v>
      </c>
    </row>
    <row r="2112" spans="1:16" x14ac:dyDescent="0.25">
      <c r="A2112" t="s">
        <v>4915</v>
      </c>
      <c r="B2112" s="6">
        <v>45384</v>
      </c>
      <c r="C2112">
        <v>3151</v>
      </c>
      <c r="D2112" t="s">
        <v>4916</v>
      </c>
      <c r="E2112" t="s">
        <v>18</v>
      </c>
      <c r="F2112" t="s">
        <v>58</v>
      </c>
      <c r="G2112">
        <v>48056.49</v>
      </c>
      <c r="H2112">
        <v>30437.54</v>
      </c>
      <c r="I2112" t="s">
        <v>63</v>
      </c>
      <c r="J2112" t="s">
        <v>54</v>
      </c>
      <c r="K2112" t="s">
        <v>80</v>
      </c>
      <c r="L2112" t="s">
        <v>43</v>
      </c>
      <c r="M2112">
        <v>3</v>
      </c>
      <c r="N2112" t="s">
        <v>69</v>
      </c>
      <c r="O2112" t="s">
        <v>25</v>
      </c>
      <c r="P2112" t="s">
        <v>34</v>
      </c>
    </row>
    <row r="2113" spans="1:16" x14ac:dyDescent="0.25">
      <c r="A2113" t="s">
        <v>4917</v>
      </c>
      <c r="B2113" s="6">
        <v>44951</v>
      </c>
      <c r="C2113">
        <v>2039</v>
      </c>
      <c r="D2113" t="s">
        <v>4918</v>
      </c>
      <c r="E2113" t="s">
        <v>18</v>
      </c>
      <c r="F2113" t="s">
        <v>58</v>
      </c>
      <c r="G2113">
        <v>47461.7</v>
      </c>
      <c r="H2113">
        <v>27691.3</v>
      </c>
      <c r="I2113" t="s">
        <v>20</v>
      </c>
      <c r="J2113" t="s">
        <v>21</v>
      </c>
      <c r="K2113" t="s">
        <v>32</v>
      </c>
      <c r="L2113" t="s">
        <v>48</v>
      </c>
      <c r="M2113">
        <v>2</v>
      </c>
      <c r="N2113" t="s">
        <v>69</v>
      </c>
      <c r="O2113" t="s">
        <v>70</v>
      </c>
      <c r="P2113" t="s">
        <v>49</v>
      </c>
    </row>
    <row r="2114" spans="1:16" x14ac:dyDescent="0.25">
      <c r="A2114" t="s">
        <v>4919</v>
      </c>
      <c r="B2114" s="6">
        <v>44860</v>
      </c>
      <c r="C2114">
        <v>9115</v>
      </c>
      <c r="D2114" t="s">
        <v>4920</v>
      </c>
      <c r="E2114" t="s">
        <v>18</v>
      </c>
      <c r="F2114" t="s">
        <v>58</v>
      </c>
      <c r="G2114">
        <v>7653</v>
      </c>
      <c r="H2114">
        <v>4650.01</v>
      </c>
      <c r="I2114" t="s">
        <v>68</v>
      </c>
      <c r="J2114" t="s">
        <v>41</v>
      </c>
      <c r="K2114" t="s">
        <v>32</v>
      </c>
      <c r="L2114" t="s">
        <v>55</v>
      </c>
      <c r="M2114">
        <v>3</v>
      </c>
      <c r="N2114" t="s">
        <v>69</v>
      </c>
      <c r="O2114" t="s">
        <v>25</v>
      </c>
      <c r="P2114" t="s">
        <v>34</v>
      </c>
    </row>
    <row r="2115" spans="1:16" x14ac:dyDescent="0.25">
      <c r="A2115" t="s">
        <v>4921</v>
      </c>
      <c r="B2115" s="6">
        <v>44980</v>
      </c>
      <c r="C2115">
        <v>7339</v>
      </c>
      <c r="D2115" t="s">
        <v>4922</v>
      </c>
      <c r="E2115" t="s">
        <v>18</v>
      </c>
      <c r="F2115" t="s">
        <v>30</v>
      </c>
      <c r="G2115">
        <v>61711.99</v>
      </c>
      <c r="H2115">
        <v>32763.65</v>
      </c>
      <c r="I2115" t="s">
        <v>31</v>
      </c>
      <c r="J2115" t="s">
        <v>21</v>
      </c>
      <c r="K2115" t="s">
        <v>22</v>
      </c>
      <c r="L2115" t="s">
        <v>88</v>
      </c>
      <c r="M2115">
        <v>3</v>
      </c>
      <c r="N2115" t="s">
        <v>33</v>
      </c>
      <c r="O2115" t="s">
        <v>25</v>
      </c>
      <c r="P2115" t="s">
        <v>26</v>
      </c>
    </row>
    <row r="2116" spans="1:16" x14ac:dyDescent="0.25">
      <c r="A2116" t="s">
        <v>4923</v>
      </c>
      <c r="B2116" s="6">
        <v>45295</v>
      </c>
      <c r="C2116">
        <v>3006</v>
      </c>
      <c r="D2116" t="s">
        <v>4925</v>
      </c>
      <c r="E2116" t="s">
        <v>38</v>
      </c>
      <c r="F2116" t="s">
        <v>47</v>
      </c>
      <c r="G2116">
        <v>18487.939999999999</v>
      </c>
      <c r="H2116">
        <v>11188.81</v>
      </c>
      <c r="I2116" t="s">
        <v>63</v>
      </c>
      <c r="J2116" t="s">
        <v>54</v>
      </c>
      <c r="K2116" t="s">
        <v>22</v>
      </c>
      <c r="L2116" t="s">
        <v>88</v>
      </c>
      <c r="M2116">
        <v>3</v>
      </c>
      <c r="N2116" t="s">
        <v>24</v>
      </c>
      <c r="O2116" t="s">
        <v>70</v>
      </c>
      <c r="P2116" t="s">
        <v>26</v>
      </c>
    </row>
    <row r="2117" spans="1:16" x14ac:dyDescent="0.25">
      <c r="A2117" t="s">
        <v>4926</v>
      </c>
      <c r="B2117" s="6">
        <v>44979</v>
      </c>
      <c r="C2117">
        <v>1624</v>
      </c>
      <c r="D2117" t="s">
        <v>4927</v>
      </c>
      <c r="E2117" t="s">
        <v>18</v>
      </c>
      <c r="F2117" t="s">
        <v>58</v>
      </c>
      <c r="G2117">
        <v>15617.7</v>
      </c>
      <c r="H2117">
        <v>8789.4</v>
      </c>
      <c r="I2117" t="s">
        <v>40</v>
      </c>
      <c r="J2117" t="s">
        <v>41</v>
      </c>
      <c r="K2117" t="s">
        <v>42</v>
      </c>
      <c r="L2117" t="s">
        <v>88</v>
      </c>
      <c r="M2117">
        <v>5</v>
      </c>
      <c r="N2117" t="s">
        <v>69</v>
      </c>
      <c r="O2117" t="s">
        <v>25</v>
      </c>
      <c r="P2117" t="s">
        <v>34</v>
      </c>
    </row>
    <row r="2118" spans="1:16" x14ac:dyDescent="0.25">
      <c r="A2118" t="s">
        <v>4928</v>
      </c>
      <c r="B2118" s="6">
        <v>45548</v>
      </c>
      <c r="C2118">
        <v>7782</v>
      </c>
      <c r="D2118" t="s">
        <v>4929</v>
      </c>
      <c r="E2118" t="s">
        <v>18</v>
      </c>
      <c r="F2118" t="s">
        <v>47</v>
      </c>
      <c r="G2118">
        <v>16730.830000000002</v>
      </c>
      <c r="H2118">
        <v>9057.18</v>
      </c>
      <c r="I2118" t="s">
        <v>84</v>
      </c>
      <c r="J2118" t="s">
        <v>54</v>
      </c>
      <c r="K2118" t="s">
        <v>42</v>
      </c>
      <c r="L2118" t="s">
        <v>64</v>
      </c>
      <c r="M2118">
        <v>4</v>
      </c>
      <c r="N2118" t="s">
        <v>24</v>
      </c>
      <c r="O2118" t="s">
        <v>25</v>
      </c>
      <c r="P2118" t="s">
        <v>49</v>
      </c>
    </row>
    <row r="2119" spans="1:16" x14ac:dyDescent="0.25">
      <c r="A2119" t="s">
        <v>4930</v>
      </c>
      <c r="B2119" s="6">
        <v>43963</v>
      </c>
      <c r="C2119">
        <v>5492</v>
      </c>
      <c r="D2119" t="s">
        <v>4932</v>
      </c>
      <c r="E2119" t="s">
        <v>18</v>
      </c>
      <c r="F2119" t="s">
        <v>30</v>
      </c>
      <c r="G2119">
        <v>25701.439999999999</v>
      </c>
      <c r="H2119">
        <v>14984.74</v>
      </c>
      <c r="I2119" t="s">
        <v>120</v>
      </c>
      <c r="J2119" t="s">
        <v>21</v>
      </c>
      <c r="K2119" t="s">
        <v>22</v>
      </c>
      <c r="L2119" t="s">
        <v>88</v>
      </c>
      <c r="M2119">
        <v>5</v>
      </c>
      <c r="N2119" t="s">
        <v>33</v>
      </c>
      <c r="O2119" t="s">
        <v>70</v>
      </c>
      <c r="P2119" t="s">
        <v>49</v>
      </c>
    </row>
    <row r="2120" spans="1:16" x14ac:dyDescent="0.25">
      <c r="A2120" t="s">
        <v>4933</v>
      </c>
      <c r="B2120" s="6">
        <v>45637</v>
      </c>
      <c r="C2120">
        <v>9743</v>
      </c>
      <c r="D2120" t="s">
        <v>4934</v>
      </c>
      <c r="E2120" t="s">
        <v>38</v>
      </c>
      <c r="F2120" t="s">
        <v>58</v>
      </c>
      <c r="G2120">
        <v>37204.730000000003</v>
      </c>
      <c r="H2120">
        <v>22343.3</v>
      </c>
      <c r="I2120" t="s">
        <v>53</v>
      </c>
      <c r="J2120" t="s">
        <v>54</v>
      </c>
      <c r="K2120" t="s">
        <v>22</v>
      </c>
      <c r="L2120" t="s">
        <v>43</v>
      </c>
      <c r="M2120">
        <v>3</v>
      </c>
      <c r="N2120" t="s">
        <v>33</v>
      </c>
      <c r="O2120" t="s">
        <v>25</v>
      </c>
      <c r="P2120" t="s">
        <v>34</v>
      </c>
    </row>
    <row r="2121" spans="1:16" x14ac:dyDescent="0.25">
      <c r="A2121" t="s">
        <v>4935</v>
      </c>
      <c r="B2121" s="6">
        <v>44802</v>
      </c>
      <c r="C2121">
        <v>7149</v>
      </c>
      <c r="D2121" t="s">
        <v>4936</v>
      </c>
      <c r="E2121" t="s">
        <v>38</v>
      </c>
      <c r="F2121" t="s">
        <v>47</v>
      </c>
      <c r="G2121">
        <v>9780.6299999999992</v>
      </c>
      <c r="H2121">
        <v>4429.3</v>
      </c>
      <c r="I2121" t="s">
        <v>31</v>
      </c>
      <c r="J2121" t="s">
        <v>21</v>
      </c>
      <c r="K2121" t="s">
        <v>80</v>
      </c>
      <c r="L2121" t="s">
        <v>23</v>
      </c>
      <c r="M2121">
        <v>5</v>
      </c>
      <c r="N2121" t="s">
        <v>69</v>
      </c>
      <c r="O2121" t="s">
        <v>70</v>
      </c>
      <c r="P2121" t="s">
        <v>26</v>
      </c>
    </row>
    <row r="2122" spans="1:16" x14ac:dyDescent="0.25">
      <c r="A2122" t="s">
        <v>4937</v>
      </c>
      <c r="B2122" s="6">
        <v>45568</v>
      </c>
      <c r="C2122">
        <v>8133</v>
      </c>
      <c r="D2122" t="s">
        <v>4938</v>
      </c>
      <c r="E2122" t="s">
        <v>18</v>
      </c>
      <c r="F2122" t="s">
        <v>39</v>
      </c>
      <c r="G2122">
        <v>48515.69</v>
      </c>
      <c r="H2122">
        <v>24824.91</v>
      </c>
      <c r="I2122" t="s">
        <v>53</v>
      </c>
      <c r="J2122" t="s">
        <v>54</v>
      </c>
      <c r="K2122" t="s">
        <v>32</v>
      </c>
      <c r="L2122" t="s">
        <v>88</v>
      </c>
      <c r="M2122">
        <v>4</v>
      </c>
      <c r="N2122" t="s">
        <v>69</v>
      </c>
      <c r="O2122" t="s">
        <v>25</v>
      </c>
      <c r="P2122" t="s">
        <v>49</v>
      </c>
    </row>
    <row r="2123" spans="1:16" x14ac:dyDescent="0.25">
      <c r="A2123" t="s">
        <v>4939</v>
      </c>
      <c r="B2123" s="6">
        <v>44990</v>
      </c>
      <c r="C2123">
        <v>7055</v>
      </c>
      <c r="D2123" t="s">
        <v>4940</v>
      </c>
      <c r="E2123" t="s">
        <v>38</v>
      </c>
      <c r="F2123" t="s">
        <v>39</v>
      </c>
      <c r="G2123">
        <v>10517.53</v>
      </c>
      <c r="H2123">
        <v>5779.67</v>
      </c>
      <c r="I2123" t="s">
        <v>40</v>
      </c>
      <c r="J2123" t="s">
        <v>41</v>
      </c>
      <c r="K2123" t="s">
        <v>80</v>
      </c>
      <c r="L2123" t="s">
        <v>48</v>
      </c>
      <c r="M2123">
        <v>3</v>
      </c>
      <c r="N2123" t="s">
        <v>33</v>
      </c>
      <c r="O2123" t="s">
        <v>25</v>
      </c>
      <c r="P2123" t="s">
        <v>34</v>
      </c>
    </row>
    <row r="2124" spans="1:16" x14ac:dyDescent="0.25">
      <c r="A2124" t="s">
        <v>4941</v>
      </c>
      <c r="B2124" s="6">
        <v>44272</v>
      </c>
      <c r="C2124">
        <v>3424</v>
      </c>
      <c r="D2124" t="s">
        <v>4942</v>
      </c>
      <c r="E2124" t="s">
        <v>38</v>
      </c>
      <c r="F2124" t="s">
        <v>47</v>
      </c>
      <c r="G2124">
        <v>3022.64</v>
      </c>
      <c r="H2124">
        <v>1482.95</v>
      </c>
      <c r="I2124" t="s">
        <v>59</v>
      </c>
      <c r="J2124" t="s">
        <v>41</v>
      </c>
      <c r="K2124" t="s">
        <v>32</v>
      </c>
      <c r="L2124" t="s">
        <v>88</v>
      </c>
      <c r="M2124">
        <v>4</v>
      </c>
      <c r="N2124" t="s">
        <v>69</v>
      </c>
      <c r="O2124" t="s">
        <v>25</v>
      </c>
      <c r="P2124" t="s">
        <v>34</v>
      </c>
    </row>
    <row r="2125" spans="1:16" x14ac:dyDescent="0.25">
      <c r="A2125" t="s">
        <v>4943</v>
      </c>
      <c r="B2125" s="6">
        <v>44761</v>
      </c>
      <c r="C2125">
        <v>8415</v>
      </c>
      <c r="D2125" t="s">
        <v>4944</v>
      </c>
      <c r="E2125" t="s">
        <v>18</v>
      </c>
      <c r="F2125" t="s">
        <v>47</v>
      </c>
      <c r="G2125">
        <v>3850.01</v>
      </c>
      <c r="H2125">
        <v>2468.46</v>
      </c>
      <c r="I2125" t="s">
        <v>31</v>
      </c>
      <c r="J2125" t="s">
        <v>21</v>
      </c>
      <c r="K2125" t="s">
        <v>22</v>
      </c>
      <c r="L2125" t="s">
        <v>88</v>
      </c>
      <c r="M2125">
        <v>2</v>
      </c>
      <c r="N2125" t="s">
        <v>33</v>
      </c>
      <c r="O2125" t="s">
        <v>25</v>
      </c>
      <c r="P2125" t="s">
        <v>49</v>
      </c>
    </row>
    <row r="2126" spans="1:16" x14ac:dyDescent="0.25">
      <c r="A2126" t="s">
        <v>4945</v>
      </c>
      <c r="B2126" s="6">
        <v>43891</v>
      </c>
      <c r="C2126">
        <v>5459</v>
      </c>
      <c r="D2126" t="s">
        <v>4946</v>
      </c>
      <c r="E2126" t="s">
        <v>38</v>
      </c>
      <c r="F2126" t="s">
        <v>58</v>
      </c>
      <c r="G2126">
        <v>23617.16</v>
      </c>
      <c r="H2126">
        <v>10706.41</v>
      </c>
      <c r="I2126" t="s">
        <v>59</v>
      </c>
      <c r="J2126" t="s">
        <v>41</v>
      </c>
      <c r="K2126" t="s">
        <v>32</v>
      </c>
      <c r="L2126" t="s">
        <v>88</v>
      </c>
      <c r="M2126">
        <v>2</v>
      </c>
      <c r="N2126" t="s">
        <v>33</v>
      </c>
      <c r="O2126" t="s">
        <v>25</v>
      </c>
      <c r="P2126" t="s">
        <v>49</v>
      </c>
    </row>
    <row r="2127" spans="1:16" x14ac:dyDescent="0.25">
      <c r="A2127" t="s">
        <v>4947</v>
      </c>
      <c r="B2127" s="6">
        <v>45588</v>
      </c>
      <c r="C2127">
        <v>5229</v>
      </c>
      <c r="D2127" t="s">
        <v>4948</v>
      </c>
      <c r="E2127" t="s">
        <v>18</v>
      </c>
      <c r="F2127" t="s">
        <v>30</v>
      </c>
      <c r="G2127">
        <v>81205.3</v>
      </c>
      <c r="H2127">
        <v>49418.79</v>
      </c>
      <c r="I2127" t="s">
        <v>20</v>
      </c>
      <c r="J2127" t="s">
        <v>21</v>
      </c>
      <c r="K2127" t="s">
        <v>42</v>
      </c>
      <c r="L2127" t="s">
        <v>48</v>
      </c>
      <c r="M2127">
        <v>1</v>
      </c>
      <c r="N2127" t="s">
        <v>33</v>
      </c>
      <c r="O2127" t="s">
        <v>25</v>
      </c>
      <c r="P2127" t="s">
        <v>49</v>
      </c>
    </row>
    <row r="2128" spans="1:16" x14ac:dyDescent="0.25">
      <c r="A2128" t="s">
        <v>4949</v>
      </c>
      <c r="B2128" s="6">
        <v>44662</v>
      </c>
      <c r="C2128">
        <v>8628</v>
      </c>
      <c r="D2128" t="s">
        <v>4951</v>
      </c>
      <c r="E2128" t="s">
        <v>38</v>
      </c>
      <c r="F2128" t="s">
        <v>30</v>
      </c>
      <c r="G2128">
        <v>41397.81</v>
      </c>
      <c r="H2128">
        <v>23133.03</v>
      </c>
      <c r="I2128" t="s">
        <v>59</v>
      </c>
      <c r="J2128" t="s">
        <v>41</v>
      </c>
      <c r="K2128" t="s">
        <v>42</v>
      </c>
      <c r="L2128" t="s">
        <v>55</v>
      </c>
      <c r="M2128">
        <v>2</v>
      </c>
      <c r="N2128" t="s">
        <v>33</v>
      </c>
      <c r="O2128" t="s">
        <v>25</v>
      </c>
      <c r="P2128" t="s">
        <v>49</v>
      </c>
    </row>
    <row r="2129" spans="1:16" x14ac:dyDescent="0.25">
      <c r="A2129" t="s">
        <v>4952</v>
      </c>
      <c r="B2129" s="6">
        <v>45216</v>
      </c>
      <c r="C2129">
        <v>9471</v>
      </c>
      <c r="D2129" t="s">
        <v>4953</v>
      </c>
      <c r="E2129" t="s">
        <v>18</v>
      </c>
      <c r="F2129" t="s">
        <v>58</v>
      </c>
      <c r="G2129">
        <v>36684.800000000003</v>
      </c>
      <c r="H2129">
        <v>21300.25</v>
      </c>
      <c r="I2129" t="s">
        <v>63</v>
      </c>
      <c r="J2129" t="s">
        <v>54</v>
      </c>
      <c r="K2129" t="s">
        <v>22</v>
      </c>
      <c r="L2129" t="s">
        <v>48</v>
      </c>
      <c r="M2129">
        <v>5</v>
      </c>
      <c r="N2129" t="s">
        <v>33</v>
      </c>
      <c r="O2129" t="s">
        <v>70</v>
      </c>
      <c r="P2129" t="s">
        <v>26</v>
      </c>
    </row>
    <row r="2130" spans="1:16" x14ac:dyDescent="0.25">
      <c r="A2130" t="s">
        <v>4954</v>
      </c>
      <c r="B2130" s="6">
        <v>45242</v>
      </c>
      <c r="C2130">
        <v>4556</v>
      </c>
      <c r="D2130" t="s">
        <v>3395</v>
      </c>
      <c r="E2130" t="s">
        <v>38</v>
      </c>
      <c r="F2130" t="s">
        <v>47</v>
      </c>
      <c r="G2130">
        <v>6054.99</v>
      </c>
      <c r="H2130">
        <v>3298.12</v>
      </c>
      <c r="I2130" t="s">
        <v>59</v>
      </c>
      <c r="J2130" t="s">
        <v>41</v>
      </c>
      <c r="K2130" t="s">
        <v>42</v>
      </c>
      <c r="L2130" t="s">
        <v>88</v>
      </c>
      <c r="M2130">
        <v>2</v>
      </c>
      <c r="N2130" t="s">
        <v>33</v>
      </c>
      <c r="O2130" t="s">
        <v>70</v>
      </c>
      <c r="P2130" t="s">
        <v>34</v>
      </c>
    </row>
    <row r="2131" spans="1:16" x14ac:dyDescent="0.25">
      <c r="A2131" t="s">
        <v>4956</v>
      </c>
      <c r="B2131" s="6">
        <v>45544</v>
      </c>
      <c r="C2131">
        <v>3442</v>
      </c>
      <c r="D2131" t="s">
        <v>990</v>
      </c>
      <c r="E2131" t="s">
        <v>38</v>
      </c>
      <c r="F2131" t="s">
        <v>58</v>
      </c>
      <c r="G2131">
        <v>24375.26</v>
      </c>
      <c r="H2131">
        <v>14614.68</v>
      </c>
      <c r="I2131" t="s">
        <v>31</v>
      </c>
      <c r="J2131" t="s">
        <v>21</v>
      </c>
      <c r="K2131" t="s">
        <v>32</v>
      </c>
      <c r="L2131" t="s">
        <v>48</v>
      </c>
      <c r="M2131">
        <v>3</v>
      </c>
      <c r="N2131" t="s">
        <v>33</v>
      </c>
      <c r="O2131" t="s">
        <v>25</v>
      </c>
      <c r="P2131" t="s">
        <v>34</v>
      </c>
    </row>
    <row r="2132" spans="1:16" x14ac:dyDescent="0.25">
      <c r="A2132" t="s">
        <v>4957</v>
      </c>
      <c r="B2132" s="6">
        <v>44209</v>
      </c>
      <c r="C2132">
        <v>1754</v>
      </c>
      <c r="D2132" t="s">
        <v>4958</v>
      </c>
      <c r="E2132" t="s">
        <v>18</v>
      </c>
      <c r="F2132" t="s">
        <v>30</v>
      </c>
      <c r="G2132">
        <v>19366.53</v>
      </c>
      <c r="H2132">
        <v>10130.719999999999</v>
      </c>
      <c r="I2132" t="s">
        <v>40</v>
      </c>
      <c r="J2132" t="s">
        <v>41</v>
      </c>
      <c r="K2132" t="s">
        <v>32</v>
      </c>
      <c r="L2132" t="s">
        <v>43</v>
      </c>
      <c r="M2132">
        <v>4</v>
      </c>
      <c r="N2132" t="s">
        <v>33</v>
      </c>
      <c r="O2132" t="s">
        <v>70</v>
      </c>
      <c r="P2132" t="s">
        <v>34</v>
      </c>
    </row>
    <row r="2133" spans="1:16" x14ac:dyDescent="0.25">
      <c r="A2133" t="s">
        <v>4959</v>
      </c>
      <c r="B2133" s="6">
        <v>44584</v>
      </c>
      <c r="C2133">
        <v>3105</v>
      </c>
      <c r="D2133" t="s">
        <v>4961</v>
      </c>
      <c r="E2133" t="s">
        <v>38</v>
      </c>
      <c r="F2133" t="s">
        <v>39</v>
      </c>
      <c r="G2133">
        <v>20249.43</v>
      </c>
      <c r="H2133">
        <v>11974.58</v>
      </c>
      <c r="I2133" t="s">
        <v>53</v>
      </c>
      <c r="J2133" t="s">
        <v>54</v>
      </c>
      <c r="K2133" t="s">
        <v>80</v>
      </c>
      <c r="L2133" t="s">
        <v>55</v>
      </c>
      <c r="M2133">
        <v>2</v>
      </c>
      <c r="N2133" t="s">
        <v>33</v>
      </c>
      <c r="O2133" t="s">
        <v>25</v>
      </c>
      <c r="P2133" t="s">
        <v>26</v>
      </c>
    </row>
    <row r="2134" spans="1:16" x14ac:dyDescent="0.25">
      <c r="A2134" t="s">
        <v>4962</v>
      </c>
      <c r="B2134" s="6">
        <v>44746</v>
      </c>
      <c r="C2134">
        <v>4106</v>
      </c>
      <c r="D2134" t="s">
        <v>4963</v>
      </c>
      <c r="E2134" t="s">
        <v>18</v>
      </c>
      <c r="F2134" t="s">
        <v>19</v>
      </c>
      <c r="G2134">
        <v>10662.67</v>
      </c>
      <c r="H2134">
        <v>6397.74</v>
      </c>
      <c r="I2134" t="s">
        <v>63</v>
      </c>
      <c r="J2134" t="s">
        <v>54</v>
      </c>
      <c r="K2134" t="s">
        <v>32</v>
      </c>
      <c r="L2134" t="s">
        <v>64</v>
      </c>
      <c r="M2134">
        <v>2</v>
      </c>
      <c r="N2134" t="s">
        <v>33</v>
      </c>
      <c r="O2134" t="s">
        <v>70</v>
      </c>
      <c r="P2134" t="s">
        <v>34</v>
      </c>
    </row>
    <row r="2135" spans="1:16" x14ac:dyDescent="0.25">
      <c r="A2135" t="s">
        <v>4964</v>
      </c>
      <c r="B2135" s="6">
        <v>43965</v>
      </c>
      <c r="C2135">
        <v>1062</v>
      </c>
      <c r="D2135" t="s">
        <v>4965</v>
      </c>
      <c r="E2135" t="s">
        <v>18</v>
      </c>
      <c r="F2135" t="s">
        <v>47</v>
      </c>
      <c r="G2135">
        <v>1513.3</v>
      </c>
      <c r="H2135">
        <v>798.32</v>
      </c>
      <c r="I2135" t="s">
        <v>40</v>
      </c>
      <c r="J2135" t="s">
        <v>41</v>
      </c>
      <c r="K2135" t="s">
        <v>42</v>
      </c>
      <c r="L2135" t="s">
        <v>88</v>
      </c>
      <c r="M2135">
        <v>3</v>
      </c>
      <c r="N2135" t="s">
        <v>33</v>
      </c>
      <c r="O2135" t="s">
        <v>70</v>
      </c>
      <c r="P2135" t="s">
        <v>49</v>
      </c>
    </row>
    <row r="2136" spans="1:16" x14ac:dyDescent="0.25">
      <c r="A2136" t="s">
        <v>4966</v>
      </c>
      <c r="B2136" s="6">
        <v>45065</v>
      </c>
      <c r="C2136">
        <v>4498</v>
      </c>
      <c r="D2136" t="s">
        <v>4967</v>
      </c>
      <c r="E2136" t="s">
        <v>18</v>
      </c>
      <c r="F2136" t="s">
        <v>39</v>
      </c>
      <c r="G2136">
        <v>36763.550000000003</v>
      </c>
      <c r="H2136">
        <v>21045.88</v>
      </c>
      <c r="I2136" t="s">
        <v>53</v>
      </c>
      <c r="J2136" t="s">
        <v>54</v>
      </c>
      <c r="K2136" t="s">
        <v>80</v>
      </c>
      <c r="L2136" t="s">
        <v>55</v>
      </c>
      <c r="M2136">
        <v>1</v>
      </c>
      <c r="N2136" t="s">
        <v>24</v>
      </c>
      <c r="O2136" t="s">
        <v>25</v>
      </c>
      <c r="P2136" t="s">
        <v>26</v>
      </c>
    </row>
    <row r="2137" spans="1:16" x14ac:dyDescent="0.25">
      <c r="A2137" t="s">
        <v>4968</v>
      </c>
      <c r="B2137" s="6">
        <v>45376</v>
      </c>
      <c r="C2137">
        <v>8080</v>
      </c>
      <c r="D2137" t="s">
        <v>4969</v>
      </c>
      <c r="E2137" t="s">
        <v>38</v>
      </c>
      <c r="F2137" t="s">
        <v>19</v>
      </c>
      <c r="G2137">
        <v>3668.54</v>
      </c>
      <c r="H2137">
        <v>1669.3</v>
      </c>
      <c r="I2137" t="s">
        <v>59</v>
      </c>
      <c r="J2137" t="s">
        <v>41</v>
      </c>
      <c r="K2137" t="s">
        <v>22</v>
      </c>
      <c r="L2137" t="s">
        <v>48</v>
      </c>
      <c r="M2137">
        <v>2</v>
      </c>
      <c r="N2137" t="s">
        <v>24</v>
      </c>
      <c r="O2137" t="s">
        <v>25</v>
      </c>
      <c r="P2137" t="s">
        <v>34</v>
      </c>
    </row>
    <row r="2138" spans="1:16" x14ac:dyDescent="0.25">
      <c r="A2138" t="s">
        <v>4970</v>
      </c>
      <c r="B2138" s="6">
        <v>45569</v>
      </c>
      <c r="C2138">
        <v>7772</v>
      </c>
      <c r="D2138" t="s">
        <v>4971</v>
      </c>
      <c r="E2138" t="s">
        <v>18</v>
      </c>
      <c r="F2138" t="s">
        <v>30</v>
      </c>
      <c r="G2138">
        <v>98335.96</v>
      </c>
      <c r="H2138">
        <v>54546.82</v>
      </c>
      <c r="I2138" t="s">
        <v>84</v>
      </c>
      <c r="J2138" t="s">
        <v>54</v>
      </c>
      <c r="K2138" t="s">
        <v>22</v>
      </c>
      <c r="L2138" t="s">
        <v>64</v>
      </c>
      <c r="M2138">
        <v>5</v>
      </c>
      <c r="N2138" t="s">
        <v>33</v>
      </c>
      <c r="O2138" t="s">
        <v>70</v>
      </c>
      <c r="P2138" t="s">
        <v>26</v>
      </c>
    </row>
    <row r="2139" spans="1:16" x14ac:dyDescent="0.25">
      <c r="A2139" t="s">
        <v>4972</v>
      </c>
      <c r="B2139" s="6">
        <v>45057</v>
      </c>
      <c r="C2139">
        <v>8476</v>
      </c>
      <c r="D2139" t="s">
        <v>4974</v>
      </c>
      <c r="E2139" t="s">
        <v>38</v>
      </c>
      <c r="F2139" t="s">
        <v>30</v>
      </c>
      <c r="G2139">
        <v>115046.51</v>
      </c>
      <c r="H2139">
        <v>56823.55</v>
      </c>
      <c r="I2139" t="s">
        <v>84</v>
      </c>
      <c r="J2139" t="s">
        <v>54</v>
      </c>
      <c r="K2139" t="s">
        <v>32</v>
      </c>
      <c r="L2139" t="s">
        <v>64</v>
      </c>
      <c r="M2139">
        <v>3</v>
      </c>
      <c r="N2139" t="s">
        <v>24</v>
      </c>
      <c r="O2139" t="s">
        <v>25</v>
      </c>
      <c r="P2139" t="s">
        <v>26</v>
      </c>
    </row>
    <row r="2140" spans="1:16" x14ac:dyDescent="0.25">
      <c r="A2140" t="s">
        <v>4975</v>
      </c>
      <c r="B2140" s="6">
        <v>44505</v>
      </c>
      <c r="C2140">
        <v>5326</v>
      </c>
      <c r="D2140" t="s">
        <v>4976</v>
      </c>
      <c r="E2140" t="s">
        <v>18</v>
      </c>
      <c r="F2140" t="s">
        <v>58</v>
      </c>
      <c r="G2140">
        <v>43234.76</v>
      </c>
      <c r="H2140">
        <v>23251.41</v>
      </c>
      <c r="I2140" t="s">
        <v>63</v>
      </c>
      <c r="J2140" t="s">
        <v>54</v>
      </c>
      <c r="K2140" t="s">
        <v>42</v>
      </c>
      <c r="L2140" t="s">
        <v>64</v>
      </c>
      <c r="M2140">
        <v>2</v>
      </c>
      <c r="N2140" t="s">
        <v>24</v>
      </c>
      <c r="O2140" t="s">
        <v>70</v>
      </c>
      <c r="P2140" t="s">
        <v>49</v>
      </c>
    </row>
    <row r="2141" spans="1:16" x14ac:dyDescent="0.25">
      <c r="A2141" t="s">
        <v>4977</v>
      </c>
      <c r="B2141" s="6">
        <v>45129</v>
      </c>
      <c r="C2141">
        <v>8591</v>
      </c>
      <c r="D2141" t="s">
        <v>4978</v>
      </c>
      <c r="E2141" t="s">
        <v>38</v>
      </c>
      <c r="F2141" t="s">
        <v>47</v>
      </c>
      <c r="G2141">
        <v>7113.81</v>
      </c>
      <c r="H2141">
        <v>4229.95</v>
      </c>
      <c r="I2141" t="s">
        <v>40</v>
      </c>
      <c r="J2141" t="s">
        <v>41</v>
      </c>
      <c r="K2141" t="s">
        <v>80</v>
      </c>
      <c r="L2141" t="s">
        <v>88</v>
      </c>
      <c r="M2141">
        <v>1</v>
      </c>
      <c r="N2141" t="s">
        <v>24</v>
      </c>
      <c r="O2141" t="s">
        <v>25</v>
      </c>
      <c r="P2141" t="s">
        <v>34</v>
      </c>
    </row>
    <row r="2142" spans="1:16" x14ac:dyDescent="0.25">
      <c r="A2142" t="s">
        <v>4979</v>
      </c>
      <c r="B2142" s="6">
        <v>44061</v>
      </c>
      <c r="C2142">
        <v>3281</v>
      </c>
      <c r="D2142" t="s">
        <v>4980</v>
      </c>
      <c r="E2142" t="s">
        <v>18</v>
      </c>
      <c r="F2142" t="s">
        <v>39</v>
      </c>
      <c r="G2142">
        <v>31687.78</v>
      </c>
      <c r="H2142">
        <v>17742.78</v>
      </c>
      <c r="I2142" t="s">
        <v>53</v>
      </c>
      <c r="J2142" t="s">
        <v>54</v>
      </c>
      <c r="K2142" t="s">
        <v>32</v>
      </c>
      <c r="L2142" t="s">
        <v>55</v>
      </c>
      <c r="M2142">
        <v>2</v>
      </c>
      <c r="N2142" t="s">
        <v>24</v>
      </c>
      <c r="O2142" t="s">
        <v>70</v>
      </c>
      <c r="P2142" t="s">
        <v>26</v>
      </c>
    </row>
    <row r="2143" spans="1:16" x14ac:dyDescent="0.25">
      <c r="A2143" t="s">
        <v>4981</v>
      </c>
      <c r="B2143" s="6">
        <v>45202</v>
      </c>
      <c r="C2143">
        <v>8876</v>
      </c>
      <c r="D2143" t="s">
        <v>4982</v>
      </c>
      <c r="E2143" t="s">
        <v>38</v>
      </c>
      <c r="F2143" t="s">
        <v>47</v>
      </c>
      <c r="G2143">
        <v>16604.12</v>
      </c>
      <c r="H2143">
        <v>7915.73</v>
      </c>
      <c r="I2143" t="s">
        <v>63</v>
      </c>
      <c r="J2143" t="s">
        <v>54</v>
      </c>
      <c r="K2143" t="s">
        <v>42</v>
      </c>
      <c r="L2143" t="s">
        <v>48</v>
      </c>
      <c r="M2143">
        <v>2</v>
      </c>
      <c r="N2143" t="s">
        <v>24</v>
      </c>
      <c r="O2143" t="s">
        <v>25</v>
      </c>
      <c r="P2143" t="s">
        <v>26</v>
      </c>
    </row>
    <row r="2144" spans="1:16" x14ac:dyDescent="0.25">
      <c r="A2144" t="s">
        <v>4983</v>
      </c>
      <c r="B2144" s="6">
        <v>45147</v>
      </c>
      <c r="C2144">
        <v>3721</v>
      </c>
      <c r="D2144" t="s">
        <v>4984</v>
      </c>
      <c r="E2144" t="s">
        <v>18</v>
      </c>
      <c r="F2144" t="s">
        <v>19</v>
      </c>
      <c r="G2144">
        <v>14276.05</v>
      </c>
      <c r="H2144">
        <v>7568.84</v>
      </c>
      <c r="I2144" t="s">
        <v>40</v>
      </c>
      <c r="J2144" t="s">
        <v>41</v>
      </c>
      <c r="K2144" t="s">
        <v>80</v>
      </c>
      <c r="L2144" t="s">
        <v>55</v>
      </c>
      <c r="M2144">
        <v>3</v>
      </c>
      <c r="N2144" t="s">
        <v>24</v>
      </c>
      <c r="O2144" t="s">
        <v>70</v>
      </c>
      <c r="P2144" t="s">
        <v>26</v>
      </c>
    </row>
    <row r="2145" spans="1:16" x14ac:dyDescent="0.25">
      <c r="A2145" t="s">
        <v>4985</v>
      </c>
      <c r="B2145" s="6">
        <v>44736</v>
      </c>
      <c r="C2145">
        <v>5540</v>
      </c>
      <c r="D2145" t="s">
        <v>4987</v>
      </c>
      <c r="E2145" t="s">
        <v>18</v>
      </c>
      <c r="F2145" t="s">
        <v>19</v>
      </c>
      <c r="G2145">
        <v>6156.89</v>
      </c>
      <c r="H2145">
        <v>3411.97</v>
      </c>
      <c r="I2145" t="s">
        <v>53</v>
      </c>
      <c r="J2145" t="s">
        <v>54</v>
      </c>
      <c r="K2145" t="s">
        <v>42</v>
      </c>
      <c r="L2145" t="s">
        <v>64</v>
      </c>
      <c r="M2145">
        <v>3</v>
      </c>
      <c r="N2145" t="s">
        <v>33</v>
      </c>
      <c r="O2145" t="s">
        <v>70</v>
      </c>
      <c r="P2145" t="s">
        <v>26</v>
      </c>
    </row>
    <row r="2146" spans="1:16" x14ac:dyDescent="0.25">
      <c r="A2146" t="s">
        <v>4988</v>
      </c>
      <c r="B2146" s="6">
        <v>45276</v>
      </c>
      <c r="C2146">
        <v>8763</v>
      </c>
      <c r="D2146" t="s">
        <v>4989</v>
      </c>
      <c r="E2146" t="s">
        <v>18</v>
      </c>
      <c r="F2146" t="s">
        <v>19</v>
      </c>
      <c r="G2146">
        <v>10971.66</v>
      </c>
      <c r="H2146">
        <v>6495.93</v>
      </c>
      <c r="I2146" t="s">
        <v>53</v>
      </c>
      <c r="J2146" t="s">
        <v>54</v>
      </c>
      <c r="K2146" t="s">
        <v>32</v>
      </c>
      <c r="L2146" t="s">
        <v>64</v>
      </c>
      <c r="M2146">
        <v>3</v>
      </c>
      <c r="N2146" t="s">
        <v>24</v>
      </c>
      <c r="O2146" t="s">
        <v>25</v>
      </c>
      <c r="P2146" t="s">
        <v>26</v>
      </c>
    </row>
    <row r="2147" spans="1:16" x14ac:dyDescent="0.25">
      <c r="A2147" t="s">
        <v>4990</v>
      </c>
      <c r="B2147" s="6">
        <v>44747</v>
      </c>
      <c r="C2147">
        <v>7099</v>
      </c>
      <c r="D2147" t="s">
        <v>4991</v>
      </c>
      <c r="E2147" t="s">
        <v>38</v>
      </c>
      <c r="F2147" t="s">
        <v>39</v>
      </c>
      <c r="G2147">
        <v>12508.36</v>
      </c>
      <c r="H2147">
        <v>7186.47</v>
      </c>
      <c r="I2147" t="s">
        <v>31</v>
      </c>
      <c r="J2147" t="s">
        <v>21</v>
      </c>
      <c r="K2147" t="s">
        <v>80</v>
      </c>
      <c r="L2147" t="s">
        <v>43</v>
      </c>
      <c r="M2147">
        <v>2</v>
      </c>
      <c r="N2147" t="s">
        <v>69</v>
      </c>
      <c r="O2147" t="s">
        <v>25</v>
      </c>
      <c r="P2147" t="s">
        <v>34</v>
      </c>
    </row>
    <row r="2148" spans="1:16" x14ac:dyDescent="0.25">
      <c r="A2148" t="s">
        <v>4992</v>
      </c>
      <c r="B2148" s="6">
        <v>45017</v>
      </c>
      <c r="C2148">
        <v>7549</v>
      </c>
      <c r="D2148" t="s">
        <v>4993</v>
      </c>
      <c r="E2148" t="s">
        <v>38</v>
      </c>
      <c r="F2148" t="s">
        <v>39</v>
      </c>
      <c r="G2148">
        <v>29136.080000000002</v>
      </c>
      <c r="H2148">
        <v>15980.39</v>
      </c>
      <c r="I2148" t="s">
        <v>84</v>
      </c>
      <c r="J2148" t="s">
        <v>54</v>
      </c>
      <c r="K2148" t="s">
        <v>80</v>
      </c>
      <c r="L2148" t="s">
        <v>88</v>
      </c>
      <c r="M2148">
        <v>5</v>
      </c>
      <c r="N2148" t="s">
        <v>33</v>
      </c>
      <c r="O2148" t="s">
        <v>70</v>
      </c>
      <c r="P2148" t="s">
        <v>34</v>
      </c>
    </row>
    <row r="2149" spans="1:16" x14ac:dyDescent="0.25">
      <c r="A2149" t="s">
        <v>4994</v>
      </c>
      <c r="B2149" s="6">
        <v>44866</v>
      </c>
      <c r="C2149">
        <v>6669</v>
      </c>
      <c r="D2149" t="s">
        <v>4996</v>
      </c>
      <c r="E2149" t="s">
        <v>18</v>
      </c>
      <c r="F2149" t="s">
        <v>58</v>
      </c>
      <c r="G2149">
        <v>43984.68</v>
      </c>
      <c r="H2149">
        <v>28553.77</v>
      </c>
      <c r="I2149" t="s">
        <v>53</v>
      </c>
      <c r="J2149" t="s">
        <v>54</v>
      </c>
      <c r="K2149" t="s">
        <v>22</v>
      </c>
      <c r="L2149" t="s">
        <v>43</v>
      </c>
      <c r="M2149">
        <v>5</v>
      </c>
      <c r="N2149" t="s">
        <v>24</v>
      </c>
      <c r="O2149" t="s">
        <v>25</v>
      </c>
      <c r="P2149" t="s">
        <v>34</v>
      </c>
    </row>
    <row r="2150" spans="1:16" x14ac:dyDescent="0.25">
      <c r="A2150" t="s">
        <v>4997</v>
      </c>
      <c r="B2150" s="6">
        <v>45274</v>
      </c>
      <c r="C2150">
        <v>7652</v>
      </c>
      <c r="D2150" t="s">
        <v>4998</v>
      </c>
      <c r="E2150" t="s">
        <v>18</v>
      </c>
      <c r="F2150" t="s">
        <v>58</v>
      </c>
      <c r="G2150">
        <v>18494.43</v>
      </c>
      <c r="H2150">
        <v>8424.4699999999993</v>
      </c>
      <c r="I2150" t="s">
        <v>68</v>
      </c>
      <c r="J2150" t="s">
        <v>41</v>
      </c>
      <c r="K2150" t="s">
        <v>22</v>
      </c>
      <c r="L2150" t="s">
        <v>55</v>
      </c>
      <c r="M2150">
        <v>1</v>
      </c>
      <c r="N2150" t="s">
        <v>33</v>
      </c>
      <c r="O2150" t="s">
        <v>25</v>
      </c>
      <c r="P2150" t="s">
        <v>34</v>
      </c>
    </row>
    <row r="2151" spans="1:16" x14ac:dyDescent="0.25">
      <c r="A2151" t="s">
        <v>4999</v>
      </c>
      <c r="B2151" s="6">
        <v>44298</v>
      </c>
      <c r="C2151">
        <v>5114</v>
      </c>
      <c r="D2151" t="s">
        <v>5001</v>
      </c>
      <c r="E2151" t="s">
        <v>38</v>
      </c>
      <c r="F2151" t="s">
        <v>39</v>
      </c>
      <c r="G2151">
        <v>23298.21</v>
      </c>
      <c r="H2151">
        <v>14016.86</v>
      </c>
      <c r="I2151" t="s">
        <v>20</v>
      </c>
      <c r="J2151" t="s">
        <v>21</v>
      </c>
      <c r="K2151" t="s">
        <v>42</v>
      </c>
      <c r="L2151" t="s">
        <v>43</v>
      </c>
      <c r="M2151">
        <v>5</v>
      </c>
      <c r="N2151" t="s">
        <v>33</v>
      </c>
      <c r="O2151" t="s">
        <v>25</v>
      </c>
      <c r="P2151" t="s">
        <v>49</v>
      </c>
    </row>
    <row r="2152" spans="1:16" x14ac:dyDescent="0.25">
      <c r="A2152" t="s">
        <v>5002</v>
      </c>
      <c r="B2152" s="6">
        <v>45420</v>
      </c>
      <c r="C2152">
        <v>1303</v>
      </c>
      <c r="D2152" t="s">
        <v>3746</v>
      </c>
      <c r="E2152" t="s">
        <v>38</v>
      </c>
      <c r="F2152" t="s">
        <v>58</v>
      </c>
      <c r="G2152">
        <v>48815.11</v>
      </c>
      <c r="H2152">
        <v>31542.080000000002</v>
      </c>
      <c r="I2152" t="s">
        <v>120</v>
      </c>
      <c r="J2152" t="s">
        <v>21</v>
      </c>
      <c r="K2152" t="s">
        <v>22</v>
      </c>
      <c r="L2152" t="s">
        <v>88</v>
      </c>
      <c r="M2152">
        <v>4</v>
      </c>
      <c r="N2152" t="s">
        <v>33</v>
      </c>
      <c r="O2152" t="s">
        <v>70</v>
      </c>
      <c r="P2152" t="s">
        <v>26</v>
      </c>
    </row>
    <row r="2153" spans="1:16" x14ac:dyDescent="0.25">
      <c r="A2153" t="s">
        <v>5003</v>
      </c>
      <c r="B2153" s="6">
        <v>44903</v>
      </c>
      <c r="C2153">
        <v>7342</v>
      </c>
      <c r="D2153" t="s">
        <v>5005</v>
      </c>
      <c r="E2153" t="s">
        <v>38</v>
      </c>
      <c r="F2153" t="s">
        <v>47</v>
      </c>
      <c r="G2153">
        <v>5722.61</v>
      </c>
      <c r="H2153">
        <v>2617.0300000000002</v>
      </c>
      <c r="I2153" t="s">
        <v>84</v>
      </c>
      <c r="J2153" t="s">
        <v>54</v>
      </c>
      <c r="K2153" t="s">
        <v>80</v>
      </c>
      <c r="L2153" t="s">
        <v>55</v>
      </c>
      <c r="M2153">
        <v>1</v>
      </c>
      <c r="N2153" t="s">
        <v>69</v>
      </c>
      <c r="O2153" t="s">
        <v>70</v>
      </c>
      <c r="P2153" t="s">
        <v>34</v>
      </c>
    </row>
    <row r="2154" spans="1:16" x14ac:dyDescent="0.25">
      <c r="A2154" t="s">
        <v>5006</v>
      </c>
      <c r="B2154" s="6">
        <v>44383</v>
      </c>
      <c r="C2154">
        <v>7339</v>
      </c>
      <c r="D2154" t="s">
        <v>5007</v>
      </c>
      <c r="E2154" t="s">
        <v>38</v>
      </c>
      <c r="F2154" t="s">
        <v>39</v>
      </c>
      <c r="G2154">
        <v>40157.629999999997</v>
      </c>
      <c r="H2154">
        <v>25265.62</v>
      </c>
      <c r="I2154" t="s">
        <v>53</v>
      </c>
      <c r="J2154" t="s">
        <v>54</v>
      </c>
      <c r="K2154" t="s">
        <v>42</v>
      </c>
      <c r="L2154" t="s">
        <v>43</v>
      </c>
      <c r="M2154">
        <v>4</v>
      </c>
      <c r="N2154" t="s">
        <v>33</v>
      </c>
      <c r="O2154" t="s">
        <v>70</v>
      </c>
      <c r="P2154" t="s">
        <v>49</v>
      </c>
    </row>
    <row r="2155" spans="1:16" x14ac:dyDescent="0.25">
      <c r="A2155" t="s">
        <v>5008</v>
      </c>
      <c r="B2155" s="6">
        <v>44447</v>
      </c>
      <c r="C2155">
        <v>1116</v>
      </c>
      <c r="D2155" t="s">
        <v>5009</v>
      </c>
      <c r="E2155" t="s">
        <v>18</v>
      </c>
      <c r="F2155" t="s">
        <v>30</v>
      </c>
      <c r="G2155">
        <v>20849.919999999998</v>
      </c>
      <c r="H2155">
        <v>10782.09</v>
      </c>
      <c r="I2155" t="s">
        <v>84</v>
      </c>
      <c r="J2155" t="s">
        <v>54</v>
      </c>
      <c r="K2155" t="s">
        <v>22</v>
      </c>
      <c r="L2155" t="s">
        <v>64</v>
      </c>
      <c r="M2155">
        <v>4</v>
      </c>
      <c r="N2155" t="s">
        <v>33</v>
      </c>
      <c r="O2155" t="s">
        <v>70</v>
      </c>
      <c r="P2155" t="s">
        <v>49</v>
      </c>
    </row>
    <row r="2156" spans="1:16" x14ac:dyDescent="0.25">
      <c r="A2156" t="s">
        <v>5010</v>
      </c>
      <c r="B2156" s="6">
        <v>45509</v>
      </c>
      <c r="C2156">
        <v>6575</v>
      </c>
      <c r="D2156" t="s">
        <v>4920</v>
      </c>
      <c r="E2156" t="s">
        <v>38</v>
      </c>
      <c r="F2156" t="s">
        <v>58</v>
      </c>
      <c r="G2156">
        <v>25134.639999999999</v>
      </c>
      <c r="H2156">
        <v>14768.41</v>
      </c>
      <c r="I2156" t="s">
        <v>59</v>
      </c>
      <c r="J2156" t="s">
        <v>41</v>
      </c>
      <c r="K2156" t="s">
        <v>80</v>
      </c>
      <c r="L2156" t="s">
        <v>55</v>
      </c>
      <c r="M2156">
        <v>1</v>
      </c>
      <c r="N2156" t="s">
        <v>69</v>
      </c>
      <c r="O2156" t="s">
        <v>25</v>
      </c>
      <c r="P2156" t="s">
        <v>49</v>
      </c>
    </row>
    <row r="2157" spans="1:16" x14ac:dyDescent="0.25">
      <c r="A2157" t="s">
        <v>5011</v>
      </c>
      <c r="B2157" s="6">
        <v>45172</v>
      </c>
      <c r="C2157">
        <v>5806</v>
      </c>
      <c r="D2157" t="s">
        <v>5012</v>
      </c>
      <c r="E2157" t="s">
        <v>18</v>
      </c>
      <c r="F2157" t="s">
        <v>47</v>
      </c>
      <c r="G2157">
        <v>16515.330000000002</v>
      </c>
      <c r="H2157">
        <v>10456.870000000001</v>
      </c>
      <c r="I2157" t="s">
        <v>20</v>
      </c>
      <c r="J2157" t="s">
        <v>21</v>
      </c>
      <c r="K2157" t="s">
        <v>80</v>
      </c>
      <c r="L2157" t="s">
        <v>88</v>
      </c>
      <c r="M2157">
        <v>3</v>
      </c>
      <c r="N2157" t="s">
        <v>69</v>
      </c>
      <c r="O2157" t="s">
        <v>25</v>
      </c>
      <c r="P2157" t="s">
        <v>34</v>
      </c>
    </row>
    <row r="2158" spans="1:16" x14ac:dyDescent="0.25">
      <c r="A2158" t="s">
        <v>5013</v>
      </c>
      <c r="B2158" s="6">
        <v>45144</v>
      </c>
      <c r="C2158">
        <v>7450</v>
      </c>
      <c r="D2158" t="s">
        <v>5014</v>
      </c>
      <c r="E2158" t="s">
        <v>38</v>
      </c>
      <c r="F2158" t="s">
        <v>39</v>
      </c>
      <c r="G2158">
        <v>43147.92</v>
      </c>
      <c r="H2158">
        <v>23888.78</v>
      </c>
      <c r="I2158" t="s">
        <v>53</v>
      </c>
      <c r="J2158" t="s">
        <v>54</v>
      </c>
      <c r="K2158" t="s">
        <v>80</v>
      </c>
      <c r="L2158" t="s">
        <v>64</v>
      </c>
      <c r="M2158">
        <v>5</v>
      </c>
      <c r="N2158" t="s">
        <v>33</v>
      </c>
      <c r="O2158" t="s">
        <v>25</v>
      </c>
      <c r="P2158" t="s">
        <v>34</v>
      </c>
    </row>
    <row r="2159" spans="1:16" x14ac:dyDescent="0.25">
      <c r="A2159" t="s">
        <v>5015</v>
      </c>
      <c r="B2159" s="6">
        <v>44883</v>
      </c>
      <c r="C2159">
        <v>5506</v>
      </c>
      <c r="D2159" t="s">
        <v>5016</v>
      </c>
      <c r="E2159" t="s">
        <v>38</v>
      </c>
      <c r="F2159" t="s">
        <v>58</v>
      </c>
      <c r="G2159">
        <v>31172.7</v>
      </c>
      <c r="H2159">
        <v>19411.45</v>
      </c>
      <c r="I2159" t="s">
        <v>40</v>
      </c>
      <c r="J2159" t="s">
        <v>41</v>
      </c>
      <c r="K2159" t="s">
        <v>22</v>
      </c>
      <c r="L2159" t="s">
        <v>48</v>
      </c>
      <c r="M2159">
        <v>2</v>
      </c>
      <c r="N2159" t="s">
        <v>33</v>
      </c>
      <c r="O2159" t="s">
        <v>70</v>
      </c>
      <c r="P2159" t="s">
        <v>26</v>
      </c>
    </row>
    <row r="2160" spans="1:16" x14ac:dyDescent="0.25">
      <c r="A2160" t="s">
        <v>5017</v>
      </c>
      <c r="B2160" s="6">
        <v>43970</v>
      </c>
      <c r="C2160">
        <v>9588</v>
      </c>
      <c r="D2160" t="s">
        <v>5018</v>
      </c>
      <c r="E2160" t="s">
        <v>38</v>
      </c>
      <c r="F2160" t="s">
        <v>30</v>
      </c>
      <c r="G2160">
        <v>31483.71</v>
      </c>
      <c r="H2160">
        <v>15596.97</v>
      </c>
      <c r="I2160" t="s">
        <v>63</v>
      </c>
      <c r="J2160" t="s">
        <v>54</v>
      </c>
      <c r="K2160" t="s">
        <v>42</v>
      </c>
      <c r="L2160" t="s">
        <v>88</v>
      </c>
      <c r="M2160">
        <v>1</v>
      </c>
      <c r="N2160" t="s">
        <v>33</v>
      </c>
      <c r="O2160" t="s">
        <v>70</v>
      </c>
      <c r="P2160" t="s">
        <v>34</v>
      </c>
    </row>
    <row r="2161" spans="1:16" x14ac:dyDescent="0.25">
      <c r="A2161" t="s">
        <v>5019</v>
      </c>
      <c r="B2161" s="6">
        <v>44930</v>
      </c>
      <c r="C2161">
        <v>4761</v>
      </c>
      <c r="D2161" t="s">
        <v>5021</v>
      </c>
      <c r="E2161" t="s">
        <v>18</v>
      </c>
      <c r="F2161" t="s">
        <v>19</v>
      </c>
      <c r="G2161">
        <v>8806.42</v>
      </c>
      <c r="H2161">
        <v>4902.8500000000004</v>
      </c>
      <c r="I2161" t="s">
        <v>63</v>
      </c>
      <c r="J2161" t="s">
        <v>54</v>
      </c>
      <c r="K2161" t="s">
        <v>80</v>
      </c>
      <c r="L2161" t="s">
        <v>43</v>
      </c>
      <c r="M2161">
        <v>2</v>
      </c>
      <c r="N2161" t="s">
        <v>33</v>
      </c>
      <c r="O2161" t="s">
        <v>70</v>
      </c>
      <c r="P2161" t="s">
        <v>26</v>
      </c>
    </row>
    <row r="2162" spans="1:16" x14ac:dyDescent="0.25">
      <c r="A2162" t="s">
        <v>5022</v>
      </c>
      <c r="B2162" s="6">
        <v>45313</v>
      </c>
      <c r="C2162">
        <v>1478</v>
      </c>
      <c r="D2162" t="s">
        <v>3837</v>
      </c>
      <c r="E2162" t="s">
        <v>38</v>
      </c>
      <c r="F2162" t="s">
        <v>39</v>
      </c>
      <c r="G2162">
        <v>21459.84</v>
      </c>
      <c r="H2162">
        <v>10554.09</v>
      </c>
      <c r="I2162" t="s">
        <v>53</v>
      </c>
      <c r="J2162" t="s">
        <v>54</v>
      </c>
      <c r="K2162" t="s">
        <v>42</v>
      </c>
      <c r="L2162" t="s">
        <v>55</v>
      </c>
      <c r="M2162">
        <v>3</v>
      </c>
      <c r="N2162" t="s">
        <v>33</v>
      </c>
      <c r="O2162" t="s">
        <v>70</v>
      </c>
      <c r="P2162" t="s">
        <v>26</v>
      </c>
    </row>
    <row r="2163" spans="1:16" x14ac:dyDescent="0.25">
      <c r="A2163" t="s">
        <v>5023</v>
      </c>
      <c r="B2163" s="6">
        <v>43883</v>
      </c>
      <c r="C2163">
        <v>3312</v>
      </c>
      <c r="D2163" t="s">
        <v>700</v>
      </c>
      <c r="E2163" t="s">
        <v>38</v>
      </c>
      <c r="F2163" t="s">
        <v>39</v>
      </c>
      <c r="G2163">
        <v>17020.64</v>
      </c>
      <c r="H2163">
        <v>8443.81</v>
      </c>
      <c r="I2163" t="s">
        <v>84</v>
      </c>
      <c r="J2163" t="s">
        <v>54</v>
      </c>
      <c r="K2163" t="s">
        <v>80</v>
      </c>
      <c r="L2163" t="s">
        <v>48</v>
      </c>
      <c r="M2163">
        <v>5</v>
      </c>
      <c r="N2163" t="s">
        <v>33</v>
      </c>
      <c r="O2163" t="s">
        <v>25</v>
      </c>
      <c r="P2163" t="s">
        <v>34</v>
      </c>
    </row>
    <row r="2164" spans="1:16" x14ac:dyDescent="0.25">
      <c r="A2164" t="s">
        <v>5024</v>
      </c>
      <c r="B2164" s="6">
        <v>44916</v>
      </c>
      <c r="C2164">
        <v>8075</v>
      </c>
      <c r="D2164" t="s">
        <v>5026</v>
      </c>
      <c r="E2164" t="s">
        <v>18</v>
      </c>
      <c r="F2164" t="s">
        <v>39</v>
      </c>
      <c r="G2164">
        <v>11379.09</v>
      </c>
      <c r="H2164">
        <v>7056.78</v>
      </c>
      <c r="I2164" t="s">
        <v>59</v>
      </c>
      <c r="J2164" t="s">
        <v>41</v>
      </c>
      <c r="K2164" t="s">
        <v>32</v>
      </c>
      <c r="L2164" t="s">
        <v>64</v>
      </c>
      <c r="M2164">
        <v>2</v>
      </c>
      <c r="N2164" t="s">
        <v>69</v>
      </c>
      <c r="O2164" t="s">
        <v>25</v>
      </c>
      <c r="P2164" t="s">
        <v>34</v>
      </c>
    </row>
    <row r="2165" spans="1:16" x14ac:dyDescent="0.25">
      <c r="A2165" t="s">
        <v>5027</v>
      </c>
      <c r="B2165" s="6">
        <v>45654</v>
      </c>
      <c r="C2165">
        <v>5647</v>
      </c>
      <c r="D2165" t="s">
        <v>4291</v>
      </c>
      <c r="E2165" t="s">
        <v>18</v>
      </c>
      <c r="F2165" t="s">
        <v>30</v>
      </c>
      <c r="G2165">
        <v>23844.27</v>
      </c>
      <c r="H2165">
        <v>11153.34</v>
      </c>
      <c r="I2165" t="s">
        <v>53</v>
      </c>
      <c r="J2165" t="s">
        <v>54</v>
      </c>
      <c r="K2165" t="s">
        <v>32</v>
      </c>
      <c r="L2165" t="s">
        <v>48</v>
      </c>
      <c r="M2165">
        <v>4</v>
      </c>
      <c r="N2165" t="s">
        <v>33</v>
      </c>
      <c r="O2165" t="s">
        <v>25</v>
      </c>
      <c r="P2165" t="s">
        <v>49</v>
      </c>
    </row>
    <row r="2166" spans="1:16" x14ac:dyDescent="0.25">
      <c r="A2166" t="s">
        <v>5028</v>
      </c>
      <c r="B2166" s="6">
        <v>44827</v>
      </c>
      <c r="C2166">
        <v>8560</v>
      </c>
      <c r="D2166" t="s">
        <v>3709</v>
      </c>
      <c r="E2166" t="s">
        <v>38</v>
      </c>
      <c r="F2166" t="s">
        <v>39</v>
      </c>
      <c r="G2166">
        <v>30804.95</v>
      </c>
      <c r="H2166">
        <v>16753.78</v>
      </c>
      <c r="I2166" t="s">
        <v>84</v>
      </c>
      <c r="J2166" t="s">
        <v>54</v>
      </c>
      <c r="K2166" t="s">
        <v>32</v>
      </c>
      <c r="L2166" t="s">
        <v>23</v>
      </c>
      <c r="M2166">
        <v>1</v>
      </c>
      <c r="N2166" t="s">
        <v>33</v>
      </c>
      <c r="O2166" t="s">
        <v>25</v>
      </c>
      <c r="P2166" t="s">
        <v>26</v>
      </c>
    </row>
    <row r="2167" spans="1:16" x14ac:dyDescent="0.25">
      <c r="A2167" t="s">
        <v>5029</v>
      </c>
      <c r="B2167" s="6">
        <v>44923</v>
      </c>
      <c r="C2167">
        <v>9652</v>
      </c>
      <c r="D2167" t="s">
        <v>5030</v>
      </c>
      <c r="E2167" t="s">
        <v>18</v>
      </c>
      <c r="F2167" t="s">
        <v>47</v>
      </c>
      <c r="G2167">
        <v>9890.75</v>
      </c>
      <c r="H2167">
        <v>4496.1899999999996</v>
      </c>
      <c r="I2167" t="s">
        <v>59</v>
      </c>
      <c r="J2167" t="s">
        <v>41</v>
      </c>
      <c r="K2167" t="s">
        <v>42</v>
      </c>
      <c r="L2167" t="s">
        <v>48</v>
      </c>
      <c r="M2167">
        <v>2</v>
      </c>
      <c r="N2167" t="s">
        <v>33</v>
      </c>
      <c r="O2167" t="s">
        <v>25</v>
      </c>
      <c r="P2167" t="s">
        <v>34</v>
      </c>
    </row>
    <row r="2168" spans="1:16" x14ac:dyDescent="0.25">
      <c r="A2168" t="s">
        <v>5031</v>
      </c>
      <c r="B2168" s="6">
        <v>45148</v>
      </c>
      <c r="C2168">
        <v>1990</v>
      </c>
      <c r="D2168" t="s">
        <v>4468</v>
      </c>
      <c r="E2168" t="s">
        <v>38</v>
      </c>
      <c r="F2168" t="s">
        <v>47</v>
      </c>
      <c r="G2168">
        <v>4919.6400000000003</v>
      </c>
      <c r="H2168">
        <v>3046.38</v>
      </c>
      <c r="I2168" t="s">
        <v>53</v>
      </c>
      <c r="J2168" t="s">
        <v>54</v>
      </c>
      <c r="K2168" t="s">
        <v>22</v>
      </c>
      <c r="L2168" t="s">
        <v>23</v>
      </c>
      <c r="M2168">
        <v>5</v>
      </c>
      <c r="N2168" t="s">
        <v>33</v>
      </c>
      <c r="O2168" t="s">
        <v>70</v>
      </c>
      <c r="P2168" t="s">
        <v>34</v>
      </c>
    </row>
    <row r="2169" spans="1:16" x14ac:dyDescent="0.25">
      <c r="A2169" t="s">
        <v>5033</v>
      </c>
      <c r="B2169" s="6">
        <v>44448</v>
      </c>
      <c r="C2169">
        <v>5154</v>
      </c>
      <c r="D2169" t="s">
        <v>5035</v>
      </c>
      <c r="E2169" t="s">
        <v>38</v>
      </c>
      <c r="F2169" t="s">
        <v>30</v>
      </c>
      <c r="G2169">
        <v>35489.74</v>
      </c>
      <c r="H2169">
        <v>20145.75</v>
      </c>
      <c r="I2169" t="s">
        <v>68</v>
      </c>
      <c r="J2169" t="s">
        <v>41</v>
      </c>
      <c r="K2169" t="s">
        <v>42</v>
      </c>
      <c r="L2169" t="s">
        <v>48</v>
      </c>
      <c r="M2169">
        <v>1</v>
      </c>
      <c r="N2169" t="s">
        <v>24</v>
      </c>
      <c r="O2169" t="s">
        <v>70</v>
      </c>
      <c r="P2169" t="s">
        <v>26</v>
      </c>
    </row>
    <row r="2170" spans="1:16" x14ac:dyDescent="0.25">
      <c r="A2170" t="s">
        <v>5036</v>
      </c>
      <c r="B2170" s="6">
        <v>44917</v>
      </c>
      <c r="C2170">
        <v>1191</v>
      </c>
      <c r="D2170" t="s">
        <v>5037</v>
      </c>
      <c r="E2170" t="s">
        <v>38</v>
      </c>
      <c r="F2170" t="s">
        <v>30</v>
      </c>
      <c r="G2170">
        <v>54250.91</v>
      </c>
      <c r="H2170">
        <v>32642.71</v>
      </c>
      <c r="I2170" t="s">
        <v>31</v>
      </c>
      <c r="J2170" t="s">
        <v>21</v>
      </c>
      <c r="K2170" t="s">
        <v>80</v>
      </c>
      <c r="L2170" t="s">
        <v>48</v>
      </c>
      <c r="M2170">
        <v>3</v>
      </c>
      <c r="N2170" t="s">
        <v>33</v>
      </c>
      <c r="O2170" t="s">
        <v>25</v>
      </c>
      <c r="P2170" t="s">
        <v>34</v>
      </c>
    </row>
    <row r="2171" spans="1:16" x14ac:dyDescent="0.25">
      <c r="A2171" t="s">
        <v>5038</v>
      </c>
      <c r="B2171" s="6">
        <v>45031</v>
      </c>
      <c r="C2171">
        <v>5937</v>
      </c>
      <c r="D2171" t="s">
        <v>5039</v>
      </c>
      <c r="E2171" t="s">
        <v>38</v>
      </c>
      <c r="F2171" t="s">
        <v>58</v>
      </c>
      <c r="G2171">
        <v>38148.17</v>
      </c>
      <c r="H2171">
        <v>19218.32</v>
      </c>
      <c r="I2171" t="s">
        <v>53</v>
      </c>
      <c r="J2171" t="s">
        <v>54</v>
      </c>
      <c r="K2171" t="s">
        <v>32</v>
      </c>
      <c r="L2171" t="s">
        <v>55</v>
      </c>
      <c r="M2171">
        <v>2</v>
      </c>
      <c r="N2171" t="s">
        <v>33</v>
      </c>
      <c r="O2171" t="s">
        <v>70</v>
      </c>
      <c r="P2171" t="s">
        <v>34</v>
      </c>
    </row>
    <row r="2172" spans="1:16" x14ac:dyDescent="0.25">
      <c r="A2172" t="s">
        <v>5040</v>
      </c>
      <c r="B2172" s="6">
        <v>44707</v>
      </c>
      <c r="C2172">
        <v>1118</v>
      </c>
      <c r="D2172" t="s">
        <v>5041</v>
      </c>
      <c r="E2172" t="s">
        <v>38</v>
      </c>
      <c r="F2172" t="s">
        <v>47</v>
      </c>
      <c r="G2172">
        <v>13470.51</v>
      </c>
      <c r="H2172">
        <v>7732.59</v>
      </c>
      <c r="I2172" t="s">
        <v>120</v>
      </c>
      <c r="J2172" t="s">
        <v>21</v>
      </c>
      <c r="K2172" t="s">
        <v>80</v>
      </c>
      <c r="L2172" t="s">
        <v>23</v>
      </c>
      <c r="M2172">
        <v>5</v>
      </c>
      <c r="N2172" t="s">
        <v>33</v>
      </c>
      <c r="O2172" t="s">
        <v>25</v>
      </c>
      <c r="P2172" t="s">
        <v>26</v>
      </c>
    </row>
    <row r="2173" spans="1:16" x14ac:dyDescent="0.25">
      <c r="A2173" t="s">
        <v>5042</v>
      </c>
      <c r="B2173" s="6">
        <v>45266</v>
      </c>
      <c r="C2173">
        <v>5199</v>
      </c>
      <c r="D2173" t="s">
        <v>1021</v>
      </c>
      <c r="E2173" t="s">
        <v>18</v>
      </c>
      <c r="F2173" t="s">
        <v>47</v>
      </c>
      <c r="G2173">
        <v>10127.44</v>
      </c>
      <c r="H2173">
        <v>4724.87</v>
      </c>
      <c r="I2173" t="s">
        <v>40</v>
      </c>
      <c r="J2173" t="s">
        <v>41</v>
      </c>
      <c r="K2173" t="s">
        <v>80</v>
      </c>
      <c r="L2173" t="s">
        <v>48</v>
      </c>
      <c r="M2173">
        <v>5</v>
      </c>
      <c r="N2173" t="s">
        <v>33</v>
      </c>
      <c r="O2173" t="s">
        <v>70</v>
      </c>
      <c r="P2173" t="s">
        <v>34</v>
      </c>
    </row>
    <row r="2174" spans="1:16" x14ac:dyDescent="0.25">
      <c r="A2174" t="s">
        <v>5043</v>
      </c>
      <c r="B2174" s="6">
        <v>45264</v>
      </c>
      <c r="C2174">
        <v>6168</v>
      </c>
      <c r="D2174" t="s">
        <v>392</v>
      </c>
      <c r="E2174" t="s">
        <v>18</v>
      </c>
      <c r="F2174" t="s">
        <v>47</v>
      </c>
      <c r="G2174">
        <v>2414.5100000000002</v>
      </c>
      <c r="H2174">
        <v>1567.43</v>
      </c>
      <c r="I2174" t="s">
        <v>59</v>
      </c>
      <c r="J2174" t="s">
        <v>41</v>
      </c>
      <c r="K2174" t="s">
        <v>22</v>
      </c>
      <c r="L2174" t="s">
        <v>64</v>
      </c>
      <c r="M2174">
        <v>3</v>
      </c>
      <c r="N2174" t="s">
        <v>33</v>
      </c>
      <c r="O2174" t="s">
        <v>70</v>
      </c>
      <c r="P2174" t="s">
        <v>34</v>
      </c>
    </row>
    <row r="2175" spans="1:16" x14ac:dyDescent="0.25">
      <c r="A2175" t="s">
        <v>5045</v>
      </c>
      <c r="B2175" s="6">
        <v>44016</v>
      </c>
      <c r="C2175">
        <v>4386</v>
      </c>
      <c r="D2175" t="s">
        <v>654</v>
      </c>
      <c r="E2175" t="s">
        <v>18</v>
      </c>
      <c r="F2175" t="s">
        <v>19</v>
      </c>
      <c r="G2175">
        <v>14881.07</v>
      </c>
      <c r="H2175">
        <v>8503.2000000000007</v>
      </c>
      <c r="I2175" t="s">
        <v>84</v>
      </c>
      <c r="J2175" t="s">
        <v>54</v>
      </c>
      <c r="K2175" t="s">
        <v>80</v>
      </c>
      <c r="L2175" t="s">
        <v>64</v>
      </c>
      <c r="M2175">
        <v>2</v>
      </c>
      <c r="N2175" t="s">
        <v>33</v>
      </c>
      <c r="O2175" t="s">
        <v>70</v>
      </c>
      <c r="P2175" t="s">
        <v>26</v>
      </c>
    </row>
    <row r="2176" spans="1:16" x14ac:dyDescent="0.25">
      <c r="A2176" t="s">
        <v>5047</v>
      </c>
      <c r="B2176" s="6">
        <v>44697</v>
      </c>
      <c r="C2176">
        <v>5011</v>
      </c>
      <c r="D2176" t="s">
        <v>5048</v>
      </c>
      <c r="E2176" t="s">
        <v>18</v>
      </c>
      <c r="F2176" t="s">
        <v>47</v>
      </c>
      <c r="G2176">
        <v>6001.56</v>
      </c>
      <c r="H2176">
        <v>3472.1</v>
      </c>
      <c r="I2176" t="s">
        <v>59</v>
      </c>
      <c r="J2176" t="s">
        <v>41</v>
      </c>
      <c r="K2176" t="s">
        <v>22</v>
      </c>
      <c r="L2176" t="s">
        <v>88</v>
      </c>
      <c r="M2176">
        <v>3</v>
      </c>
      <c r="N2176" t="s">
        <v>69</v>
      </c>
      <c r="O2176" t="s">
        <v>70</v>
      </c>
      <c r="P2176" t="s">
        <v>26</v>
      </c>
    </row>
    <row r="2177" spans="1:16" x14ac:dyDescent="0.25">
      <c r="A2177" t="s">
        <v>5049</v>
      </c>
      <c r="B2177" s="6">
        <v>43905</v>
      </c>
      <c r="C2177">
        <v>6853</v>
      </c>
      <c r="D2177" t="s">
        <v>5050</v>
      </c>
      <c r="E2177" t="s">
        <v>18</v>
      </c>
      <c r="F2177" t="s">
        <v>47</v>
      </c>
      <c r="G2177">
        <v>2750.79</v>
      </c>
      <c r="H2177">
        <v>1775.03</v>
      </c>
      <c r="I2177" t="s">
        <v>20</v>
      </c>
      <c r="J2177" t="s">
        <v>21</v>
      </c>
      <c r="K2177" t="s">
        <v>42</v>
      </c>
      <c r="L2177" t="s">
        <v>55</v>
      </c>
      <c r="M2177">
        <v>1</v>
      </c>
      <c r="N2177" t="s">
        <v>33</v>
      </c>
      <c r="O2177" t="s">
        <v>25</v>
      </c>
      <c r="P2177" t="s">
        <v>49</v>
      </c>
    </row>
    <row r="2178" spans="1:16" x14ac:dyDescent="0.25">
      <c r="A2178" t="s">
        <v>5051</v>
      </c>
      <c r="B2178" s="6">
        <v>45646</v>
      </c>
      <c r="C2178">
        <v>9473</v>
      </c>
      <c r="D2178" t="s">
        <v>5053</v>
      </c>
      <c r="E2178" t="s">
        <v>18</v>
      </c>
      <c r="F2178" t="s">
        <v>19</v>
      </c>
      <c r="G2178">
        <v>14261.57</v>
      </c>
      <c r="H2178">
        <v>6575.91</v>
      </c>
      <c r="I2178" t="s">
        <v>68</v>
      </c>
      <c r="J2178" t="s">
        <v>41</v>
      </c>
      <c r="K2178" t="s">
        <v>22</v>
      </c>
      <c r="L2178" t="s">
        <v>48</v>
      </c>
      <c r="M2178">
        <v>1</v>
      </c>
      <c r="N2178" t="s">
        <v>24</v>
      </c>
      <c r="O2178" t="s">
        <v>70</v>
      </c>
      <c r="P2178" t="s">
        <v>26</v>
      </c>
    </row>
    <row r="2179" spans="1:16" x14ac:dyDescent="0.25">
      <c r="A2179" t="s">
        <v>5054</v>
      </c>
      <c r="B2179" s="6">
        <v>44791</v>
      </c>
      <c r="C2179">
        <v>9457</v>
      </c>
      <c r="D2179" t="s">
        <v>5056</v>
      </c>
      <c r="E2179" t="s">
        <v>38</v>
      </c>
      <c r="F2179" t="s">
        <v>39</v>
      </c>
      <c r="G2179">
        <v>16225.76</v>
      </c>
      <c r="H2179">
        <v>9977.4</v>
      </c>
      <c r="I2179" t="s">
        <v>59</v>
      </c>
      <c r="J2179" t="s">
        <v>41</v>
      </c>
      <c r="K2179" t="s">
        <v>80</v>
      </c>
      <c r="L2179" t="s">
        <v>23</v>
      </c>
      <c r="M2179">
        <v>5</v>
      </c>
      <c r="N2179" t="s">
        <v>69</v>
      </c>
      <c r="O2179" t="s">
        <v>70</v>
      </c>
      <c r="P2179" t="s">
        <v>26</v>
      </c>
    </row>
    <row r="2180" spans="1:16" x14ac:dyDescent="0.25">
      <c r="A2180" t="s">
        <v>5057</v>
      </c>
      <c r="B2180" s="6">
        <v>45048</v>
      </c>
      <c r="C2180">
        <v>2719</v>
      </c>
      <c r="D2180" t="s">
        <v>5059</v>
      </c>
      <c r="E2180" t="s">
        <v>38</v>
      </c>
      <c r="F2180" t="s">
        <v>39</v>
      </c>
      <c r="G2180">
        <v>48734.29</v>
      </c>
      <c r="H2180">
        <v>27152.639999999999</v>
      </c>
      <c r="I2180" t="s">
        <v>84</v>
      </c>
      <c r="J2180" t="s">
        <v>54</v>
      </c>
      <c r="K2180" t="s">
        <v>80</v>
      </c>
      <c r="L2180" t="s">
        <v>23</v>
      </c>
      <c r="M2180">
        <v>2</v>
      </c>
      <c r="N2180" t="s">
        <v>24</v>
      </c>
      <c r="O2180" t="s">
        <v>70</v>
      </c>
      <c r="P2180" t="s">
        <v>34</v>
      </c>
    </row>
    <row r="2181" spans="1:16" x14ac:dyDescent="0.25">
      <c r="A2181" t="s">
        <v>5060</v>
      </c>
      <c r="B2181" s="6">
        <v>45342</v>
      </c>
      <c r="C2181">
        <v>6624</v>
      </c>
      <c r="D2181" t="s">
        <v>3160</v>
      </c>
      <c r="E2181" t="s">
        <v>18</v>
      </c>
      <c r="F2181" t="s">
        <v>30</v>
      </c>
      <c r="G2181">
        <v>70846.929999999993</v>
      </c>
      <c r="H2181">
        <v>37054.78</v>
      </c>
      <c r="I2181" t="s">
        <v>68</v>
      </c>
      <c r="J2181" t="s">
        <v>41</v>
      </c>
      <c r="K2181" t="s">
        <v>80</v>
      </c>
      <c r="L2181" t="s">
        <v>48</v>
      </c>
      <c r="M2181">
        <v>4</v>
      </c>
      <c r="N2181" t="s">
        <v>24</v>
      </c>
      <c r="O2181" t="s">
        <v>70</v>
      </c>
      <c r="P2181" t="s">
        <v>49</v>
      </c>
    </row>
    <row r="2182" spans="1:16" x14ac:dyDescent="0.25">
      <c r="A2182" t="s">
        <v>5061</v>
      </c>
      <c r="B2182" s="6">
        <v>45051</v>
      </c>
      <c r="C2182">
        <v>9409</v>
      </c>
      <c r="D2182" t="s">
        <v>5063</v>
      </c>
      <c r="E2182" t="s">
        <v>18</v>
      </c>
      <c r="F2182" t="s">
        <v>47</v>
      </c>
      <c r="G2182">
        <v>11143.32</v>
      </c>
      <c r="H2182">
        <v>6636.81</v>
      </c>
      <c r="I2182" t="s">
        <v>120</v>
      </c>
      <c r="J2182" t="s">
        <v>21</v>
      </c>
      <c r="K2182" t="s">
        <v>42</v>
      </c>
      <c r="L2182" t="s">
        <v>88</v>
      </c>
      <c r="M2182">
        <v>3</v>
      </c>
      <c r="N2182" t="s">
        <v>24</v>
      </c>
      <c r="O2182" t="s">
        <v>25</v>
      </c>
      <c r="P2182" t="s">
        <v>26</v>
      </c>
    </row>
    <row r="2183" spans="1:16" x14ac:dyDescent="0.25">
      <c r="A2183" t="s">
        <v>5064</v>
      </c>
      <c r="B2183" s="6">
        <v>45442</v>
      </c>
      <c r="C2183">
        <v>5615</v>
      </c>
      <c r="D2183" t="s">
        <v>5065</v>
      </c>
      <c r="E2183" t="s">
        <v>18</v>
      </c>
      <c r="F2183" t="s">
        <v>58</v>
      </c>
      <c r="G2183">
        <v>50920.85</v>
      </c>
      <c r="H2183">
        <v>31523.13</v>
      </c>
      <c r="I2183" t="s">
        <v>120</v>
      </c>
      <c r="J2183" t="s">
        <v>21</v>
      </c>
      <c r="K2183" t="s">
        <v>22</v>
      </c>
      <c r="L2183" t="s">
        <v>43</v>
      </c>
      <c r="M2183">
        <v>5</v>
      </c>
      <c r="N2183" t="s">
        <v>33</v>
      </c>
      <c r="O2183" t="s">
        <v>25</v>
      </c>
      <c r="P2183" t="s">
        <v>34</v>
      </c>
    </row>
    <row r="2184" spans="1:16" x14ac:dyDescent="0.25">
      <c r="A2184" t="s">
        <v>5066</v>
      </c>
      <c r="B2184" s="6">
        <v>44789</v>
      </c>
      <c r="C2184">
        <v>6916</v>
      </c>
      <c r="D2184" t="s">
        <v>5067</v>
      </c>
      <c r="E2184" t="s">
        <v>38</v>
      </c>
      <c r="F2184" t="s">
        <v>39</v>
      </c>
      <c r="G2184">
        <v>32867.19</v>
      </c>
      <c r="H2184">
        <v>18743.07</v>
      </c>
      <c r="I2184" t="s">
        <v>20</v>
      </c>
      <c r="J2184" t="s">
        <v>21</v>
      </c>
      <c r="K2184" t="s">
        <v>32</v>
      </c>
      <c r="L2184" t="s">
        <v>88</v>
      </c>
      <c r="M2184">
        <v>3</v>
      </c>
      <c r="N2184" t="s">
        <v>24</v>
      </c>
      <c r="O2184" t="s">
        <v>25</v>
      </c>
      <c r="P2184" t="s">
        <v>26</v>
      </c>
    </row>
    <row r="2185" spans="1:16" x14ac:dyDescent="0.25">
      <c r="A2185" t="s">
        <v>5068</v>
      </c>
      <c r="B2185" s="6">
        <v>44421</v>
      </c>
      <c r="C2185">
        <v>5915</v>
      </c>
      <c r="D2185" t="s">
        <v>5069</v>
      </c>
      <c r="E2185" t="s">
        <v>38</v>
      </c>
      <c r="F2185" t="s">
        <v>58</v>
      </c>
      <c r="G2185">
        <v>30942.25</v>
      </c>
      <c r="H2185">
        <v>16721.349999999999</v>
      </c>
      <c r="I2185" t="s">
        <v>31</v>
      </c>
      <c r="J2185" t="s">
        <v>21</v>
      </c>
      <c r="K2185" t="s">
        <v>80</v>
      </c>
      <c r="L2185" t="s">
        <v>64</v>
      </c>
      <c r="M2185">
        <v>3</v>
      </c>
      <c r="N2185" t="s">
        <v>33</v>
      </c>
      <c r="O2185" t="s">
        <v>70</v>
      </c>
      <c r="P2185" t="s">
        <v>34</v>
      </c>
    </row>
    <row r="2186" spans="1:16" x14ac:dyDescent="0.25">
      <c r="A2186" t="s">
        <v>5070</v>
      </c>
      <c r="B2186" s="6">
        <v>44426</v>
      </c>
      <c r="C2186">
        <v>5726</v>
      </c>
      <c r="D2186" t="s">
        <v>5072</v>
      </c>
      <c r="E2186" t="s">
        <v>18</v>
      </c>
      <c r="F2186" t="s">
        <v>58</v>
      </c>
      <c r="G2186">
        <v>26370.59</v>
      </c>
      <c r="H2186">
        <v>14345.27</v>
      </c>
      <c r="I2186" t="s">
        <v>84</v>
      </c>
      <c r="J2186" t="s">
        <v>54</v>
      </c>
      <c r="K2186" t="s">
        <v>22</v>
      </c>
      <c r="L2186" t="s">
        <v>55</v>
      </c>
      <c r="M2186">
        <v>4</v>
      </c>
      <c r="N2186" t="s">
        <v>33</v>
      </c>
      <c r="O2186" t="s">
        <v>25</v>
      </c>
      <c r="P2186" t="s">
        <v>34</v>
      </c>
    </row>
    <row r="2187" spans="1:16" x14ac:dyDescent="0.25">
      <c r="A2187" t="s">
        <v>5073</v>
      </c>
      <c r="B2187" s="6">
        <v>45085</v>
      </c>
      <c r="C2187">
        <v>7816</v>
      </c>
      <c r="D2187" t="s">
        <v>193</v>
      </c>
      <c r="E2187" t="s">
        <v>38</v>
      </c>
      <c r="F2187" t="s">
        <v>47</v>
      </c>
      <c r="G2187">
        <v>11820.44</v>
      </c>
      <c r="H2187">
        <v>7498.94</v>
      </c>
      <c r="I2187" t="s">
        <v>40</v>
      </c>
      <c r="J2187" t="s">
        <v>41</v>
      </c>
      <c r="K2187" t="s">
        <v>22</v>
      </c>
      <c r="L2187" t="s">
        <v>64</v>
      </c>
      <c r="M2187">
        <v>4</v>
      </c>
      <c r="N2187" t="s">
        <v>33</v>
      </c>
      <c r="O2187" t="s">
        <v>70</v>
      </c>
      <c r="P2187" t="s">
        <v>34</v>
      </c>
    </row>
    <row r="2188" spans="1:16" x14ac:dyDescent="0.25">
      <c r="A2188" t="s">
        <v>5074</v>
      </c>
      <c r="B2188" s="6">
        <v>44365</v>
      </c>
      <c r="C2188">
        <v>4620</v>
      </c>
      <c r="D2188" t="s">
        <v>5076</v>
      </c>
      <c r="E2188" t="s">
        <v>38</v>
      </c>
      <c r="F2188" t="s">
        <v>47</v>
      </c>
      <c r="G2188">
        <v>11704.9</v>
      </c>
      <c r="H2188">
        <v>7444.62</v>
      </c>
      <c r="I2188" t="s">
        <v>31</v>
      </c>
      <c r="J2188" t="s">
        <v>21</v>
      </c>
      <c r="K2188" t="s">
        <v>80</v>
      </c>
      <c r="L2188" t="s">
        <v>64</v>
      </c>
      <c r="M2188">
        <v>4</v>
      </c>
      <c r="N2188" t="s">
        <v>33</v>
      </c>
      <c r="O2188" t="s">
        <v>70</v>
      </c>
      <c r="P2188" t="s">
        <v>26</v>
      </c>
    </row>
    <row r="2189" spans="1:16" x14ac:dyDescent="0.25">
      <c r="A2189" t="s">
        <v>5077</v>
      </c>
      <c r="B2189" s="6">
        <v>45370</v>
      </c>
      <c r="C2189">
        <v>3417</v>
      </c>
      <c r="D2189" t="s">
        <v>5078</v>
      </c>
      <c r="E2189" t="s">
        <v>38</v>
      </c>
      <c r="F2189" t="s">
        <v>19</v>
      </c>
      <c r="G2189">
        <v>13891.29</v>
      </c>
      <c r="H2189">
        <v>6799.35</v>
      </c>
      <c r="I2189" t="s">
        <v>63</v>
      </c>
      <c r="J2189" t="s">
        <v>54</v>
      </c>
      <c r="K2189" t="s">
        <v>22</v>
      </c>
      <c r="L2189" t="s">
        <v>88</v>
      </c>
      <c r="M2189">
        <v>3</v>
      </c>
      <c r="N2189" t="s">
        <v>69</v>
      </c>
      <c r="O2189" t="s">
        <v>70</v>
      </c>
      <c r="P2189" t="s">
        <v>26</v>
      </c>
    </row>
    <row r="2190" spans="1:16" x14ac:dyDescent="0.25">
      <c r="A2190" t="s">
        <v>5079</v>
      </c>
      <c r="B2190" s="6">
        <v>44952</v>
      </c>
      <c r="C2190">
        <v>6553</v>
      </c>
      <c r="D2190" t="s">
        <v>5080</v>
      </c>
      <c r="E2190" t="s">
        <v>38</v>
      </c>
      <c r="F2190" t="s">
        <v>47</v>
      </c>
      <c r="G2190">
        <v>20016.59</v>
      </c>
      <c r="H2190">
        <v>10354.14</v>
      </c>
      <c r="I2190" t="s">
        <v>53</v>
      </c>
      <c r="J2190" t="s">
        <v>54</v>
      </c>
      <c r="K2190" t="s">
        <v>32</v>
      </c>
      <c r="L2190" t="s">
        <v>88</v>
      </c>
      <c r="M2190">
        <v>3</v>
      </c>
      <c r="N2190" t="s">
        <v>33</v>
      </c>
      <c r="O2190" t="s">
        <v>70</v>
      </c>
      <c r="P2190" t="s">
        <v>34</v>
      </c>
    </row>
    <row r="2191" spans="1:16" x14ac:dyDescent="0.25">
      <c r="A2191" t="s">
        <v>5081</v>
      </c>
      <c r="B2191" s="6">
        <v>44847</v>
      </c>
      <c r="C2191">
        <v>4517</v>
      </c>
      <c r="D2191" t="s">
        <v>5082</v>
      </c>
      <c r="E2191" t="s">
        <v>18</v>
      </c>
      <c r="F2191" t="s">
        <v>47</v>
      </c>
      <c r="G2191">
        <v>5371.99</v>
      </c>
      <c r="H2191">
        <v>3459.66</v>
      </c>
      <c r="I2191" t="s">
        <v>68</v>
      </c>
      <c r="J2191" t="s">
        <v>41</v>
      </c>
      <c r="K2191" t="s">
        <v>80</v>
      </c>
      <c r="L2191" t="s">
        <v>48</v>
      </c>
      <c r="M2191">
        <v>4</v>
      </c>
      <c r="N2191" t="s">
        <v>33</v>
      </c>
      <c r="O2191" t="s">
        <v>25</v>
      </c>
      <c r="P2191" t="s">
        <v>49</v>
      </c>
    </row>
    <row r="2192" spans="1:16" x14ac:dyDescent="0.25">
      <c r="A2192" t="s">
        <v>5083</v>
      </c>
      <c r="B2192" s="6">
        <v>45589</v>
      </c>
      <c r="C2192">
        <v>1491</v>
      </c>
      <c r="D2192" t="s">
        <v>249</v>
      </c>
      <c r="E2192" t="s">
        <v>38</v>
      </c>
      <c r="F2192" t="s">
        <v>39</v>
      </c>
      <c r="G2192">
        <v>48077.05</v>
      </c>
      <c r="H2192">
        <v>22123.279999999999</v>
      </c>
      <c r="I2192" t="s">
        <v>63</v>
      </c>
      <c r="J2192" t="s">
        <v>54</v>
      </c>
      <c r="K2192" t="s">
        <v>32</v>
      </c>
      <c r="L2192" t="s">
        <v>55</v>
      </c>
      <c r="M2192">
        <v>4</v>
      </c>
      <c r="N2192" t="s">
        <v>33</v>
      </c>
      <c r="O2192" t="s">
        <v>70</v>
      </c>
      <c r="P2192" t="s">
        <v>49</v>
      </c>
    </row>
    <row r="2193" spans="1:16" x14ac:dyDescent="0.25">
      <c r="A2193" t="s">
        <v>5084</v>
      </c>
      <c r="B2193" s="6">
        <v>44127</v>
      </c>
      <c r="C2193">
        <v>4793</v>
      </c>
      <c r="D2193" t="s">
        <v>5085</v>
      </c>
      <c r="E2193" t="s">
        <v>18</v>
      </c>
      <c r="F2193" t="s">
        <v>19</v>
      </c>
      <c r="G2193">
        <v>6876.79</v>
      </c>
      <c r="H2193">
        <v>3622.3</v>
      </c>
      <c r="I2193" t="s">
        <v>120</v>
      </c>
      <c r="J2193" t="s">
        <v>21</v>
      </c>
      <c r="K2193" t="s">
        <v>22</v>
      </c>
      <c r="L2193" t="s">
        <v>43</v>
      </c>
      <c r="M2193">
        <v>2</v>
      </c>
      <c r="N2193" t="s">
        <v>69</v>
      </c>
      <c r="O2193" t="s">
        <v>70</v>
      </c>
      <c r="P2193" t="s">
        <v>34</v>
      </c>
    </row>
    <row r="2194" spans="1:16" x14ac:dyDescent="0.25">
      <c r="A2194" t="s">
        <v>5086</v>
      </c>
      <c r="B2194" s="6">
        <v>45551</v>
      </c>
      <c r="C2194">
        <v>6738</v>
      </c>
      <c r="D2194" t="s">
        <v>5088</v>
      </c>
      <c r="E2194" t="s">
        <v>18</v>
      </c>
      <c r="F2194" t="s">
        <v>47</v>
      </c>
      <c r="G2194">
        <v>22115.98</v>
      </c>
      <c r="H2194">
        <v>10099.98</v>
      </c>
      <c r="I2194" t="s">
        <v>84</v>
      </c>
      <c r="J2194" t="s">
        <v>54</v>
      </c>
      <c r="K2194" t="s">
        <v>42</v>
      </c>
      <c r="L2194" t="s">
        <v>43</v>
      </c>
      <c r="M2194">
        <v>2</v>
      </c>
      <c r="N2194" t="s">
        <v>24</v>
      </c>
      <c r="O2194" t="s">
        <v>25</v>
      </c>
      <c r="P2194" t="s">
        <v>34</v>
      </c>
    </row>
    <row r="2195" spans="1:16" x14ac:dyDescent="0.25">
      <c r="A2195" t="s">
        <v>5089</v>
      </c>
      <c r="B2195" s="6">
        <v>44586</v>
      </c>
      <c r="C2195">
        <v>4110</v>
      </c>
      <c r="D2195" t="s">
        <v>5090</v>
      </c>
      <c r="E2195" t="s">
        <v>18</v>
      </c>
      <c r="F2195" t="s">
        <v>58</v>
      </c>
      <c r="G2195">
        <v>25636.31</v>
      </c>
      <c r="H2195">
        <v>16358.18</v>
      </c>
      <c r="I2195" t="s">
        <v>68</v>
      </c>
      <c r="J2195" t="s">
        <v>41</v>
      </c>
      <c r="K2195" t="s">
        <v>80</v>
      </c>
      <c r="L2195" t="s">
        <v>23</v>
      </c>
      <c r="M2195">
        <v>4</v>
      </c>
      <c r="N2195" t="s">
        <v>24</v>
      </c>
      <c r="O2195" t="s">
        <v>25</v>
      </c>
      <c r="P2195" t="s">
        <v>26</v>
      </c>
    </row>
    <row r="2196" spans="1:16" x14ac:dyDescent="0.25">
      <c r="A2196" t="s">
        <v>5091</v>
      </c>
      <c r="B2196" s="6">
        <v>45192</v>
      </c>
      <c r="C2196">
        <v>2028</v>
      </c>
      <c r="D2196" t="s">
        <v>5093</v>
      </c>
      <c r="E2196" t="s">
        <v>18</v>
      </c>
      <c r="F2196" t="s">
        <v>30</v>
      </c>
      <c r="G2196">
        <v>58143.51</v>
      </c>
      <c r="H2196">
        <v>29459.3</v>
      </c>
      <c r="I2196" t="s">
        <v>20</v>
      </c>
      <c r="J2196" t="s">
        <v>21</v>
      </c>
      <c r="K2196" t="s">
        <v>80</v>
      </c>
      <c r="L2196" t="s">
        <v>43</v>
      </c>
      <c r="M2196">
        <v>1</v>
      </c>
      <c r="N2196" t="s">
        <v>24</v>
      </c>
      <c r="O2196" t="s">
        <v>25</v>
      </c>
      <c r="P2196" t="s">
        <v>34</v>
      </c>
    </row>
    <row r="2197" spans="1:16" x14ac:dyDescent="0.25">
      <c r="A2197" t="s">
        <v>5094</v>
      </c>
      <c r="B2197" s="6">
        <v>44631</v>
      </c>
      <c r="C2197">
        <v>9907</v>
      </c>
      <c r="D2197" t="s">
        <v>5096</v>
      </c>
      <c r="E2197" t="s">
        <v>18</v>
      </c>
      <c r="F2197" t="s">
        <v>19</v>
      </c>
      <c r="G2197">
        <v>9402.2099999999991</v>
      </c>
      <c r="H2197">
        <v>5546.1</v>
      </c>
      <c r="I2197" t="s">
        <v>63</v>
      </c>
      <c r="J2197" t="s">
        <v>54</v>
      </c>
      <c r="K2197" t="s">
        <v>32</v>
      </c>
      <c r="L2197" t="s">
        <v>88</v>
      </c>
      <c r="M2197">
        <v>2</v>
      </c>
      <c r="N2197" t="s">
        <v>24</v>
      </c>
      <c r="O2197" t="s">
        <v>25</v>
      </c>
      <c r="P2197" t="s">
        <v>34</v>
      </c>
    </row>
    <row r="2198" spans="1:16" x14ac:dyDescent="0.25">
      <c r="A2198" t="s">
        <v>5097</v>
      </c>
      <c r="B2198" s="6">
        <v>44702</v>
      </c>
      <c r="C2198">
        <v>5221</v>
      </c>
      <c r="D2198" t="s">
        <v>5099</v>
      </c>
      <c r="E2198" t="s">
        <v>38</v>
      </c>
      <c r="F2198" t="s">
        <v>19</v>
      </c>
      <c r="G2198">
        <v>12899.54</v>
      </c>
      <c r="H2198">
        <v>6305.62</v>
      </c>
      <c r="I2198" t="s">
        <v>20</v>
      </c>
      <c r="J2198" t="s">
        <v>21</v>
      </c>
      <c r="K2198" t="s">
        <v>32</v>
      </c>
      <c r="L2198" t="s">
        <v>64</v>
      </c>
      <c r="M2198">
        <v>5</v>
      </c>
      <c r="N2198" t="s">
        <v>69</v>
      </c>
      <c r="O2198" t="s">
        <v>25</v>
      </c>
      <c r="P2198" t="s">
        <v>34</v>
      </c>
    </row>
    <row r="2199" spans="1:16" x14ac:dyDescent="0.25">
      <c r="A2199" t="s">
        <v>5100</v>
      </c>
      <c r="B2199" s="6">
        <v>44185</v>
      </c>
      <c r="C2199">
        <v>8772</v>
      </c>
      <c r="D2199" t="s">
        <v>5102</v>
      </c>
      <c r="E2199" t="s">
        <v>38</v>
      </c>
      <c r="F2199" t="s">
        <v>39</v>
      </c>
      <c r="G2199">
        <v>25663.52</v>
      </c>
      <c r="H2199">
        <v>13100.47</v>
      </c>
      <c r="I2199" t="s">
        <v>31</v>
      </c>
      <c r="J2199" t="s">
        <v>21</v>
      </c>
      <c r="K2199" t="s">
        <v>32</v>
      </c>
      <c r="L2199" t="s">
        <v>88</v>
      </c>
      <c r="M2199">
        <v>4</v>
      </c>
      <c r="N2199" t="s">
        <v>24</v>
      </c>
      <c r="O2199" t="s">
        <v>70</v>
      </c>
      <c r="P2199" t="s">
        <v>34</v>
      </c>
    </row>
    <row r="2200" spans="1:16" x14ac:dyDescent="0.25">
      <c r="A2200" t="s">
        <v>5103</v>
      </c>
      <c r="B2200" s="6">
        <v>45218</v>
      </c>
      <c r="C2200">
        <v>6487</v>
      </c>
      <c r="D2200" t="s">
        <v>5105</v>
      </c>
      <c r="E2200" t="s">
        <v>18</v>
      </c>
      <c r="F2200" t="s">
        <v>39</v>
      </c>
      <c r="G2200">
        <v>8651.82</v>
      </c>
      <c r="H2200">
        <v>4459.21</v>
      </c>
      <c r="I2200" t="s">
        <v>59</v>
      </c>
      <c r="J2200" t="s">
        <v>41</v>
      </c>
      <c r="K2200" t="s">
        <v>80</v>
      </c>
      <c r="L2200" t="s">
        <v>64</v>
      </c>
      <c r="M2200">
        <v>3</v>
      </c>
      <c r="N2200" t="s">
        <v>24</v>
      </c>
      <c r="O2200" t="s">
        <v>25</v>
      </c>
      <c r="P2200" t="s">
        <v>34</v>
      </c>
    </row>
    <row r="2201" spans="1:16" x14ac:dyDescent="0.25">
      <c r="A2201" t="s">
        <v>5106</v>
      </c>
      <c r="B2201" s="6">
        <v>45590</v>
      </c>
      <c r="C2201">
        <v>7144</v>
      </c>
      <c r="D2201" t="s">
        <v>5108</v>
      </c>
      <c r="E2201" t="s">
        <v>38</v>
      </c>
      <c r="F2201" t="s">
        <v>19</v>
      </c>
      <c r="G2201">
        <v>21903.38</v>
      </c>
      <c r="H2201">
        <v>12437.4</v>
      </c>
      <c r="I2201" t="s">
        <v>63</v>
      </c>
      <c r="J2201" t="s">
        <v>54</v>
      </c>
      <c r="K2201" t="s">
        <v>80</v>
      </c>
      <c r="L2201" t="s">
        <v>64</v>
      </c>
      <c r="M2201">
        <v>5</v>
      </c>
      <c r="N2201" t="s">
        <v>33</v>
      </c>
      <c r="O2201" t="s">
        <v>70</v>
      </c>
      <c r="P2201" t="s">
        <v>49</v>
      </c>
    </row>
    <row r="2202" spans="1:16" x14ac:dyDescent="0.25">
      <c r="A2202" t="s">
        <v>5109</v>
      </c>
      <c r="B2202" s="6">
        <v>45001</v>
      </c>
      <c r="C2202">
        <v>3234</v>
      </c>
      <c r="D2202" t="s">
        <v>87</v>
      </c>
      <c r="E2202" t="s">
        <v>38</v>
      </c>
      <c r="F2202" t="s">
        <v>47</v>
      </c>
      <c r="G2202">
        <v>6293.11</v>
      </c>
      <c r="H2202">
        <v>3449.44</v>
      </c>
      <c r="I2202" t="s">
        <v>68</v>
      </c>
      <c r="J2202" t="s">
        <v>41</v>
      </c>
      <c r="K2202" t="s">
        <v>32</v>
      </c>
      <c r="L2202" t="s">
        <v>55</v>
      </c>
      <c r="M2202">
        <v>2</v>
      </c>
      <c r="N2202" t="s">
        <v>24</v>
      </c>
      <c r="O2202" t="s">
        <v>25</v>
      </c>
      <c r="P2202" t="s">
        <v>49</v>
      </c>
    </row>
    <row r="2203" spans="1:16" x14ac:dyDescent="0.25">
      <c r="A2203" t="s">
        <v>5110</v>
      </c>
      <c r="B2203" s="6">
        <v>44926</v>
      </c>
      <c r="C2203">
        <v>4338</v>
      </c>
      <c r="D2203" t="s">
        <v>5111</v>
      </c>
      <c r="E2203" t="s">
        <v>38</v>
      </c>
      <c r="F2203" t="s">
        <v>58</v>
      </c>
      <c r="G2203">
        <v>26201.77</v>
      </c>
      <c r="H2203">
        <v>13367.1</v>
      </c>
      <c r="I2203" t="s">
        <v>120</v>
      </c>
      <c r="J2203" t="s">
        <v>21</v>
      </c>
      <c r="K2203" t="s">
        <v>42</v>
      </c>
      <c r="L2203" t="s">
        <v>64</v>
      </c>
      <c r="M2203">
        <v>5</v>
      </c>
      <c r="N2203" t="s">
        <v>33</v>
      </c>
      <c r="O2203" t="s">
        <v>70</v>
      </c>
      <c r="P2203" t="s">
        <v>34</v>
      </c>
    </row>
    <row r="2204" spans="1:16" x14ac:dyDescent="0.25">
      <c r="A2204" t="s">
        <v>5112</v>
      </c>
      <c r="B2204" s="6">
        <v>45458</v>
      </c>
      <c r="C2204">
        <v>8362</v>
      </c>
      <c r="D2204" t="s">
        <v>5113</v>
      </c>
      <c r="E2204" t="s">
        <v>38</v>
      </c>
      <c r="F2204" t="s">
        <v>19</v>
      </c>
      <c r="G2204">
        <v>19425.04</v>
      </c>
      <c r="H2204">
        <v>11329.01</v>
      </c>
      <c r="I2204" t="s">
        <v>53</v>
      </c>
      <c r="J2204" t="s">
        <v>54</v>
      </c>
      <c r="K2204" t="s">
        <v>42</v>
      </c>
      <c r="L2204" t="s">
        <v>64</v>
      </c>
      <c r="M2204">
        <v>5</v>
      </c>
      <c r="N2204" t="s">
        <v>33</v>
      </c>
      <c r="O2204" t="s">
        <v>70</v>
      </c>
      <c r="P2204" t="s">
        <v>26</v>
      </c>
    </row>
    <row r="2205" spans="1:16" x14ac:dyDescent="0.25">
      <c r="A2205" t="s">
        <v>5114</v>
      </c>
      <c r="B2205" s="6">
        <v>45494</v>
      </c>
      <c r="C2205">
        <v>8847</v>
      </c>
      <c r="D2205" t="s">
        <v>5116</v>
      </c>
      <c r="E2205" t="s">
        <v>38</v>
      </c>
      <c r="F2205" t="s">
        <v>58</v>
      </c>
      <c r="G2205">
        <v>16558.23</v>
      </c>
      <c r="H2205">
        <v>8297.16</v>
      </c>
      <c r="I2205" t="s">
        <v>59</v>
      </c>
      <c r="J2205" t="s">
        <v>41</v>
      </c>
      <c r="K2205" t="s">
        <v>42</v>
      </c>
      <c r="L2205" t="s">
        <v>23</v>
      </c>
      <c r="M2205">
        <v>4</v>
      </c>
      <c r="N2205" t="s">
        <v>69</v>
      </c>
      <c r="O2205" t="s">
        <v>25</v>
      </c>
      <c r="P2205" t="s">
        <v>26</v>
      </c>
    </row>
    <row r="2206" spans="1:16" x14ac:dyDescent="0.25">
      <c r="A2206" t="s">
        <v>5117</v>
      </c>
      <c r="B2206" s="6">
        <v>44660</v>
      </c>
      <c r="C2206">
        <v>5148</v>
      </c>
      <c r="D2206" t="s">
        <v>5118</v>
      </c>
      <c r="E2206" t="s">
        <v>18</v>
      </c>
      <c r="F2206" t="s">
        <v>39</v>
      </c>
      <c r="G2206">
        <v>10075.51</v>
      </c>
      <c r="H2206">
        <v>5122.07</v>
      </c>
      <c r="I2206" t="s">
        <v>63</v>
      </c>
      <c r="J2206" t="s">
        <v>54</v>
      </c>
      <c r="K2206" t="s">
        <v>22</v>
      </c>
      <c r="L2206" t="s">
        <v>48</v>
      </c>
      <c r="M2206">
        <v>5</v>
      </c>
      <c r="N2206" t="s">
        <v>33</v>
      </c>
      <c r="O2206" t="s">
        <v>25</v>
      </c>
      <c r="P2206" t="s">
        <v>49</v>
      </c>
    </row>
    <row r="2207" spans="1:16" x14ac:dyDescent="0.25">
      <c r="A2207" t="s">
        <v>5119</v>
      </c>
      <c r="B2207" s="6">
        <v>44239</v>
      </c>
      <c r="C2207">
        <v>2518</v>
      </c>
      <c r="D2207" t="s">
        <v>5120</v>
      </c>
      <c r="E2207" t="s">
        <v>38</v>
      </c>
      <c r="F2207" t="s">
        <v>58</v>
      </c>
      <c r="G2207">
        <v>33471.08</v>
      </c>
      <c r="H2207">
        <v>19462.740000000002</v>
      </c>
      <c r="I2207" t="s">
        <v>53</v>
      </c>
      <c r="J2207" t="s">
        <v>54</v>
      </c>
      <c r="K2207" t="s">
        <v>42</v>
      </c>
      <c r="L2207" t="s">
        <v>64</v>
      </c>
      <c r="M2207">
        <v>3</v>
      </c>
      <c r="N2207" t="s">
        <v>24</v>
      </c>
      <c r="O2207" t="s">
        <v>25</v>
      </c>
      <c r="P2207" t="s">
        <v>34</v>
      </c>
    </row>
    <row r="2208" spans="1:16" x14ac:dyDescent="0.25">
      <c r="A2208" t="s">
        <v>5121</v>
      </c>
      <c r="B2208" s="6">
        <v>45247</v>
      </c>
      <c r="C2208">
        <v>4072</v>
      </c>
      <c r="D2208" t="s">
        <v>814</v>
      </c>
      <c r="E2208" t="s">
        <v>18</v>
      </c>
      <c r="F2208" t="s">
        <v>39</v>
      </c>
      <c r="G2208">
        <v>29745.5</v>
      </c>
      <c r="H2208">
        <v>17606.79</v>
      </c>
      <c r="I2208" t="s">
        <v>40</v>
      </c>
      <c r="J2208" t="s">
        <v>41</v>
      </c>
      <c r="K2208" t="s">
        <v>80</v>
      </c>
      <c r="L2208" t="s">
        <v>64</v>
      </c>
      <c r="M2208">
        <v>4</v>
      </c>
      <c r="N2208" t="s">
        <v>24</v>
      </c>
      <c r="O2208" t="s">
        <v>25</v>
      </c>
      <c r="P2208" t="s">
        <v>34</v>
      </c>
    </row>
    <row r="2209" spans="1:16" x14ac:dyDescent="0.25">
      <c r="A2209" t="s">
        <v>5122</v>
      </c>
      <c r="B2209" s="6">
        <v>45357</v>
      </c>
      <c r="C2209">
        <v>4349</v>
      </c>
      <c r="D2209" t="s">
        <v>5124</v>
      </c>
      <c r="E2209" t="s">
        <v>18</v>
      </c>
      <c r="F2209" t="s">
        <v>19</v>
      </c>
      <c r="G2209">
        <v>4403.34</v>
      </c>
      <c r="H2209">
        <v>2017.22</v>
      </c>
      <c r="I2209" t="s">
        <v>31</v>
      </c>
      <c r="J2209" t="s">
        <v>21</v>
      </c>
      <c r="K2209" t="s">
        <v>22</v>
      </c>
      <c r="L2209" t="s">
        <v>48</v>
      </c>
      <c r="M2209">
        <v>4</v>
      </c>
      <c r="N2209" t="s">
        <v>33</v>
      </c>
      <c r="O2209" t="s">
        <v>25</v>
      </c>
      <c r="P2209" t="s">
        <v>26</v>
      </c>
    </row>
    <row r="2210" spans="1:16" x14ac:dyDescent="0.25">
      <c r="A2210" t="s">
        <v>5125</v>
      </c>
      <c r="B2210" s="6">
        <v>45262</v>
      </c>
      <c r="C2210">
        <v>7658</v>
      </c>
      <c r="D2210" t="s">
        <v>5126</v>
      </c>
      <c r="E2210" t="s">
        <v>38</v>
      </c>
      <c r="F2210" t="s">
        <v>39</v>
      </c>
      <c r="G2210">
        <v>31508.21</v>
      </c>
      <c r="H2210">
        <v>14310.59</v>
      </c>
      <c r="I2210" t="s">
        <v>31</v>
      </c>
      <c r="J2210" t="s">
        <v>21</v>
      </c>
      <c r="K2210" t="s">
        <v>32</v>
      </c>
      <c r="L2210" t="s">
        <v>64</v>
      </c>
      <c r="M2210">
        <v>1</v>
      </c>
      <c r="N2210" t="s">
        <v>24</v>
      </c>
      <c r="O2210" t="s">
        <v>25</v>
      </c>
      <c r="P2210" t="s">
        <v>49</v>
      </c>
    </row>
    <row r="2211" spans="1:16" x14ac:dyDescent="0.25">
      <c r="A2211" t="s">
        <v>5127</v>
      </c>
      <c r="B2211" s="6">
        <v>44454</v>
      </c>
      <c r="C2211">
        <v>1733</v>
      </c>
      <c r="D2211" t="s">
        <v>5128</v>
      </c>
      <c r="E2211" t="s">
        <v>38</v>
      </c>
      <c r="F2211" t="s">
        <v>47</v>
      </c>
      <c r="G2211">
        <v>14562.75</v>
      </c>
      <c r="H2211">
        <v>6571.41</v>
      </c>
      <c r="I2211" t="s">
        <v>63</v>
      </c>
      <c r="J2211" t="s">
        <v>54</v>
      </c>
      <c r="K2211" t="s">
        <v>80</v>
      </c>
      <c r="L2211" t="s">
        <v>64</v>
      </c>
      <c r="M2211">
        <v>3</v>
      </c>
      <c r="N2211" t="s">
        <v>33</v>
      </c>
      <c r="O2211" t="s">
        <v>25</v>
      </c>
      <c r="P2211" t="s">
        <v>26</v>
      </c>
    </row>
    <row r="2212" spans="1:16" x14ac:dyDescent="0.25">
      <c r="A2212" t="s">
        <v>5129</v>
      </c>
      <c r="B2212" s="6">
        <v>45347</v>
      </c>
      <c r="C2212">
        <v>8467</v>
      </c>
      <c r="D2212" t="s">
        <v>5131</v>
      </c>
      <c r="E2212" t="s">
        <v>38</v>
      </c>
      <c r="F2212" t="s">
        <v>47</v>
      </c>
      <c r="G2212">
        <v>10109.1</v>
      </c>
      <c r="H2212">
        <v>6441.24</v>
      </c>
      <c r="I2212" t="s">
        <v>63</v>
      </c>
      <c r="J2212" t="s">
        <v>54</v>
      </c>
      <c r="K2212" t="s">
        <v>80</v>
      </c>
      <c r="L2212" t="s">
        <v>55</v>
      </c>
      <c r="M2212">
        <v>3</v>
      </c>
      <c r="N2212" t="s">
        <v>69</v>
      </c>
      <c r="O2212" t="s">
        <v>25</v>
      </c>
      <c r="P2212" t="s">
        <v>26</v>
      </c>
    </row>
    <row r="2213" spans="1:16" x14ac:dyDescent="0.25">
      <c r="A2213" t="s">
        <v>5132</v>
      </c>
      <c r="B2213" s="6">
        <v>44341</v>
      </c>
      <c r="C2213">
        <v>2425</v>
      </c>
      <c r="D2213" t="s">
        <v>5134</v>
      </c>
      <c r="E2213" t="s">
        <v>18</v>
      </c>
      <c r="F2213" t="s">
        <v>58</v>
      </c>
      <c r="G2213">
        <v>23775.599999999999</v>
      </c>
      <c r="H2213">
        <v>12654.48</v>
      </c>
      <c r="I2213" t="s">
        <v>63</v>
      </c>
      <c r="J2213" t="s">
        <v>54</v>
      </c>
      <c r="K2213" t="s">
        <v>80</v>
      </c>
      <c r="L2213" t="s">
        <v>55</v>
      </c>
      <c r="M2213">
        <v>2</v>
      </c>
      <c r="N2213" t="s">
        <v>33</v>
      </c>
      <c r="O2213" t="s">
        <v>25</v>
      </c>
      <c r="P2213" t="s">
        <v>34</v>
      </c>
    </row>
    <row r="2214" spans="1:16" x14ac:dyDescent="0.25">
      <c r="A2214" t="s">
        <v>5135</v>
      </c>
      <c r="B2214" s="6">
        <v>44636</v>
      </c>
      <c r="C2214">
        <v>8433</v>
      </c>
      <c r="D2214" t="s">
        <v>5136</v>
      </c>
      <c r="E2214" t="s">
        <v>38</v>
      </c>
      <c r="F2214" t="s">
        <v>30</v>
      </c>
      <c r="G2214">
        <v>27163.69</v>
      </c>
      <c r="H2214">
        <v>13037.44</v>
      </c>
      <c r="I2214" t="s">
        <v>59</v>
      </c>
      <c r="J2214" t="s">
        <v>41</v>
      </c>
      <c r="K2214" t="s">
        <v>80</v>
      </c>
      <c r="L2214" t="s">
        <v>23</v>
      </c>
      <c r="M2214">
        <v>1</v>
      </c>
      <c r="N2214" t="s">
        <v>24</v>
      </c>
      <c r="O2214" t="s">
        <v>25</v>
      </c>
      <c r="P2214" t="s">
        <v>34</v>
      </c>
    </row>
    <row r="2215" spans="1:16" x14ac:dyDescent="0.25">
      <c r="A2215" t="s">
        <v>5137</v>
      </c>
      <c r="B2215" s="6">
        <v>44565</v>
      </c>
      <c r="C2215">
        <v>6836</v>
      </c>
      <c r="D2215" t="s">
        <v>5138</v>
      </c>
      <c r="E2215" t="s">
        <v>38</v>
      </c>
      <c r="F2215" t="s">
        <v>30</v>
      </c>
      <c r="G2215">
        <v>52139.72</v>
      </c>
      <c r="H2215">
        <v>23897.4</v>
      </c>
      <c r="I2215" t="s">
        <v>20</v>
      </c>
      <c r="J2215" t="s">
        <v>21</v>
      </c>
      <c r="K2215" t="s">
        <v>22</v>
      </c>
      <c r="L2215" t="s">
        <v>88</v>
      </c>
      <c r="M2215">
        <v>4</v>
      </c>
      <c r="N2215" t="s">
        <v>69</v>
      </c>
      <c r="O2215" t="s">
        <v>70</v>
      </c>
      <c r="P2215" t="s">
        <v>26</v>
      </c>
    </row>
    <row r="2216" spans="1:16" x14ac:dyDescent="0.25">
      <c r="A2216" t="s">
        <v>5139</v>
      </c>
      <c r="B2216" s="6">
        <v>44914</v>
      </c>
      <c r="C2216">
        <v>4319</v>
      </c>
      <c r="D2216" t="s">
        <v>5140</v>
      </c>
      <c r="E2216" t="s">
        <v>18</v>
      </c>
      <c r="F2216" t="s">
        <v>58</v>
      </c>
      <c r="G2216">
        <v>52749.64</v>
      </c>
      <c r="H2216">
        <v>27587.8</v>
      </c>
      <c r="I2216" t="s">
        <v>84</v>
      </c>
      <c r="J2216" t="s">
        <v>54</v>
      </c>
      <c r="K2216" t="s">
        <v>32</v>
      </c>
      <c r="L2216" t="s">
        <v>43</v>
      </c>
      <c r="M2216">
        <v>2</v>
      </c>
      <c r="N2216" t="s">
        <v>24</v>
      </c>
      <c r="O2216" t="s">
        <v>70</v>
      </c>
      <c r="P2216" t="s">
        <v>26</v>
      </c>
    </row>
    <row r="2217" spans="1:16" x14ac:dyDescent="0.25">
      <c r="A2217" t="s">
        <v>5141</v>
      </c>
      <c r="B2217" s="6">
        <v>44860</v>
      </c>
      <c r="C2217">
        <v>2341</v>
      </c>
      <c r="D2217" t="s">
        <v>5142</v>
      </c>
      <c r="E2217" t="s">
        <v>38</v>
      </c>
      <c r="F2217" t="s">
        <v>39</v>
      </c>
      <c r="G2217">
        <v>17917.95</v>
      </c>
      <c r="H2217">
        <v>10993.38</v>
      </c>
      <c r="I2217" t="s">
        <v>120</v>
      </c>
      <c r="J2217" t="s">
        <v>21</v>
      </c>
      <c r="K2217" t="s">
        <v>80</v>
      </c>
      <c r="L2217" t="s">
        <v>43</v>
      </c>
      <c r="M2217">
        <v>3</v>
      </c>
      <c r="N2217" t="s">
        <v>33</v>
      </c>
      <c r="O2217" t="s">
        <v>70</v>
      </c>
      <c r="P2217" t="s">
        <v>49</v>
      </c>
    </row>
    <row r="2218" spans="1:16" x14ac:dyDescent="0.25">
      <c r="A2218" t="s">
        <v>5143</v>
      </c>
      <c r="B2218" s="6">
        <v>44546</v>
      </c>
      <c r="C2218">
        <v>7754</v>
      </c>
      <c r="D2218" t="s">
        <v>5144</v>
      </c>
      <c r="E2218" t="s">
        <v>38</v>
      </c>
      <c r="F2218" t="s">
        <v>58</v>
      </c>
      <c r="G2218">
        <v>26553.119999999999</v>
      </c>
      <c r="H2218">
        <v>15581.95</v>
      </c>
      <c r="I2218" t="s">
        <v>20</v>
      </c>
      <c r="J2218" t="s">
        <v>21</v>
      </c>
      <c r="K2218" t="s">
        <v>22</v>
      </c>
      <c r="L2218" t="s">
        <v>43</v>
      </c>
      <c r="M2218">
        <v>1</v>
      </c>
      <c r="N2218" t="s">
        <v>33</v>
      </c>
      <c r="O2218" t="s">
        <v>25</v>
      </c>
      <c r="P2218" t="s">
        <v>26</v>
      </c>
    </row>
    <row r="2219" spans="1:16" x14ac:dyDescent="0.25">
      <c r="A2219" t="s">
        <v>5145</v>
      </c>
      <c r="B2219" s="6">
        <v>44718</v>
      </c>
      <c r="C2219">
        <v>9264</v>
      </c>
      <c r="D2219" t="s">
        <v>5147</v>
      </c>
      <c r="E2219" t="s">
        <v>18</v>
      </c>
      <c r="F2219" t="s">
        <v>47</v>
      </c>
      <c r="G2219">
        <v>9178.67</v>
      </c>
      <c r="H2219">
        <v>4311.2700000000004</v>
      </c>
      <c r="I2219" t="s">
        <v>40</v>
      </c>
      <c r="J2219" t="s">
        <v>41</v>
      </c>
      <c r="K2219" t="s">
        <v>32</v>
      </c>
      <c r="L2219" t="s">
        <v>23</v>
      </c>
      <c r="M2219">
        <v>3</v>
      </c>
      <c r="N2219" t="s">
        <v>33</v>
      </c>
      <c r="O2219" t="s">
        <v>25</v>
      </c>
      <c r="P2219" t="s">
        <v>26</v>
      </c>
    </row>
    <row r="2220" spans="1:16" x14ac:dyDescent="0.25">
      <c r="A2220" t="s">
        <v>5148</v>
      </c>
      <c r="B2220" s="6">
        <v>44358</v>
      </c>
      <c r="C2220">
        <v>7034</v>
      </c>
      <c r="D2220" t="s">
        <v>5149</v>
      </c>
      <c r="E2220" t="s">
        <v>38</v>
      </c>
      <c r="F2220" t="s">
        <v>58</v>
      </c>
      <c r="G2220">
        <v>15462.98</v>
      </c>
      <c r="H2220">
        <v>9124.8799999999992</v>
      </c>
      <c r="I2220" t="s">
        <v>53</v>
      </c>
      <c r="J2220" t="s">
        <v>54</v>
      </c>
      <c r="K2220" t="s">
        <v>22</v>
      </c>
      <c r="L2220" t="s">
        <v>55</v>
      </c>
      <c r="M2220">
        <v>5</v>
      </c>
      <c r="N2220" t="s">
        <v>69</v>
      </c>
      <c r="O2220" t="s">
        <v>70</v>
      </c>
      <c r="P2220" t="s">
        <v>26</v>
      </c>
    </row>
    <row r="2221" spans="1:16" x14ac:dyDescent="0.25">
      <c r="A2221" t="s">
        <v>5150</v>
      </c>
      <c r="B2221" s="6">
        <v>45308</v>
      </c>
      <c r="C2221">
        <v>3403</v>
      </c>
      <c r="D2221" t="s">
        <v>3179</v>
      </c>
      <c r="E2221" t="s">
        <v>18</v>
      </c>
      <c r="F2221" t="s">
        <v>39</v>
      </c>
      <c r="G2221">
        <v>49421.34</v>
      </c>
      <c r="H2221">
        <v>22345.599999999999</v>
      </c>
      <c r="I2221" t="s">
        <v>53</v>
      </c>
      <c r="J2221" t="s">
        <v>54</v>
      </c>
      <c r="K2221" t="s">
        <v>42</v>
      </c>
      <c r="L2221" t="s">
        <v>64</v>
      </c>
      <c r="M2221">
        <v>1</v>
      </c>
      <c r="N2221" t="s">
        <v>33</v>
      </c>
      <c r="O2221" t="s">
        <v>25</v>
      </c>
      <c r="P2221" t="s">
        <v>49</v>
      </c>
    </row>
    <row r="2222" spans="1:16" x14ac:dyDescent="0.25">
      <c r="A2222" t="s">
        <v>5152</v>
      </c>
      <c r="B2222" s="6">
        <v>45406</v>
      </c>
      <c r="C2222">
        <v>8711</v>
      </c>
      <c r="D2222" t="s">
        <v>5153</v>
      </c>
      <c r="E2222" t="s">
        <v>18</v>
      </c>
      <c r="F2222" t="s">
        <v>58</v>
      </c>
      <c r="G2222">
        <v>30769.99</v>
      </c>
      <c r="H2222">
        <v>19019.349999999999</v>
      </c>
      <c r="I2222" t="s">
        <v>31</v>
      </c>
      <c r="J2222" t="s">
        <v>21</v>
      </c>
      <c r="K2222" t="s">
        <v>42</v>
      </c>
      <c r="L2222" t="s">
        <v>64</v>
      </c>
      <c r="M2222">
        <v>5</v>
      </c>
      <c r="N2222" t="s">
        <v>33</v>
      </c>
      <c r="O2222" t="s">
        <v>25</v>
      </c>
      <c r="P2222" t="s">
        <v>34</v>
      </c>
    </row>
    <row r="2223" spans="1:16" x14ac:dyDescent="0.25">
      <c r="A2223" t="s">
        <v>5154</v>
      </c>
      <c r="B2223" s="6">
        <v>45048</v>
      </c>
      <c r="C2223">
        <v>4915</v>
      </c>
      <c r="D2223" t="s">
        <v>5155</v>
      </c>
      <c r="E2223" t="s">
        <v>18</v>
      </c>
      <c r="F2223" t="s">
        <v>30</v>
      </c>
      <c r="G2223">
        <v>93472.34</v>
      </c>
      <c r="H2223">
        <v>43356.01</v>
      </c>
      <c r="I2223" t="s">
        <v>53</v>
      </c>
      <c r="J2223" t="s">
        <v>54</v>
      </c>
      <c r="K2223" t="s">
        <v>22</v>
      </c>
      <c r="L2223" t="s">
        <v>48</v>
      </c>
      <c r="M2223">
        <v>3</v>
      </c>
      <c r="N2223" t="s">
        <v>24</v>
      </c>
      <c r="O2223" t="s">
        <v>70</v>
      </c>
      <c r="P2223" t="s">
        <v>49</v>
      </c>
    </row>
    <row r="2224" spans="1:16" x14ac:dyDescent="0.25">
      <c r="A2224" t="s">
        <v>5156</v>
      </c>
      <c r="B2224" s="6">
        <v>45053</v>
      </c>
      <c r="C2224">
        <v>2206</v>
      </c>
      <c r="D2224" t="s">
        <v>5157</v>
      </c>
      <c r="E2224" t="s">
        <v>38</v>
      </c>
      <c r="F2224" t="s">
        <v>30</v>
      </c>
      <c r="G2224">
        <v>75881.56</v>
      </c>
      <c r="H2224">
        <v>49247.519999999997</v>
      </c>
      <c r="I2224" t="s">
        <v>53</v>
      </c>
      <c r="J2224" t="s">
        <v>54</v>
      </c>
      <c r="K2224" t="s">
        <v>80</v>
      </c>
      <c r="L2224" t="s">
        <v>88</v>
      </c>
      <c r="M2224">
        <v>4</v>
      </c>
      <c r="N2224" t="s">
        <v>33</v>
      </c>
      <c r="O2224" t="s">
        <v>70</v>
      </c>
      <c r="P2224" t="s">
        <v>34</v>
      </c>
    </row>
    <row r="2225" spans="1:16" x14ac:dyDescent="0.25">
      <c r="A2225" t="s">
        <v>5158</v>
      </c>
      <c r="B2225" s="6">
        <v>45614</v>
      </c>
      <c r="C2225">
        <v>6815</v>
      </c>
      <c r="D2225" t="s">
        <v>5159</v>
      </c>
      <c r="E2225" t="s">
        <v>18</v>
      </c>
      <c r="F2225" t="s">
        <v>39</v>
      </c>
      <c r="G2225">
        <v>49138.57</v>
      </c>
      <c r="H2225">
        <v>25395.29</v>
      </c>
      <c r="I2225" t="s">
        <v>20</v>
      </c>
      <c r="J2225" t="s">
        <v>21</v>
      </c>
      <c r="K2225" t="s">
        <v>32</v>
      </c>
      <c r="L2225" t="s">
        <v>88</v>
      </c>
      <c r="M2225">
        <v>4</v>
      </c>
      <c r="N2225" t="s">
        <v>33</v>
      </c>
      <c r="O2225" t="s">
        <v>25</v>
      </c>
      <c r="P2225" t="s">
        <v>34</v>
      </c>
    </row>
    <row r="2226" spans="1:16" x14ac:dyDescent="0.25">
      <c r="A2226" t="s">
        <v>5160</v>
      </c>
      <c r="B2226" s="6">
        <v>44568</v>
      </c>
      <c r="C2226">
        <v>9814</v>
      </c>
      <c r="D2226" t="s">
        <v>5161</v>
      </c>
      <c r="E2226" t="s">
        <v>38</v>
      </c>
      <c r="F2226" t="s">
        <v>30</v>
      </c>
      <c r="G2226">
        <v>32289.48</v>
      </c>
      <c r="H2226">
        <v>18744.39</v>
      </c>
      <c r="I2226" t="s">
        <v>68</v>
      </c>
      <c r="J2226" t="s">
        <v>41</v>
      </c>
      <c r="K2226" t="s">
        <v>32</v>
      </c>
      <c r="L2226" t="s">
        <v>64</v>
      </c>
      <c r="M2226">
        <v>1</v>
      </c>
      <c r="N2226" t="s">
        <v>24</v>
      </c>
      <c r="O2226" t="s">
        <v>70</v>
      </c>
      <c r="P2226" t="s">
        <v>34</v>
      </c>
    </row>
    <row r="2227" spans="1:16" x14ac:dyDescent="0.25">
      <c r="A2227" t="s">
        <v>5162</v>
      </c>
      <c r="B2227" s="6">
        <v>45628</v>
      </c>
      <c r="C2227">
        <v>2062</v>
      </c>
      <c r="D2227" t="s">
        <v>5163</v>
      </c>
      <c r="E2227" t="s">
        <v>18</v>
      </c>
      <c r="F2227" t="s">
        <v>47</v>
      </c>
      <c r="G2227">
        <v>14270.87</v>
      </c>
      <c r="H2227">
        <v>7884.75</v>
      </c>
      <c r="I2227" t="s">
        <v>63</v>
      </c>
      <c r="J2227" t="s">
        <v>54</v>
      </c>
      <c r="K2227" t="s">
        <v>22</v>
      </c>
      <c r="L2227" t="s">
        <v>48</v>
      </c>
      <c r="M2227">
        <v>1</v>
      </c>
      <c r="N2227" t="s">
        <v>33</v>
      </c>
      <c r="O2227" t="s">
        <v>70</v>
      </c>
      <c r="P2227" t="s">
        <v>26</v>
      </c>
    </row>
    <row r="2228" spans="1:16" x14ac:dyDescent="0.25">
      <c r="A2228" t="s">
        <v>5164</v>
      </c>
      <c r="B2228" s="6">
        <v>43973</v>
      </c>
      <c r="C2228">
        <v>1057</v>
      </c>
      <c r="D2228" t="s">
        <v>3370</v>
      </c>
      <c r="E2228" t="s">
        <v>18</v>
      </c>
      <c r="F2228" t="s">
        <v>30</v>
      </c>
      <c r="G2228">
        <v>53746.81</v>
      </c>
      <c r="H2228">
        <v>24712.34</v>
      </c>
      <c r="I2228" t="s">
        <v>63</v>
      </c>
      <c r="J2228" t="s">
        <v>54</v>
      </c>
      <c r="K2228" t="s">
        <v>32</v>
      </c>
      <c r="L2228" t="s">
        <v>23</v>
      </c>
      <c r="M2228">
        <v>4</v>
      </c>
      <c r="N2228" t="s">
        <v>24</v>
      </c>
      <c r="O2228" t="s">
        <v>70</v>
      </c>
      <c r="P2228" t="s">
        <v>49</v>
      </c>
    </row>
    <row r="2229" spans="1:16" x14ac:dyDescent="0.25">
      <c r="A2229" t="s">
        <v>5165</v>
      </c>
      <c r="B2229" s="6">
        <v>45165</v>
      </c>
      <c r="C2229">
        <v>9122</v>
      </c>
      <c r="D2229" t="s">
        <v>5166</v>
      </c>
      <c r="E2229" t="s">
        <v>18</v>
      </c>
      <c r="F2229" t="s">
        <v>19</v>
      </c>
      <c r="G2229">
        <v>6523.38</v>
      </c>
      <c r="H2229">
        <v>3810.99</v>
      </c>
      <c r="I2229" t="s">
        <v>84</v>
      </c>
      <c r="J2229" t="s">
        <v>54</v>
      </c>
      <c r="K2229" t="s">
        <v>80</v>
      </c>
      <c r="L2229" t="s">
        <v>23</v>
      </c>
      <c r="M2229">
        <v>4</v>
      </c>
      <c r="N2229" t="s">
        <v>24</v>
      </c>
      <c r="O2229" t="s">
        <v>70</v>
      </c>
      <c r="P2229" t="s">
        <v>26</v>
      </c>
    </row>
    <row r="2230" spans="1:16" x14ac:dyDescent="0.25">
      <c r="A2230" t="s">
        <v>5167</v>
      </c>
      <c r="B2230" s="6">
        <v>45234</v>
      </c>
      <c r="C2230">
        <v>6012</v>
      </c>
      <c r="D2230" t="s">
        <v>5168</v>
      </c>
      <c r="E2230" t="s">
        <v>38</v>
      </c>
      <c r="F2230" t="s">
        <v>30</v>
      </c>
      <c r="G2230">
        <v>19397.990000000002</v>
      </c>
      <c r="H2230">
        <v>10633.42</v>
      </c>
      <c r="I2230" t="s">
        <v>53</v>
      </c>
      <c r="J2230" t="s">
        <v>54</v>
      </c>
      <c r="K2230" t="s">
        <v>32</v>
      </c>
      <c r="L2230" t="s">
        <v>48</v>
      </c>
      <c r="M2230">
        <v>3</v>
      </c>
      <c r="N2230" t="s">
        <v>69</v>
      </c>
      <c r="O2230" t="s">
        <v>25</v>
      </c>
      <c r="P2230" t="s">
        <v>49</v>
      </c>
    </row>
    <row r="2231" spans="1:16" x14ac:dyDescent="0.25">
      <c r="A2231" t="s">
        <v>5169</v>
      </c>
      <c r="B2231" s="6">
        <v>45012</v>
      </c>
      <c r="C2231">
        <v>1604</v>
      </c>
      <c r="D2231" t="s">
        <v>5170</v>
      </c>
      <c r="E2231" t="s">
        <v>38</v>
      </c>
      <c r="F2231" t="s">
        <v>58</v>
      </c>
      <c r="G2231">
        <v>46019.4</v>
      </c>
      <c r="H2231">
        <v>29006.75</v>
      </c>
      <c r="I2231" t="s">
        <v>31</v>
      </c>
      <c r="J2231" t="s">
        <v>21</v>
      </c>
      <c r="K2231" t="s">
        <v>22</v>
      </c>
      <c r="L2231" t="s">
        <v>23</v>
      </c>
      <c r="M2231">
        <v>3</v>
      </c>
      <c r="N2231" t="s">
        <v>33</v>
      </c>
      <c r="O2231" t="s">
        <v>70</v>
      </c>
      <c r="P2231" t="s">
        <v>49</v>
      </c>
    </row>
    <row r="2232" spans="1:16" x14ac:dyDescent="0.25">
      <c r="A2232" t="s">
        <v>5171</v>
      </c>
      <c r="B2232" s="6">
        <v>45563</v>
      </c>
      <c r="C2232">
        <v>3862</v>
      </c>
      <c r="D2232" t="s">
        <v>5173</v>
      </c>
      <c r="E2232" t="s">
        <v>38</v>
      </c>
      <c r="F2232" t="s">
        <v>19</v>
      </c>
      <c r="G2232">
        <v>3891.39</v>
      </c>
      <c r="H2232">
        <v>2137.14</v>
      </c>
      <c r="I2232" t="s">
        <v>40</v>
      </c>
      <c r="J2232" t="s">
        <v>41</v>
      </c>
      <c r="K2232" t="s">
        <v>22</v>
      </c>
      <c r="L2232" t="s">
        <v>64</v>
      </c>
      <c r="M2232">
        <v>4</v>
      </c>
      <c r="N2232" t="s">
        <v>24</v>
      </c>
      <c r="O2232" t="s">
        <v>70</v>
      </c>
      <c r="P2232" t="s">
        <v>49</v>
      </c>
    </row>
    <row r="2233" spans="1:16" x14ac:dyDescent="0.25">
      <c r="A2233" t="s">
        <v>5174</v>
      </c>
      <c r="B2233" s="6">
        <v>44623</v>
      </c>
      <c r="C2233">
        <v>3141</v>
      </c>
      <c r="D2233" t="s">
        <v>5175</v>
      </c>
      <c r="E2233" t="s">
        <v>18</v>
      </c>
      <c r="F2233" t="s">
        <v>30</v>
      </c>
      <c r="G2233">
        <v>47774.7</v>
      </c>
      <c r="H2233">
        <v>26243.96</v>
      </c>
      <c r="I2233" t="s">
        <v>31</v>
      </c>
      <c r="J2233" t="s">
        <v>21</v>
      </c>
      <c r="K2233" t="s">
        <v>80</v>
      </c>
      <c r="L2233" t="s">
        <v>88</v>
      </c>
      <c r="M2233">
        <v>4</v>
      </c>
      <c r="N2233" t="s">
        <v>24</v>
      </c>
      <c r="O2233" t="s">
        <v>25</v>
      </c>
      <c r="P2233" t="s">
        <v>49</v>
      </c>
    </row>
    <row r="2234" spans="1:16" x14ac:dyDescent="0.25">
      <c r="A2234" t="s">
        <v>5176</v>
      </c>
      <c r="B2234" s="6">
        <v>44843</v>
      </c>
      <c r="C2234">
        <v>4541</v>
      </c>
      <c r="D2234" t="s">
        <v>2819</v>
      </c>
      <c r="E2234" t="s">
        <v>18</v>
      </c>
      <c r="F2234" t="s">
        <v>19</v>
      </c>
      <c r="G2234">
        <v>6679.68</v>
      </c>
      <c r="H2234">
        <v>3813.31</v>
      </c>
      <c r="I2234" t="s">
        <v>40</v>
      </c>
      <c r="J2234" t="s">
        <v>41</v>
      </c>
      <c r="K2234" t="s">
        <v>80</v>
      </c>
      <c r="L2234" t="s">
        <v>55</v>
      </c>
      <c r="M2234">
        <v>2</v>
      </c>
      <c r="N2234" t="s">
        <v>33</v>
      </c>
      <c r="O2234" t="s">
        <v>70</v>
      </c>
      <c r="P2234" t="s">
        <v>26</v>
      </c>
    </row>
    <row r="2235" spans="1:16" x14ac:dyDescent="0.25">
      <c r="A2235" t="s">
        <v>5177</v>
      </c>
      <c r="B2235" s="6">
        <v>45510</v>
      </c>
      <c r="C2235">
        <v>3016</v>
      </c>
      <c r="D2235" t="s">
        <v>5178</v>
      </c>
      <c r="E2235" t="s">
        <v>18</v>
      </c>
      <c r="F2235" t="s">
        <v>19</v>
      </c>
      <c r="G2235">
        <v>11290.12</v>
      </c>
      <c r="H2235">
        <v>6189.02</v>
      </c>
      <c r="I2235" t="s">
        <v>20</v>
      </c>
      <c r="J2235" t="s">
        <v>21</v>
      </c>
      <c r="K2235" t="s">
        <v>22</v>
      </c>
      <c r="L2235" t="s">
        <v>43</v>
      </c>
      <c r="M2235">
        <v>4</v>
      </c>
      <c r="N2235" t="s">
        <v>69</v>
      </c>
      <c r="O2235" t="s">
        <v>25</v>
      </c>
      <c r="P2235" t="s">
        <v>26</v>
      </c>
    </row>
    <row r="2236" spans="1:16" x14ac:dyDescent="0.25">
      <c r="A2236" t="s">
        <v>5179</v>
      </c>
      <c r="B2236" s="6">
        <v>45052</v>
      </c>
      <c r="C2236">
        <v>8837</v>
      </c>
      <c r="D2236" t="s">
        <v>5180</v>
      </c>
      <c r="E2236" t="s">
        <v>18</v>
      </c>
      <c r="F2236" t="s">
        <v>58</v>
      </c>
      <c r="G2236">
        <v>13062.26</v>
      </c>
      <c r="H2236">
        <v>7553.63</v>
      </c>
      <c r="I2236" t="s">
        <v>84</v>
      </c>
      <c r="J2236" t="s">
        <v>54</v>
      </c>
      <c r="K2236" t="s">
        <v>32</v>
      </c>
      <c r="L2236" t="s">
        <v>43</v>
      </c>
      <c r="M2236">
        <v>4</v>
      </c>
      <c r="N2236" t="s">
        <v>33</v>
      </c>
      <c r="O2236" t="s">
        <v>25</v>
      </c>
      <c r="P2236" t="s">
        <v>34</v>
      </c>
    </row>
    <row r="2237" spans="1:16" x14ac:dyDescent="0.25">
      <c r="A2237" t="s">
        <v>5181</v>
      </c>
      <c r="B2237" s="6">
        <v>44542</v>
      </c>
      <c r="C2237">
        <v>9992</v>
      </c>
      <c r="D2237" t="s">
        <v>5183</v>
      </c>
      <c r="E2237" t="s">
        <v>38</v>
      </c>
      <c r="F2237" t="s">
        <v>58</v>
      </c>
      <c r="G2237">
        <v>17730.150000000001</v>
      </c>
      <c r="H2237">
        <v>9766.41</v>
      </c>
      <c r="I2237" t="s">
        <v>84</v>
      </c>
      <c r="J2237" t="s">
        <v>54</v>
      </c>
      <c r="K2237" t="s">
        <v>22</v>
      </c>
      <c r="L2237" t="s">
        <v>23</v>
      </c>
      <c r="M2237">
        <v>5</v>
      </c>
      <c r="N2237" t="s">
        <v>33</v>
      </c>
      <c r="O2237" t="s">
        <v>25</v>
      </c>
      <c r="P2237" t="s">
        <v>49</v>
      </c>
    </row>
    <row r="2238" spans="1:16" x14ac:dyDescent="0.25">
      <c r="A2238" t="s">
        <v>5184</v>
      </c>
      <c r="B2238" s="6">
        <v>44315</v>
      </c>
      <c r="C2238">
        <v>3706</v>
      </c>
      <c r="D2238" t="s">
        <v>5185</v>
      </c>
      <c r="E2238" t="s">
        <v>18</v>
      </c>
      <c r="F2238" t="s">
        <v>19</v>
      </c>
      <c r="G2238">
        <v>4669.01</v>
      </c>
      <c r="H2238">
        <v>2307.4499999999998</v>
      </c>
      <c r="I2238" t="s">
        <v>120</v>
      </c>
      <c r="J2238" t="s">
        <v>21</v>
      </c>
      <c r="K2238" t="s">
        <v>80</v>
      </c>
      <c r="L2238" t="s">
        <v>48</v>
      </c>
      <c r="M2238">
        <v>4</v>
      </c>
      <c r="N2238" t="s">
        <v>24</v>
      </c>
      <c r="O2238" t="s">
        <v>25</v>
      </c>
      <c r="P2238" t="s">
        <v>26</v>
      </c>
    </row>
    <row r="2239" spans="1:16" x14ac:dyDescent="0.25">
      <c r="A2239" t="s">
        <v>5186</v>
      </c>
      <c r="B2239" s="6">
        <v>45151</v>
      </c>
      <c r="C2239">
        <v>1908</v>
      </c>
      <c r="D2239" t="s">
        <v>5187</v>
      </c>
      <c r="E2239" t="s">
        <v>38</v>
      </c>
      <c r="F2239" t="s">
        <v>19</v>
      </c>
      <c r="G2239">
        <v>9455.33</v>
      </c>
      <c r="H2239">
        <v>5167.0600000000004</v>
      </c>
      <c r="I2239" t="s">
        <v>31</v>
      </c>
      <c r="J2239" t="s">
        <v>21</v>
      </c>
      <c r="K2239" t="s">
        <v>80</v>
      </c>
      <c r="L2239" t="s">
        <v>48</v>
      </c>
      <c r="M2239">
        <v>4</v>
      </c>
      <c r="N2239" t="s">
        <v>24</v>
      </c>
      <c r="O2239" t="s">
        <v>25</v>
      </c>
      <c r="P2239" t="s">
        <v>34</v>
      </c>
    </row>
    <row r="2240" spans="1:16" x14ac:dyDescent="0.25">
      <c r="A2240" t="s">
        <v>5188</v>
      </c>
      <c r="B2240" s="6">
        <v>45035</v>
      </c>
      <c r="C2240">
        <v>6230</v>
      </c>
      <c r="D2240" t="s">
        <v>5189</v>
      </c>
      <c r="E2240" t="s">
        <v>18</v>
      </c>
      <c r="F2240" t="s">
        <v>47</v>
      </c>
      <c r="G2240">
        <v>9483.0499999999993</v>
      </c>
      <c r="H2240">
        <v>5221.1899999999996</v>
      </c>
      <c r="I2240" t="s">
        <v>63</v>
      </c>
      <c r="J2240" t="s">
        <v>54</v>
      </c>
      <c r="K2240" t="s">
        <v>22</v>
      </c>
      <c r="L2240" t="s">
        <v>55</v>
      </c>
      <c r="M2240">
        <v>3</v>
      </c>
      <c r="N2240" t="s">
        <v>24</v>
      </c>
      <c r="O2240" t="s">
        <v>25</v>
      </c>
      <c r="P2240" t="s">
        <v>49</v>
      </c>
    </row>
    <row r="2241" spans="1:16" x14ac:dyDescent="0.25">
      <c r="A2241" t="s">
        <v>5190</v>
      </c>
      <c r="B2241" s="6">
        <v>45190</v>
      </c>
      <c r="C2241">
        <v>4081</v>
      </c>
      <c r="D2241" t="s">
        <v>5191</v>
      </c>
      <c r="E2241" t="s">
        <v>38</v>
      </c>
      <c r="F2241" t="s">
        <v>58</v>
      </c>
      <c r="G2241">
        <v>41243.22</v>
      </c>
      <c r="H2241">
        <v>25609.1</v>
      </c>
      <c r="I2241" t="s">
        <v>53</v>
      </c>
      <c r="J2241" t="s">
        <v>54</v>
      </c>
      <c r="K2241" t="s">
        <v>80</v>
      </c>
      <c r="L2241" t="s">
        <v>48</v>
      </c>
      <c r="M2241">
        <v>3</v>
      </c>
      <c r="N2241" t="s">
        <v>69</v>
      </c>
      <c r="O2241" t="s">
        <v>25</v>
      </c>
      <c r="P2241" t="s">
        <v>49</v>
      </c>
    </row>
    <row r="2242" spans="1:16" x14ac:dyDescent="0.25">
      <c r="A2242" t="s">
        <v>5192</v>
      </c>
      <c r="B2242" s="6">
        <v>44755</v>
      </c>
      <c r="C2242">
        <v>1078</v>
      </c>
      <c r="D2242" t="s">
        <v>2001</v>
      </c>
      <c r="E2242" t="s">
        <v>38</v>
      </c>
      <c r="F2242" t="s">
        <v>30</v>
      </c>
      <c r="G2242">
        <v>42827.35</v>
      </c>
      <c r="H2242">
        <v>22696.23</v>
      </c>
      <c r="I2242" t="s">
        <v>63</v>
      </c>
      <c r="J2242" t="s">
        <v>54</v>
      </c>
      <c r="K2242" t="s">
        <v>42</v>
      </c>
      <c r="L2242" t="s">
        <v>23</v>
      </c>
      <c r="M2242">
        <v>5</v>
      </c>
      <c r="N2242" t="s">
        <v>24</v>
      </c>
      <c r="O2242" t="s">
        <v>25</v>
      </c>
      <c r="P2242" t="s">
        <v>26</v>
      </c>
    </row>
    <row r="2243" spans="1:16" x14ac:dyDescent="0.25">
      <c r="A2243" t="s">
        <v>5194</v>
      </c>
      <c r="B2243" s="6">
        <v>44811</v>
      </c>
      <c r="C2243">
        <v>8765</v>
      </c>
      <c r="D2243" t="s">
        <v>5195</v>
      </c>
      <c r="E2243" t="s">
        <v>38</v>
      </c>
      <c r="F2243" t="s">
        <v>58</v>
      </c>
      <c r="G2243">
        <v>37227.18</v>
      </c>
      <c r="H2243">
        <v>19349.259999999998</v>
      </c>
      <c r="I2243" t="s">
        <v>84</v>
      </c>
      <c r="J2243" t="s">
        <v>54</v>
      </c>
      <c r="K2243" t="s">
        <v>32</v>
      </c>
      <c r="L2243" t="s">
        <v>55</v>
      </c>
      <c r="M2243">
        <v>1</v>
      </c>
      <c r="N2243" t="s">
        <v>33</v>
      </c>
      <c r="O2243" t="s">
        <v>25</v>
      </c>
      <c r="P2243" t="s">
        <v>26</v>
      </c>
    </row>
    <row r="2244" spans="1:16" x14ac:dyDescent="0.25">
      <c r="A2244" t="s">
        <v>5196</v>
      </c>
      <c r="B2244" s="6">
        <v>45245</v>
      </c>
      <c r="C2244">
        <v>2861</v>
      </c>
      <c r="D2244" t="s">
        <v>5197</v>
      </c>
      <c r="E2244" t="s">
        <v>18</v>
      </c>
      <c r="F2244" t="s">
        <v>30</v>
      </c>
      <c r="G2244">
        <v>94340.39</v>
      </c>
      <c r="H2244">
        <v>56843.12</v>
      </c>
      <c r="I2244" t="s">
        <v>31</v>
      </c>
      <c r="J2244" t="s">
        <v>21</v>
      </c>
      <c r="K2244" t="s">
        <v>32</v>
      </c>
      <c r="L2244" t="s">
        <v>88</v>
      </c>
      <c r="M2244">
        <v>4</v>
      </c>
      <c r="N2244" t="s">
        <v>69</v>
      </c>
      <c r="O2244" t="s">
        <v>25</v>
      </c>
      <c r="P2244" t="s">
        <v>49</v>
      </c>
    </row>
    <row r="2245" spans="1:16" x14ac:dyDescent="0.25">
      <c r="A2245" t="s">
        <v>5198</v>
      </c>
      <c r="B2245" s="6">
        <v>43876</v>
      </c>
      <c r="C2245">
        <v>9183</v>
      </c>
      <c r="D2245" t="s">
        <v>5199</v>
      </c>
      <c r="E2245" t="s">
        <v>18</v>
      </c>
      <c r="F2245" t="s">
        <v>47</v>
      </c>
      <c r="G2245">
        <v>11869.78</v>
      </c>
      <c r="H2245">
        <v>6052.56</v>
      </c>
      <c r="I2245" t="s">
        <v>84</v>
      </c>
      <c r="J2245" t="s">
        <v>54</v>
      </c>
      <c r="K2245" t="s">
        <v>42</v>
      </c>
      <c r="L2245" t="s">
        <v>64</v>
      </c>
      <c r="M2245">
        <v>1</v>
      </c>
      <c r="N2245" t="s">
        <v>24</v>
      </c>
      <c r="O2245" t="s">
        <v>70</v>
      </c>
      <c r="P2245" t="s">
        <v>34</v>
      </c>
    </row>
    <row r="2246" spans="1:16" x14ac:dyDescent="0.25">
      <c r="A2246" t="s">
        <v>5200</v>
      </c>
      <c r="B2246" s="6">
        <v>44368</v>
      </c>
      <c r="C2246">
        <v>5650</v>
      </c>
      <c r="D2246" t="s">
        <v>5202</v>
      </c>
      <c r="E2246" t="s">
        <v>38</v>
      </c>
      <c r="F2246" t="s">
        <v>58</v>
      </c>
      <c r="G2246">
        <v>45490.25</v>
      </c>
      <c r="H2246">
        <v>20500.150000000001</v>
      </c>
      <c r="I2246" t="s">
        <v>84</v>
      </c>
      <c r="J2246" t="s">
        <v>54</v>
      </c>
      <c r="K2246" t="s">
        <v>32</v>
      </c>
      <c r="L2246" t="s">
        <v>55</v>
      </c>
      <c r="M2246">
        <v>2</v>
      </c>
      <c r="N2246" t="s">
        <v>33</v>
      </c>
      <c r="O2246" t="s">
        <v>25</v>
      </c>
      <c r="P2246" t="s">
        <v>34</v>
      </c>
    </row>
    <row r="2247" spans="1:16" x14ac:dyDescent="0.25">
      <c r="A2247" t="s">
        <v>5203</v>
      </c>
      <c r="B2247" s="6">
        <v>45218</v>
      </c>
      <c r="C2247">
        <v>1064</v>
      </c>
      <c r="D2247" t="s">
        <v>5204</v>
      </c>
      <c r="E2247" t="s">
        <v>38</v>
      </c>
      <c r="F2247" t="s">
        <v>58</v>
      </c>
      <c r="G2247">
        <v>44794.5</v>
      </c>
      <c r="H2247">
        <v>20904.34</v>
      </c>
      <c r="I2247" t="s">
        <v>31</v>
      </c>
      <c r="J2247" t="s">
        <v>21</v>
      </c>
      <c r="K2247" t="s">
        <v>80</v>
      </c>
      <c r="L2247" t="s">
        <v>23</v>
      </c>
      <c r="M2247">
        <v>3</v>
      </c>
      <c r="N2247" t="s">
        <v>33</v>
      </c>
      <c r="O2247" t="s">
        <v>25</v>
      </c>
      <c r="P2247" t="s">
        <v>26</v>
      </c>
    </row>
    <row r="2248" spans="1:16" x14ac:dyDescent="0.25">
      <c r="A2248" t="s">
        <v>5205</v>
      </c>
      <c r="B2248" s="6">
        <v>45424</v>
      </c>
      <c r="C2248">
        <v>1812</v>
      </c>
      <c r="D2248" t="s">
        <v>5206</v>
      </c>
      <c r="E2248" t="s">
        <v>18</v>
      </c>
      <c r="F2248" t="s">
        <v>47</v>
      </c>
      <c r="G2248">
        <v>7231.88</v>
      </c>
      <c r="H2248">
        <v>4405.82</v>
      </c>
      <c r="I2248" t="s">
        <v>40</v>
      </c>
      <c r="J2248" t="s">
        <v>41</v>
      </c>
      <c r="K2248" t="s">
        <v>32</v>
      </c>
      <c r="L2248" t="s">
        <v>43</v>
      </c>
      <c r="M2248">
        <v>5</v>
      </c>
      <c r="N2248" t="s">
        <v>69</v>
      </c>
      <c r="O2248" t="s">
        <v>25</v>
      </c>
      <c r="P2248" t="s">
        <v>34</v>
      </c>
    </row>
    <row r="2249" spans="1:16" x14ac:dyDescent="0.25">
      <c r="A2249" t="s">
        <v>5207</v>
      </c>
      <c r="B2249" s="6">
        <v>44265</v>
      </c>
      <c r="C2249">
        <v>5255</v>
      </c>
      <c r="D2249" t="s">
        <v>5208</v>
      </c>
      <c r="E2249" t="s">
        <v>18</v>
      </c>
      <c r="F2249" t="s">
        <v>58</v>
      </c>
      <c r="G2249">
        <v>30079.69</v>
      </c>
      <c r="H2249">
        <v>13538.6</v>
      </c>
      <c r="I2249" t="s">
        <v>120</v>
      </c>
      <c r="J2249" t="s">
        <v>21</v>
      </c>
      <c r="K2249" t="s">
        <v>32</v>
      </c>
      <c r="L2249" t="s">
        <v>23</v>
      </c>
      <c r="M2249">
        <v>3</v>
      </c>
      <c r="N2249" t="s">
        <v>24</v>
      </c>
      <c r="O2249" t="s">
        <v>25</v>
      </c>
      <c r="P2249" t="s">
        <v>34</v>
      </c>
    </row>
    <row r="2250" spans="1:16" x14ac:dyDescent="0.25">
      <c r="A2250" t="s">
        <v>5209</v>
      </c>
      <c r="B2250" s="6">
        <v>45150</v>
      </c>
      <c r="C2250">
        <v>2407</v>
      </c>
      <c r="D2250" t="s">
        <v>4807</v>
      </c>
      <c r="E2250" t="s">
        <v>38</v>
      </c>
      <c r="F2250" t="s">
        <v>58</v>
      </c>
      <c r="G2250">
        <v>24816.63</v>
      </c>
      <c r="H2250">
        <v>12119.18</v>
      </c>
      <c r="I2250" t="s">
        <v>84</v>
      </c>
      <c r="J2250" t="s">
        <v>54</v>
      </c>
      <c r="K2250" t="s">
        <v>32</v>
      </c>
      <c r="L2250" t="s">
        <v>64</v>
      </c>
      <c r="M2250">
        <v>4</v>
      </c>
      <c r="N2250" t="s">
        <v>33</v>
      </c>
      <c r="O2250" t="s">
        <v>70</v>
      </c>
      <c r="P2250" t="s">
        <v>26</v>
      </c>
    </row>
    <row r="2251" spans="1:16" x14ac:dyDescent="0.25">
      <c r="A2251" t="s">
        <v>5210</v>
      </c>
      <c r="B2251" s="6">
        <v>44051</v>
      </c>
      <c r="C2251">
        <v>2909</v>
      </c>
      <c r="D2251" t="s">
        <v>5211</v>
      </c>
      <c r="E2251" t="s">
        <v>38</v>
      </c>
      <c r="F2251" t="s">
        <v>47</v>
      </c>
      <c r="G2251">
        <v>7938.72</v>
      </c>
      <c r="H2251">
        <v>3729.46</v>
      </c>
      <c r="I2251" t="s">
        <v>31</v>
      </c>
      <c r="J2251" t="s">
        <v>21</v>
      </c>
      <c r="K2251" t="s">
        <v>42</v>
      </c>
      <c r="L2251" t="s">
        <v>48</v>
      </c>
      <c r="M2251">
        <v>4</v>
      </c>
      <c r="N2251" t="s">
        <v>24</v>
      </c>
      <c r="O2251" t="s">
        <v>25</v>
      </c>
      <c r="P2251" t="s">
        <v>49</v>
      </c>
    </row>
    <row r="2252" spans="1:16" x14ac:dyDescent="0.25">
      <c r="A2252" t="s">
        <v>5212</v>
      </c>
      <c r="B2252" s="6">
        <v>45014</v>
      </c>
      <c r="C2252">
        <v>2902</v>
      </c>
      <c r="D2252" t="s">
        <v>5213</v>
      </c>
      <c r="E2252" t="s">
        <v>18</v>
      </c>
      <c r="F2252" t="s">
        <v>47</v>
      </c>
      <c r="G2252">
        <v>14669.57</v>
      </c>
      <c r="H2252">
        <v>7070.83</v>
      </c>
      <c r="I2252" t="s">
        <v>84</v>
      </c>
      <c r="J2252" t="s">
        <v>54</v>
      </c>
      <c r="K2252" t="s">
        <v>42</v>
      </c>
      <c r="L2252" t="s">
        <v>43</v>
      </c>
      <c r="M2252">
        <v>1</v>
      </c>
      <c r="N2252" t="s">
        <v>33</v>
      </c>
      <c r="O2252" t="s">
        <v>25</v>
      </c>
      <c r="P2252" t="s">
        <v>26</v>
      </c>
    </row>
    <row r="2253" spans="1:16" x14ac:dyDescent="0.25">
      <c r="A2253" t="s">
        <v>5214</v>
      </c>
      <c r="B2253" s="6">
        <v>45130</v>
      </c>
      <c r="C2253">
        <v>4105</v>
      </c>
      <c r="D2253" t="s">
        <v>5215</v>
      </c>
      <c r="E2253" t="s">
        <v>18</v>
      </c>
      <c r="F2253" t="s">
        <v>47</v>
      </c>
      <c r="G2253">
        <v>8357.7900000000009</v>
      </c>
      <c r="H2253">
        <v>4042.51</v>
      </c>
      <c r="I2253" t="s">
        <v>84</v>
      </c>
      <c r="J2253" t="s">
        <v>54</v>
      </c>
      <c r="K2253" t="s">
        <v>42</v>
      </c>
      <c r="L2253" t="s">
        <v>23</v>
      </c>
      <c r="M2253">
        <v>1</v>
      </c>
      <c r="N2253" t="s">
        <v>69</v>
      </c>
      <c r="O2253" t="s">
        <v>70</v>
      </c>
      <c r="P2253" t="s">
        <v>49</v>
      </c>
    </row>
    <row r="2254" spans="1:16" x14ac:dyDescent="0.25">
      <c r="A2254" t="s">
        <v>5216</v>
      </c>
      <c r="B2254" s="6">
        <v>43857</v>
      </c>
      <c r="C2254">
        <v>9291</v>
      </c>
      <c r="D2254" t="s">
        <v>5217</v>
      </c>
      <c r="E2254" t="s">
        <v>38</v>
      </c>
      <c r="F2254" t="s">
        <v>39</v>
      </c>
      <c r="G2254">
        <v>27144.67</v>
      </c>
      <c r="H2254">
        <v>14581.25</v>
      </c>
      <c r="I2254" t="s">
        <v>53</v>
      </c>
      <c r="J2254" t="s">
        <v>54</v>
      </c>
      <c r="K2254" t="s">
        <v>80</v>
      </c>
      <c r="L2254" t="s">
        <v>64</v>
      </c>
      <c r="M2254">
        <v>3</v>
      </c>
      <c r="N2254" t="s">
        <v>24</v>
      </c>
      <c r="O2254" t="s">
        <v>25</v>
      </c>
      <c r="P2254" t="s">
        <v>49</v>
      </c>
    </row>
    <row r="2255" spans="1:16" x14ac:dyDescent="0.25">
      <c r="A2255" t="s">
        <v>5218</v>
      </c>
      <c r="B2255" s="6">
        <v>45355</v>
      </c>
      <c r="C2255">
        <v>7317</v>
      </c>
      <c r="D2255" t="s">
        <v>5219</v>
      </c>
      <c r="E2255" t="s">
        <v>38</v>
      </c>
      <c r="F2255" t="s">
        <v>58</v>
      </c>
      <c r="G2255">
        <v>51019.83</v>
      </c>
      <c r="H2255">
        <v>26295.1</v>
      </c>
      <c r="I2255" t="s">
        <v>120</v>
      </c>
      <c r="J2255" t="s">
        <v>21</v>
      </c>
      <c r="K2255" t="s">
        <v>22</v>
      </c>
      <c r="L2255" t="s">
        <v>64</v>
      </c>
      <c r="M2255">
        <v>3</v>
      </c>
      <c r="N2255" t="s">
        <v>69</v>
      </c>
      <c r="O2255" t="s">
        <v>70</v>
      </c>
      <c r="P2255" t="s">
        <v>49</v>
      </c>
    </row>
    <row r="2256" spans="1:16" x14ac:dyDescent="0.25">
      <c r="A2256" t="s">
        <v>5220</v>
      </c>
      <c r="B2256" s="6">
        <v>44255</v>
      </c>
      <c r="C2256">
        <v>1416</v>
      </c>
      <c r="D2256" t="s">
        <v>5222</v>
      </c>
      <c r="E2256" t="s">
        <v>18</v>
      </c>
      <c r="F2256" t="s">
        <v>58</v>
      </c>
      <c r="G2256">
        <v>11872.63</v>
      </c>
      <c r="H2256">
        <v>5489.04</v>
      </c>
      <c r="I2256" t="s">
        <v>53</v>
      </c>
      <c r="J2256" t="s">
        <v>54</v>
      </c>
      <c r="K2256" t="s">
        <v>42</v>
      </c>
      <c r="L2256" t="s">
        <v>23</v>
      </c>
      <c r="M2256">
        <v>2</v>
      </c>
      <c r="N2256" t="s">
        <v>33</v>
      </c>
      <c r="O2256" t="s">
        <v>25</v>
      </c>
      <c r="P2256" t="s">
        <v>49</v>
      </c>
    </row>
    <row r="2257" spans="1:16" x14ac:dyDescent="0.25">
      <c r="A2257" t="s">
        <v>5223</v>
      </c>
      <c r="B2257" s="6">
        <v>44933</v>
      </c>
      <c r="C2257">
        <v>3417</v>
      </c>
      <c r="D2257" t="s">
        <v>5224</v>
      </c>
      <c r="E2257" t="s">
        <v>38</v>
      </c>
      <c r="F2257" t="s">
        <v>39</v>
      </c>
      <c r="G2257">
        <v>23022.639999999999</v>
      </c>
      <c r="H2257">
        <v>14700.74</v>
      </c>
      <c r="I2257" t="s">
        <v>20</v>
      </c>
      <c r="J2257" t="s">
        <v>21</v>
      </c>
      <c r="K2257" t="s">
        <v>80</v>
      </c>
      <c r="L2257" t="s">
        <v>55</v>
      </c>
      <c r="M2257">
        <v>2</v>
      </c>
      <c r="N2257" t="s">
        <v>69</v>
      </c>
      <c r="O2257" t="s">
        <v>25</v>
      </c>
      <c r="P2257" t="s">
        <v>26</v>
      </c>
    </row>
    <row r="2258" spans="1:16" x14ac:dyDescent="0.25">
      <c r="A2258" t="s">
        <v>5225</v>
      </c>
      <c r="B2258" s="6">
        <v>45152</v>
      </c>
      <c r="C2258">
        <v>8343</v>
      </c>
      <c r="D2258" t="s">
        <v>5226</v>
      </c>
      <c r="E2258" t="s">
        <v>38</v>
      </c>
      <c r="F2258" t="s">
        <v>58</v>
      </c>
      <c r="G2258">
        <v>30691.21</v>
      </c>
      <c r="H2258">
        <v>15719.65</v>
      </c>
      <c r="I2258" t="s">
        <v>53</v>
      </c>
      <c r="J2258" t="s">
        <v>54</v>
      </c>
      <c r="K2258" t="s">
        <v>32</v>
      </c>
      <c r="L2258" t="s">
        <v>43</v>
      </c>
      <c r="M2258">
        <v>2</v>
      </c>
      <c r="N2258" t="s">
        <v>24</v>
      </c>
      <c r="O2258" t="s">
        <v>70</v>
      </c>
      <c r="P2258" t="s">
        <v>49</v>
      </c>
    </row>
    <row r="2259" spans="1:16" x14ac:dyDescent="0.25">
      <c r="A2259" t="s">
        <v>5227</v>
      </c>
      <c r="B2259" s="6">
        <v>45510</v>
      </c>
      <c r="C2259">
        <v>8696</v>
      </c>
      <c r="D2259" t="s">
        <v>5228</v>
      </c>
      <c r="E2259" t="s">
        <v>38</v>
      </c>
      <c r="F2259" t="s">
        <v>30</v>
      </c>
      <c r="G2259">
        <v>19727.57</v>
      </c>
      <c r="H2259">
        <v>11004.36</v>
      </c>
      <c r="I2259" t="s">
        <v>31</v>
      </c>
      <c r="J2259" t="s">
        <v>21</v>
      </c>
      <c r="K2259" t="s">
        <v>80</v>
      </c>
      <c r="L2259" t="s">
        <v>64</v>
      </c>
      <c r="M2259">
        <v>2</v>
      </c>
      <c r="N2259" t="s">
        <v>33</v>
      </c>
      <c r="O2259" t="s">
        <v>25</v>
      </c>
      <c r="P2259" t="s">
        <v>34</v>
      </c>
    </row>
    <row r="2260" spans="1:16" x14ac:dyDescent="0.25">
      <c r="A2260" t="s">
        <v>5229</v>
      </c>
      <c r="B2260" s="6">
        <v>43954</v>
      </c>
      <c r="C2260">
        <v>1586</v>
      </c>
      <c r="D2260" t="s">
        <v>5230</v>
      </c>
      <c r="E2260" t="s">
        <v>38</v>
      </c>
      <c r="F2260" t="s">
        <v>47</v>
      </c>
      <c r="G2260">
        <v>11862.83</v>
      </c>
      <c r="H2260">
        <v>5382.57</v>
      </c>
      <c r="I2260" t="s">
        <v>53</v>
      </c>
      <c r="J2260" t="s">
        <v>54</v>
      </c>
      <c r="K2260" t="s">
        <v>80</v>
      </c>
      <c r="L2260" t="s">
        <v>23</v>
      </c>
      <c r="M2260">
        <v>3</v>
      </c>
      <c r="N2260" t="s">
        <v>24</v>
      </c>
      <c r="O2260" t="s">
        <v>70</v>
      </c>
      <c r="P2260" t="s">
        <v>26</v>
      </c>
    </row>
    <row r="2261" spans="1:16" x14ac:dyDescent="0.25">
      <c r="A2261" t="s">
        <v>5231</v>
      </c>
      <c r="B2261" s="6">
        <v>44595</v>
      </c>
      <c r="C2261">
        <v>9713</v>
      </c>
      <c r="D2261" t="s">
        <v>4587</v>
      </c>
      <c r="E2261" t="s">
        <v>18</v>
      </c>
      <c r="F2261" t="s">
        <v>30</v>
      </c>
      <c r="G2261">
        <v>66393.039999999994</v>
      </c>
      <c r="H2261">
        <v>36322.25</v>
      </c>
      <c r="I2261" t="s">
        <v>63</v>
      </c>
      <c r="J2261" t="s">
        <v>54</v>
      </c>
      <c r="K2261" t="s">
        <v>80</v>
      </c>
      <c r="L2261" t="s">
        <v>48</v>
      </c>
      <c r="M2261">
        <v>2</v>
      </c>
      <c r="N2261" t="s">
        <v>24</v>
      </c>
      <c r="O2261" t="s">
        <v>25</v>
      </c>
      <c r="P2261" t="s">
        <v>26</v>
      </c>
    </row>
    <row r="2262" spans="1:16" x14ac:dyDescent="0.25">
      <c r="A2262" t="s">
        <v>5232</v>
      </c>
      <c r="B2262" s="6">
        <v>45188</v>
      </c>
      <c r="C2262">
        <v>4124</v>
      </c>
      <c r="D2262" t="s">
        <v>5233</v>
      </c>
      <c r="E2262" t="s">
        <v>38</v>
      </c>
      <c r="F2262" t="s">
        <v>58</v>
      </c>
      <c r="G2262">
        <v>44132.2</v>
      </c>
      <c r="H2262">
        <v>28423.31</v>
      </c>
      <c r="I2262" t="s">
        <v>84</v>
      </c>
      <c r="J2262" t="s">
        <v>54</v>
      </c>
      <c r="K2262" t="s">
        <v>32</v>
      </c>
      <c r="L2262" t="s">
        <v>64</v>
      </c>
      <c r="M2262">
        <v>5</v>
      </c>
      <c r="N2262" t="s">
        <v>24</v>
      </c>
      <c r="O2262" t="s">
        <v>25</v>
      </c>
      <c r="P2262" t="s">
        <v>34</v>
      </c>
    </row>
    <row r="2263" spans="1:16" x14ac:dyDescent="0.25">
      <c r="A2263" t="s">
        <v>5234</v>
      </c>
      <c r="B2263" s="6">
        <v>44895</v>
      </c>
      <c r="C2263">
        <v>6771</v>
      </c>
      <c r="D2263" t="s">
        <v>5235</v>
      </c>
      <c r="E2263" t="s">
        <v>38</v>
      </c>
      <c r="F2263" t="s">
        <v>47</v>
      </c>
      <c r="G2263">
        <v>9124.43</v>
      </c>
      <c r="H2263">
        <v>4527.51</v>
      </c>
      <c r="I2263" t="s">
        <v>40</v>
      </c>
      <c r="J2263" t="s">
        <v>41</v>
      </c>
      <c r="K2263" t="s">
        <v>42</v>
      </c>
      <c r="L2263" t="s">
        <v>43</v>
      </c>
      <c r="M2263">
        <v>2</v>
      </c>
      <c r="N2263" t="s">
        <v>33</v>
      </c>
      <c r="O2263" t="s">
        <v>25</v>
      </c>
      <c r="P2263" t="s">
        <v>34</v>
      </c>
    </row>
    <row r="2264" spans="1:16" x14ac:dyDescent="0.25">
      <c r="A2264" t="s">
        <v>5236</v>
      </c>
      <c r="B2264" s="6">
        <v>43928</v>
      </c>
      <c r="C2264">
        <v>5086</v>
      </c>
      <c r="D2264" t="s">
        <v>5237</v>
      </c>
      <c r="E2264" t="s">
        <v>38</v>
      </c>
      <c r="F2264" t="s">
        <v>58</v>
      </c>
      <c r="G2264">
        <v>25622.27</v>
      </c>
      <c r="H2264">
        <v>15219.19</v>
      </c>
      <c r="I2264" t="s">
        <v>31</v>
      </c>
      <c r="J2264" t="s">
        <v>21</v>
      </c>
      <c r="K2264" t="s">
        <v>42</v>
      </c>
      <c r="L2264" t="s">
        <v>55</v>
      </c>
      <c r="M2264">
        <v>4</v>
      </c>
      <c r="N2264" t="s">
        <v>69</v>
      </c>
      <c r="O2264" t="s">
        <v>70</v>
      </c>
      <c r="P2264" t="s">
        <v>26</v>
      </c>
    </row>
    <row r="2265" spans="1:16" x14ac:dyDescent="0.25">
      <c r="A2265" t="s">
        <v>5238</v>
      </c>
      <c r="B2265" s="6">
        <v>45079</v>
      </c>
      <c r="C2265">
        <v>5629</v>
      </c>
      <c r="D2265" t="s">
        <v>5239</v>
      </c>
      <c r="E2265" t="s">
        <v>38</v>
      </c>
      <c r="F2265" t="s">
        <v>58</v>
      </c>
      <c r="G2265">
        <v>17617.23</v>
      </c>
      <c r="H2265">
        <v>9148.64</v>
      </c>
      <c r="I2265" t="s">
        <v>120</v>
      </c>
      <c r="J2265" t="s">
        <v>21</v>
      </c>
      <c r="K2265" t="s">
        <v>80</v>
      </c>
      <c r="L2265" t="s">
        <v>43</v>
      </c>
      <c r="M2265">
        <v>4</v>
      </c>
      <c r="N2265" t="s">
        <v>24</v>
      </c>
      <c r="O2265" t="s">
        <v>25</v>
      </c>
      <c r="P2265" t="s">
        <v>26</v>
      </c>
    </row>
    <row r="2266" spans="1:16" x14ac:dyDescent="0.25">
      <c r="A2266" t="s">
        <v>5240</v>
      </c>
      <c r="B2266" s="6">
        <v>45475</v>
      </c>
      <c r="C2266">
        <v>5214</v>
      </c>
      <c r="D2266" t="s">
        <v>4996</v>
      </c>
      <c r="E2266" t="s">
        <v>38</v>
      </c>
      <c r="F2266" t="s">
        <v>47</v>
      </c>
      <c r="G2266">
        <v>17622.150000000001</v>
      </c>
      <c r="H2266">
        <v>8909.42</v>
      </c>
      <c r="I2266" t="s">
        <v>63</v>
      </c>
      <c r="J2266" t="s">
        <v>54</v>
      </c>
      <c r="K2266" t="s">
        <v>32</v>
      </c>
      <c r="L2266" t="s">
        <v>23</v>
      </c>
      <c r="M2266">
        <v>3</v>
      </c>
      <c r="N2266" t="s">
        <v>24</v>
      </c>
      <c r="O2266" t="s">
        <v>25</v>
      </c>
      <c r="P2266" t="s">
        <v>26</v>
      </c>
    </row>
    <row r="2267" spans="1:16" x14ac:dyDescent="0.25">
      <c r="A2267" t="s">
        <v>5242</v>
      </c>
      <c r="B2267" s="6">
        <v>45605</v>
      </c>
      <c r="C2267">
        <v>6751</v>
      </c>
      <c r="D2267" t="s">
        <v>5243</v>
      </c>
      <c r="E2267" t="s">
        <v>38</v>
      </c>
      <c r="F2267" t="s">
        <v>19</v>
      </c>
      <c r="G2267">
        <v>4589.8900000000003</v>
      </c>
      <c r="H2267">
        <v>2445.0100000000002</v>
      </c>
      <c r="I2267" t="s">
        <v>68</v>
      </c>
      <c r="J2267" t="s">
        <v>41</v>
      </c>
      <c r="K2267" t="s">
        <v>42</v>
      </c>
      <c r="L2267" t="s">
        <v>55</v>
      </c>
      <c r="M2267">
        <v>1</v>
      </c>
      <c r="N2267" t="s">
        <v>33</v>
      </c>
      <c r="O2267" t="s">
        <v>25</v>
      </c>
      <c r="P2267" t="s">
        <v>34</v>
      </c>
    </row>
    <row r="2268" spans="1:16" x14ac:dyDescent="0.25">
      <c r="A2268" t="s">
        <v>5244</v>
      </c>
      <c r="B2268" s="6">
        <v>45511</v>
      </c>
      <c r="C2268">
        <v>7584</v>
      </c>
      <c r="D2268" t="s">
        <v>5245</v>
      </c>
      <c r="E2268" t="s">
        <v>38</v>
      </c>
      <c r="F2268" t="s">
        <v>39</v>
      </c>
      <c r="G2268">
        <v>46839.66</v>
      </c>
      <c r="H2268">
        <v>21169.81</v>
      </c>
      <c r="I2268" t="s">
        <v>84</v>
      </c>
      <c r="J2268" t="s">
        <v>54</v>
      </c>
      <c r="K2268" t="s">
        <v>42</v>
      </c>
      <c r="L2268" t="s">
        <v>48</v>
      </c>
      <c r="M2268">
        <v>1</v>
      </c>
      <c r="N2268" t="s">
        <v>33</v>
      </c>
      <c r="O2268" t="s">
        <v>25</v>
      </c>
      <c r="P2268" t="s">
        <v>34</v>
      </c>
    </row>
    <row r="2269" spans="1:16" x14ac:dyDescent="0.25">
      <c r="A2269" t="s">
        <v>5246</v>
      </c>
      <c r="B2269" s="6">
        <v>44776</v>
      </c>
      <c r="C2269">
        <v>9230</v>
      </c>
      <c r="D2269" t="s">
        <v>5247</v>
      </c>
      <c r="E2269" t="s">
        <v>38</v>
      </c>
      <c r="F2269" t="s">
        <v>58</v>
      </c>
      <c r="G2269">
        <v>30097.41</v>
      </c>
      <c r="H2269">
        <v>19309.22</v>
      </c>
      <c r="I2269" t="s">
        <v>68</v>
      </c>
      <c r="J2269" t="s">
        <v>41</v>
      </c>
      <c r="K2269" t="s">
        <v>32</v>
      </c>
      <c r="L2269" t="s">
        <v>48</v>
      </c>
      <c r="M2269">
        <v>2</v>
      </c>
      <c r="N2269" t="s">
        <v>33</v>
      </c>
      <c r="O2269" t="s">
        <v>70</v>
      </c>
      <c r="P2269" t="s">
        <v>26</v>
      </c>
    </row>
    <row r="2270" spans="1:16" x14ac:dyDescent="0.25">
      <c r="A2270" t="s">
        <v>5248</v>
      </c>
      <c r="B2270" s="6">
        <v>45561</v>
      </c>
      <c r="C2270">
        <v>4769</v>
      </c>
      <c r="D2270" t="s">
        <v>5249</v>
      </c>
      <c r="E2270" t="s">
        <v>38</v>
      </c>
      <c r="F2270" t="s">
        <v>30</v>
      </c>
      <c r="G2270">
        <v>121426.47</v>
      </c>
      <c r="H2270">
        <v>62102.53</v>
      </c>
      <c r="I2270" t="s">
        <v>63</v>
      </c>
      <c r="J2270" t="s">
        <v>54</v>
      </c>
      <c r="K2270" t="s">
        <v>80</v>
      </c>
      <c r="L2270" t="s">
        <v>48</v>
      </c>
      <c r="M2270">
        <v>3</v>
      </c>
      <c r="N2270" t="s">
        <v>69</v>
      </c>
      <c r="O2270" t="s">
        <v>70</v>
      </c>
      <c r="P2270" t="s">
        <v>26</v>
      </c>
    </row>
    <row r="2271" spans="1:16" x14ac:dyDescent="0.25">
      <c r="A2271" t="s">
        <v>5250</v>
      </c>
      <c r="B2271" s="6">
        <v>44859</v>
      </c>
      <c r="C2271">
        <v>5000</v>
      </c>
      <c r="D2271" t="s">
        <v>5252</v>
      </c>
      <c r="E2271" t="s">
        <v>38</v>
      </c>
      <c r="F2271" t="s">
        <v>30</v>
      </c>
      <c r="G2271">
        <v>92464.55</v>
      </c>
      <c r="H2271">
        <v>45630.47</v>
      </c>
      <c r="I2271" t="s">
        <v>63</v>
      </c>
      <c r="J2271" t="s">
        <v>54</v>
      </c>
      <c r="K2271" t="s">
        <v>22</v>
      </c>
      <c r="L2271" t="s">
        <v>88</v>
      </c>
      <c r="M2271">
        <v>5</v>
      </c>
      <c r="N2271" t="s">
        <v>69</v>
      </c>
      <c r="O2271" t="s">
        <v>25</v>
      </c>
      <c r="P2271" t="s">
        <v>26</v>
      </c>
    </row>
    <row r="2272" spans="1:16" x14ac:dyDescent="0.25">
      <c r="A2272" t="s">
        <v>5253</v>
      </c>
      <c r="B2272" s="6">
        <v>44320</v>
      </c>
      <c r="C2272">
        <v>8077</v>
      </c>
      <c r="D2272" t="s">
        <v>5255</v>
      </c>
      <c r="E2272" t="s">
        <v>38</v>
      </c>
      <c r="F2272" t="s">
        <v>30</v>
      </c>
      <c r="G2272">
        <v>44017.64</v>
      </c>
      <c r="H2272">
        <v>24926.880000000001</v>
      </c>
      <c r="I2272" t="s">
        <v>40</v>
      </c>
      <c r="J2272" t="s">
        <v>41</v>
      </c>
      <c r="K2272" t="s">
        <v>42</v>
      </c>
      <c r="L2272" t="s">
        <v>48</v>
      </c>
      <c r="M2272">
        <v>1</v>
      </c>
      <c r="N2272" t="s">
        <v>33</v>
      </c>
      <c r="O2272" t="s">
        <v>70</v>
      </c>
      <c r="P2272" t="s">
        <v>49</v>
      </c>
    </row>
    <row r="2273" spans="1:16" x14ac:dyDescent="0.25">
      <c r="A2273" t="s">
        <v>5256</v>
      </c>
      <c r="B2273" s="6">
        <v>44842</v>
      </c>
      <c r="C2273">
        <v>2518</v>
      </c>
      <c r="D2273" t="s">
        <v>2797</v>
      </c>
      <c r="E2273" t="s">
        <v>18</v>
      </c>
      <c r="F2273" t="s">
        <v>39</v>
      </c>
      <c r="G2273">
        <v>44740.73</v>
      </c>
      <c r="H2273">
        <v>21287.54</v>
      </c>
      <c r="I2273" t="s">
        <v>63</v>
      </c>
      <c r="J2273" t="s">
        <v>54</v>
      </c>
      <c r="K2273" t="s">
        <v>32</v>
      </c>
      <c r="L2273" t="s">
        <v>88</v>
      </c>
      <c r="M2273">
        <v>1</v>
      </c>
      <c r="N2273" t="s">
        <v>24</v>
      </c>
      <c r="O2273" t="s">
        <v>25</v>
      </c>
      <c r="P2273" t="s">
        <v>26</v>
      </c>
    </row>
    <row r="2274" spans="1:16" x14ac:dyDescent="0.25">
      <c r="A2274" t="s">
        <v>5257</v>
      </c>
      <c r="B2274" s="6">
        <v>45324</v>
      </c>
      <c r="C2274">
        <v>8710</v>
      </c>
      <c r="D2274" t="s">
        <v>5258</v>
      </c>
      <c r="E2274" t="s">
        <v>38</v>
      </c>
      <c r="F2274" t="s">
        <v>30</v>
      </c>
      <c r="G2274">
        <v>88247.48</v>
      </c>
      <c r="H2274">
        <v>50871.78</v>
      </c>
      <c r="I2274" t="s">
        <v>63</v>
      </c>
      <c r="J2274" t="s">
        <v>54</v>
      </c>
      <c r="K2274" t="s">
        <v>32</v>
      </c>
      <c r="L2274" t="s">
        <v>55</v>
      </c>
      <c r="M2274">
        <v>3</v>
      </c>
      <c r="N2274" t="s">
        <v>24</v>
      </c>
      <c r="O2274" t="s">
        <v>25</v>
      </c>
      <c r="P2274" t="s">
        <v>26</v>
      </c>
    </row>
    <row r="2275" spans="1:16" x14ac:dyDescent="0.25">
      <c r="A2275" t="s">
        <v>5259</v>
      </c>
      <c r="B2275" s="6">
        <v>44891</v>
      </c>
      <c r="C2275">
        <v>9119</v>
      </c>
      <c r="D2275" t="s">
        <v>5261</v>
      </c>
      <c r="E2275" t="s">
        <v>38</v>
      </c>
      <c r="F2275" t="s">
        <v>47</v>
      </c>
      <c r="G2275">
        <v>6195.68</v>
      </c>
      <c r="H2275">
        <v>3041.99</v>
      </c>
      <c r="I2275" t="s">
        <v>63</v>
      </c>
      <c r="J2275" t="s">
        <v>54</v>
      </c>
      <c r="K2275" t="s">
        <v>42</v>
      </c>
      <c r="L2275" t="s">
        <v>23</v>
      </c>
      <c r="M2275">
        <v>1</v>
      </c>
      <c r="N2275" t="s">
        <v>33</v>
      </c>
      <c r="O2275" t="s">
        <v>25</v>
      </c>
      <c r="P2275" t="s">
        <v>26</v>
      </c>
    </row>
    <row r="2276" spans="1:16" x14ac:dyDescent="0.25">
      <c r="A2276" t="s">
        <v>5262</v>
      </c>
      <c r="B2276" s="6">
        <v>43837</v>
      </c>
      <c r="C2276">
        <v>5788</v>
      </c>
      <c r="D2276" t="s">
        <v>5263</v>
      </c>
      <c r="E2276" t="s">
        <v>18</v>
      </c>
      <c r="F2276" t="s">
        <v>47</v>
      </c>
      <c r="G2276">
        <v>2807.42</v>
      </c>
      <c r="H2276">
        <v>1394.96</v>
      </c>
      <c r="I2276" t="s">
        <v>59</v>
      </c>
      <c r="J2276" t="s">
        <v>41</v>
      </c>
      <c r="K2276" t="s">
        <v>42</v>
      </c>
      <c r="L2276" t="s">
        <v>88</v>
      </c>
      <c r="M2276">
        <v>4</v>
      </c>
      <c r="N2276" t="s">
        <v>24</v>
      </c>
      <c r="O2276" t="s">
        <v>25</v>
      </c>
      <c r="P2276" t="s">
        <v>49</v>
      </c>
    </row>
    <row r="2277" spans="1:16" x14ac:dyDescent="0.25">
      <c r="A2277" t="s">
        <v>5264</v>
      </c>
      <c r="B2277" s="6">
        <v>44315</v>
      </c>
      <c r="C2277">
        <v>6854</v>
      </c>
      <c r="D2277" t="s">
        <v>5265</v>
      </c>
      <c r="E2277" t="s">
        <v>38</v>
      </c>
      <c r="F2277" t="s">
        <v>19</v>
      </c>
      <c r="G2277">
        <v>12280.63</v>
      </c>
      <c r="H2277">
        <v>7971.42</v>
      </c>
      <c r="I2277" t="s">
        <v>20</v>
      </c>
      <c r="J2277" t="s">
        <v>21</v>
      </c>
      <c r="K2277" t="s">
        <v>80</v>
      </c>
      <c r="L2277" t="s">
        <v>23</v>
      </c>
      <c r="M2277">
        <v>1</v>
      </c>
      <c r="N2277" t="s">
        <v>24</v>
      </c>
      <c r="O2277" t="s">
        <v>70</v>
      </c>
      <c r="P2277" t="s">
        <v>26</v>
      </c>
    </row>
    <row r="2278" spans="1:16" x14ac:dyDescent="0.25">
      <c r="A2278" t="s">
        <v>5266</v>
      </c>
      <c r="B2278" s="6">
        <v>45225</v>
      </c>
      <c r="C2278">
        <v>9139</v>
      </c>
      <c r="D2278" t="s">
        <v>5267</v>
      </c>
      <c r="E2278" t="s">
        <v>38</v>
      </c>
      <c r="F2278" t="s">
        <v>47</v>
      </c>
      <c r="G2278">
        <v>9934.66</v>
      </c>
      <c r="H2278">
        <v>5416.62</v>
      </c>
      <c r="I2278" t="s">
        <v>31</v>
      </c>
      <c r="J2278" t="s">
        <v>21</v>
      </c>
      <c r="K2278" t="s">
        <v>80</v>
      </c>
      <c r="L2278" t="s">
        <v>88</v>
      </c>
      <c r="M2278">
        <v>1</v>
      </c>
      <c r="N2278" t="s">
        <v>33</v>
      </c>
      <c r="O2278" t="s">
        <v>25</v>
      </c>
      <c r="P2278" t="s">
        <v>49</v>
      </c>
    </row>
    <row r="2279" spans="1:16" x14ac:dyDescent="0.25">
      <c r="A2279" t="s">
        <v>5268</v>
      </c>
      <c r="B2279" s="6">
        <v>44124</v>
      </c>
      <c r="C2279">
        <v>8478</v>
      </c>
      <c r="D2279" t="s">
        <v>5269</v>
      </c>
      <c r="E2279" t="s">
        <v>18</v>
      </c>
      <c r="F2279" t="s">
        <v>30</v>
      </c>
      <c r="G2279">
        <v>13540.99</v>
      </c>
      <c r="H2279">
        <v>7465.63</v>
      </c>
      <c r="I2279" t="s">
        <v>63</v>
      </c>
      <c r="J2279" t="s">
        <v>54</v>
      </c>
      <c r="K2279" t="s">
        <v>32</v>
      </c>
      <c r="L2279" t="s">
        <v>55</v>
      </c>
      <c r="M2279">
        <v>3</v>
      </c>
      <c r="N2279" t="s">
        <v>33</v>
      </c>
      <c r="O2279" t="s">
        <v>25</v>
      </c>
      <c r="P2279" t="s">
        <v>34</v>
      </c>
    </row>
    <row r="2280" spans="1:16" x14ac:dyDescent="0.25">
      <c r="A2280" t="s">
        <v>5270</v>
      </c>
      <c r="B2280" s="6">
        <v>44970</v>
      </c>
      <c r="C2280">
        <v>8475</v>
      </c>
      <c r="D2280" t="s">
        <v>5271</v>
      </c>
      <c r="E2280" t="s">
        <v>18</v>
      </c>
      <c r="F2280" t="s">
        <v>39</v>
      </c>
      <c r="G2280">
        <v>22436.22</v>
      </c>
      <c r="H2280">
        <v>12512.91</v>
      </c>
      <c r="I2280" t="s">
        <v>84</v>
      </c>
      <c r="J2280" t="s">
        <v>54</v>
      </c>
      <c r="K2280" t="s">
        <v>22</v>
      </c>
      <c r="L2280" t="s">
        <v>64</v>
      </c>
      <c r="M2280">
        <v>5</v>
      </c>
      <c r="N2280" t="s">
        <v>24</v>
      </c>
      <c r="O2280" t="s">
        <v>70</v>
      </c>
      <c r="P2280" t="s">
        <v>49</v>
      </c>
    </row>
    <row r="2281" spans="1:16" x14ac:dyDescent="0.25">
      <c r="A2281" t="s">
        <v>5272</v>
      </c>
      <c r="B2281" s="6">
        <v>45470</v>
      </c>
      <c r="C2281">
        <v>6226</v>
      </c>
      <c r="D2281" t="s">
        <v>5274</v>
      </c>
      <c r="E2281" t="s">
        <v>38</v>
      </c>
      <c r="F2281" t="s">
        <v>19</v>
      </c>
      <c r="G2281">
        <v>15609.17</v>
      </c>
      <c r="H2281">
        <v>9856.17</v>
      </c>
      <c r="I2281" t="s">
        <v>20</v>
      </c>
      <c r="J2281" t="s">
        <v>21</v>
      </c>
      <c r="K2281" t="s">
        <v>22</v>
      </c>
      <c r="L2281" t="s">
        <v>43</v>
      </c>
      <c r="M2281">
        <v>3</v>
      </c>
      <c r="N2281" t="s">
        <v>33</v>
      </c>
      <c r="O2281" t="s">
        <v>25</v>
      </c>
      <c r="P2281" t="s">
        <v>26</v>
      </c>
    </row>
    <row r="2282" spans="1:16" x14ac:dyDescent="0.25">
      <c r="A2282" t="s">
        <v>5275</v>
      </c>
      <c r="B2282" s="6">
        <v>45047</v>
      </c>
      <c r="C2282">
        <v>3993</v>
      </c>
      <c r="D2282" t="s">
        <v>5277</v>
      </c>
      <c r="E2282" t="s">
        <v>38</v>
      </c>
      <c r="F2282" t="s">
        <v>47</v>
      </c>
      <c r="G2282">
        <v>4849.84</v>
      </c>
      <c r="H2282">
        <v>2729.04</v>
      </c>
      <c r="I2282" t="s">
        <v>53</v>
      </c>
      <c r="J2282" t="s">
        <v>54</v>
      </c>
      <c r="K2282" t="s">
        <v>42</v>
      </c>
      <c r="L2282" t="s">
        <v>55</v>
      </c>
      <c r="M2282">
        <v>4</v>
      </c>
      <c r="N2282" t="s">
        <v>33</v>
      </c>
      <c r="O2282" t="s">
        <v>25</v>
      </c>
      <c r="P2282" t="s">
        <v>34</v>
      </c>
    </row>
    <row r="2283" spans="1:16" x14ac:dyDescent="0.25">
      <c r="A2283" t="s">
        <v>5278</v>
      </c>
      <c r="B2283" s="6">
        <v>44070</v>
      </c>
      <c r="C2283">
        <v>2223</v>
      </c>
      <c r="D2283" t="s">
        <v>5279</v>
      </c>
      <c r="E2283" t="s">
        <v>38</v>
      </c>
      <c r="F2283" t="s">
        <v>58</v>
      </c>
      <c r="G2283">
        <v>8604.64</v>
      </c>
      <c r="H2283">
        <v>4833.95</v>
      </c>
      <c r="I2283" t="s">
        <v>68</v>
      </c>
      <c r="J2283" t="s">
        <v>41</v>
      </c>
      <c r="K2283" t="s">
        <v>42</v>
      </c>
      <c r="L2283" t="s">
        <v>23</v>
      </c>
      <c r="M2283">
        <v>1</v>
      </c>
      <c r="N2283" t="s">
        <v>24</v>
      </c>
      <c r="O2283" t="s">
        <v>25</v>
      </c>
      <c r="P2283" t="s">
        <v>49</v>
      </c>
    </row>
    <row r="2284" spans="1:16" x14ac:dyDescent="0.25">
      <c r="A2284" t="s">
        <v>5280</v>
      </c>
      <c r="B2284" s="6">
        <v>44360</v>
      </c>
      <c r="C2284">
        <v>5627</v>
      </c>
      <c r="D2284" t="s">
        <v>5281</v>
      </c>
      <c r="E2284" t="s">
        <v>18</v>
      </c>
      <c r="F2284" t="s">
        <v>39</v>
      </c>
      <c r="G2284">
        <v>18577.43</v>
      </c>
      <c r="H2284">
        <v>11848.92</v>
      </c>
      <c r="I2284" t="s">
        <v>31</v>
      </c>
      <c r="J2284" t="s">
        <v>21</v>
      </c>
      <c r="K2284" t="s">
        <v>80</v>
      </c>
      <c r="L2284" t="s">
        <v>64</v>
      </c>
      <c r="M2284">
        <v>4</v>
      </c>
      <c r="N2284" t="s">
        <v>24</v>
      </c>
      <c r="O2284" t="s">
        <v>25</v>
      </c>
      <c r="P2284" t="s">
        <v>49</v>
      </c>
    </row>
    <row r="2285" spans="1:16" x14ac:dyDescent="0.25">
      <c r="A2285" t="s">
        <v>5282</v>
      </c>
      <c r="B2285" s="6">
        <v>44266</v>
      </c>
      <c r="C2285">
        <v>1512</v>
      </c>
      <c r="D2285" t="s">
        <v>5283</v>
      </c>
      <c r="E2285" t="s">
        <v>18</v>
      </c>
      <c r="F2285" t="s">
        <v>47</v>
      </c>
      <c r="G2285">
        <v>6965.03</v>
      </c>
      <c r="H2285">
        <v>3329.06</v>
      </c>
      <c r="I2285" t="s">
        <v>31</v>
      </c>
      <c r="J2285" t="s">
        <v>21</v>
      </c>
      <c r="K2285" t="s">
        <v>22</v>
      </c>
      <c r="L2285" t="s">
        <v>88</v>
      </c>
      <c r="M2285">
        <v>1</v>
      </c>
      <c r="N2285" t="s">
        <v>24</v>
      </c>
      <c r="O2285" t="s">
        <v>70</v>
      </c>
      <c r="P2285" t="s">
        <v>34</v>
      </c>
    </row>
    <row r="2286" spans="1:16" x14ac:dyDescent="0.25">
      <c r="A2286" t="s">
        <v>5284</v>
      </c>
      <c r="B2286" s="6">
        <v>45443</v>
      </c>
      <c r="C2286">
        <v>2730</v>
      </c>
      <c r="D2286" t="s">
        <v>3103</v>
      </c>
      <c r="E2286" t="s">
        <v>38</v>
      </c>
      <c r="F2286" t="s">
        <v>47</v>
      </c>
      <c r="G2286">
        <v>8860.33</v>
      </c>
      <c r="H2286">
        <v>4858.62</v>
      </c>
      <c r="I2286" t="s">
        <v>20</v>
      </c>
      <c r="J2286" t="s">
        <v>21</v>
      </c>
      <c r="K2286" t="s">
        <v>22</v>
      </c>
      <c r="L2286" t="s">
        <v>88</v>
      </c>
      <c r="M2286">
        <v>1</v>
      </c>
      <c r="N2286" t="s">
        <v>69</v>
      </c>
      <c r="O2286" t="s">
        <v>25</v>
      </c>
      <c r="P2286" t="s">
        <v>49</v>
      </c>
    </row>
    <row r="2287" spans="1:16" x14ac:dyDescent="0.25">
      <c r="A2287" t="s">
        <v>5285</v>
      </c>
      <c r="B2287" s="6">
        <v>45194</v>
      </c>
      <c r="C2287">
        <v>5212</v>
      </c>
      <c r="D2287" t="s">
        <v>5286</v>
      </c>
      <c r="E2287" t="s">
        <v>38</v>
      </c>
      <c r="F2287" t="s">
        <v>30</v>
      </c>
      <c r="G2287">
        <v>19727.310000000001</v>
      </c>
      <c r="H2287">
        <v>10587.27</v>
      </c>
      <c r="I2287" t="s">
        <v>40</v>
      </c>
      <c r="J2287" t="s">
        <v>41</v>
      </c>
      <c r="K2287" t="s">
        <v>42</v>
      </c>
      <c r="L2287" t="s">
        <v>88</v>
      </c>
      <c r="M2287">
        <v>4</v>
      </c>
      <c r="N2287" t="s">
        <v>33</v>
      </c>
      <c r="O2287" t="s">
        <v>25</v>
      </c>
      <c r="P2287" t="s">
        <v>49</v>
      </c>
    </row>
    <row r="2288" spans="1:16" x14ac:dyDescent="0.25">
      <c r="A2288" t="s">
        <v>5287</v>
      </c>
      <c r="B2288" s="6">
        <v>43891</v>
      </c>
      <c r="C2288">
        <v>8588</v>
      </c>
      <c r="D2288" t="s">
        <v>5288</v>
      </c>
      <c r="E2288" t="s">
        <v>38</v>
      </c>
      <c r="F2288" t="s">
        <v>58</v>
      </c>
      <c r="G2288">
        <v>33126.99</v>
      </c>
      <c r="H2288">
        <v>16437.150000000001</v>
      </c>
      <c r="I2288" t="s">
        <v>63</v>
      </c>
      <c r="J2288" t="s">
        <v>54</v>
      </c>
      <c r="K2288" t="s">
        <v>32</v>
      </c>
      <c r="L2288" t="s">
        <v>88</v>
      </c>
      <c r="M2288">
        <v>4</v>
      </c>
      <c r="N2288" t="s">
        <v>24</v>
      </c>
      <c r="O2288" t="s">
        <v>70</v>
      </c>
      <c r="P2288" t="s">
        <v>49</v>
      </c>
    </row>
    <row r="2289" spans="1:16" x14ac:dyDescent="0.25">
      <c r="A2289" t="s">
        <v>5289</v>
      </c>
      <c r="B2289" s="6">
        <v>44389</v>
      </c>
      <c r="C2289">
        <v>7932</v>
      </c>
      <c r="D2289" t="s">
        <v>5291</v>
      </c>
      <c r="E2289" t="s">
        <v>38</v>
      </c>
      <c r="F2289" t="s">
        <v>30</v>
      </c>
      <c r="G2289">
        <v>61180.21</v>
      </c>
      <c r="H2289">
        <v>30668.01</v>
      </c>
      <c r="I2289" t="s">
        <v>63</v>
      </c>
      <c r="J2289" t="s">
        <v>54</v>
      </c>
      <c r="K2289" t="s">
        <v>22</v>
      </c>
      <c r="L2289" t="s">
        <v>23</v>
      </c>
      <c r="M2289">
        <v>1</v>
      </c>
      <c r="N2289" t="s">
        <v>33</v>
      </c>
      <c r="O2289" t="s">
        <v>70</v>
      </c>
      <c r="P2289" t="s">
        <v>49</v>
      </c>
    </row>
    <row r="2290" spans="1:16" x14ac:dyDescent="0.25">
      <c r="A2290" t="s">
        <v>5292</v>
      </c>
      <c r="B2290" s="6">
        <v>45183</v>
      </c>
      <c r="C2290">
        <v>3338</v>
      </c>
      <c r="D2290" t="s">
        <v>5293</v>
      </c>
      <c r="E2290" t="s">
        <v>38</v>
      </c>
      <c r="F2290" t="s">
        <v>30</v>
      </c>
      <c r="G2290">
        <v>35783.279999999999</v>
      </c>
      <c r="H2290">
        <v>20207.61</v>
      </c>
      <c r="I2290" t="s">
        <v>59</v>
      </c>
      <c r="J2290" t="s">
        <v>41</v>
      </c>
      <c r="K2290" t="s">
        <v>42</v>
      </c>
      <c r="L2290" t="s">
        <v>64</v>
      </c>
      <c r="M2290">
        <v>1</v>
      </c>
      <c r="N2290" t="s">
        <v>33</v>
      </c>
      <c r="O2290" t="s">
        <v>25</v>
      </c>
      <c r="P2290" t="s">
        <v>26</v>
      </c>
    </row>
    <row r="2291" spans="1:16" x14ac:dyDescent="0.25">
      <c r="A2291" t="s">
        <v>5294</v>
      </c>
      <c r="B2291" s="6">
        <v>44049</v>
      </c>
      <c r="C2291">
        <v>5015</v>
      </c>
      <c r="D2291" t="s">
        <v>5295</v>
      </c>
      <c r="E2291" t="s">
        <v>18</v>
      </c>
      <c r="F2291" t="s">
        <v>58</v>
      </c>
      <c r="G2291">
        <v>9650.27</v>
      </c>
      <c r="H2291">
        <v>5913.82</v>
      </c>
      <c r="I2291" t="s">
        <v>40</v>
      </c>
      <c r="J2291" t="s">
        <v>41</v>
      </c>
      <c r="K2291" t="s">
        <v>42</v>
      </c>
      <c r="L2291" t="s">
        <v>48</v>
      </c>
      <c r="M2291">
        <v>4</v>
      </c>
      <c r="N2291" t="s">
        <v>69</v>
      </c>
      <c r="O2291" t="s">
        <v>25</v>
      </c>
      <c r="P2291" t="s">
        <v>26</v>
      </c>
    </row>
    <row r="2292" spans="1:16" x14ac:dyDescent="0.25">
      <c r="A2292" t="s">
        <v>5296</v>
      </c>
      <c r="B2292" s="6">
        <v>45535</v>
      </c>
      <c r="C2292">
        <v>1353</v>
      </c>
      <c r="D2292" t="s">
        <v>5297</v>
      </c>
      <c r="E2292" t="s">
        <v>18</v>
      </c>
      <c r="F2292" t="s">
        <v>30</v>
      </c>
      <c r="G2292">
        <v>47699.38</v>
      </c>
      <c r="H2292">
        <v>30084.27</v>
      </c>
      <c r="I2292" t="s">
        <v>53</v>
      </c>
      <c r="J2292" t="s">
        <v>54</v>
      </c>
      <c r="K2292" t="s">
        <v>80</v>
      </c>
      <c r="L2292" t="s">
        <v>88</v>
      </c>
      <c r="M2292">
        <v>2</v>
      </c>
      <c r="N2292" t="s">
        <v>24</v>
      </c>
      <c r="O2292" t="s">
        <v>25</v>
      </c>
      <c r="P2292" t="s">
        <v>34</v>
      </c>
    </row>
    <row r="2293" spans="1:16" x14ac:dyDescent="0.25">
      <c r="A2293" t="s">
        <v>5298</v>
      </c>
      <c r="B2293" s="6">
        <v>45644</v>
      </c>
      <c r="C2293">
        <v>4440</v>
      </c>
      <c r="D2293" t="s">
        <v>5299</v>
      </c>
      <c r="E2293" t="s">
        <v>38</v>
      </c>
      <c r="F2293" t="s">
        <v>39</v>
      </c>
      <c r="G2293">
        <v>10834.11</v>
      </c>
      <c r="H2293">
        <v>5073.42</v>
      </c>
      <c r="I2293" t="s">
        <v>59</v>
      </c>
      <c r="J2293" t="s">
        <v>41</v>
      </c>
      <c r="K2293" t="s">
        <v>32</v>
      </c>
      <c r="L2293" t="s">
        <v>23</v>
      </c>
      <c r="M2293">
        <v>1</v>
      </c>
      <c r="N2293" t="s">
        <v>33</v>
      </c>
      <c r="O2293" t="s">
        <v>25</v>
      </c>
      <c r="P2293" t="s">
        <v>26</v>
      </c>
    </row>
    <row r="2294" spans="1:16" x14ac:dyDescent="0.25">
      <c r="A2294" t="s">
        <v>5300</v>
      </c>
      <c r="B2294" s="6">
        <v>45305</v>
      </c>
      <c r="C2294">
        <v>3252</v>
      </c>
      <c r="D2294" t="s">
        <v>2877</v>
      </c>
      <c r="E2294" t="s">
        <v>18</v>
      </c>
      <c r="F2294" t="s">
        <v>30</v>
      </c>
      <c r="G2294">
        <v>49600.25</v>
      </c>
      <c r="H2294">
        <v>27169.040000000001</v>
      </c>
      <c r="I2294" t="s">
        <v>20</v>
      </c>
      <c r="J2294" t="s">
        <v>21</v>
      </c>
      <c r="K2294" t="s">
        <v>32</v>
      </c>
      <c r="L2294" t="s">
        <v>48</v>
      </c>
      <c r="M2294">
        <v>4</v>
      </c>
      <c r="N2294" t="s">
        <v>24</v>
      </c>
      <c r="O2294" t="s">
        <v>25</v>
      </c>
      <c r="P2294" t="s">
        <v>26</v>
      </c>
    </row>
    <row r="2295" spans="1:16" x14ac:dyDescent="0.25">
      <c r="A2295" t="s">
        <v>5301</v>
      </c>
      <c r="B2295" s="6">
        <v>45450</v>
      </c>
      <c r="C2295">
        <v>3686</v>
      </c>
      <c r="D2295" t="s">
        <v>5303</v>
      </c>
      <c r="E2295" t="s">
        <v>38</v>
      </c>
      <c r="F2295" t="s">
        <v>58</v>
      </c>
      <c r="G2295">
        <v>55521.760000000002</v>
      </c>
      <c r="H2295">
        <v>29845.599999999999</v>
      </c>
      <c r="I2295" t="s">
        <v>63</v>
      </c>
      <c r="J2295" t="s">
        <v>54</v>
      </c>
      <c r="K2295" t="s">
        <v>32</v>
      </c>
      <c r="L2295" t="s">
        <v>48</v>
      </c>
      <c r="M2295">
        <v>3</v>
      </c>
      <c r="N2295" t="s">
        <v>69</v>
      </c>
      <c r="O2295" t="s">
        <v>25</v>
      </c>
      <c r="P2295" t="s">
        <v>49</v>
      </c>
    </row>
    <row r="2296" spans="1:16" x14ac:dyDescent="0.25">
      <c r="A2296" t="s">
        <v>5304</v>
      </c>
      <c r="B2296" s="6">
        <v>45347</v>
      </c>
      <c r="C2296">
        <v>6122</v>
      </c>
      <c r="D2296" t="s">
        <v>756</v>
      </c>
      <c r="E2296" t="s">
        <v>38</v>
      </c>
      <c r="F2296" t="s">
        <v>58</v>
      </c>
      <c r="G2296">
        <v>26992.47</v>
      </c>
      <c r="H2296">
        <v>12911.41</v>
      </c>
      <c r="I2296" t="s">
        <v>53</v>
      </c>
      <c r="J2296" t="s">
        <v>54</v>
      </c>
      <c r="K2296" t="s">
        <v>22</v>
      </c>
      <c r="L2296" t="s">
        <v>43</v>
      </c>
      <c r="M2296">
        <v>3</v>
      </c>
      <c r="N2296" t="s">
        <v>69</v>
      </c>
      <c r="O2296" t="s">
        <v>25</v>
      </c>
      <c r="P2296" t="s">
        <v>26</v>
      </c>
    </row>
    <row r="2297" spans="1:16" x14ac:dyDescent="0.25">
      <c r="A2297" t="s">
        <v>5305</v>
      </c>
      <c r="B2297" s="6">
        <v>44468</v>
      </c>
      <c r="C2297">
        <v>7041</v>
      </c>
      <c r="D2297" t="s">
        <v>5306</v>
      </c>
      <c r="E2297" t="s">
        <v>18</v>
      </c>
      <c r="F2297" t="s">
        <v>30</v>
      </c>
      <c r="G2297">
        <v>51991.03</v>
      </c>
      <c r="H2297">
        <v>26200.48</v>
      </c>
      <c r="I2297" t="s">
        <v>53</v>
      </c>
      <c r="J2297" t="s">
        <v>54</v>
      </c>
      <c r="K2297" t="s">
        <v>42</v>
      </c>
      <c r="L2297" t="s">
        <v>55</v>
      </c>
      <c r="M2297">
        <v>2</v>
      </c>
      <c r="N2297" t="s">
        <v>24</v>
      </c>
      <c r="O2297" t="s">
        <v>25</v>
      </c>
      <c r="P2297" t="s">
        <v>34</v>
      </c>
    </row>
    <row r="2298" spans="1:16" x14ac:dyDescent="0.25">
      <c r="A2298" t="s">
        <v>5307</v>
      </c>
      <c r="B2298" s="6">
        <v>44590</v>
      </c>
      <c r="C2298">
        <v>6460</v>
      </c>
      <c r="D2298" t="s">
        <v>5308</v>
      </c>
      <c r="E2298" t="s">
        <v>18</v>
      </c>
      <c r="F2298" t="s">
        <v>39</v>
      </c>
      <c r="G2298">
        <v>23763.45</v>
      </c>
      <c r="H2298">
        <v>10837.37</v>
      </c>
      <c r="I2298" t="s">
        <v>31</v>
      </c>
      <c r="J2298" t="s">
        <v>21</v>
      </c>
      <c r="K2298" t="s">
        <v>22</v>
      </c>
      <c r="L2298" t="s">
        <v>64</v>
      </c>
      <c r="M2298">
        <v>3</v>
      </c>
      <c r="N2298" t="s">
        <v>33</v>
      </c>
      <c r="O2298" t="s">
        <v>25</v>
      </c>
      <c r="P2298" t="s">
        <v>49</v>
      </c>
    </row>
    <row r="2299" spans="1:16" x14ac:dyDescent="0.25">
      <c r="A2299" t="s">
        <v>5309</v>
      </c>
      <c r="B2299" s="6">
        <v>45522</v>
      </c>
      <c r="C2299">
        <v>6909</v>
      </c>
      <c r="D2299" t="s">
        <v>5310</v>
      </c>
      <c r="E2299" t="s">
        <v>38</v>
      </c>
      <c r="F2299" t="s">
        <v>19</v>
      </c>
      <c r="G2299">
        <v>18664.07</v>
      </c>
      <c r="H2299">
        <v>11468.86</v>
      </c>
      <c r="I2299" t="s">
        <v>31</v>
      </c>
      <c r="J2299" t="s">
        <v>21</v>
      </c>
      <c r="K2299" t="s">
        <v>32</v>
      </c>
      <c r="L2299" t="s">
        <v>88</v>
      </c>
      <c r="M2299">
        <v>2</v>
      </c>
      <c r="N2299" t="s">
        <v>33</v>
      </c>
      <c r="O2299" t="s">
        <v>70</v>
      </c>
      <c r="P2299" t="s">
        <v>34</v>
      </c>
    </row>
    <row r="2300" spans="1:16" x14ac:dyDescent="0.25">
      <c r="A2300" t="s">
        <v>5311</v>
      </c>
      <c r="B2300" s="6">
        <v>45581</v>
      </c>
      <c r="C2300">
        <v>5334</v>
      </c>
      <c r="D2300" t="s">
        <v>5312</v>
      </c>
      <c r="E2300" t="s">
        <v>18</v>
      </c>
      <c r="F2300" t="s">
        <v>39</v>
      </c>
      <c r="G2300">
        <v>10149.36</v>
      </c>
      <c r="H2300">
        <v>5434.25</v>
      </c>
      <c r="I2300" t="s">
        <v>120</v>
      </c>
      <c r="J2300" t="s">
        <v>21</v>
      </c>
      <c r="K2300" t="s">
        <v>22</v>
      </c>
      <c r="L2300" t="s">
        <v>55</v>
      </c>
      <c r="M2300">
        <v>4</v>
      </c>
      <c r="N2300" t="s">
        <v>33</v>
      </c>
      <c r="O2300" t="s">
        <v>25</v>
      </c>
      <c r="P2300" t="s">
        <v>49</v>
      </c>
    </row>
    <row r="2301" spans="1:16" x14ac:dyDescent="0.25">
      <c r="A2301" t="s">
        <v>5313</v>
      </c>
      <c r="B2301" s="6">
        <v>44905</v>
      </c>
      <c r="C2301">
        <v>6966</v>
      </c>
      <c r="D2301" t="s">
        <v>4833</v>
      </c>
      <c r="E2301" t="s">
        <v>38</v>
      </c>
      <c r="F2301" t="s">
        <v>39</v>
      </c>
      <c r="G2301">
        <v>25107.59</v>
      </c>
      <c r="H2301">
        <v>13793.3</v>
      </c>
      <c r="I2301" t="s">
        <v>59</v>
      </c>
      <c r="J2301" t="s">
        <v>41</v>
      </c>
      <c r="K2301" t="s">
        <v>32</v>
      </c>
      <c r="L2301" t="s">
        <v>43</v>
      </c>
      <c r="M2301">
        <v>3</v>
      </c>
      <c r="N2301" t="s">
        <v>69</v>
      </c>
      <c r="O2301" t="s">
        <v>70</v>
      </c>
      <c r="P2301" t="s">
        <v>49</v>
      </c>
    </row>
    <row r="2302" spans="1:16" x14ac:dyDescent="0.25">
      <c r="A2302" t="s">
        <v>5314</v>
      </c>
      <c r="B2302" s="6">
        <v>44208</v>
      </c>
      <c r="C2302">
        <v>1399</v>
      </c>
      <c r="D2302" t="s">
        <v>3834</v>
      </c>
      <c r="E2302" t="s">
        <v>38</v>
      </c>
      <c r="F2302" t="s">
        <v>30</v>
      </c>
      <c r="G2302">
        <v>14963.83</v>
      </c>
      <c r="H2302">
        <v>7812.5</v>
      </c>
      <c r="I2302" t="s">
        <v>68</v>
      </c>
      <c r="J2302" t="s">
        <v>41</v>
      </c>
      <c r="K2302" t="s">
        <v>42</v>
      </c>
      <c r="L2302" t="s">
        <v>48</v>
      </c>
      <c r="M2302">
        <v>2</v>
      </c>
      <c r="N2302" t="s">
        <v>24</v>
      </c>
      <c r="O2302" t="s">
        <v>25</v>
      </c>
      <c r="P2302" t="s">
        <v>34</v>
      </c>
    </row>
    <row r="2303" spans="1:16" x14ac:dyDescent="0.25">
      <c r="A2303" t="s">
        <v>5316</v>
      </c>
      <c r="B2303" s="6">
        <v>45364</v>
      </c>
      <c r="C2303">
        <v>5143</v>
      </c>
      <c r="D2303" t="s">
        <v>1370</v>
      </c>
      <c r="E2303" t="s">
        <v>38</v>
      </c>
      <c r="F2303" t="s">
        <v>47</v>
      </c>
      <c r="G2303">
        <v>4332.79</v>
      </c>
      <c r="H2303">
        <v>2438.21</v>
      </c>
      <c r="I2303" t="s">
        <v>84</v>
      </c>
      <c r="J2303" t="s">
        <v>54</v>
      </c>
      <c r="K2303" t="s">
        <v>80</v>
      </c>
      <c r="L2303" t="s">
        <v>23</v>
      </c>
      <c r="M2303">
        <v>3</v>
      </c>
      <c r="N2303" t="s">
        <v>24</v>
      </c>
      <c r="O2303" t="s">
        <v>70</v>
      </c>
      <c r="P2303" t="s">
        <v>26</v>
      </c>
    </row>
    <row r="2304" spans="1:16" x14ac:dyDescent="0.25">
      <c r="A2304" t="s">
        <v>5317</v>
      </c>
      <c r="B2304" s="6">
        <v>44956</v>
      </c>
      <c r="C2304">
        <v>3157</v>
      </c>
      <c r="D2304" t="s">
        <v>5318</v>
      </c>
      <c r="E2304" t="s">
        <v>38</v>
      </c>
      <c r="F2304" t="s">
        <v>58</v>
      </c>
      <c r="G2304">
        <v>11698.43</v>
      </c>
      <c r="H2304">
        <v>7195.08</v>
      </c>
      <c r="I2304" t="s">
        <v>120</v>
      </c>
      <c r="J2304" t="s">
        <v>21</v>
      </c>
      <c r="K2304" t="s">
        <v>42</v>
      </c>
      <c r="L2304" t="s">
        <v>23</v>
      </c>
      <c r="M2304">
        <v>5</v>
      </c>
      <c r="N2304" t="s">
        <v>24</v>
      </c>
      <c r="O2304" t="s">
        <v>25</v>
      </c>
      <c r="P2304" t="s">
        <v>34</v>
      </c>
    </row>
    <row r="2305" spans="1:16" x14ac:dyDescent="0.25">
      <c r="A2305" t="s">
        <v>5319</v>
      </c>
      <c r="B2305" s="6">
        <v>44913</v>
      </c>
      <c r="C2305">
        <v>8002</v>
      </c>
      <c r="D2305" t="s">
        <v>5320</v>
      </c>
      <c r="E2305" t="s">
        <v>18</v>
      </c>
      <c r="F2305" t="s">
        <v>30</v>
      </c>
      <c r="G2305">
        <v>52053.11</v>
      </c>
      <c r="H2305">
        <v>28622.71</v>
      </c>
      <c r="I2305" t="s">
        <v>59</v>
      </c>
      <c r="J2305" t="s">
        <v>41</v>
      </c>
      <c r="K2305" t="s">
        <v>42</v>
      </c>
      <c r="L2305" t="s">
        <v>43</v>
      </c>
      <c r="M2305">
        <v>4</v>
      </c>
      <c r="N2305" t="s">
        <v>24</v>
      </c>
      <c r="O2305" t="s">
        <v>25</v>
      </c>
      <c r="P2305" t="s">
        <v>34</v>
      </c>
    </row>
    <row r="2306" spans="1:16" x14ac:dyDescent="0.25">
      <c r="A2306" t="s">
        <v>5321</v>
      </c>
      <c r="B2306" s="6">
        <v>45473</v>
      </c>
      <c r="C2306">
        <v>9307</v>
      </c>
      <c r="D2306" t="s">
        <v>5322</v>
      </c>
      <c r="E2306" t="s">
        <v>18</v>
      </c>
      <c r="F2306" t="s">
        <v>47</v>
      </c>
      <c r="G2306">
        <v>5832.82</v>
      </c>
      <c r="H2306">
        <v>3470.69</v>
      </c>
      <c r="I2306" t="s">
        <v>31</v>
      </c>
      <c r="J2306" t="s">
        <v>21</v>
      </c>
      <c r="K2306" t="s">
        <v>22</v>
      </c>
      <c r="L2306" t="s">
        <v>64</v>
      </c>
      <c r="M2306">
        <v>3</v>
      </c>
      <c r="N2306" t="s">
        <v>24</v>
      </c>
      <c r="O2306" t="s">
        <v>70</v>
      </c>
      <c r="P2306" t="s">
        <v>26</v>
      </c>
    </row>
    <row r="2307" spans="1:16" x14ac:dyDescent="0.25">
      <c r="A2307" t="s">
        <v>5323</v>
      </c>
      <c r="B2307" s="6">
        <v>44271</v>
      </c>
      <c r="C2307">
        <v>5585</v>
      </c>
      <c r="D2307" t="s">
        <v>5324</v>
      </c>
      <c r="E2307" t="s">
        <v>18</v>
      </c>
      <c r="F2307" t="s">
        <v>30</v>
      </c>
      <c r="G2307">
        <v>24257.95</v>
      </c>
      <c r="H2307">
        <v>13825.58</v>
      </c>
      <c r="I2307" t="s">
        <v>63</v>
      </c>
      <c r="J2307" t="s">
        <v>54</v>
      </c>
      <c r="K2307" t="s">
        <v>32</v>
      </c>
      <c r="L2307" t="s">
        <v>64</v>
      </c>
      <c r="M2307">
        <v>2</v>
      </c>
      <c r="N2307" t="s">
        <v>24</v>
      </c>
      <c r="O2307" t="s">
        <v>25</v>
      </c>
      <c r="P2307" t="s">
        <v>34</v>
      </c>
    </row>
    <row r="2308" spans="1:16" x14ac:dyDescent="0.25">
      <c r="A2308" t="s">
        <v>5325</v>
      </c>
      <c r="B2308" s="6">
        <v>45433</v>
      </c>
      <c r="C2308">
        <v>5557</v>
      </c>
      <c r="D2308" t="s">
        <v>1285</v>
      </c>
      <c r="E2308" t="s">
        <v>38</v>
      </c>
      <c r="F2308" t="s">
        <v>19</v>
      </c>
      <c r="G2308">
        <v>7853.6</v>
      </c>
      <c r="H2308">
        <v>4109.92</v>
      </c>
      <c r="I2308" t="s">
        <v>59</v>
      </c>
      <c r="J2308" t="s">
        <v>41</v>
      </c>
      <c r="K2308" t="s">
        <v>22</v>
      </c>
      <c r="L2308" t="s">
        <v>23</v>
      </c>
      <c r="M2308">
        <v>5</v>
      </c>
      <c r="N2308" t="s">
        <v>33</v>
      </c>
      <c r="O2308" t="s">
        <v>25</v>
      </c>
      <c r="P2308" t="s">
        <v>26</v>
      </c>
    </row>
    <row r="2309" spans="1:16" x14ac:dyDescent="0.25">
      <c r="A2309" t="s">
        <v>5326</v>
      </c>
      <c r="B2309" s="6">
        <v>44264</v>
      </c>
      <c r="C2309">
        <v>3653</v>
      </c>
      <c r="D2309" t="s">
        <v>5327</v>
      </c>
      <c r="E2309" t="s">
        <v>18</v>
      </c>
      <c r="F2309" t="s">
        <v>58</v>
      </c>
      <c r="G2309">
        <v>16347.18</v>
      </c>
      <c r="H2309">
        <v>9480.8700000000008</v>
      </c>
      <c r="I2309" t="s">
        <v>59</v>
      </c>
      <c r="J2309" t="s">
        <v>41</v>
      </c>
      <c r="K2309" t="s">
        <v>42</v>
      </c>
      <c r="L2309" t="s">
        <v>43</v>
      </c>
      <c r="M2309">
        <v>3</v>
      </c>
      <c r="N2309" t="s">
        <v>33</v>
      </c>
      <c r="O2309" t="s">
        <v>70</v>
      </c>
      <c r="P2309" t="s">
        <v>49</v>
      </c>
    </row>
    <row r="2310" spans="1:16" x14ac:dyDescent="0.25">
      <c r="A2310" t="s">
        <v>5328</v>
      </c>
      <c r="B2310" s="6">
        <v>45507</v>
      </c>
      <c r="C2310">
        <v>8889</v>
      </c>
      <c r="D2310" t="s">
        <v>5330</v>
      </c>
      <c r="E2310" t="s">
        <v>38</v>
      </c>
      <c r="F2310" t="s">
        <v>30</v>
      </c>
      <c r="G2310">
        <v>23743.98</v>
      </c>
      <c r="H2310">
        <v>13652.55</v>
      </c>
      <c r="I2310" t="s">
        <v>68</v>
      </c>
      <c r="J2310" t="s">
        <v>41</v>
      </c>
      <c r="K2310" t="s">
        <v>42</v>
      </c>
      <c r="L2310" t="s">
        <v>48</v>
      </c>
      <c r="M2310">
        <v>3</v>
      </c>
      <c r="N2310" t="s">
        <v>33</v>
      </c>
      <c r="O2310" t="s">
        <v>70</v>
      </c>
      <c r="P2310" t="s">
        <v>49</v>
      </c>
    </row>
    <row r="2311" spans="1:16" x14ac:dyDescent="0.25">
      <c r="A2311" t="s">
        <v>5331</v>
      </c>
      <c r="B2311" s="6">
        <v>45517</v>
      </c>
      <c r="C2311">
        <v>4538</v>
      </c>
      <c r="D2311" t="s">
        <v>5333</v>
      </c>
      <c r="E2311" t="s">
        <v>38</v>
      </c>
      <c r="F2311" t="s">
        <v>58</v>
      </c>
      <c r="G2311">
        <v>34200.239999999998</v>
      </c>
      <c r="H2311">
        <v>19346.86</v>
      </c>
      <c r="I2311" t="s">
        <v>59</v>
      </c>
      <c r="J2311" t="s">
        <v>41</v>
      </c>
      <c r="K2311" t="s">
        <v>22</v>
      </c>
      <c r="L2311" t="s">
        <v>88</v>
      </c>
      <c r="M2311">
        <v>1</v>
      </c>
      <c r="N2311" t="s">
        <v>33</v>
      </c>
      <c r="O2311" t="s">
        <v>25</v>
      </c>
      <c r="P2311" t="s">
        <v>26</v>
      </c>
    </row>
    <row r="2312" spans="1:16" x14ac:dyDescent="0.25">
      <c r="A2312" t="s">
        <v>5334</v>
      </c>
      <c r="B2312" s="6">
        <v>44518</v>
      </c>
      <c r="C2312">
        <v>5118</v>
      </c>
      <c r="D2312" t="s">
        <v>5336</v>
      </c>
      <c r="E2312" t="s">
        <v>38</v>
      </c>
      <c r="F2312" t="s">
        <v>58</v>
      </c>
      <c r="G2312">
        <v>36879.199999999997</v>
      </c>
      <c r="H2312">
        <v>20794.34</v>
      </c>
      <c r="I2312" t="s">
        <v>20</v>
      </c>
      <c r="J2312" t="s">
        <v>21</v>
      </c>
      <c r="K2312" t="s">
        <v>80</v>
      </c>
      <c r="L2312" t="s">
        <v>88</v>
      </c>
      <c r="M2312">
        <v>2</v>
      </c>
      <c r="N2312" t="s">
        <v>69</v>
      </c>
      <c r="O2312" t="s">
        <v>25</v>
      </c>
      <c r="P2312" t="s">
        <v>34</v>
      </c>
    </row>
    <row r="2313" spans="1:16" x14ac:dyDescent="0.25">
      <c r="A2313" t="s">
        <v>5337</v>
      </c>
      <c r="B2313" s="6">
        <v>44564</v>
      </c>
      <c r="C2313">
        <v>4187</v>
      </c>
      <c r="D2313" t="s">
        <v>5338</v>
      </c>
      <c r="E2313" t="s">
        <v>18</v>
      </c>
      <c r="F2313" t="s">
        <v>47</v>
      </c>
      <c r="G2313">
        <v>9451.42</v>
      </c>
      <c r="H2313">
        <v>4672.75</v>
      </c>
      <c r="I2313" t="s">
        <v>20</v>
      </c>
      <c r="J2313" t="s">
        <v>21</v>
      </c>
      <c r="K2313" t="s">
        <v>42</v>
      </c>
      <c r="L2313" t="s">
        <v>55</v>
      </c>
      <c r="M2313">
        <v>4</v>
      </c>
      <c r="N2313" t="s">
        <v>24</v>
      </c>
      <c r="O2313" t="s">
        <v>70</v>
      </c>
      <c r="P2313" t="s">
        <v>34</v>
      </c>
    </row>
    <row r="2314" spans="1:16" x14ac:dyDescent="0.25">
      <c r="A2314" t="s">
        <v>5339</v>
      </c>
      <c r="B2314" s="6">
        <v>44440</v>
      </c>
      <c r="C2314">
        <v>5508</v>
      </c>
      <c r="D2314" t="s">
        <v>5341</v>
      </c>
      <c r="E2314" t="s">
        <v>18</v>
      </c>
      <c r="F2314" t="s">
        <v>58</v>
      </c>
      <c r="G2314">
        <v>36165.980000000003</v>
      </c>
      <c r="H2314">
        <v>20015.66</v>
      </c>
      <c r="I2314" t="s">
        <v>63</v>
      </c>
      <c r="J2314" t="s">
        <v>54</v>
      </c>
      <c r="K2314" t="s">
        <v>22</v>
      </c>
      <c r="L2314" t="s">
        <v>23</v>
      </c>
      <c r="M2314">
        <v>4</v>
      </c>
      <c r="N2314" t="s">
        <v>24</v>
      </c>
      <c r="O2314" t="s">
        <v>70</v>
      </c>
      <c r="P2314" t="s">
        <v>49</v>
      </c>
    </row>
    <row r="2315" spans="1:16" x14ac:dyDescent="0.25">
      <c r="A2315" t="s">
        <v>5342</v>
      </c>
      <c r="B2315" s="6">
        <v>44475</v>
      </c>
      <c r="C2315">
        <v>1004</v>
      </c>
      <c r="D2315" t="s">
        <v>5343</v>
      </c>
      <c r="E2315" t="s">
        <v>18</v>
      </c>
      <c r="F2315" t="s">
        <v>58</v>
      </c>
      <c r="G2315">
        <v>21646.560000000001</v>
      </c>
      <c r="H2315">
        <v>10489.15</v>
      </c>
      <c r="I2315" t="s">
        <v>31</v>
      </c>
      <c r="J2315" t="s">
        <v>21</v>
      </c>
      <c r="K2315" t="s">
        <v>80</v>
      </c>
      <c r="L2315" t="s">
        <v>55</v>
      </c>
      <c r="M2315">
        <v>2</v>
      </c>
      <c r="N2315" t="s">
        <v>69</v>
      </c>
      <c r="O2315" t="s">
        <v>25</v>
      </c>
      <c r="P2315" t="s">
        <v>49</v>
      </c>
    </row>
    <row r="2316" spans="1:16" x14ac:dyDescent="0.25">
      <c r="A2316" t="s">
        <v>5344</v>
      </c>
      <c r="B2316" s="6">
        <v>44526</v>
      </c>
      <c r="C2316">
        <v>7775</v>
      </c>
      <c r="D2316" t="s">
        <v>5202</v>
      </c>
      <c r="E2316" t="s">
        <v>18</v>
      </c>
      <c r="F2316" t="s">
        <v>39</v>
      </c>
      <c r="G2316">
        <v>7226.93</v>
      </c>
      <c r="H2316">
        <v>3555.22</v>
      </c>
      <c r="I2316" t="s">
        <v>59</v>
      </c>
      <c r="J2316" t="s">
        <v>41</v>
      </c>
      <c r="K2316" t="s">
        <v>42</v>
      </c>
      <c r="L2316" t="s">
        <v>43</v>
      </c>
      <c r="M2316">
        <v>5</v>
      </c>
      <c r="N2316" t="s">
        <v>24</v>
      </c>
      <c r="O2316" t="s">
        <v>25</v>
      </c>
      <c r="P2316" t="s">
        <v>34</v>
      </c>
    </row>
    <row r="2317" spans="1:16" x14ac:dyDescent="0.25">
      <c r="A2317" t="s">
        <v>5345</v>
      </c>
      <c r="B2317" s="6">
        <v>45028</v>
      </c>
      <c r="C2317">
        <v>4221</v>
      </c>
      <c r="D2317" t="s">
        <v>5346</v>
      </c>
      <c r="E2317" t="s">
        <v>18</v>
      </c>
      <c r="F2317" t="s">
        <v>30</v>
      </c>
      <c r="G2317">
        <v>99071.23</v>
      </c>
      <c r="H2317">
        <v>55495.71</v>
      </c>
      <c r="I2317" t="s">
        <v>53</v>
      </c>
      <c r="J2317" t="s">
        <v>54</v>
      </c>
      <c r="K2317" t="s">
        <v>22</v>
      </c>
      <c r="L2317" t="s">
        <v>64</v>
      </c>
      <c r="M2317">
        <v>1</v>
      </c>
      <c r="N2317" t="s">
        <v>69</v>
      </c>
      <c r="O2317" t="s">
        <v>25</v>
      </c>
      <c r="P2317" t="s">
        <v>26</v>
      </c>
    </row>
    <row r="2318" spans="1:16" x14ac:dyDescent="0.25">
      <c r="A2318" t="s">
        <v>5347</v>
      </c>
      <c r="B2318" s="6">
        <v>45435</v>
      </c>
      <c r="C2318">
        <v>4621</v>
      </c>
      <c r="D2318" t="s">
        <v>5348</v>
      </c>
      <c r="E2318" t="s">
        <v>18</v>
      </c>
      <c r="F2318" t="s">
        <v>58</v>
      </c>
      <c r="G2318">
        <v>12177.42</v>
      </c>
      <c r="H2318">
        <v>6729.82</v>
      </c>
      <c r="I2318" t="s">
        <v>20</v>
      </c>
      <c r="J2318" t="s">
        <v>21</v>
      </c>
      <c r="K2318" t="s">
        <v>80</v>
      </c>
      <c r="L2318" t="s">
        <v>64</v>
      </c>
      <c r="M2318">
        <v>3</v>
      </c>
      <c r="N2318" t="s">
        <v>24</v>
      </c>
      <c r="O2318" t="s">
        <v>70</v>
      </c>
      <c r="P2318" t="s">
        <v>34</v>
      </c>
    </row>
    <row r="2319" spans="1:16" x14ac:dyDescent="0.25">
      <c r="A2319" t="s">
        <v>5349</v>
      </c>
      <c r="B2319" s="6">
        <v>45592</v>
      </c>
      <c r="C2319">
        <v>2588</v>
      </c>
      <c r="D2319" t="s">
        <v>5350</v>
      </c>
      <c r="E2319" t="s">
        <v>38</v>
      </c>
      <c r="F2319" t="s">
        <v>39</v>
      </c>
      <c r="G2319">
        <v>27095.27</v>
      </c>
      <c r="H2319">
        <v>13800.57</v>
      </c>
      <c r="I2319" t="s">
        <v>84</v>
      </c>
      <c r="J2319" t="s">
        <v>54</v>
      </c>
      <c r="K2319" t="s">
        <v>80</v>
      </c>
      <c r="L2319" t="s">
        <v>23</v>
      </c>
      <c r="M2319">
        <v>2</v>
      </c>
      <c r="N2319" t="s">
        <v>33</v>
      </c>
      <c r="O2319" t="s">
        <v>70</v>
      </c>
      <c r="P2319" t="s">
        <v>49</v>
      </c>
    </row>
    <row r="2320" spans="1:16" x14ac:dyDescent="0.25">
      <c r="A2320" t="s">
        <v>5351</v>
      </c>
      <c r="B2320" s="6">
        <v>44735</v>
      </c>
      <c r="C2320">
        <v>9850</v>
      </c>
      <c r="D2320" t="s">
        <v>5352</v>
      </c>
      <c r="E2320" t="s">
        <v>18</v>
      </c>
      <c r="F2320" t="s">
        <v>58</v>
      </c>
      <c r="G2320">
        <v>22388.65</v>
      </c>
      <c r="H2320">
        <v>13163.62</v>
      </c>
      <c r="I2320" t="s">
        <v>53</v>
      </c>
      <c r="J2320" t="s">
        <v>54</v>
      </c>
      <c r="K2320" t="s">
        <v>22</v>
      </c>
      <c r="L2320" t="s">
        <v>88</v>
      </c>
      <c r="M2320">
        <v>2</v>
      </c>
      <c r="N2320" t="s">
        <v>24</v>
      </c>
      <c r="O2320" t="s">
        <v>25</v>
      </c>
      <c r="P2320" t="s">
        <v>49</v>
      </c>
    </row>
    <row r="2321" spans="1:16" x14ac:dyDescent="0.25">
      <c r="A2321" t="s">
        <v>5353</v>
      </c>
      <c r="B2321" s="6">
        <v>45132</v>
      </c>
      <c r="C2321">
        <v>2737</v>
      </c>
      <c r="D2321" t="s">
        <v>5354</v>
      </c>
      <c r="E2321" t="s">
        <v>38</v>
      </c>
      <c r="F2321" t="s">
        <v>19</v>
      </c>
      <c r="G2321">
        <v>22373.599999999999</v>
      </c>
      <c r="H2321">
        <v>11235.08</v>
      </c>
      <c r="I2321" t="s">
        <v>63</v>
      </c>
      <c r="J2321" t="s">
        <v>54</v>
      </c>
      <c r="K2321" t="s">
        <v>32</v>
      </c>
      <c r="L2321" t="s">
        <v>88</v>
      </c>
      <c r="M2321">
        <v>5</v>
      </c>
      <c r="N2321" t="s">
        <v>69</v>
      </c>
      <c r="O2321" t="s">
        <v>70</v>
      </c>
      <c r="P2321" t="s">
        <v>34</v>
      </c>
    </row>
    <row r="2322" spans="1:16" x14ac:dyDescent="0.25">
      <c r="A2322" t="s">
        <v>5355</v>
      </c>
      <c r="B2322" s="6">
        <v>44693</v>
      </c>
      <c r="C2322">
        <v>8235</v>
      </c>
      <c r="D2322" t="s">
        <v>5356</v>
      </c>
      <c r="E2322" t="s">
        <v>38</v>
      </c>
      <c r="F2322" t="s">
        <v>19</v>
      </c>
      <c r="G2322">
        <v>14007.33</v>
      </c>
      <c r="H2322">
        <v>8364.5499999999993</v>
      </c>
      <c r="I2322" t="s">
        <v>84</v>
      </c>
      <c r="J2322" t="s">
        <v>54</v>
      </c>
      <c r="K2322" t="s">
        <v>42</v>
      </c>
      <c r="L2322" t="s">
        <v>43</v>
      </c>
      <c r="M2322">
        <v>3</v>
      </c>
      <c r="N2322" t="s">
        <v>33</v>
      </c>
      <c r="O2322" t="s">
        <v>70</v>
      </c>
      <c r="P2322" t="s">
        <v>26</v>
      </c>
    </row>
    <row r="2323" spans="1:16" x14ac:dyDescent="0.25">
      <c r="A2323" t="s">
        <v>5357</v>
      </c>
      <c r="B2323" s="6">
        <v>44890</v>
      </c>
      <c r="C2323">
        <v>8025</v>
      </c>
      <c r="D2323" t="s">
        <v>5358</v>
      </c>
      <c r="E2323" t="s">
        <v>38</v>
      </c>
      <c r="F2323" t="s">
        <v>47</v>
      </c>
      <c r="G2323">
        <v>17244.259999999998</v>
      </c>
      <c r="H2323">
        <v>9498.15</v>
      </c>
      <c r="I2323" t="s">
        <v>84</v>
      </c>
      <c r="J2323" t="s">
        <v>54</v>
      </c>
      <c r="K2323" t="s">
        <v>32</v>
      </c>
      <c r="L2323" t="s">
        <v>48</v>
      </c>
      <c r="M2323">
        <v>5</v>
      </c>
      <c r="N2323" t="s">
        <v>24</v>
      </c>
      <c r="O2323" t="s">
        <v>70</v>
      </c>
      <c r="P2323" t="s">
        <v>34</v>
      </c>
    </row>
    <row r="2324" spans="1:16" x14ac:dyDescent="0.25">
      <c r="A2324" t="s">
        <v>5359</v>
      </c>
      <c r="B2324" s="6">
        <v>45434</v>
      </c>
      <c r="C2324">
        <v>4485</v>
      </c>
      <c r="D2324" t="s">
        <v>5360</v>
      </c>
      <c r="E2324" t="s">
        <v>18</v>
      </c>
      <c r="F2324" t="s">
        <v>58</v>
      </c>
      <c r="G2324">
        <v>35929.39</v>
      </c>
      <c r="H2324">
        <v>18079.45</v>
      </c>
      <c r="I2324" t="s">
        <v>53</v>
      </c>
      <c r="J2324" t="s">
        <v>54</v>
      </c>
      <c r="K2324" t="s">
        <v>32</v>
      </c>
      <c r="L2324" t="s">
        <v>88</v>
      </c>
      <c r="M2324">
        <v>2</v>
      </c>
      <c r="N2324" t="s">
        <v>69</v>
      </c>
      <c r="O2324" t="s">
        <v>25</v>
      </c>
      <c r="P2324" t="s">
        <v>26</v>
      </c>
    </row>
    <row r="2325" spans="1:16" x14ac:dyDescent="0.25">
      <c r="A2325" t="s">
        <v>5361</v>
      </c>
      <c r="B2325" s="6">
        <v>45228</v>
      </c>
      <c r="C2325">
        <v>7373</v>
      </c>
      <c r="D2325" t="s">
        <v>5362</v>
      </c>
      <c r="E2325" t="s">
        <v>38</v>
      </c>
      <c r="F2325" t="s">
        <v>39</v>
      </c>
      <c r="G2325">
        <v>12769.12</v>
      </c>
      <c r="H2325">
        <v>7045.9</v>
      </c>
      <c r="I2325" t="s">
        <v>63</v>
      </c>
      <c r="J2325" t="s">
        <v>54</v>
      </c>
      <c r="K2325" t="s">
        <v>80</v>
      </c>
      <c r="L2325" t="s">
        <v>88</v>
      </c>
      <c r="M2325">
        <v>4</v>
      </c>
      <c r="N2325" t="s">
        <v>24</v>
      </c>
      <c r="O2325" t="s">
        <v>25</v>
      </c>
      <c r="P2325" t="s">
        <v>34</v>
      </c>
    </row>
    <row r="2326" spans="1:16" x14ac:dyDescent="0.25">
      <c r="A2326" t="s">
        <v>5363</v>
      </c>
      <c r="B2326" s="6">
        <v>43943</v>
      </c>
      <c r="C2326">
        <v>3605</v>
      </c>
      <c r="D2326" t="s">
        <v>5364</v>
      </c>
      <c r="E2326" t="s">
        <v>38</v>
      </c>
      <c r="F2326" t="s">
        <v>58</v>
      </c>
      <c r="G2326">
        <v>24330.76</v>
      </c>
      <c r="H2326">
        <v>15639.33</v>
      </c>
      <c r="I2326" t="s">
        <v>40</v>
      </c>
      <c r="J2326" t="s">
        <v>41</v>
      </c>
      <c r="K2326" t="s">
        <v>80</v>
      </c>
      <c r="L2326" t="s">
        <v>55</v>
      </c>
      <c r="M2326">
        <v>2</v>
      </c>
      <c r="N2326" t="s">
        <v>33</v>
      </c>
      <c r="O2326" t="s">
        <v>70</v>
      </c>
      <c r="P2326" t="s">
        <v>26</v>
      </c>
    </row>
    <row r="2327" spans="1:16" x14ac:dyDescent="0.25">
      <c r="A2327" t="s">
        <v>5365</v>
      </c>
      <c r="B2327" s="6">
        <v>44113</v>
      </c>
      <c r="C2327">
        <v>8501</v>
      </c>
      <c r="D2327" t="s">
        <v>5366</v>
      </c>
      <c r="E2327" t="s">
        <v>38</v>
      </c>
      <c r="F2327" t="s">
        <v>47</v>
      </c>
      <c r="G2327">
        <v>6944.57</v>
      </c>
      <c r="H2327">
        <v>3284.97</v>
      </c>
      <c r="I2327" t="s">
        <v>68</v>
      </c>
      <c r="J2327" t="s">
        <v>41</v>
      </c>
      <c r="K2327" t="s">
        <v>32</v>
      </c>
      <c r="L2327" t="s">
        <v>23</v>
      </c>
      <c r="M2327">
        <v>3</v>
      </c>
      <c r="N2327" t="s">
        <v>33</v>
      </c>
      <c r="O2327" t="s">
        <v>70</v>
      </c>
      <c r="P2327" t="s">
        <v>34</v>
      </c>
    </row>
    <row r="2328" spans="1:16" x14ac:dyDescent="0.25">
      <c r="A2328" t="s">
        <v>5367</v>
      </c>
      <c r="B2328" s="6">
        <v>45292</v>
      </c>
      <c r="C2328">
        <v>9046</v>
      </c>
      <c r="D2328" t="s">
        <v>5368</v>
      </c>
      <c r="E2328" t="s">
        <v>18</v>
      </c>
      <c r="F2328" t="s">
        <v>30</v>
      </c>
      <c r="G2328">
        <v>62595.45</v>
      </c>
      <c r="H2328">
        <v>35751.379999999997</v>
      </c>
      <c r="I2328" t="s">
        <v>84</v>
      </c>
      <c r="J2328" t="s">
        <v>54</v>
      </c>
      <c r="K2328" t="s">
        <v>32</v>
      </c>
      <c r="L2328" t="s">
        <v>55</v>
      </c>
      <c r="M2328">
        <v>2</v>
      </c>
      <c r="N2328" t="s">
        <v>69</v>
      </c>
      <c r="O2328" t="s">
        <v>25</v>
      </c>
      <c r="P2328" t="s">
        <v>26</v>
      </c>
    </row>
    <row r="2329" spans="1:16" x14ac:dyDescent="0.25">
      <c r="A2329" t="s">
        <v>5369</v>
      </c>
      <c r="B2329" s="6">
        <v>44498</v>
      </c>
      <c r="C2329">
        <v>6294</v>
      </c>
      <c r="D2329" t="s">
        <v>5370</v>
      </c>
      <c r="E2329" t="s">
        <v>38</v>
      </c>
      <c r="F2329" t="s">
        <v>39</v>
      </c>
      <c r="G2329">
        <v>19867.759999999998</v>
      </c>
      <c r="H2329">
        <v>11070.74</v>
      </c>
      <c r="I2329" t="s">
        <v>59</v>
      </c>
      <c r="J2329" t="s">
        <v>41</v>
      </c>
      <c r="K2329" t="s">
        <v>80</v>
      </c>
      <c r="L2329" t="s">
        <v>48</v>
      </c>
      <c r="M2329">
        <v>4</v>
      </c>
      <c r="N2329" t="s">
        <v>69</v>
      </c>
      <c r="O2329" t="s">
        <v>25</v>
      </c>
      <c r="P2329" t="s">
        <v>34</v>
      </c>
    </row>
    <row r="2330" spans="1:16" x14ac:dyDescent="0.25">
      <c r="A2330" t="s">
        <v>5371</v>
      </c>
      <c r="B2330" s="6">
        <v>45120</v>
      </c>
      <c r="C2330">
        <v>5554</v>
      </c>
      <c r="D2330" t="s">
        <v>5373</v>
      </c>
      <c r="E2330" t="s">
        <v>18</v>
      </c>
      <c r="F2330" t="s">
        <v>58</v>
      </c>
      <c r="G2330">
        <v>14799</v>
      </c>
      <c r="H2330">
        <v>7977.07</v>
      </c>
      <c r="I2330" t="s">
        <v>59</v>
      </c>
      <c r="J2330" t="s">
        <v>41</v>
      </c>
      <c r="K2330" t="s">
        <v>22</v>
      </c>
      <c r="L2330" t="s">
        <v>88</v>
      </c>
      <c r="M2330">
        <v>5</v>
      </c>
      <c r="N2330" t="s">
        <v>33</v>
      </c>
      <c r="O2330" t="s">
        <v>70</v>
      </c>
      <c r="P2330" t="s">
        <v>34</v>
      </c>
    </row>
    <row r="2331" spans="1:16" x14ac:dyDescent="0.25">
      <c r="A2331" t="s">
        <v>5374</v>
      </c>
      <c r="B2331" s="6">
        <v>44969</v>
      </c>
      <c r="C2331">
        <v>7251</v>
      </c>
      <c r="D2331" t="s">
        <v>5375</v>
      </c>
      <c r="E2331" t="s">
        <v>18</v>
      </c>
      <c r="F2331" t="s">
        <v>58</v>
      </c>
      <c r="G2331">
        <v>22975.41</v>
      </c>
      <c r="H2331">
        <v>13567.14</v>
      </c>
      <c r="I2331" t="s">
        <v>59</v>
      </c>
      <c r="J2331" t="s">
        <v>41</v>
      </c>
      <c r="K2331" t="s">
        <v>80</v>
      </c>
      <c r="L2331" t="s">
        <v>23</v>
      </c>
      <c r="M2331">
        <v>1</v>
      </c>
      <c r="N2331" t="s">
        <v>69</v>
      </c>
      <c r="O2331" t="s">
        <v>70</v>
      </c>
      <c r="P2331" t="s">
        <v>49</v>
      </c>
    </row>
    <row r="2332" spans="1:16" x14ac:dyDescent="0.25">
      <c r="A2332" t="s">
        <v>5376</v>
      </c>
      <c r="B2332" s="6">
        <v>45422</v>
      </c>
      <c r="C2332">
        <v>9218</v>
      </c>
      <c r="D2332" t="s">
        <v>5377</v>
      </c>
      <c r="E2332" t="s">
        <v>38</v>
      </c>
      <c r="F2332" t="s">
        <v>47</v>
      </c>
      <c r="G2332">
        <v>9829.41</v>
      </c>
      <c r="H2332">
        <v>5452.42</v>
      </c>
      <c r="I2332" t="s">
        <v>120</v>
      </c>
      <c r="J2332" t="s">
        <v>21</v>
      </c>
      <c r="K2332" t="s">
        <v>42</v>
      </c>
      <c r="L2332" t="s">
        <v>43</v>
      </c>
      <c r="M2332">
        <v>4</v>
      </c>
      <c r="N2332" t="s">
        <v>33</v>
      </c>
      <c r="O2332" t="s">
        <v>25</v>
      </c>
      <c r="P2332" t="s">
        <v>34</v>
      </c>
    </row>
    <row r="2333" spans="1:16" x14ac:dyDescent="0.25">
      <c r="A2333" t="s">
        <v>5378</v>
      </c>
      <c r="B2333" s="6">
        <v>44871</v>
      </c>
      <c r="C2333">
        <v>9201</v>
      </c>
      <c r="D2333" t="s">
        <v>5380</v>
      </c>
      <c r="E2333" t="s">
        <v>38</v>
      </c>
      <c r="F2333" t="s">
        <v>19</v>
      </c>
      <c r="G2333">
        <v>6010.25</v>
      </c>
      <c r="H2333">
        <v>2953.73</v>
      </c>
      <c r="I2333" t="s">
        <v>20</v>
      </c>
      <c r="J2333" t="s">
        <v>21</v>
      </c>
      <c r="K2333" t="s">
        <v>42</v>
      </c>
      <c r="L2333" t="s">
        <v>48</v>
      </c>
      <c r="M2333">
        <v>5</v>
      </c>
      <c r="N2333" t="s">
        <v>33</v>
      </c>
      <c r="O2333" t="s">
        <v>70</v>
      </c>
      <c r="P2333" t="s">
        <v>26</v>
      </c>
    </row>
    <row r="2334" spans="1:16" x14ac:dyDescent="0.25">
      <c r="A2334" t="s">
        <v>5381</v>
      </c>
      <c r="B2334" s="6">
        <v>45195</v>
      </c>
      <c r="C2334">
        <v>3009</v>
      </c>
      <c r="D2334" t="s">
        <v>5382</v>
      </c>
      <c r="E2334" t="s">
        <v>38</v>
      </c>
      <c r="F2334" t="s">
        <v>30</v>
      </c>
      <c r="G2334">
        <v>73295.45</v>
      </c>
      <c r="H2334">
        <v>33331.99</v>
      </c>
      <c r="I2334" t="s">
        <v>63</v>
      </c>
      <c r="J2334" t="s">
        <v>54</v>
      </c>
      <c r="K2334" t="s">
        <v>80</v>
      </c>
      <c r="L2334" t="s">
        <v>48</v>
      </c>
      <c r="M2334">
        <v>1</v>
      </c>
      <c r="N2334" t="s">
        <v>33</v>
      </c>
      <c r="O2334" t="s">
        <v>70</v>
      </c>
      <c r="P2334" t="s">
        <v>49</v>
      </c>
    </row>
    <row r="2335" spans="1:16" x14ac:dyDescent="0.25">
      <c r="A2335" t="s">
        <v>5383</v>
      </c>
      <c r="B2335" s="6">
        <v>45424</v>
      </c>
      <c r="C2335">
        <v>7879</v>
      </c>
      <c r="D2335" t="s">
        <v>4489</v>
      </c>
      <c r="E2335" t="s">
        <v>38</v>
      </c>
      <c r="F2335" t="s">
        <v>19</v>
      </c>
      <c r="G2335">
        <v>21116.36</v>
      </c>
      <c r="H2335">
        <v>11542.11</v>
      </c>
      <c r="I2335" t="s">
        <v>120</v>
      </c>
      <c r="J2335" t="s">
        <v>21</v>
      </c>
      <c r="K2335" t="s">
        <v>42</v>
      </c>
      <c r="L2335" t="s">
        <v>48</v>
      </c>
      <c r="M2335">
        <v>3</v>
      </c>
      <c r="N2335" t="s">
        <v>33</v>
      </c>
      <c r="O2335" t="s">
        <v>70</v>
      </c>
      <c r="P2335" t="s">
        <v>49</v>
      </c>
    </row>
    <row r="2336" spans="1:16" x14ac:dyDescent="0.25">
      <c r="A2336" t="s">
        <v>5384</v>
      </c>
      <c r="B2336" s="6">
        <v>44842</v>
      </c>
      <c r="C2336">
        <v>4779</v>
      </c>
      <c r="D2336" t="s">
        <v>5385</v>
      </c>
      <c r="E2336" t="s">
        <v>18</v>
      </c>
      <c r="F2336" t="s">
        <v>58</v>
      </c>
      <c r="G2336">
        <v>41001.89</v>
      </c>
      <c r="H2336">
        <v>21746.33</v>
      </c>
      <c r="I2336" t="s">
        <v>120</v>
      </c>
      <c r="J2336" t="s">
        <v>21</v>
      </c>
      <c r="K2336" t="s">
        <v>42</v>
      </c>
      <c r="L2336" t="s">
        <v>88</v>
      </c>
      <c r="M2336">
        <v>4</v>
      </c>
      <c r="N2336" t="s">
        <v>24</v>
      </c>
      <c r="O2336" t="s">
        <v>25</v>
      </c>
      <c r="P2336" t="s">
        <v>49</v>
      </c>
    </row>
    <row r="2337" spans="1:16" x14ac:dyDescent="0.25">
      <c r="A2337" t="s">
        <v>5386</v>
      </c>
      <c r="B2337" s="6">
        <v>45513</v>
      </c>
      <c r="C2337">
        <v>7567</v>
      </c>
      <c r="D2337" t="s">
        <v>5387</v>
      </c>
      <c r="E2337" t="s">
        <v>38</v>
      </c>
      <c r="F2337" t="s">
        <v>47</v>
      </c>
      <c r="G2337">
        <v>7976.46</v>
      </c>
      <c r="H2337">
        <v>4218.03</v>
      </c>
      <c r="I2337" t="s">
        <v>59</v>
      </c>
      <c r="J2337" t="s">
        <v>41</v>
      </c>
      <c r="K2337" t="s">
        <v>42</v>
      </c>
      <c r="L2337" t="s">
        <v>23</v>
      </c>
      <c r="M2337">
        <v>1</v>
      </c>
      <c r="N2337" t="s">
        <v>24</v>
      </c>
      <c r="O2337" t="s">
        <v>70</v>
      </c>
      <c r="P2337" t="s">
        <v>34</v>
      </c>
    </row>
    <row r="2338" spans="1:16" x14ac:dyDescent="0.25">
      <c r="A2338" t="s">
        <v>5388</v>
      </c>
      <c r="B2338" s="6">
        <v>44726</v>
      </c>
      <c r="C2338">
        <v>2156</v>
      </c>
      <c r="D2338" t="s">
        <v>5390</v>
      </c>
      <c r="E2338" t="s">
        <v>38</v>
      </c>
      <c r="F2338" t="s">
        <v>30</v>
      </c>
      <c r="G2338">
        <v>28915.68</v>
      </c>
      <c r="H2338">
        <v>14674.81</v>
      </c>
      <c r="I2338" t="s">
        <v>68</v>
      </c>
      <c r="J2338" t="s">
        <v>41</v>
      </c>
      <c r="K2338" t="s">
        <v>80</v>
      </c>
      <c r="L2338" t="s">
        <v>43</v>
      </c>
      <c r="M2338">
        <v>2</v>
      </c>
      <c r="N2338" t="s">
        <v>24</v>
      </c>
      <c r="O2338" t="s">
        <v>25</v>
      </c>
      <c r="P2338" t="s">
        <v>26</v>
      </c>
    </row>
    <row r="2339" spans="1:16" x14ac:dyDescent="0.25">
      <c r="A2339" t="s">
        <v>5391</v>
      </c>
      <c r="B2339" s="6">
        <v>44199</v>
      </c>
      <c r="C2339">
        <v>2261</v>
      </c>
      <c r="D2339" t="s">
        <v>5392</v>
      </c>
      <c r="E2339" t="s">
        <v>38</v>
      </c>
      <c r="F2339" t="s">
        <v>19</v>
      </c>
      <c r="G2339">
        <v>11508.11</v>
      </c>
      <c r="H2339">
        <v>6131.88</v>
      </c>
      <c r="I2339" t="s">
        <v>120</v>
      </c>
      <c r="J2339" t="s">
        <v>21</v>
      </c>
      <c r="K2339" t="s">
        <v>32</v>
      </c>
      <c r="L2339" t="s">
        <v>43</v>
      </c>
      <c r="M2339">
        <v>5</v>
      </c>
      <c r="N2339" t="s">
        <v>24</v>
      </c>
      <c r="O2339" t="s">
        <v>70</v>
      </c>
      <c r="P2339" t="s">
        <v>49</v>
      </c>
    </row>
    <row r="2340" spans="1:16" x14ac:dyDescent="0.25">
      <c r="A2340" t="s">
        <v>5393</v>
      </c>
      <c r="B2340" s="6">
        <v>44076</v>
      </c>
      <c r="C2340">
        <v>6001</v>
      </c>
      <c r="D2340" t="s">
        <v>5394</v>
      </c>
      <c r="E2340" t="s">
        <v>38</v>
      </c>
      <c r="F2340" t="s">
        <v>39</v>
      </c>
      <c r="G2340">
        <v>26555.8</v>
      </c>
      <c r="H2340">
        <v>14243.43</v>
      </c>
      <c r="I2340" t="s">
        <v>31</v>
      </c>
      <c r="J2340" t="s">
        <v>21</v>
      </c>
      <c r="K2340" t="s">
        <v>22</v>
      </c>
      <c r="L2340" t="s">
        <v>23</v>
      </c>
      <c r="M2340">
        <v>2</v>
      </c>
      <c r="N2340" t="s">
        <v>69</v>
      </c>
      <c r="O2340" t="s">
        <v>25</v>
      </c>
      <c r="P2340" t="s">
        <v>26</v>
      </c>
    </row>
    <row r="2341" spans="1:16" x14ac:dyDescent="0.25">
      <c r="A2341" t="s">
        <v>5395</v>
      </c>
      <c r="B2341" s="6">
        <v>44487</v>
      </c>
      <c r="C2341">
        <v>4961</v>
      </c>
      <c r="D2341" t="s">
        <v>4375</v>
      </c>
      <c r="E2341" t="s">
        <v>18</v>
      </c>
      <c r="F2341" t="s">
        <v>30</v>
      </c>
      <c r="G2341">
        <v>79018.539999999994</v>
      </c>
      <c r="H2341">
        <v>37272.949999999997</v>
      </c>
      <c r="I2341" t="s">
        <v>63</v>
      </c>
      <c r="J2341" t="s">
        <v>54</v>
      </c>
      <c r="K2341" t="s">
        <v>22</v>
      </c>
      <c r="L2341" t="s">
        <v>43</v>
      </c>
      <c r="M2341">
        <v>3</v>
      </c>
      <c r="N2341" t="s">
        <v>24</v>
      </c>
      <c r="O2341" t="s">
        <v>25</v>
      </c>
      <c r="P2341" t="s">
        <v>34</v>
      </c>
    </row>
    <row r="2342" spans="1:16" x14ac:dyDescent="0.25">
      <c r="A2342" t="s">
        <v>5396</v>
      </c>
      <c r="B2342" s="6">
        <v>45117</v>
      </c>
      <c r="C2342">
        <v>5743</v>
      </c>
      <c r="D2342" t="s">
        <v>5397</v>
      </c>
      <c r="E2342" t="s">
        <v>38</v>
      </c>
      <c r="F2342" t="s">
        <v>39</v>
      </c>
      <c r="G2342">
        <v>13874.55</v>
      </c>
      <c r="H2342">
        <v>7333.24</v>
      </c>
      <c r="I2342" t="s">
        <v>120</v>
      </c>
      <c r="J2342" t="s">
        <v>21</v>
      </c>
      <c r="K2342" t="s">
        <v>42</v>
      </c>
      <c r="L2342" t="s">
        <v>55</v>
      </c>
      <c r="M2342">
        <v>3</v>
      </c>
      <c r="N2342" t="s">
        <v>33</v>
      </c>
      <c r="O2342" t="s">
        <v>70</v>
      </c>
      <c r="P2342" t="s">
        <v>34</v>
      </c>
    </row>
    <row r="2343" spans="1:16" x14ac:dyDescent="0.25">
      <c r="A2343" t="s">
        <v>5398</v>
      </c>
      <c r="B2343" s="6">
        <v>44234</v>
      </c>
      <c r="C2343">
        <v>9949</v>
      </c>
      <c r="D2343" t="s">
        <v>5399</v>
      </c>
      <c r="E2343" t="s">
        <v>18</v>
      </c>
      <c r="F2343" t="s">
        <v>47</v>
      </c>
      <c r="G2343">
        <v>10839.63</v>
      </c>
      <c r="H2343">
        <v>5867.01</v>
      </c>
      <c r="I2343" t="s">
        <v>84</v>
      </c>
      <c r="J2343" t="s">
        <v>54</v>
      </c>
      <c r="K2343" t="s">
        <v>22</v>
      </c>
      <c r="L2343" t="s">
        <v>48</v>
      </c>
      <c r="M2343">
        <v>2</v>
      </c>
      <c r="N2343" t="s">
        <v>33</v>
      </c>
      <c r="O2343" t="s">
        <v>70</v>
      </c>
      <c r="P2343" t="s">
        <v>34</v>
      </c>
    </row>
    <row r="2344" spans="1:16" x14ac:dyDescent="0.25">
      <c r="A2344" t="s">
        <v>5400</v>
      </c>
      <c r="B2344" s="6">
        <v>44301</v>
      </c>
      <c r="C2344">
        <v>6822</v>
      </c>
      <c r="D2344" t="s">
        <v>5401</v>
      </c>
      <c r="E2344" t="s">
        <v>38</v>
      </c>
      <c r="F2344" t="s">
        <v>47</v>
      </c>
      <c r="G2344">
        <v>6887.35</v>
      </c>
      <c r="H2344">
        <v>3193.38</v>
      </c>
      <c r="I2344" t="s">
        <v>59</v>
      </c>
      <c r="J2344" t="s">
        <v>41</v>
      </c>
      <c r="K2344" t="s">
        <v>32</v>
      </c>
      <c r="L2344" t="s">
        <v>88</v>
      </c>
      <c r="M2344">
        <v>4</v>
      </c>
      <c r="N2344" t="s">
        <v>69</v>
      </c>
      <c r="O2344" t="s">
        <v>70</v>
      </c>
      <c r="P2344" t="s">
        <v>49</v>
      </c>
    </row>
    <row r="2345" spans="1:16" x14ac:dyDescent="0.25">
      <c r="A2345" t="s">
        <v>5402</v>
      </c>
      <c r="B2345" s="6">
        <v>45513</v>
      </c>
      <c r="C2345">
        <v>5321</v>
      </c>
      <c r="D2345" t="s">
        <v>5403</v>
      </c>
      <c r="E2345" t="s">
        <v>38</v>
      </c>
      <c r="F2345" t="s">
        <v>47</v>
      </c>
      <c r="G2345">
        <v>17722.990000000002</v>
      </c>
      <c r="H2345">
        <v>9061.83</v>
      </c>
      <c r="I2345" t="s">
        <v>31</v>
      </c>
      <c r="J2345" t="s">
        <v>21</v>
      </c>
      <c r="K2345" t="s">
        <v>80</v>
      </c>
      <c r="L2345" t="s">
        <v>64</v>
      </c>
      <c r="M2345">
        <v>2</v>
      </c>
      <c r="N2345" t="s">
        <v>24</v>
      </c>
      <c r="O2345" t="s">
        <v>25</v>
      </c>
      <c r="P2345" t="s">
        <v>49</v>
      </c>
    </row>
    <row r="2346" spans="1:16" x14ac:dyDescent="0.25">
      <c r="A2346" t="s">
        <v>5404</v>
      </c>
      <c r="B2346" s="6">
        <v>45112</v>
      </c>
      <c r="C2346">
        <v>8950</v>
      </c>
      <c r="D2346" t="s">
        <v>1307</v>
      </c>
      <c r="E2346" t="s">
        <v>38</v>
      </c>
      <c r="F2346" t="s">
        <v>58</v>
      </c>
      <c r="G2346">
        <v>13002.92</v>
      </c>
      <c r="H2346">
        <v>7103.2</v>
      </c>
      <c r="I2346" t="s">
        <v>59</v>
      </c>
      <c r="J2346" t="s">
        <v>41</v>
      </c>
      <c r="K2346" t="s">
        <v>22</v>
      </c>
      <c r="L2346" t="s">
        <v>55</v>
      </c>
      <c r="M2346">
        <v>1</v>
      </c>
      <c r="N2346" t="s">
        <v>33</v>
      </c>
      <c r="O2346" t="s">
        <v>70</v>
      </c>
      <c r="P2346" t="s">
        <v>34</v>
      </c>
    </row>
    <row r="2347" spans="1:16" x14ac:dyDescent="0.25">
      <c r="A2347" t="s">
        <v>5405</v>
      </c>
      <c r="B2347" s="6">
        <v>45244</v>
      </c>
      <c r="C2347">
        <v>3084</v>
      </c>
      <c r="D2347" t="s">
        <v>5406</v>
      </c>
      <c r="E2347" t="s">
        <v>18</v>
      </c>
      <c r="F2347" t="s">
        <v>19</v>
      </c>
      <c r="G2347">
        <v>5368.33</v>
      </c>
      <c r="H2347">
        <v>3441.21</v>
      </c>
      <c r="I2347" t="s">
        <v>40</v>
      </c>
      <c r="J2347" t="s">
        <v>41</v>
      </c>
      <c r="K2347" t="s">
        <v>80</v>
      </c>
      <c r="L2347" t="s">
        <v>23</v>
      </c>
      <c r="M2347">
        <v>1</v>
      </c>
      <c r="N2347" t="s">
        <v>69</v>
      </c>
      <c r="O2347" t="s">
        <v>25</v>
      </c>
      <c r="P2347" t="s">
        <v>34</v>
      </c>
    </row>
    <row r="2348" spans="1:16" x14ac:dyDescent="0.25">
      <c r="A2348" t="s">
        <v>5407</v>
      </c>
      <c r="B2348" s="6">
        <v>44742</v>
      </c>
      <c r="C2348">
        <v>3810</v>
      </c>
      <c r="D2348" t="s">
        <v>5408</v>
      </c>
      <c r="E2348" t="s">
        <v>38</v>
      </c>
      <c r="F2348" t="s">
        <v>58</v>
      </c>
      <c r="G2348">
        <v>38173.85</v>
      </c>
      <c r="H2348">
        <v>22699.14</v>
      </c>
      <c r="I2348" t="s">
        <v>31</v>
      </c>
      <c r="J2348" t="s">
        <v>21</v>
      </c>
      <c r="K2348" t="s">
        <v>80</v>
      </c>
      <c r="L2348" t="s">
        <v>48</v>
      </c>
      <c r="M2348">
        <v>2</v>
      </c>
      <c r="N2348" t="s">
        <v>33</v>
      </c>
      <c r="O2348" t="s">
        <v>25</v>
      </c>
      <c r="P2348" t="s">
        <v>34</v>
      </c>
    </row>
    <row r="2349" spans="1:16" x14ac:dyDescent="0.25">
      <c r="A2349" t="s">
        <v>5409</v>
      </c>
      <c r="B2349" s="6">
        <v>44305</v>
      </c>
      <c r="C2349">
        <v>6780</v>
      </c>
      <c r="D2349" t="s">
        <v>5410</v>
      </c>
      <c r="E2349" t="s">
        <v>18</v>
      </c>
      <c r="F2349" t="s">
        <v>19</v>
      </c>
      <c r="G2349">
        <v>11289.25</v>
      </c>
      <c r="H2349">
        <v>5730.31</v>
      </c>
      <c r="I2349" t="s">
        <v>63</v>
      </c>
      <c r="J2349" t="s">
        <v>54</v>
      </c>
      <c r="K2349" t="s">
        <v>32</v>
      </c>
      <c r="L2349" t="s">
        <v>64</v>
      </c>
      <c r="M2349">
        <v>2</v>
      </c>
      <c r="N2349" t="s">
        <v>33</v>
      </c>
      <c r="O2349" t="s">
        <v>70</v>
      </c>
      <c r="P2349" t="s">
        <v>26</v>
      </c>
    </row>
    <row r="2350" spans="1:16" x14ac:dyDescent="0.25">
      <c r="A2350" t="s">
        <v>5411</v>
      </c>
      <c r="B2350" s="6">
        <v>45087</v>
      </c>
      <c r="C2350">
        <v>9635</v>
      </c>
      <c r="D2350" t="s">
        <v>5413</v>
      </c>
      <c r="E2350" t="s">
        <v>38</v>
      </c>
      <c r="F2350" t="s">
        <v>39</v>
      </c>
      <c r="G2350">
        <v>7903.1</v>
      </c>
      <c r="H2350">
        <v>3988.94</v>
      </c>
      <c r="I2350" t="s">
        <v>68</v>
      </c>
      <c r="J2350" t="s">
        <v>41</v>
      </c>
      <c r="K2350" t="s">
        <v>32</v>
      </c>
      <c r="L2350" t="s">
        <v>55</v>
      </c>
      <c r="M2350">
        <v>2</v>
      </c>
      <c r="N2350" t="s">
        <v>69</v>
      </c>
      <c r="O2350" t="s">
        <v>25</v>
      </c>
      <c r="P2350" t="s">
        <v>26</v>
      </c>
    </row>
    <row r="2351" spans="1:16" x14ac:dyDescent="0.25">
      <c r="A2351" t="s">
        <v>5414</v>
      </c>
      <c r="B2351" s="6">
        <v>44569</v>
      </c>
      <c r="C2351">
        <v>4479</v>
      </c>
      <c r="D2351" t="s">
        <v>5415</v>
      </c>
      <c r="E2351" t="s">
        <v>18</v>
      </c>
      <c r="F2351" t="s">
        <v>58</v>
      </c>
      <c r="G2351">
        <v>42841.46</v>
      </c>
      <c r="H2351">
        <v>23695.54</v>
      </c>
      <c r="I2351" t="s">
        <v>120</v>
      </c>
      <c r="J2351" t="s">
        <v>21</v>
      </c>
      <c r="K2351" t="s">
        <v>80</v>
      </c>
      <c r="L2351" t="s">
        <v>55</v>
      </c>
      <c r="M2351">
        <v>2</v>
      </c>
      <c r="N2351" t="s">
        <v>33</v>
      </c>
      <c r="O2351" t="s">
        <v>25</v>
      </c>
      <c r="P2351" t="s">
        <v>26</v>
      </c>
    </row>
    <row r="2352" spans="1:16" x14ac:dyDescent="0.25">
      <c r="A2352" t="s">
        <v>5416</v>
      </c>
      <c r="B2352" s="6">
        <v>45269</v>
      </c>
      <c r="C2352">
        <v>3849</v>
      </c>
      <c r="D2352" t="s">
        <v>4548</v>
      </c>
      <c r="E2352" t="s">
        <v>18</v>
      </c>
      <c r="F2352" t="s">
        <v>58</v>
      </c>
      <c r="G2352">
        <v>45642.26</v>
      </c>
      <c r="H2352">
        <v>26952.71</v>
      </c>
      <c r="I2352" t="s">
        <v>84</v>
      </c>
      <c r="J2352" t="s">
        <v>54</v>
      </c>
      <c r="K2352" t="s">
        <v>32</v>
      </c>
      <c r="L2352" t="s">
        <v>23</v>
      </c>
      <c r="M2352">
        <v>4</v>
      </c>
      <c r="N2352" t="s">
        <v>24</v>
      </c>
      <c r="O2352" t="s">
        <v>70</v>
      </c>
      <c r="P2352" t="s">
        <v>34</v>
      </c>
    </row>
    <row r="2353" spans="1:16" x14ac:dyDescent="0.25">
      <c r="A2353" t="s">
        <v>5418</v>
      </c>
      <c r="B2353" s="6">
        <v>44786</v>
      </c>
      <c r="C2353">
        <v>8271</v>
      </c>
      <c r="D2353" t="s">
        <v>3844</v>
      </c>
      <c r="E2353" t="s">
        <v>38</v>
      </c>
      <c r="F2353" t="s">
        <v>39</v>
      </c>
      <c r="G2353">
        <v>27242.28</v>
      </c>
      <c r="H2353">
        <v>13486.25</v>
      </c>
      <c r="I2353" t="s">
        <v>53</v>
      </c>
      <c r="J2353" t="s">
        <v>54</v>
      </c>
      <c r="K2353" t="s">
        <v>42</v>
      </c>
      <c r="L2353" t="s">
        <v>88</v>
      </c>
      <c r="M2353">
        <v>5</v>
      </c>
      <c r="N2353" t="s">
        <v>69</v>
      </c>
      <c r="O2353" t="s">
        <v>25</v>
      </c>
      <c r="P2353" t="s">
        <v>26</v>
      </c>
    </row>
    <row r="2354" spans="1:16" x14ac:dyDescent="0.25">
      <c r="A2354" t="s">
        <v>5419</v>
      </c>
      <c r="B2354" s="6">
        <v>44546</v>
      </c>
      <c r="C2354">
        <v>4557</v>
      </c>
      <c r="D2354" t="s">
        <v>5420</v>
      </c>
      <c r="E2354" t="s">
        <v>18</v>
      </c>
      <c r="F2354" t="s">
        <v>39</v>
      </c>
      <c r="G2354">
        <v>27578.91</v>
      </c>
      <c r="H2354">
        <v>13399.11</v>
      </c>
      <c r="I2354" t="s">
        <v>53</v>
      </c>
      <c r="J2354" t="s">
        <v>54</v>
      </c>
      <c r="K2354" t="s">
        <v>22</v>
      </c>
      <c r="L2354" t="s">
        <v>23</v>
      </c>
      <c r="M2354">
        <v>1</v>
      </c>
      <c r="N2354" t="s">
        <v>33</v>
      </c>
      <c r="O2354" t="s">
        <v>70</v>
      </c>
      <c r="P2354" t="s">
        <v>26</v>
      </c>
    </row>
    <row r="2355" spans="1:16" x14ac:dyDescent="0.25">
      <c r="A2355" t="s">
        <v>5421</v>
      </c>
      <c r="B2355" s="6">
        <v>44324</v>
      </c>
      <c r="C2355">
        <v>1828</v>
      </c>
      <c r="D2355" t="s">
        <v>5422</v>
      </c>
      <c r="E2355" t="s">
        <v>38</v>
      </c>
      <c r="F2355" t="s">
        <v>47</v>
      </c>
      <c r="G2355">
        <v>4559.37</v>
      </c>
      <c r="H2355">
        <v>2615.92</v>
      </c>
      <c r="I2355" t="s">
        <v>53</v>
      </c>
      <c r="J2355" t="s">
        <v>54</v>
      </c>
      <c r="K2355" t="s">
        <v>42</v>
      </c>
      <c r="L2355" t="s">
        <v>43</v>
      </c>
      <c r="M2355">
        <v>2</v>
      </c>
      <c r="N2355" t="s">
        <v>69</v>
      </c>
      <c r="O2355" t="s">
        <v>70</v>
      </c>
      <c r="P2355" t="s">
        <v>34</v>
      </c>
    </row>
    <row r="2356" spans="1:16" x14ac:dyDescent="0.25">
      <c r="A2356" t="s">
        <v>5423</v>
      </c>
      <c r="B2356" s="6">
        <v>44994</v>
      </c>
      <c r="C2356">
        <v>1711</v>
      </c>
      <c r="D2356" t="s">
        <v>5424</v>
      </c>
      <c r="E2356" t="s">
        <v>18</v>
      </c>
      <c r="F2356" t="s">
        <v>47</v>
      </c>
      <c r="G2356">
        <v>11211.16</v>
      </c>
      <c r="H2356">
        <v>5295.98</v>
      </c>
      <c r="I2356" t="s">
        <v>84</v>
      </c>
      <c r="J2356" t="s">
        <v>54</v>
      </c>
      <c r="K2356" t="s">
        <v>22</v>
      </c>
      <c r="L2356" t="s">
        <v>23</v>
      </c>
      <c r="M2356">
        <v>4</v>
      </c>
      <c r="N2356" t="s">
        <v>33</v>
      </c>
      <c r="O2356" t="s">
        <v>25</v>
      </c>
      <c r="P2356" t="s">
        <v>49</v>
      </c>
    </row>
    <row r="2357" spans="1:16" x14ac:dyDescent="0.25">
      <c r="A2357" t="s">
        <v>5425</v>
      </c>
      <c r="B2357" s="6">
        <v>45439</v>
      </c>
      <c r="C2357">
        <v>2380</v>
      </c>
      <c r="D2357" t="s">
        <v>5426</v>
      </c>
      <c r="E2357" t="s">
        <v>18</v>
      </c>
      <c r="F2357" t="s">
        <v>30</v>
      </c>
      <c r="G2357">
        <v>53454.8</v>
      </c>
      <c r="H2357">
        <v>31253.32</v>
      </c>
      <c r="I2357" t="s">
        <v>120</v>
      </c>
      <c r="J2357" t="s">
        <v>21</v>
      </c>
      <c r="K2357" t="s">
        <v>32</v>
      </c>
      <c r="L2357" t="s">
        <v>55</v>
      </c>
      <c r="M2357">
        <v>4</v>
      </c>
      <c r="N2357" t="s">
        <v>69</v>
      </c>
      <c r="O2357" t="s">
        <v>70</v>
      </c>
      <c r="P2357" t="s">
        <v>34</v>
      </c>
    </row>
    <row r="2358" spans="1:16" x14ac:dyDescent="0.25">
      <c r="A2358" t="s">
        <v>5427</v>
      </c>
      <c r="B2358" s="6">
        <v>44690</v>
      </c>
      <c r="C2358">
        <v>7453</v>
      </c>
      <c r="D2358" t="s">
        <v>5428</v>
      </c>
      <c r="E2358" t="s">
        <v>38</v>
      </c>
      <c r="F2358" t="s">
        <v>58</v>
      </c>
      <c r="G2358">
        <v>40432.44</v>
      </c>
      <c r="H2358">
        <v>21366.89</v>
      </c>
      <c r="I2358" t="s">
        <v>20</v>
      </c>
      <c r="J2358" t="s">
        <v>21</v>
      </c>
      <c r="K2358" t="s">
        <v>42</v>
      </c>
      <c r="L2358" t="s">
        <v>88</v>
      </c>
      <c r="M2358">
        <v>2</v>
      </c>
      <c r="N2358" t="s">
        <v>69</v>
      </c>
      <c r="O2358" t="s">
        <v>70</v>
      </c>
      <c r="P2358" t="s">
        <v>49</v>
      </c>
    </row>
    <row r="2359" spans="1:16" x14ac:dyDescent="0.25">
      <c r="A2359" t="s">
        <v>5429</v>
      </c>
      <c r="B2359" s="6">
        <v>44642</v>
      </c>
      <c r="C2359">
        <v>1122</v>
      </c>
      <c r="D2359" t="s">
        <v>5430</v>
      </c>
      <c r="E2359" t="s">
        <v>18</v>
      </c>
      <c r="F2359" t="s">
        <v>30</v>
      </c>
      <c r="G2359">
        <v>34370.519999999997</v>
      </c>
      <c r="H2359">
        <v>16499.54</v>
      </c>
      <c r="I2359" t="s">
        <v>59</v>
      </c>
      <c r="J2359" t="s">
        <v>41</v>
      </c>
      <c r="K2359" t="s">
        <v>80</v>
      </c>
      <c r="L2359" t="s">
        <v>64</v>
      </c>
      <c r="M2359">
        <v>5</v>
      </c>
      <c r="N2359" t="s">
        <v>33</v>
      </c>
      <c r="O2359" t="s">
        <v>25</v>
      </c>
      <c r="P2359" t="s">
        <v>49</v>
      </c>
    </row>
    <row r="2360" spans="1:16" x14ac:dyDescent="0.25">
      <c r="A2360" t="s">
        <v>5431</v>
      </c>
      <c r="B2360" s="6">
        <v>45520</v>
      </c>
      <c r="C2360">
        <v>6236</v>
      </c>
      <c r="D2360" t="s">
        <v>5432</v>
      </c>
      <c r="E2360" t="s">
        <v>38</v>
      </c>
      <c r="F2360" t="s">
        <v>30</v>
      </c>
      <c r="G2360">
        <v>29653.38</v>
      </c>
      <c r="H2360">
        <v>16911.830000000002</v>
      </c>
      <c r="I2360" t="s">
        <v>84</v>
      </c>
      <c r="J2360" t="s">
        <v>54</v>
      </c>
      <c r="K2360" t="s">
        <v>32</v>
      </c>
      <c r="L2360" t="s">
        <v>23</v>
      </c>
      <c r="M2360">
        <v>5</v>
      </c>
      <c r="N2360" t="s">
        <v>24</v>
      </c>
      <c r="O2360" t="s">
        <v>25</v>
      </c>
      <c r="P2360" t="s">
        <v>26</v>
      </c>
    </row>
    <row r="2361" spans="1:16" x14ac:dyDescent="0.25">
      <c r="A2361" t="s">
        <v>5433</v>
      </c>
      <c r="B2361" s="6">
        <v>45035</v>
      </c>
      <c r="C2361">
        <v>3302</v>
      </c>
      <c r="D2361" t="s">
        <v>5434</v>
      </c>
      <c r="E2361" t="s">
        <v>38</v>
      </c>
      <c r="F2361" t="s">
        <v>47</v>
      </c>
      <c r="G2361">
        <v>12324.76</v>
      </c>
      <c r="H2361">
        <v>7667.15</v>
      </c>
      <c r="I2361" t="s">
        <v>63</v>
      </c>
      <c r="J2361" t="s">
        <v>54</v>
      </c>
      <c r="K2361" t="s">
        <v>80</v>
      </c>
      <c r="L2361" t="s">
        <v>64</v>
      </c>
      <c r="M2361">
        <v>3</v>
      </c>
      <c r="N2361" t="s">
        <v>33</v>
      </c>
      <c r="O2361" t="s">
        <v>25</v>
      </c>
      <c r="P2361" t="s">
        <v>34</v>
      </c>
    </row>
    <row r="2362" spans="1:16" x14ac:dyDescent="0.25">
      <c r="A2362" t="s">
        <v>5435</v>
      </c>
      <c r="B2362" s="6">
        <v>44798</v>
      </c>
      <c r="C2362">
        <v>1455</v>
      </c>
      <c r="D2362" t="s">
        <v>1680</v>
      </c>
      <c r="E2362" t="s">
        <v>18</v>
      </c>
      <c r="F2362" t="s">
        <v>30</v>
      </c>
      <c r="G2362">
        <v>39742.230000000003</v>
      </c>
      <c r="H2362">
        <v>24269.99</v>
      </c>
      <c r="I2362" t="s">
        <v>63</v>
      </c>
      <c r="J2362" t="s">
        <v>54</v>
      </c>
      <c r="K2362" t="s">
        <v>32</v>
      </c>
      <c r="L2362" t="s">
        <v>23</v>
      </c>
      <c r="M2362">
        <v>2</v>
      </c>
      <c r="N2362" t="s">
        <v>24</v>
      </c>
      <c r="O2362" t="s">
        <v>70</v>
      </c>
      <c r="P2362" t="s">
        <v>34</v>
      </c>
    </row>
    <row r="2363" spans="1:16" x14ac:dyDescent="0.25">
      <c r="A2363" t="s">
        <v>5437</v>
      </c>
      <c r="B2363" s="6">
        <v>45437</v>
      </c>
      <c r="C2363">
        <v>6475</v>
      </c>
      <c r="D2363" t="s">
        <v>5438</v>
      </c>
      <c r="E2363" t="s">
        <v>38</v>
      </c>
      <c r="F2363" t="s">
        <v>39</v>
      </c>
      <c r="G2363">
        <v>39628.28</v>
      </c>
      <c r="H2363">
        <v>23656.87</v>
      </c>
      <c r="I2363" t="s">
        <v>31</v>
      </c>
      <c r="J2363" t="s">
        <v>21</v>
      </c>
      <c r="K2363" t="s">
        <v>42</v>
      </c>
      <c r="L2363" t="s">
        <v>55</v>
      </c>
      <c r="M2363">
        <v>4</v>
      </c>
      <c r="N2363" t="s">
        <v>33</v>
      </c>
      <c r="O2363" t="s">
        <v>25</v>
      </c>
      <c r="P2363" t="s">
        <v>26</v>
      </c>
    </row>
    <row r="2364" spans="1:16" x14ac:dyDescent="0.25">
      <c r="A2364" t="s">
        <v>5439</v>
      </c>
      <c r="B2364" s="6">
        <v>45547</v>
      </c>
      <c r="C2364">
        <v>7334</v>
      </c>
      <c r="D2364" t="s">
        <v>5441</v>
      </c>
      <c r="E2364" t="s">
        <v>38</v>
      </c>
      <c r="F2364" t="s">
        <v>39</v>
      </c>
      <c r="G2364">
        <v>28331.23</v>
      </c>
      <c r="H2364">
        <v>15957.96</v>
      </c>
      <c r="I2364" t="s">
        <v>40</v>
      </c>
      <c r="J2364" t="s">
        <v>41</v>
      </c>
      <c r="K2364" t="s">
        <v>80</v>
      </c>
      <c r="L2364" t="s">
        <v>88</v>
      </c>
      <c r="M2364">
        <v>4</v>
      </c>
      <c r="N2364" t="s">
        <v>33</v>
      </c>
      <c r="O2364" t="s">
        <v>70</v>
      </c>
      <c r="P2364" t="s">
        <v>49</v>
      </c>
    </row>
    <row r="2365" spans="1:16" x14ac:dyDescent="0.25">
      <c r="A2365" t="s">
        <v>5442</v>
      </c>
      <c r="B2365" s="6">
        <v>44723</v>
      </c>
      <c r="C2365">
        <v>3987</v>
      </c>
      <c r="D2365" t="s">
        <v>5443</v>
      </c>
      <c r="E2365" t="s">
        <v>38</v>
      </c>
      <c r="F2365" t="s">
        <v>19</v>
      </c>
      <c r="G2365">
        <v>10637.3</v>
      </c>
      <c r="H2365">
        <v>5884.21</v>
      </c>
      <c r="I2365" t="s">
        <v>68</v>
      </c>
      <c r="J2365" t="s">
        <v>41</v>
      </c>
      <c r="K2365" t="s">
        <v>32</v>
      </c>
      <c r="L2365" t="s">
        <v>55</v>
      </c>
      <c r="M2365">
        <v>1</v>
      </c>
      <c r="N2365" t="s">
        <v>24</v>
      </c>
      <c r="O2365" t="s">
        <v>25</v>
      </c>
      <c r="P2365" t="s">
        <v>26</v>
      </c>
    </row>
    <row r="2366" spans="1:16" x14ac:dyDescent="0.25">
      <c r="A2366" t="s">
        <v>5444</v>
      </c>
      <c r="B2366" s="6">
        <v>44862</v>
      </c>
      <c r="C2366">
        <v>7033</v>
      </c>
      <c r="D2366" t="s">
        <v>5445</v>
      </c>
      <c r="E2366" t="s">
        <v>18</v>
      </c>
      <c r="F2366" t="s">
        <v>39</v>
      </c>
      <c r="G2366">
        <v>26345.1</v>
      </c>
      <c r="H2366">
        <v>12542.7</v>
      </c>
      <c r="I2366" t="s">
        <v>84</v>
      </c>
      <c r="J2366" t="s">
        <v>54</v>
      </c>
      <c r="K2366" t="s">
        <v>80</v>
      </c>
      <c r="L2366" t="s">
        <v>64</v>
      </c>
      <c r="M2366">
        <v>4</v>
      </c>
      <c r="N2366" t="s">
        <v>33</v>
      </c>
      <c r="O2366" t="s">
        <v>25</v>
      </c>
      <c r="P2366" t="s">
        <v>26</v>
      </c>
    </row>
    <row r="2367" spans="1:16" x14ac:dyDescent="0.25">
      <c r="A2367" t="s">
        <v>5446</v>
      </c>
      <c r="B2367" s="6">
        <v>44438</v>
      </c>
      <c r="C2367">
        <v>9931</v>
      </c>
      <c r="D2367" t="s">
        <v>5447</v>
      </c>
      <c r="E2367" t="s">
        <v>18</v>
      </c>
      <c r="F2367" t="s">
        <v>58</v>
      </c>
      <c r="G2367">
        <v>10305.27</v>
      </c>
      <c r="H2367">
        <v>5640.47</v>
      </c>
      <c r="I2367" t="s">
        <v>59</v>
      </c>
      <c r="J2367" t="s">
        <v>41</v>
      </c>
      <c r="K2367" t="s">
        <v>32</v>
      </c>
      <c r="L2367" t="s">
        <v>43</v>
      </c>
      <c r="M2367">
        <v>5</v>
      </c>
      <c r="N2367" t="s">
        <v>33</v>
      </c>
      <c r="O2367" t="s">
        <v>25</v>
      </c>
      <c r="P2367" t="s">
        <v>26</v>
      </c>
    </row>
    <row r="2368" spans="1:16" x14ac:dyDescent="0.25">
      <c r="A2368" t="s">
        <v>5448</v>
      </c>
      <c r="B2368" s="6">
        <v>45389</v>
      </c>
      <c r="C2368">
        <v>3503</v>
      </c>
      <c r="D2368" t="s">
        <v>5450</v>
      </c>
      <c r="E2368" t="s">
        <v>18</v>
      </c>
      <c r="F2368" t="s">
        <v>39</v>
      </c>
      <c r="G2368">
        <v>40564.1</v>
      </c>
      <c r="H2368">
        <v>21249.75</v>
      </c>
      <c r="I2368" t="s">
        <v>63</v>
      </c>
      <c r="J2368" t="s">
        <v>54</v>
      </c>
      <c r="K2368" t="s">
        <v>22</v>
      </c>
      <c r="L2368" t="s">
        <v>48</v>
      </c>
      <c r="M2368">
        <v>3</v>
      </c>
      <c r="N2368" t="s">
        <v>24</v>
      </c>
      <c r="O2368" t="s">
        <v>70</v>
      </c>
      <c r="P2368" t="s">
        <v>49</v>
      </c>
    </row>
    <row r="2369" spans="1:16" x14ac:dyDescent="0.25">
      <c r="A2369" t="s">
        <v>5451</v>
      </c>
      <c r="B2369" s="6">
        <v>45268</v>
      </c>
      <c r="C2369">
        <v>6380</v>
      </c>
      <c r="D2369" t="s">
        <v>5452</v>
      </c>
      <c r="E2369" t="s">
        <v>18</v>
      </c>
      <c r="F2369" t="s">
        <v>47</v>
      </c>
      <c r="G2369">
        <v>13859.64</v>
      </c>
      <c r="H2369">
        <v>8790.19</v>
      </c>
      <c r="I2369" t="s">
        <v>53</v>
      </c>
      <c r="J2369" t="s">
        <v>54</v>
      </c>
      <c r="K2369" t="s">
        <v>80</v>
      </c>
      <c r="L2369" t="s">
        <v>43</v>
      </c>
      <c r="M2369">
        <v>2</v>
      </c>
      <c r="N2369" t="s">
        <v>24</v>
      </c>
      <c r="O2369" t="s">
        <v>70</v>
      </c>
      <c r="P2369" t="s">
        <v>34</v>
      </c>
    </row>
    <row r="2370" spans="1:16" x14ac:dyDescent="0.25">
      <c r="A2370" t="s">
        <v>5453</v>
      </c>
      <c r="B2370" s="6">
        <v>44055</v>
      </c>
      <c r="C2370">
        <v>3553</v>
      </c>
      <c r="D2370" t="s">
        <v>5454</v>
      </c>
      <c r="E2370" t="s">
        <v>38</v>
      </c>
      <c r="F2370" t="s">
        <v>19</v>
      </c>
      <c r="G2370">
        <v>7110</v>
      </c>
      <c r="H2370">
        <v>3812.3</v>
      </c>
      <c r="I2370" t="s">
        <v>84</v>
      </c>
      <c r="J2370" t="s">
        <v>54</v>
      </c>
      <c r="K2370" t="s">
        <v>80</v>
      </c>
      <c r="L2370" t="s">
        <v>64</v>
      </c>
      <c r="M2370">
        <v>5</v>
      </c>
      <c r="N2370" t="s">
        <v>33</v>
      </c>
      <c r="O2370" t="s">
        <v>25</v>
      </c>
      <c r="P2370" t="s">
        <v>34</v>
      </c>
    </row>
    <row r="2371" spans="1:16" x14ac:dyDescent="0.25">
      <c r="A2371" t="s">
        <v>5455</v>
      </c>
      <c r="B2371" s="6">
        <v>45085</v>
      </c>
      <c r="C2371">
        <v>9487</v>
      </c>
      <c r="D2371" t="s">
        <v>5456</v>
      </c>
      <c r="E2371" t="s">
        <v>38</v>
      </c>
      <c r="F2371" t="s">
        <v>19</v>
      </c>
      <c r="G2371">
        <v>9341.4</v>
      </c>
      <c r="H2371">
        <v>5845.47</v>
      </c>
      <c r="I2371" t="s">
        <v>68</v>
      </c>
      <c r="J2371" t="s">
        <v>41</v>
      </c>
      <c r="K2371" t="s">
        <v>42</v>
      </c>
      <c r="L2371" t="s">
        <v>48</v>
      </c>
      <c r="M2371">
        <v>1</v>
      </c>
      <c r="N2371" t="s">
        <v>24</v>
      </c>
      <c r="O2371" t="s">
        <v>25</v>
      </c>
      <c r="P2371" t="s">
        <v>26</v>
      </c>
    </row>
    <row r="2372" spans="1:16" x14ac:dyDescent="0.25">
      <c r="A2372" t="s">
        <v>5457</v>
      </c>
      <c r="B2372" s="6">
        <v>45021</v>
      </c>
      <c r="C2372">
        <v>7231</v>
      </c>
      <c r="D2372" t="s">
        <v>3603</v>
      </c>
      <c r="E2372" t="s">
        <v>18</v>
      </c>
      <c r="F2372" t="s">
        <v>30</v>
      </c>
      <c r="G2372">
        <v>37787.440000000002</v>
      </c>
      <c r="H2372">
        <v>23905.119999999999</v>
      </c>
      <c r="I2372" t="s">
        <v>84</v>
      </c>
      <c r="J2372" t="s">
        <v>54</v>
      </c>
      <c r="K2372" t="s">
        <v>32</v>
      </c>
      <c r="L2372" t="s">
        <v>88</v>
      </c>
      <c r="M2372">
        <v>4</v>
      </c>
      <c r="N2372" t="s">
        <v>24</v>
      </c>
      <c r="O2372" t="s">
        <v>25</v>
      </c>
      <c r="P2372" t="s">
        <v>26</v>
      </c>
    </row>
    <row r="2373" spans="1:16" x14ac:dyDescent="0.25">
      <c r="A2373" t="s">
        <v>5458</v>
      </c>
      <c r="B2373" s="6">
        <v>45568</v>
      </c>
      <c r="C2373">
        <v>3713</v>
      </c>
      <c r="D2373" t="s">
        <v>421</v>
      </c>
      <c r="E2373" t="s">
        <v>38</v>
      </c>
      <c r="F2373" t="s">
        <v>19</v>
      </c>
      <c r="G2373">
        <v>21792.1</v>
      </c>
      <c r="H2373">
        <v>12977.87</v>
      </c>
      <c r="I2373" t="s">
        <v>120</v>
      </c>
      <c r="J2373" t="s">
        <v>21</v>
      </c>
      <c r="K2373" t="s">
        <v>42</v>
      </c>
      <c r="L2373" t="s">
        <v>64</v>
      </c>
      <c r="M2373">
        <v>2</v>
      </c>
      <c r="N2373" t="s">
        <v>33</v>
      </c>
      <c r="O2373" t="s">
        <v>70</v>
      </c>
      <c r="P2373" t="s">
        <v>26</v>
      </c>
    </row>
    <row r="2374" spans="1:16" x14ac:dyDescent="0.25">
      <c r="A2374" t="s">
        <v>5459</v>
      </c>
      <c r="B2374" s="6">
        <v>45505</v>
      </c>
      <c r="C2374">
        <v>2726</v>
      </c>
      <c r="D2374" t="s">
        <v>5460</v>
      </c>
      <c r="E2374" t="s">
        <v>18</v>
      </c>
      <c r="F2374" t="s">
        <v>47</v>
      </c>
      <c r="G2374">
        <v>10376.959999999999</v>
      </c>
      <c r="H2374">
        <v>6614.98</v>
      </c>
      <c r="I2374" t="s">
        <v>53</v>
      </c>
      <c r="J2374" t="s">
        <v>54</v>
      </c>
      <c r="K2374" t="s">
        <v>42</v>
      </c>
      <c r="L2374" t="s">
        <v>43</v>
      </c>
      <c r="M2374">
        <v>4</v>
      </c>
      <c r="N2374" t="s">
        <v>33</v>
      </c>
      <c r="O2374" t="s">
        <v>25</v>
      </c>
      <c r="P2374" t="s">
        <v>34</v>
      </c>
    </row>
    <row r="2375" spans="1:16" x14ac:dyDescent="0.25">
      <c r="A2375" t="s">
        <v>5461</v>
      </c>
      <c r="B2375" s="6">
        <v>45489</v>
      </c>
      <c r="C2375">
        <v>9548</v>
      </c>
      <c r="D2375" t="s">
        <v>5462</v>
      </c>
      <c r="E2375" t="s">
        <v>38</v>
      </c>
      <c r="F2375" t="s">
        <v>58</v>
      </c>
      <c r="G2375">
        <v>40198.050000000003</v>
      </c>
      <c r="H2375">
        <v>23042.12</v>
      </c>
      <c r="I2375" t="s">
        <v>59</v>
      </c>
      <c r="J2375" t="s">
        <v>41</v>
      </c>
      <c r="K2375" t="s">
        <v>32</v>
      </c>
      <c r="L2375" t="s">
        <v>88</v>
      </c>
      <c r="M2375">
        <v>3</v>
      </c>
      <c r="N2375" t="s">
        <v>24</v>
      </c>
      <c r="O2375" t="s">
        <v>70</v>
      </c>
      <c r="P2375" t="s">
        <v>26</v>
      </c>
    </row>
    <row r="2376" spans="1:16" x14ac:dyDescent="0.25">
      <c r="A2376" t="s">
        <v>5463</v>
      </c>
      <c r="B2376" s="6">
        <v>45638</v>
      </c>
      <c r="C2376">
        <v>6901</v>
      </c>
      <c r="D2376" t="s">
        <v>5464</v>
      </c>
      <c r="E2376" t="s">
        <v>18</v>
      </c>
      <c r="F2376" t="s">
        <v>47</v>
      </c>
      <c r="G2376">
        <v>11252.21</v>
      </c>
      <c r="H2376">
        <v>6024.98</v>
      </c>
      <c r="I2376" t="s">
        <v>31</v>
      </c>
      <c r="J2376" t="s">
        <v>21</v>
      </c>
      <c r="K2376" t="s">
        <v>42</v>
      </c>
      <c r="L2376" t="s">
        <v>64</v>
      </c>
      <c r="M2376">
        <v>1</v>
      </c>
      <c r="N2376" t="s">
        <v>33</v>
      </c>
      <c r="O2376" t="s">
        <v>25</v>
      </c>
      <c r="P2376" t="s">
        <v>26</v>
      </c>
    </row>
    <row r="2377" spans="1:16" x14ac:dyDescent="0.25">
      <c r="A2377" t="s">
        <v>5465</v>
      </c>
      <c r="B2377" s="6">
        <v>44978</v>
      </c>
      <c r="C2377">
        <v>5056</v>
      </c>
      <c r="D2377" t="s">
        <v>5466</v>
      </c>
      <c r="E2377" t="s">
        <v>18</v>
      </c>
      <c r="F2377" t="s">
        <v>39</v>
      </c>
      <c r="G2377">
        <v>9490.15</v>
      </c>
      <c r="H2377">
        <v>5370.1</v>
      </c>
      <c r="I2377" t="s">
        <v>40</v>
      </c>
      <c r="J2377" t="s">
        <v>41</v>
      </c>
      <c r="K2377" t="s">
        <v>32</v>
      </c>
      <c r="L2377" t="s">
        <v>88</v>
      </c>
      <c r="M2377">
        <v>4</v>
      </c>
      <c r="N2377" t="s">
        <v>33</v>
      </c>
      <c r="O2377" t="s">
        <v>25</v>
      </c>
      <c r="P2377" t="s">
        <v>26</v>
      </c>
    </row>
    <row r="2378" spans="1:16" x14ac:dyDescent="0.25">
      <c r="A2378" t="s">
        <v>5467</v>
      </c>
      <c r="B2378" s="6">
        <v>45053</v>
      </c>
      <c r="C2378">
        <v>1038</v>
      </c>
      <c r="D2378" t="s">
        <v>5468</v>
      </c>
      <c r="E2378" t="s">
        <v>18</v>
      </c>
      <c r="F2378" t="s">
        <v>30</v>
      </c>
      <c r="G2378">
        <v>78936.44</v>
      </c>
      <c r="H2378">
        <v>49361.45</v>
      </c>
      <c r="I2378" t="s">
        <v>20</v>
      </c>
      <c r="J2378" t="s">
        <v>21</v>
      </c>
      <c r="K2378" t="s">
        <v>32</v>
      </c>
      <c r="L2378" t="s">
        <v>55</v>
      </c>
      <c r="M2378">
        <v>1</v>
      </c>
      <c r="N2378" t="s">
        <v>33</v>
      </c>
      <c r="O2378" t="s">
        <v>25</v>
      </c>
      <c r="P2378" t="s">
        <v>34</v>
      </c>
    </row>
    <row r="2379" spans="1:16" x14ac:dyDescent="0.25">
      <c r="A2379" t="s">
        <v>5469</v>
      </c>
      <c r="B2379" s="6">
        <v>44247</v>
      </c>
      <c r="C2379">
        <v>3488</v>
      </c>
      <c r="D2379" t="s">
        <v>5471</v>
      </c>
      <c r="E2379" t="s">
        <v>18</v>
      </c>
      <c r="F2379" t="s">
        <v>19</v>
      </c>
      <c r="G2379">
        <v>4652.57</v>
      </c>
      <c r="H2379">
        <v>2274.96</v>
      </c>
      <c r="I2379" t="s">
        <v>63</v>
      </c>
      <c r="J2379" t="s">
        <v>54</v>
      </c>
      <c r="K2379" t="s">
        <v>80</v>
      </c>
      <c r="L2379" t="s">
        <v>48</v>
      </c>
      <c r="M2379">
        <v>2</v>
      </c>
      <c r="N2379" t="s">
        <v>24</v>
      </c>
      <c r="O2379" t="s">
        <v>25</v>
      </c>
      <c r="P2379" t="s">
        <v>26</v>
      </c>
    </row>
    <row r="2380" spans="1:16" x14ac:dyDescent="0.25">
      <c r="A2380" t="s">
        <v>5472</v>
      </c>
      <c r="B2380" s="6">
        <v>45020</v>
      </c>
      <c r="C2380">
        <v>3002</v>
      </c>
      <c r="D2380" t="s">
        <v>5473</v>
      </c>
      <c r="E2380" t="s">
        <v>38</v>
      </c>
      <c r="F2380" t="s">
        <v>58</v>
      </c>
      <c r="G2380">
        <v>29790.22</v>
      </c>
      <c r="H2380">
        <v>13613.92</v>
      </c>
      <c r="I2380" t="s">
        <v>20</v>
      </c>
      <c r="J2380" t="s">
        <v>21</v>
      </c>
      <c r="K2380" t="s">
        <v>22</v>
      </c>
      <c r="L2380" t="s">
        <v>23</v>
      </c>
      <c r="M2380">
        <v>5</v>
      </c>
      <c r="N2380" t="s">
        <v>33</v>
      </c>
      <c r="O2380" t="s">
        <v>25</v>
      </c>
      <c r="P2380" t="s">
        <v>26</v>
      </c>
    </row>
    <row r="2381" spans="1:16" x14ac:dyDescent="0.25">
      <c r="A2381" t="s">
        <v>5474</v>
      </c>
      <c r="B2381" s="6">
        <v>44856</v>
      </c>
      <c r="C2381">
        <v>1225</v>
      </c>
      <c r="D2381" t="s">
        <v>5476</v>
      </c>
      <c r="E2381" t="s">
        <v>18</v>
      </c>
      <c r="F2381" t="s">
        <v>30</v>
      </c>
      <c r="G2381">
        <v>75646.09</v>
      </c>
      <c r="H2381">
        <v>44483.86</v>
      </c>
      <c r="I2381" t="s">
        <v>53</v>
      </c>
      <c r="J2381" t="s">
        <v>54</v>
      </c>
      <c r="K2381" t="s">
        <v>22</v>
      </c>
      <c r="L2381" t="s">
        <v>64</v>
      </c>
      <c r="M2381">
        <v>4</v>
      </c>
      <c r="N2381" t="s">
        <v>69</v>
      </c>
      <c r="O2381" t="s">
        <v>70</v>
      </c>
      <c r="P2381" t="s">
        <v>26</v>
      </c>
    </row>
    <row r="2382" spans="1:16" x14ac:dyDescent="0.25">
      <c r="A2382" t="s">
        <v>5477</v>
      </c>
      <c r="B2382" s="6">
        <v>45563</v>
      </c>
      <c r="C2382">
        <v>5213</v>
      </c>
      <c r="D2382" t="s">
        <v>5478</v>
      </c>
      <c r="E2382" t="s">
        <v>18</v>
      </c>
      <c r="F2382" t="s">
        <v>47</v>
      </c>
      <c r="G2382">
        <v>11533.1</v>
      </c>
      <c r="H2382">
        <v>6366.99</v>
      </c>
      <c r="I2382" t="s">
        <v>68</v>
      </c>
      <c r="J2382" t="s">
        <v>41</v>
      </c>
      <c r="K2382" t="s">
        <v>80</v>
      </c>
      <c r="L2382" t="s">
        <v>55</v>
      </c>
      <c r="M2382">
        <v>3</v>
      </c>
      <c r="N2382" t="s">
        <v>69</v>
      </c>
      <c r="O2382" t="s">
        <v>25</v>
      </c>
      <c r="P2382" t="s">
        <v>49</v>
      </c>
    </row>
    <row r="2383" spans="1:16" x14ac:dyDescent="0.25">
      <c r="A2383" t="s">
        <v>5479</v>
      </c>
      <c r="B2383" s="6">
        <v>44517</v>
      </c>
      <c r="C2383">
        <v>8408</v>
      </c>
      <c r="D2383" t="s">
        <v>5481</v>
      </c>
      <c r="E2383" t="s">
        <v>18</v>
      </c>
      <c r="F2383" t="s">
        <v>30</v>
      </c>
      <c r="G2383">
        <v>18475.88</v>
      </c>
      <c r="H2383">
        <v>8833.7999999999993</v>
      </c>
      <c r="I2383" t="s">
        <v>120</v>
      </c>
      <c r="J2383" t="s">
        <v>21</v>
      </c>
      <c r="K2383" t="s">
        <v>32</v>
      </c>
      <c r="L2383" t="s">
        <v>55</v>
      </c>
      <c r="M2383">
        <v>3</v>
      </c>
      <c r="N2383" t="s">
        <v>33</v>
      </c>
      <c r="O2383" t="s">
        <v>70</v>
      </c>
      <c r="P2383" t="s">
        <v>49</v>
      </c>
    </row>
    <row r="2384" spans="1:16" x14ac:dyDescent="0.25">
      <c r="A2384" t="s">
        <v>5482</v>
      </c>
      <c r="B2384" s="6">
        <v>45571</v>
      </c>
      <c r="C2384">
        <v>5637</v>
      </c>
      <c r="D2384" t="s">
        <v>5483</v>
      </c>
      <c r="E2384" t="s">
        <v>18</v>
      </c>
      <c r="F2384" t="s">
        <v>30</v>
      </c>
      <c r="G2384">
        <v>23481.23</v>
      </c>
      <c r="H2384">
        <v>11528.79</v>
      </c>
      <c r="I2384" t="s">
        <v>40</v>
      </c>
      <c r="J2384" t="s">
        <v>41</v>
      </c>
      <c r="K2384" t="s">
        <v>22</v>
      </c>
      <c r="L2384" t="s">
        <v>64</v>
      </c>
      <c r="M2384">
        <v>1</v>
      </c>
      <c r="N2384" t="s">
        <v>33</v>
      </c>
      <c r="O2384" t="s">
        <v>70</v>
      </c>
      <c r="P2384" t="s">
        <v>49</v>
      </c>
    </row>
    <row r="2385" spans="1:16" x14ac:dyDescent="0.25">
      <c r="A2385" t="s">
        <v>5484</v>
      </c>
      <c r="B2385" s="6">
        <v>44998</v>
      </c>
      <c r="C2385">
        <v>6739</v>
      </c>
      <c r="D2385" t="s">
        <v>2449</v>
      </c>
      <c r="E2385" t="s">
        <v>18</v>
      </c>
      <c r="F2385" t="s">
        <v>19</v>
      </c>
      <c r="G2385">
        <v>19065.09</v>
      </c>
      <c r="H2385">
        <v>10044.94</v>
      </c>
      <c r="I2385" t="s">
        <v>53</v>
      </c>
      <c r="J2385" t="s">
        <v>54</v>
      </c>
      <c r="K2385" t="s">
        <v>42</v>
      </c>
      <c r="L2385" t="s">
        <v>23</v>
      </c>
      <c r="M2385">
        <v>1</v>
      </c>
      <c r="N2385" t="s">
        <v>69</v>
      </c>
      <c r="O2385" t="s">
        <v>25</v>
      </c>
      <c r="P2385" t="s">
        <v>26</v>
      </c>
    </row>
    <row r="2386" spans="1:16" x14ac:dyDescent="0.25">
      <c r="A2386" t="s">
        <v>5485</v>
      </c>
      <c r="B2386" s="6">
        <v>45376</v>
      </c>
      <c r="C2386">
        <v>4524</v>
      </c>
      <c r="D2386" t="s">
        <v>5486</v>
      </c>
      <c r="E2386" t="s">
        <v>18</v>
      </c>
      <c r="F2386" t="s">
        <v>30</v>
      </c>
      <c r="G2386">
        <v>115513.84</v>
      </c>
      <c r="H2386">
        <v>63396.480000000003</v>
      </c>
      <c r="I2386" t="s">
        <v>53</v>
      </c>
      <c r="J2386" t="s">
        <v>54</v>
      </c>
      <c r="K2386" t="s">
        <v>22</v>
      </c>
      <c r="L2386" t="s">
        <v>55</v>
      </c>
      <c r="M2386">
        <v>1</v>
      </c>
      <c r="N2386" t="s">
        <v>33</v>
      </c>
      <c r="O2386" t="s">
        <v>25</v>
      </c>
      <c r="P2386" t="s">
        <v>26</v>
      </c>
    </row>
    <row r="2387" spans="1:16" x14ac:dyDescent="0.25">
      <c r="A2387" t="s">
        <v>5487</v>
      </c>
      <c r="B2387" s="6">
        <v>45502</v>
      </c>
      <c r="C2387">
        <v>1115</v>
      </c>
      <c r="D2387" t="s">
        <v>1807</v>
      </c>
      <c r="E2387" t="s">
        <v>18</v>
      </c>
      <c r="F2387" t="s">
        <v>19</v>
      </c>
      <c r="G2387">
        <v>7629.33</v>
      </c>
      <c r="H2387">
        <v>3941.45</v>
      </c>
      <c r="I2387" t="s">
        <v>59</v>
      </c>
      <c r="J2387" t="s">
        <v>41</v>
      </c>
      <c r="K2387" t="s">
        <v>80</v>
      </c>
      <c r="L2387" t="s">
        <v>88</v>
      </c>
      <c r="M2387">
        <v>2</v>
      </c>
      <c r="N2387" t="s">
        <v>33</v>
      </c>
      <c r="O2387" t="s">
        <v>25</v>
      </c>
      <c r="P2387" t="s">
        <v>26</v>
      </c>
    </row>
    <row r="2388" spans="1:16" x14ac:dyDescent="0.25">
      <c r="A2388" t="s">
        <v>5488</v>
      </c>
      <c r="B2388" s="6">
        <v>44809</v>
      </c>
      <c r="C2388">
        <v>6537</v>
      </c>
      <c r="D2388" t="s">
        <v>3045</v>
      </c>
      <c r="E2388" t="s">
        <v>18</v>
      </c>
      <c r="F2388" t="s">
        <v>30</v>
      </c>
      <c r="G2388">
        <v>70526.759999999995</v>
      </c>
      <c r="H2388">
        <v>32063.66</v>
      </c>
      <c r="I2388" t="s">
        <v>63</v>
      </c>
      <c r="J2388" t="s">
        <v>54</v>
      </c>
      <c r="K2388" t="s">
        <v>22</v>
      </c>
      <c r="L2388" t="s">
        <v>88</v>
      </c>
      <c r="M2388">
        <v>2</v>
      </c>
      <c r="N2388" t="s">
        <v>33</v>
      </c>
      <c r="O2388" t="s">
        <v>25</v>
      </c>
      <c r="P2388" t="s">
        <v>26</v>
      </c>
    </row>
    <row r="2389" spans="1:16" x14ac:dyDescent="0.25">
      <c r="A2389" t="s">
        <v>5489</v>
      </c>
      <c r="B2389" s="6">
        <v>44725</v>
      </c>
      <c r="C2389">
        <v>9644</v>
      </c>
      <c r="D2389" t="s">
        <v>5490</v>
      </c>
      <c r="E2389" t="s">
        <v>38</v>
      </c>
      <c r="F2389" t="s">
        <v>58</v>
      </c>
      <c r="G2389">
        <v>31879.95</v>
      </c>
      <c r="H2389">
        <v>15390.47</v>
      </c>
      <c r="I2389" t="s">
        <v>53</v>
      </c>
      <c r="J2389" t="s">
        <v>54</v>
      </c>
      <c r="K2389" t="s">
        <v>42</v>
      </c>
      <c r="L2389" t="s">
        <v>64</v>
      </c>
      <c r="M2389">
        <v>4</v>
      </c>
      <c r="N2389" t="s">
        <v>33</v>
      </c>
      <c r="O2389" t="s">
        <v>25</v>
      </c>
      <c r="P2389" t="s">
        <v>34</v>
      </c>
    </row>
    <row r="2390" spans="1:16" x14ac:dyDescent="0.25">
      <c r="A2390" t="s">
        <v>5491</v>
      </c>
      <c r="B2390" s="6">
        <v>44930</v>
      </c>
      <c r="C2390">
        <v>4722</v>
      </c>
      <c r="D2390" t="s">
        <v>5492</v>
      </c>
      <c r="E2390" t="s">
        <v>18</v>
      </c>
      <c r="F2390" t="s">
        <v>30</v>
      </c>
      <c r="G2390">
        <v>68402.05</v>
      </c>
      <c r="H2390">
        <v>36153.269999999997</v>
      </c>
      <c r="I2390" t="s">
        <v>120</v>
      </c>
      <c r="J2390" t="s">
        <v>21</v>
      </c>
      <c r="K2390" t="s">
        <v>42</v>
      </c>
      <c r="L2390" t="s">
        <v>55</v>
      </c>
      <c r="M2390">
        <v>3</v>
      </c>
      <c r="N2390" t="s">
        <v>69</v>
      </c>
      <c r="O2390" t="s">
        <v>25</v>
      </c>
      <c r="P2390" t="s">
        <v>34</v>
      </c>
    </row>
    <row r="2391" spans="1:16" x14ac:dyDescent="0.25">
      <c r="A2391" t="s">
        <v>5493</v>
      </c>
      <c r="B2391" s="6">
        <v>45518</v>
      </c>
      <c r="C2391">
        <v>8447</v>
      </c>
      <c r="D2391" t="s">
        <v>5495</v>
      </c>
      <c r="E2391" t="s">
        <v>38</v>
      </c>
      <c r="F2391" t="s">
        <v>58</v>
      </c>
      <c r="G2391">
        <v>21209.83</v>
      </c>
      <c r="H2391">
        <v>12620.21</v>
      </c>
      <c r="I2391" t="s">
        <v>20</v>
      </c>
      <c r="J2391" t="s">
        <v>21</v>
      </c>
      <c r="K2391" t="s">
        <v>32</v>
      </c>
      <c r="L2391" t="s">
        <v>43</v>
      </c>
      <c r="M2391">
        <v>1</v>
      </c>
      <c r="N2391" t="s">
        <v>33</v>
      </c>
      <c r="O2391" t="s">
        <v>70</v>
      </c>
      <c r="P2391" t="s">
        <v>26</v>
      </c>
    </row>
    <row r="2392" spans="1:16" x14ac:dyDescent="0.25">
      <c r="A2392" t="s">
        <v>5496</v>
      </c>
      <c r="B2392" s="6">
        <v>45324</v>
      </c>
      <c r="C2392">
        <v>5188</v>
      </c>
      <c r="D2392" t="s">
        <v>5497</v>
      </c>
      <c r="E2392" t="s">
        <v>18</v>
      </c>
      <c r="F2392" t="s">
        <v>58</v>
      </c>
      <c r="G2392">
        <v>35708.36</v>
      </c>
      <c r="H2392">
        <v>17464.580000000002</v>
      </c>
      <c r="I2392" t="s">
        <v>53</v>
      </c>
      <c r="J2392" t="s">
        <v>54</v>
      </c>
      <c r="K2392" t="s">
        <v>80</v>
      </c>
      <c r="L2392" t="s">
        <v>43</v>
      </c>
      <c r="M2392">
        <v>1</v>
      </c>
      <c r="N2392" t="s">
        <v>33</v>
      </c>
      <c r="O2392" t="s">
        <v>70</v>
      </c>
      <c r="P2392" t="s">
        <v>26</v>
      </c>
    </row>
    <row r="2393" spans="1:16" x14ac:dyDescent="0.25">
      <c r="A2393" t="s">
        <v>5498</v>
      </c>
      <c r="B2393" s="6">
        <v>44594</v>
      </c>
      <c r="C2393">
        <v>8685</v>
      </c>
      <c r="D2393" t="s">
        <v>5499</v>
      </c>
      <c r="E2393" t="s">
        <v>38</v>
      </c>
      <c r="F2393" t="s">
        <v>39</v>
      </c>
      <c r="G2393">
        <v>42292.1</v>
      </c>
      <c r="H2393">
        <v>23045.97</v>
      </c>
      <c r="I2393" t="s">
        <v>63</v>
      </c>
      <c r="J2393" t="s">
        <v>54</v>
      </c>
      <c r="K2393" t="s">
        <v>22</v>
      </c>
      <c r="L2393" t="s">
        <v>48</v>
      </c>
      <c r="M2393">
        <v>1</v>
      </c>
      <c r="N2393" t="s">
        <v>24</v>
      </c>
      <c r="O2393" t="s">
        <v>70</v>
      </c>
      <c r="P2393" t="s">
        <v>34</v>
      </c>
    </row>
    <row r="2394" spans="1:16" x14ac:dyDescent="0.25">
      <c r="A2394" t="s">
        <v>5500</v>
      </c>
      <c r="B2394" s="6">
        <v>45576</v>
      </c>
      <c r="C2394">
        <v>4198</v>
      </c>
      <c r="D2394" t="s">
        <v>5502</v>
      </c>
      <c r="E2394" t="s">
        <v>18</v>
      </c>
      <c r="F2394" t="s">
        <v>30</v>
      </c>
      <c r="G2394">
        <v>29921.89</v>
      </c>
      <c r="H2394">
        <v>19181.89</v>
      </c>
      <c r="I2394" t="s">
        <v>120</v>
      </c>
      <c r="J2394" t="s">
        <v>21</v>
      </c>
      <c r="K2394" t="s">
        <v>42</v>
      </c>
      <c r="L2394" t="s">
        <v>55</v>
      </c>
      <c r="M2394">
        <v>4</v>
      </c>
      <c r="N2394" t="s">
        <v>24</v>
      </c>
      <c r="O2394" t="s">
        <v>70</v>
      </c>
      <c r="P2394" t="s">
        <v>34</v>
      </c>
    </row>
    <row r="2395" spans="1:16" x14ac:dyDescent="0.25">
      <c r="A2395" t="s">
        <v>5503</v>
      </c>
      <c r="B2395" s="6">
        <v>45569</v>
      </c>
      <c r="C2395">
        <v>9539</v>
      </c>
      <c r="D2395" t="s">
        <v>670</v>
      </c>
      <c r="E2395" t="s">
        <v>18</v>
      </c>
      <c r="F2395" t="s">
        <v>19</v>
      </c>
      <c r="G2395">
        <v>14843.08</v>
      </c>
      <c r="H2395">
        <v>9392.4500000000007</v>
      </c>
      <c r="I2395" t="s">
        <v>31</v>
      </c>
      <c r="J2395" t="s">
        <v>21</v>
      </c>
      <c r="K2395" t="s">
        <v>22</v>
      </c>
      <c r="L2395" t="s">
        <v>88</v>
      </c>
      <c r="M2395">
        <v>3</v>
      </c>
      <c r="N2395" t="s">
        <v>24</v>
      </c>
      <c r="O2395" t="s">
        <v>25</v>
      </c>
      <c r="P2395" t="s">
        <v>49</v>
      </c>
    </row>
    <row r="2396" spans="1:16" x14ac:dyDescent="0.25">
      <c r="A2396" t="s">
        <v>5504</v>
      </c>
      <c r="B2396" s="6">
        <v>44004</v>
      </c>
      <c r="C2396">
        <v>5390</v>
      </c>
      <c r="D2396" t="s">
        <v>5505</v>
      </c>
      <c r="E2396" t="s">
        <v>38</v>
      </c>
      <c r="F2396" t="s">
        <v>39</v>
      </c>
      <c r="G2396">
        <v>28212.47</v>
      </c>
      <c r="H2396">
        <v>13239.74</v>
      </c>
      <c r="I2396" t="s">
        <v>53</v>
      </c>
      <c r="J2396" t="s">
        <v>54</v>
      </c>
      <c r="K2396" t="s">
        <v>22</v>
      </c>
      <c r="L2396" t="s">
        <v>43</v>
      </c>
      <c r="M2396">
        <v>2</v>
      </c>
      <c r="N2396" t="s">
        <v>24</v>
      </c>
      <c r="O2396" t="s">
        <v>25</v>
      </c>
      <c r="P2396" t="s">
        <v>34</v>
      </c>
    </row>
    <row r="2397" spans="1:16" x14ac:dyDescent="0.25">
      <c r="A2397" t="s">
        <v>5506</v>
      </c>
      <c r="B2397" s="6">
        <v>44947</v>
      </c>
      <c r="C2397">
        <v>3499</v>
      </c>
      <c r="D2397" t="s">
        <v>5403</v>
      </c>
      <c r="E2397" t="s">
        <v>18</v>
      </c>
      <c r="F2397" t="s">
        <v>47</v>
      </c>
      <c r="G2397">
        <v>13025.8</v>
      </c>
      <c r="H2397">
        <v>6517.02</v>
      </c>
      <c r="I2397" t="s">
        <v>53</v>
      </c>
      <c r="J2397" t="s">
        <v>54</v>
      </c>
      <c r="K2397" t="s">
        <v>42</v>
      </c>
      <c r="L2397" t="s">
        <v>23</v>
      </c>
      <c r="M2397">
        <v>3</v>
      </c>
      <c r="N2397" t="s">
        <v>24</v>
      </c>
      <c r="O2397" t="s">
        <v>70</v>
      </c>
      <c r="P2397" t="s">
        <v>34</v>
      </c>
    </row>
    <row r="2398" spans="1:16" x14ac:dyDescent="0.25">
      <c r="A2398" t="s">
        <v>5507</v>
      </c>
      <c r="B2398" s="6">
        <v>44273</v>
      </c>
      <c r="C2398">
        <v>6788</v>
      </c>
      <c r="D2398" t="s">
        <v>5509</v>
      </c>
      <c r="E2398" t="s">
        <v>18</v>
      </c>
      <c r="F2398" t="s">
        <v>39</v>
      </c>
      <c r="G2398">
        <v>20875.84</v>
      </c>
      <c r="H2398">
        <v>11582.48</v>
      </c>
      <c r="I2398" t="s">
        <v>20</v>
      </c>
      <c r="J2398" t="s">
        <v>21</v>
      </c>
      <c r="K2398" t="s">
        <v>80</v>
      </c>
      <c r="L2398" t="s">
        <v>23</v>
      </c>
      <c r="M2398">
        <v>3</v>
      </c>
      <c r="N2398" t="s">
        <v>24</v>
      </c>
      <c r="O2398" t="s">
        <v>25</v>
      </c>
      <c r="P2398" t="s">
        <v>34</v>
      </c>
    </row>
    <row r="2399" spans="1:16" x14ac:dyDescent="0.25">
      <c r="A2399" t="s">
        <v>5510</v>
      </c>
      <c r="B2399" s="6">
        <v>45402</v>
      </c>
      <c r="C2399">
        <v>6561</v>
      </c>
      <c r="D2399" t="s">
        <v>5511</v>
      </c>
      <c r="E2399" t="s">
        <v>38</v>
      </c>
      <c r="F2399" t="s">
        <v>30</v>
      </c>
      <c r="G2399">
        <v>72279.08</v>
      </c>
      <c r="H2399">
        <v>41589.61</v>
      </c>
      <c r="I2399" t="s">
        <v>40</v>
      </c>
      <c r="J2399" t="s">
        <v>41</v>
      </c>
      <c r="K2399" t="s">
        <v>32</v>
      </c>
      <c r="L2399" t="s">
        <v>48</v>
      </c>
      <c r="M2399">
        <v>3</v>
      </c>
      <c r="N2399" t="s">
        <v>33</v>
      </c>
      <c r="O2399" t="s">
        <v>70</v>
      </c>
      <c r="P2399" t="s">
        <v>26</v>
      </c>
    </row>
    <row r="2400" spans="1:16" x14ac:dyDescent="0.25">
      <c r="A2400" t="s">
        <v>5512</v>
      </c>
      <c r="B2400" s="6">
        <v>44507</v>
      </c>
      <c r="C2400">
        <v>6051</v>
      </c>
      <c r="D2400" t="s">
        <v>5513</v>
      </c>
      <c r="E2400" t="s">
        <v>38</v>
      </c>
      <c r="F2400" t="s">
        <v>19</v>
      </c>
      <c r="G2400">
        <v>6502.19</v>
      </c>
      <c r="H2400">
        <v>3297.91</v>
      </c>
      <c r="I2400" t="s">
        <v>120</v>
      </c>
      <c r="J2400" t="s">
        <v>21</v>
      </c>
      <c r="K2400" t="s">
        <v>32</v>
      </c>
      <c r="L2400" t="s">
        <v>48</v>
      </c>
      <c r="M2400">
        <v>4</v>
      </c>
      <c r="N2400" t="s">
        <v>33</v>
      </c>
      <c r="O2400" t="s">
        <v>25</v>
      </c>
      <c r="P2400" t="s">
        <v>34</v>
      </c>
    </row>
    <row r="2401" spans="1:16" x14ac:dyDescent="0.25">
      <c r="A2401" t="s">
        <v>5514</v>
      </c>
      <c r="B2401" s="6">
        <v>44925</v>
      </c>
      <c r="C2401">
        <v>2268</v>
      </c>
      <c r="D2401" t="s">
        <v>5515</v>
      </c>
      <c r="E2401" t="s">
        <v>38</v>
      </c>
      <c r="F2401" t="s">
        <v>19</v>
      </c>
      <c r="G2401">
        <v>13091.94</v>
      </c>
      <c r="H2401">
        <v>6952.5</v>
      </c>
      <c r="I2401" t="s">
        <v>120</v>
      </c>
      <c r="J2401" t="s">
        <v>21</v>
      </c>
      <c r="K2401" t="s">
        <v>32</v>
      </c>
      <c r="L2401" t="s">
        <v>64</v>
      </c>
      <c r="M2401">
        <v>2</v>
      </c>
      <c r="N2401" t="s">
        <v>33</v>
      </c>
      <c r="O2401" t="s">
        <v>70</v>
      </c>
      <c r="P2401" t="s">
        <v>26</v>
      </c>
    </row>
    <row r="2402" spans="1:16" x14ac:dyDescent="0.25">
      <c r="A2402" t="s">
        <v>5516</v>
      </c>
      <c r="B2402" s="6">
        <v>45614</v>
      </c>
      <c r="C2402">
        <v>1926</v>
      </c>
      <c r="D2402" t="s">
        <v>5517</v>
      </c>
      <c r="E2402" t="s">
        <v>18</v>
      </c>
      <c r="F2402" t="s">
        <v>47</v>
      </c>
      <c r="G2402">
        <v>7160.29</v>
      </c>
      <c r="H2402">
        <v>3500.57</v>
      </c>
      <c r="I2402" t="s">
        <v>59</v>
      </c>
      <c r="J2402" t="s">
        <v>41</v>
      </c>
      <c r="K2402" t="s">
        <v>42</v>
      </c>
      <c r="L2402" t="s">
        <v>55</v>
      </c>
      <c r="M2402">
        <v>1</v>
      </c>
      <c r="N2402" t="s">
        <v>33</v>
      </c>
      <c r="O2402" t="s">
        <v>70</v>
      </c>
      <c r="P2402" t="s">
        <v>26</v>
      </c>
    </row>
    <row r="2403" spans="1:16" x14ac:dyDescent="0.25">
      <c r="A2403" t="s">
        <v>5518</v>
      </c>
      <c r="B2403" s="6">
        <v>45467</v>
      </c>
      <c r="C2403">
        <v>7809</v>
      </c>
      <c r="D2403" t="s">
        <v>3222</v>
      </c>
      <c r="E2403" t="s">
        <v>18</v>
      </c>
      <c r="F2403" t="s">
        <v>58</v>
      </c>
      <c r="G2403">
        <v>34263.910000000003</v>
      </c>
      <c r="H2403">
        <v>20899</v>
      </c>
      <c r="I2403" t="s">
        <v>84</v>
      </c>
      <c r="J2403" t="s">
        <v>54</v>
      </c>
      <c r="K2403" t="s">
        <v>80</v>
      </c>
      <c r="L2403" t="s">
        <v>23</v>
      </c>
      <c r="M2403">
        <v>2</v>
      </c>
      <c r="N2403" t="s">
        <v>33</v>
      </c>
      <c r="O2403" t="s">
        <v>25</v>
      </c>
      <c r="P2403" t="s">
        <v>34</v>
      </c>
    </row>
    <row r="2404" spans="1:16" x14ac:dyDescent="0.25">
      <c r="A2404" t="s">
        <v>5519</v>
      </c>
      <c r="B2404" s="6">
        <v>45626</v>
      </c>
      <c r="C2404">
        <v>4332</v>
      </c>
      <c r="D2404" t="s">
        <v>5520</v>
      </c>
      <c r="E2404" t="s">
        <v>38</v>
      </c>
      <c r="F2404" t="s">
        <v>39</v>
      </c>
      <c r="G2404">
        <v>53627.51</v>
      </c>
      <c r="H2404">
        <v>34150.160000000003</v>
      </c>
      <c r="I2404" t="s">
        <v>53</v>
      </c>
      <c r="J2404" t="s">
        <v>54</v>
      </c>
      <c r="K2404" t="s">
        <v>22</v>
      </c>
      <c r="L2404" t="s">
        <v>55</v>
      </c>
      <c r="M2404">
        <v>1</v>
      </c>
      <c r="N2404" t="s">
        <v>24</v>
      </c>
      <c r="O2404" t="s">
        <v>25</v>
      </c>
      <c r="P2404" t="s">
        <v>49</v>
      </c>
    </row>
    <row r="2405" spans="1:16" x14ac:dyDescent="0.25">
      <c r="A2405" t="s">
        <v>5521</v>
      </c>
      <c r="B2405" s="6">
        <v>45012</v>
      </c>
      <c r="C2405">
        <v>9707</v>
      </c>
      <c r="D2405" t="s">
        <v>5522</v>
      </c>
      <c r="E2405" t="s">
        <v>38</v>
      </c>
      <c r="F2405" t="s">
        <v>39</v>
      </c>
      <c r="G2405">
        <v>17840.43</v>
      </c>
      <c r="H2405">
        <v>10259.89</v>
      </c>
      <c r="I2405" t="s">
        <v>84</v>
      </c>
      <c r="J2405" t="s">
        <v>54</v>
      </c>
      <c r="K2405" t="s">
        <v>42</v>
      </c>
      <c r="L2405" t="s">
        <v>64</v>
      </c>
      <c r="M2405">
        <v>2</v>
      </c>
      <c r="N2405" t="s">
        <v>24</v>
      </c>
      <c r="O2405" t="s">
        <v>70</v>
      </c>
      <c r="P2405" t="s">
        <v>26</v>
      </c>
    </row>
    <row r="2406" spans="1:16" x14ac:dyDescent="0.25">
      <c r="A2406" t="s">
        <v>5523</v>
      </c>
      <c r="B2406" s="6">
        <v>45431</v>
      </c>
      <c r="C2406">
        <v>3844</v>
      </c>
      <c r="D2406" t="s">
        <v>5525</v>
      </c>
      <c r="E2406" t="s">
        <v>38</v>
      </c>
      <c r="F2406" t="s">
        <v>58</v>
      </c>
      <c r="G2406">
        <v>48664.83</v>
      </c>
      <c r="H2406">
        <v>24704.93</v>
      </c>
      <c r="I2406" t="s">
        <v>63</v>
      </c>
      <c r="J2406" t="s">
        <v>54</v>
      </c>
      <c r="K2406" t="s">
        <v>80</v>
      </c>
      <c r="L2406" t="s">
        <v>23</v>
      </c>
      <c r="M2406">
        <v>3</v>
      </c>
      <c r="N2406" t="s">
        <v>33</v>
      </c>
      <c r="O2406" t="s">
        <v>25</v>
      </c>
      <c r="P2406" t="s">
        <v>26</v>
      </c>
    </row>
    <row r="2407" spans="1:16" x14ac:dyDescent="0.25">
      <c r="A2407" t="s">
        <v>5526</v>
      </c>
      <c r="B2407" s="6">
        <v>45483</v>
      </c>
      <c r="C2407">
        <v>2937</v>
      </c>
      <c r="D2407" t="s">
        <v>5271</v>
      </c>
      <c r="E2407" t="s">
        <v>38</v>
      </c>
      <c r="F2407" t="s">
        <v>30</v>
      </c>
      <c r="G2407">
        <v>36887.72</v>
      </c>
      <c r="H2407">
        <v>16614.97</v>
      </c>
      <c r="I2407" t="s">
        <v>31</v>
      </c>
      <c r="J2407" t="s">
        <v>21</v>
      </c>
      <c r="K2407" t="s">
        <v>80</v>
      </c>
      <c r="L2407" t="s">
        <v>88</v>
      </c>
      <c r="M2407">
        <v>1</v>
      </c>
      <c r="N2407" t="s">
        <v>33</v>
      </c>
      <c r="O2407" t="s">
        <v>70</v>
      </c>
      <c r="P2407" t="s">
        <v>49</v>
      </c>
    </row>
    <row r="2408" spans="1:16" x14ac:dyDescent="0.25">
      <c r="A2408" t="s">
        <v>5527</v>
      </c>
      <c r="B2408" s="6">
        <v>44853</v>
      </c>
      <c r="C2408">
        <v>4843</v>
      </c>
      <c r="D2408" t="s">
        <v>5529</v>
      </c>
      <c r="E2408" t="s">
        <v>18</v>
      </c>
      <c r="F2408" t="s">
        <v>39</v>
      </c>
      <c r="G2408">
        <v>21848.33</v>
      </c>
      <c r="H2408">
        <v>11865.99</v>
      </c>
      <c r="I2408" t="s">
        <v>84</v>
      </c>
      <c r="J2408" t="s">
        <v>54</v>
      </c>
      <c r="K2408" t="s">
        <v>32</v>
      </c>
      <c r="L2408" t="s">
        <v>88</v>
      </c>
      <c r="M2408">
        <v>3</v>
      </c>
      <c r="N2408" t="s">
        <v>24</v>
      </c>
      <c r="O2408" t="s">
        <v>70</v>
      </c>
      <c r="P2408" t="s">
        <v>26</v>
      </c>
    </row>
    <row r="2409" spans="1:16" x14ac:dyDescent="0.25">
      <c r="A2409" t="s">
        <v>5530</v>
      </c>
      <c r="B2409" s="6">
        <v>44715</v>
      </c>
      <c r="C2409">
        <v>8838</v>
      </c>
      <c r="D2409" t="s">
        <v>5016</v>
      </c>
      <c r="E2409" t="s">
        <v>38</v>
      </c>
      <c r="F2409" t="s">
        <v>58</v>
      </c>
      <c r="G2409">
        <v>42771.48</v>
      </c>
      <c r="H2409">
        <v>21886.5</v>
      </c>
      <c r="I2409" t="s">
        <v>20</v>
      </c>
      <c r="J2409" t="s">
        <v>21</v>
      </c>
      <c r="K2409" t="s">
        <v>22</v>
      </c>
      <c r="L2409" t="s">
        <v>48</v>
      </c>
      <c r="M2409">
        <v>1</v>
      </c>
      <c r="N2409" t="s">
        <v>69</v>
      </c>
      <c r="O2409" t="s">
        <v>70</v>
      </c>
      <c r="P2409" t="s">
        <v>26</v>
      </c>
    </row>
    <row r="2410" spans="1:16" x14ac:dyDescent="0.25">
      <c r="A2410" t="s">
        <v>5531</v>
      </c>
      <c r="B2410" s="6">
        <v>44575</v>
      </c>
      <c r="C2410">
        <v>7770</v>
      </c>
      <c r="D2410" t="s">
        <v>5532</v>
      </c>
      <c r="E2410" t="s">
        <v>18</v>
      </c>
      <c r="F2410" t="s">
        <v>19</v>
      </c>
      <c r="G2410">
        <v>17249.16</v>
      </c>
      <c r="H2410">
        <v>10912.28</v>
      </c>
      <c r="I2410" t="s">
        <v>84</v>
      </c>
      <c r="J2410" t="s">
        <v>54</v>
      </c>
      <c r="K2410" t="s">
        <v>22</v>
      </c>
      <c r="L2410" t="s">
        <v>23</v>
      </c>
      <c r="M2410">
        <v>1</v>
      </c>
      <c r="N2410" t="s">
        <v>24</v>
      </c>
      <c r="O2410" t="s">
        <v>25</v>
      </c>
      <c r="P2410" t="s">
        <v>49</v>
      </c>
    </row>
    <row r="2411" spans="1:16" x14ac:dyDescent="0.25">
      <c r="A2411" t="s">
        <v>5533</v>
      </c>
      <c r="B2411" s="6">
        <v>44698</v>
      </c>
      <c r="C2411">
        <v>2368</v>
      </c>
      <c r="D2411" t="s">
        <v>5534</v>
      </c>
      <c r="E2411" t="s">
        <v>38</v>
      </c>
      <c r="F2411" t="s">
        <v>39</v>
      </c>
      <c r="G2411">
        <v>26183.17</v>
      </c>
      <c r="H2411">
        <v>12318.53</v>
      </c>
      <c r="I2411" t="s">
        <v>120</v>
      </c>
      <c r="J2411" t="s">
        <v>21</v>
      </c>
      <c r="K2411" t="s">
        <v>32</v>
      </c>
      <c r="L2411" t="s">
        <v>88</v>
      </c>
      <c r="M2411">
        <v>1</v>
      </c>
      <c r="N2411" t="s">
        <v>33</v>
      </c>
      <c r="O2411" t="s">
        <v>70</v>
      </c>
      <c r="P2411" t="s">
        <v>26</v>
      </c>
    </row>
    <row r="2412" spans="1:16" x14ac:dyDescent="0.25">
      <c r="A2412" t="s">
        <v>5535</v>
      </c>
      <c r="B2412" s="6">
        <v>45387</v>
      </c>
      <c r="C2412">
        <v>3704</v>
      </c>
      <c r="D2412" t="s">
        <v>5536</v>
      </c>
      <c r="E2412" t="s">
        <v>38</v>
      </c>
      <c r="F2412" t="s">
        <v>47</v>
      </c>
      <c r="G2412">
        <v>18547.55</v>
      </c>
      <c r="H2412">
        <v>11915.84</v>
      </c>
      <c r="I2412" t="s">
        <v>63</v>
      </c>
      <c r="J2412" t="s">
        <v>54</v>
      </c>
      <c r="K2412" t="s">
        <v>32</v>
      </c>
      <c r="L2412" t="s">
        <v>48</v>
      </c>
      <c r="M2412">
        <v>2</v>
      </c>
      <c r="N2412" t="s">
        <v>33</v>
      </c>
      <c r="O2412" t="s">
        <v>25</v>
      </c>
      <c r="P2412" t="s">
        <v>49</v>
      </c>
    </row>
    <row r="2413" spans="1:16" x14ac:dyDescent="0.25">
      <c r="A2413" t="s">
        <v>5537</v>
      </c>
      <c r="B2413" s="6">
        <v>45572</v>
      </c>
      <c r="C2413">
        <v>3310</v>
      </c>
      <c r="D2413" t="s">
        <v>5538</v>
      </c>
      <c r="E2413" t="s">
        <v>38</v>
      </c>
      <c r="F2413" t="s">
        <v>39</v>
      </c>
      <c r="G2413">
        <v>12315.97</v>
      </c>
      <c r="H2413">
        <v>6680.41</v>
      </c>
      <c r="I2413" t="s">
        <v>63</v>
      </c>
      <c r="J2413" t="s">
        <v>54</v>
      </c>
      <c r="K2413" t="s">
        <v>80</v>
      </c>
      <c r="L2413" t="s">
        <v>64</v>
      </c>
      <c r="M2413">
        <v>5</v>
      </c>
      <c r="N2413" t="s">
        <v>24</v>
      </c>
      <c r="O2413" t="s">
        <v>70</v>
      </c>
      <c r="P2413" t="s">
        <v>34</v>
      </c>
    </row>
    <row r="2414" spans="1:16" x14ac:dyDescent="0.25">
      <c r="A2414" t="s">
        <v>5539</v>
      </c>
      <c r="B2414" s="6">
        <v>45623</v>
      </c>
      <c r="C2414">
        <v>5684</v>
      </c>
      <c r="D2414" t="s">
        <v>5540</v>
      </c>
      <c r="E2414" t="s">
        <v>18</v>
      </c>
      <c r="F2414" t="s">
        <v>58</v>
      </c>
      <c r="G2414">
        <v>22869.74</v>
      </c>
      <c r="H2414">
        <v>11524.91</v>
      </c>
      <c r="I2414" t="s">
        <v>120</v>
      </c>
      <c r="J2414" t="s">
        <v>21</v>
      </c>
      <c r="K2414" t="s">
        <v>42</v>
      </c>
      <c r="L2414" t="s">
        <v>64</v>
      </c>
      <c r="M2414">
        <v>1</v>
      </c>
      <c r="N2414" t="s">
        <v>24</v>
      </c>
      <c r="O2414" t="s">
        <v>25</v>
      </c>
      <c r="P2414" t="s">
        <v>34</v>
      </c>
    </row>
    <row r="2415" spans="1:16" x14ac:dyDescent="0.25">
      <c r="A2415" t="s">
        <v>5541</v>
      </c>
      <c r="B2415" s="6">
        <v>45326</v>
      </c>
      <c r="C2415">
        <v>7032</v>
      </c>
      <c r="D2415" t="s">
        <v>5542</v>
      </c>
      <c r="E2415" t="s">
        <v>18</v>
      </c>
      <c r="F2415" t="s">
        <v>47</v>
      </c>
      <c r="G2415">
        <v>13477.86</v>
      </c>
      <c r="H2415">
        <v>8562.77</v>
      </c>
      <c r="I2415" t="s">
        <v>84</v>
      </c>
      <c r="J2415" t="s">
        <v>54</v>
      </c>
      <c r="K2415" t="s">
        <v>42</v>
      </c>
      <c r="L2415" t="s">
        <v>48</v>
      </c>
      <c r="M2415">
        <v>5</v>
      </c>
      <c r="N2415" t="s">
        <v>24</v>
      </c>
      <c r="O2415" t="s">
        <v>25</v>
      </c>
      <c r="P2415" t="s">
        <v>34</v>
      </c>
    </row>
    <row r="2416" spans="1:16" x14ac:dyDescent="0.25">
      <c r="A2416" t="s">
        <v>5543</v>
      </c>
      <c r="B2416" s="6">
        <v>44812</v>
      </c>
      <c r="C2416">
        <v>9254</v>
      </c>
      <c r="D2416" t="s">
        <v>5544</v>
      </c>
      <c r="E2416" t="s">
        <v>18</v>
      </c>
      <c r="F2416" t="s">
        <v>30</v>
      </c>
      <c r="G2416">
        <v>41468.58</v>
      </c>
      <c r="H2416">
        <v>18899.009999999998</v>
      </c>
      <c r="I2416" t="s">
        <v>40</v>
      </c>
      <c r="J2416" t="s">
        <v>41</v>
      </c>
      <c r="K2416" t="s">
        <v>42</v>
      </c>
      <c r="L2416" t="s">
        <v>64</v>
      </c>
      <c r="M2416">
        <v>4</v>
      </c>
      <c r="N2416" t="s">
        <v>24</v>
      </c>
      <c r="O2416" t="s">
        <v>70</v>
      </c>
      <c r="P2416" t="s">
        <v>49</v>
      </c>
    </row>
    <row r="2417" spans="1:16" x14ac:dyDescent="0.25">
      <c r="A2417" t="s">
        <v>5545</v>
      </c>
      <c r="B2417" s="6">
        <v>44802</v>
      </c>
      <c r="C2417">
        <v>2633</v>
      </c>
      <c r="D2417" t="s">
        <v>1956</v>
      </c>
      <c r="E2417" t="s">
        <v>18</v>
      </c>
      <c r="F2417" t="s">
        <v>39</v>
      </c>
      <c r="G2417">
        <v>19176.07</v>
      </c>
      <c r="H2417">
        <v>9466.91</v>
      </c>
      <c r="I2417" t="s">
        <v>20</v>
      </c>
      <c r="J2417" t="s">
        <v>21</v>
      </c>
      <c r="K2417" t="s">
        <v>42</v>
      </c>
      <c r="L2417" t="s">
        <v>48</v>
      </c>
      <c r="M2417">
        <v>5</v>
      </c>
      <c r="N2417" t="s">
        <v>33</v>
      </c>
      <c r="O2417" t="s">
        <v>25</v>
      </c>
      <c r="P2417" t="s">
        <v>34</v>
      </c>
    </row>
    <row r="2418" spans="1:16" x14ac:dyDescent="0.25">
      <c r="A2418" t="s">
        <v>5546</v>
      </c>
      <c r="B2418" s="6">
        <v>45466</v>
      </c>
      <c r="C2418">
        <v>1416</v>
      </c>
      <c r="D2418" t="s">
        <v>5548</v>
      </c>
      <c r="E2418" t="s">
        <v>18</v>
      </c>
      <c r="F2418" t="s">
        <v>30</v>
      </c>
      <c r="G2418">
        <v>47572.45</v>
      </c>
      <c r="H2418">
        <v>28709.96</v>
      </c>
      <c r="I2418" t="s">
        <v>68</v>
      </c>
      <c r="J2418" t="s">
        <v>41</v>
      </c>
      <c r="K2418" t="s">
        <v>80</v>
      </c>
      <c r="L2418" t="s">
        <v>43</v>
      </c>
      <c r="M2418">
        <v>4</v>
      </c>
      <c r="N2418" t="s">
        <v>33</v>
      </c>
      <c r="O2418" t="s">
        <v>25</v>
      </c>
      <c r="P2418" t="s">
        <v>49</v>
      </c>
    </row>
    <row r="2419" spans="1:16" x14ac:dyDescent="0.25">
      <c r="A2419" t="s">
        <v>5549</v>
      </c>
      <c r="B2419" s="6">
        <v>45128</v>
      </c>
      <c r="C2419">
        <v>8965</v>
      </c>
      <c r="D2419" t="s">
        <v>5550</v>
      </c>
      <c r="E2419" t="s">
        <v>38</v>
      </c>
      <c r="F2419" t="s">
        <v>39</v>
      </c>
      <c r="G2419">
        <v>48153.16</v>
      </c>
      <c r="H2419">
        <v>29346.45</v>
      </c>
      <c r="I2419" t="s">
        <v>53</v>
      </c>
      <c r="J2419" t="s">
        <v>54</v>
      </c>
      <c r="K2419" t="s">
        <v>22</v>
      </c>
      <c r="L2419" t="s">
        <v>55</v>
      </c>
      <c r="M2419">
        <v>1</v>
      </c>
      <c r="N2419" t="s">
        <v>24</v>
      </c>
      <c r="O2419" t="s">
        <v>25</v>
      </c>
      <c r="P2419" t="s">
        <v>26</v>
      </c>
    </row>
    <row r="2420" spans="1:16" x14ac:dyDescent="0.25">
      <c r="A2420" t="s">
        <v>5551</v>
      </c>
      <c r="B2420" s="6">
        <v>44980</v>
      </c>
      <c r="C2420">
        <v>1382</v>
      </c>
      <c r="D2420" t="s">
        <v>5552</v>
      </c>
      <c r="E2420" t="s">
        <v>18</v>
      </c>
      <c r="F2420" t="s">
        <v>39</v>
      </c>
      <c r="G2420">
        <v>40482.269999999997</v>
      </c>
      <c r="H2420">
        <v>21012.18</v>
      </c>
      <c r="I2420" t="s">
        <v>120</v>
      </c>
      <c r="J2420" t="s">
        <v>21</v>
      </c>
      <c r="K2420" t="s">
        <v>42</v>
      </c>
      <c r="L2420" t="s">
        <v>55</v>
      </c>
      <c r="M2420">
        <v>5</v>
      </c>
      <c r="N2420" t="s">
        <v>33</v>
      </c>
      <c r="O2420" t="s">
        <v>70</v>
      </c>
      <c r="P2420" t="s">
        <v>49</v>
      </c>
    </row>
    <row r="2421" spans="1:16" x14ac:dyDescent="0.25">
      <c r="A2421" t="s">
        <v>5553</v>
      </c>
      <c r="B2421" s="6">
        <v>44703</v>
      </c>
      <c r="C2421">
        <v>5000</v>
      </c>
      <c r="D2421" t="s">
        <v>5555</v>
      </c>
      <c r="E2421" t="s">
        <v>38</v>
      </c>
      <c r="F2421" t="s">
        <v>39</v>
      </c>
      <c r="G2421">
        <v>39006.15</v>
      </c>
      <c r="H2421">
        <v>23511.23</v>
      </c>
      <c r="I2421" t="s">
        <v>53</v>
      </c>
      <c r="J2421" t="s">
        <v>54</v>
      </c>
      <c r="K2421" t="s">
        <v>42</v>
      </c>
      <c r="L2421" t="s">
        <v>55</v>
      </c>
      <c r="M2421">
        <v>4</v>
      </c>
      <c r="N2421" t="s">
        <v>24</v>
      </c>
      <c r="O2421" t="s">
        <v>25</v>
      </c>
      <c r="P2421" t="s">
        <v>49</v>
      </c>
    </row>
    <row r="2422" spans="1:16" x14ac:dyDescent="0.25">
      <c r="A2422" t="s">
        <v>5556</v>
      </c>
      <c r="B2422" s="6">
        <v>44326</v>
      </c>
      <c r="C2422">
        <v>6777</v>
      </c>
      <c r="D2422" t="s">
        <v>3918</v>
      </c>
      <c r="E2422" t="s">
        <v>18</v>
      </c>
      <c r="F2422" t="s">
        <v>30</v>
      </c>
      <c r="G2422">
        <v>23019.38</v>
      </c>
      <c r="H2422">
        <v>11143.51</v>
      </c>
      <c r="I2422" t="s">
        <v>59</v>
      </c>
      <c r="J2422" t="s">
        <v>41</v>
      </c>
      <c r="K2422" t="s">
        <v>42</v>
      </c>
      <c r="L2422" t="s">
        <v>48</v>
      </c>
      <c r="M2422">
        <v>5</v>
      </c>
      <c r="N2422" t="s">
        <v>69</v>
      </c>
      <c r="O2422" t="s">
        <v>25</v>
      </c>
      <c r="P2422" t="s">
        <v>49</v>
      </c>
    </row>
    <row r="2423" spans="1:16" x14ac:dyDescent="0.25">
      <c r="A2423" t="s">
        <v>5557</v>
      </c>
      <c r="B2423" s="6">
        <v>45093</v>
      </c>
      <c r="C2423">
        <v>3585</v>
      </c>
      <c r="D2423" t="s">
        <v>5558</v>
      </c>
      <c r="E2423" t="s">
        <v>38</v>
      </c>
      <c r="F2423" t="s">
        <v>58</v>
      </c>
      <c r="G2423">
        <v>25696.1</v>
      </c>
      <c r="H2423">
        <v>14824.27</v>
      </c>
      <c r="I2423" t="s">
        <v>68</v>
      </c>
      <c r="J2423" t="s">
        <v>41</v>
      </c>
      <c r="K2423" t="s">
        <v>32</v>
      </c>
      <c r="L2423" t="s">
        <v>43</v>
      </c>
      <c r="M2423">
        <v>3</v>
      </c>
      <c r="N2423" t="s">
        <v>24</v>
      </c>
      <c r="O2423" t="s">
        <v>70</v>
      </c>
      <c r="P2423" t="s">
        <v>34</v>
      </c>
    </row>
    <row r="2424" spans="1:16" x14ac:dyDescent="0.25">
      <c r="A2424" t="s">
        <v>5559</v>
      </c>
      <c r="B2424" s="6">
        <v>45181</v>
      </c>
      <c r="C2424">
        <v>1864</v>
      </c>
      <c r="D2424" t="s">
        <v>5560</v>
      </c>
      <c r="E2424" t="s">
        <v>18</v>
      </c>
      <c r="F2424" t="s">
        <v>58</v>
      </c>
      <c r="G2424">
        <v>14114.86</v>
      </c>
      <c r="H2424">
        <v>6984.23</v>
      </c>
      <c r="I2424" t="s">
        <v>63</v>
      </c>
      <c r="J2424" t="s">
        <v>54</v>
      </c>
      <c r="K2424" t="s">
        <v>42</v>
      </c>
      <c r="L2424" t="s">
        <v>88</v>
      </c>
      <c r="M2424">
        <v>1</v>
      </c>
      <c r="N2424" t="s">
        <v>33</v>
      </c>
      <c r="O2424" t="s">
        <v>25</v>
      </c>
      <c r="P2424" t="s">
        <v>34</v>
      </c>
    </row>
    <row r="2425" spans="1:16" x14ac:dyDescent="0.25">
      <c r="A2425" t="s">
        <v>5561</v>
      </c>
      <c r="B2425" s="6">
        <v>43896</v>
      </c>
      <c r="C2425">
        <v>3351</v>
      </c>
      <c r="D2425" t="s">
        <v>5562</v>
      </c>
      <c r="E2425" t="s">
        <v>38</v>
      </c>
      <c r="F2425" t="s">
        <v>30</v>
      </c>
      <c r="G2425">
        <v>39891.699999999997</v>
      </c>
      <c r="H2425">
        <v>20503.37</v>
      </c>
      <c r="I2425" t="s">
        <v>120</v>
      </c>
      <c r="J2425" t="s">
        <v>21</v>
      </c>
      <c r="K2425" t="s">
        <v>42</v>
      </c>
      <c r="L2425" t="s">
        <v>23</v>
      </c>
      <c r="M2425">
        <v>5</v>
      </c>
      <c r="N2425" t="s">
        <v>33</v>
      </c>
      <c r="O2425" t="s">
        <v>70</v>
      </c>
      <c r="P2425" t="s">
        <v>26</v>
      </c>
    </row>
    <row r="2426" spans="1:16" x14ac:dyDescent="0.25">
      <c r="A2426" t="s">
        <v>5563</v>
      </c>
      <c r="B2426" s="6">
        <v>44688</v>
      </c>
      <c r="C2426">
        <v>3638</v>
      </c>
      <c r="D2426" t="s">
        <v>5565</v>
      </c>
      <c r="E2426" t="s">
        <v>38</v>
      </c>
      <c r="F2426" t="s">
        <v>47</v>
      </c>
      <c r="G2426">
        <v>7715.38</v>
      </c>
      <c r="H2426">
        <v>3953.81</v>
      </c>
      <c r="I2426" t="s">
        <v>31</v>
      </c>
      <c r="J2426" t="s">
        <v>21</v>
      </c>
      <c r="K2426" t="s">
        <v>80</v>
      </c>
      <c r="L2426" t="s">
        <v>48</v>
      </c>
      <c r="M2426">
        <v>2</v>
      </c>
      <c r="N2426" t="s">
        <v>33</v>
      </c>
      <c r="O2426" t="s">
        <v>25</v>
      </c>
      <c r="P2426" t="s">
        <v>34</v>
      </c>
    </row>
    <row r="2427" spans="1:16" x14ac:dyDescent="0.25">
      <c r="A2427" t="s">
        <v>5566</v>
      </c>
      <c r="B2427" s="6">
        <v>44405</v>
      </c>
      <c r="C2427">
        <v>2129</v>
      </c>
      <c r="D2427" t="s">
        <v>5567</v>
      </c>
      <c r="E2427" t="s">
        <v>38</v>
      </c>
      <c r="F2427" t="s">
        <v>19</v>
      </c>
      <c r="G2427">
        <v>11343.28</v>
      </c>
      <c r="H2427">
        <v>5532.92</v>
      </c>
      <c r="I2427" t="s">
        <v>53</v>
      </c>
      <c r="J2427" t="s">
        <v>54</v>
      </c>
      <c r="K2427" t="s">
        <v>32</v>
      </c>
      <c r="L2427" t="s">
        <v>43</v>
      </c>
      <c r="M2427">
        <v>2</v>
      </c>
      <c r="N2427" t="s">
        <v>24</v>
      </c>
      <c r="O2427" t="s">
        <v>70</v>
      </c>
      <c r="P2427" t="s">
        <v>49</v>
      </c>
    </row>
    <row r="2428" spans="1:16" x14ac:dyDescent="0.25">
      <c r="A2428" t="s">
        <v>5568</v>
      </c>
      <c r="B2428" s="6">
        <v>44948</v>
      </c>
      <c r="C2428">
        <v>2677</v>
      </c>
      <c r="D2428" t="s">
        <v>3113</v>
      </c>
      <c r="E2428" t="s">
        <v>18</v>
      </c>
      <c r="F2428" t="s">
        <v>19</v>
      </c>
      <c r="G2428">
        <v>9033.7999999999993</v>
      </c>
      <c r="H2428">
        <v>5518.66</v>
      </c>
      <c r="I2428" t="s">
        <v>68</v>
      </c>
      <c r="J2428" t="s">
        <v>41</v>
      </c>
      <c r="K2428" t="s">
        <v>80</v>
      </c>
      <c r="L2428" t="s">
        <v>55</v>
      </c>
      <c r="M2428">
        <v>2</v>
      </c>
      <c r="N2428" t="s">
        <v>33</v>
      </c>
      <c r="O2428" t="s">
        <v>70</v>
      </c>
      <c r="P2428" t="s">
        <v>49</v>
      </c>
    </row>
    <row r="2429" spans="1:16" x14ac:dyDescent="0.25">
      <c r="A2429" t="s">
        <v>5569</v>
      </c>
      <c r="B2429" s="6">
        <v>44606</v>
      </c>
      <c r="C2429">
        <v>5937</v>
      </c>
      <c r="D2429" t="s">
        <v>5486</v>
      </c>
      <c r="E2429" t="s">
        <v>18</v>
      </c>
      <c r="F2429" t="s">
        <v>47</v>
      </c>
      <c r="G2429">
        <v>9294.59</v>
      </c>
      <c r="H2429">
        <v>5677.77</v>
      </c>
      <c r="I2429" t="s">
        <v>84</v>
      </c>
      <c r="J2429" t="s">
        <v>54</v>
      </c>
      <c r="K2429" t="s">
        <v>80</v>
      </c>
      <c r="L2429" t="s">
        <v>55</v>
      </c>
      <c r="M2429">
        <v>2</v>
      </c>
      <c r="N2429" t="s">
        <v>24</v>
      </c>
      <c r="O2429" t="s">
        <v>70</v>
      </c>
      <c r="P2429" t="s">
        <v>26</v>
      </c>
    </row>
    <row r="2430" spans="1:16" x14ac:dyDescent="0.25">
      <c r="A2430" t="s">
        <v>5570</v>
      </c>
      <c r="B2430" s="6">
        <v>45008</v>
      </c>
      <c r="C2430">
        <v>2094</v>
      </c>
      <c r="D2430" t="s">
        <v>5571</v>
      </c>
      <c r="E2430" t="s">
        <v>18</v>
      </c>
      <c r="F2430" t="s">
        <v>47</v>
      </c>
      <c r="G2430">
        <v>13461.07</v>
      </c>
      <c r="H2430">
        <v>8560.7000000000007</v>
      </c>
      <c r="I2430" t="s">
        <v>53</v>
      </c>
      <c r="J2430" t="s">
        <v>54</v>
      </c>
      <c r="K2430" t="s">
        <v>80</v>
      </c>
      <c r="L2430" t="s">
        <v>48</v>
      </c>
      <c r="M2430">
        <v>4</v>
      </c>
      <c r="N2430" t="s">
        <v>24</v>
      </c>
      <c r="O2430" t="s">
        <v>25</v>
      </c>
      <c r="P2430" t="s">
        <v>34</v>
      </c>
    </row>
    <row r="2431" spans="1:16" x14ac:dyDescent="0.25">
      <c r="A2431" t="s">
        <v>5572</v>
      </c>
      <c r="B2431" s="6">
        <v>45485</v>
      </c>
      <c r="C2431">
        <v>6850</v>
      </c>
      <c r="D2431" t="s">
        <v>5573</v>
      </c>
      <c r="E2431" t="s">
        <v>38</v>
      </c>
      <c r="F2431" t="s">
        <v>39</v>
      </c>
      <c r="G2431">
        <v>21075.3</v>
      </c>
      <c r="H2431">
        <v>12086.6</v>
      </c>
      <c r="I2431" t="s">
        <v>120</v>
      </c>
      <c r="J2431" t="s">
        <v>21</v>
      </c>
      <c r="K2431" t="s">
        <v>22</v>
      </c>
      <c r="L2431" t="s">
        <v>23</v>
      </c>
      <c r="M2431">
        <v>3</v>
      </c>
      <c r="N2431" t="s">
        <v>69</v>
      </c>
      <c r="O2431" t="s">
        <v>25</v>
      </c>
      <c r="P2431" t="s">
        <v>49</v>
      </c>
    </row>
    <row r="2432" spans="1:16" x14ac:dyDescent="0.25">
      <c r="A2432" t="s">
        <v>5574</v>
      </c>
      <c r="B2432" s="6">
        <v>44618</v>
      </c>
      <c r="C2432">
        <v>1827</v>
      </c>
      <c r="D2432" t="s">
        <v>1601</v>
      </c>
      <c r="E2432" t="s">
        <v>18</v>
      </c>
      <c r="F2432" t="s">
        <v>39</v>
      </c>
      <c r="G2432">
        <v>23520.02</v>
      </c>
      <c r="H2432">
        <v>11545.13</v>
      </c>
      <c r="I2432" t="s">
        <v>84</v>
      </c>
      <c r="J2432" t="s">
        <v>54</v>
      </c>
      <c r="K2432" t="s">
        <v>42</v>
      </c>
      <c r="L2432" t="s">
        <v>88</v>
      </c>
      <c r="M2432">
        <v>2</v>
      </c>
      <c r="N2432" t="s">
        <v>33</v>
      </c>
      <c r="O2432" t="s">
        <v>25</v>
      </c>
      <c r="P2432" t="s">
        <v>49</v>
      </c>
    </row>
    <row r="2433" spans="1:16" x14ac:dyDescent="0.25">
      <c r="A2433" t="s">
        <v>5575</v>
      </c>
      <c r="B2433" s="6">
        <v>44531</v>
      </c>
      <c r="C2433">
        <v>4371</v>
      </c>
      <c r="D2433" t="s">
        <v>5577</v>
      </c>
      <c r="E2433" t="s">
        <v>38</v>
      </c>
      <c r="F2433" t="s">
        <v>58</v>
      </c>
      <c r="G2433">
        <v>28145.59</v>
      </c>
      <c r="H2433">
        <v>18201.18</v>
      </c>
      <c r="I2433" t="s">
        <v>20</v>
      </c>
      <c r="J2433" t="s">
        <v>21</v>
      </c>
      <c r="K2433" t="s">
        <v>42</v>
      </c>
      <c r="L2433" t="s">
        <v>48</v>
      </c>
      <c r="M2433">
        <v>5</v>
      </c>
      <c r="N2433" t="s">
        <v>33</v>
      </c>
      <c r="O2433" t="s">
        <v>70</v>
      </c>
      <c r="P2433" t="s">
        <v>26</v>
      </c>
    </row>
    <row r="2434" spans="1:16" x14ac:dyDescent="0.25">
      <c r="A2434" t="s">
        <v>5578</v>
      </c>
      <c r="B2434" s="6">
        <v>43901</v>
      </c>
      <c r="C2434">
        <v>1232</v>
      </c>
      <c r="D2434" t="s">
        <v>5579</v>
      </c>
      <c r="E2434" t="s">
        <v>38</v>
      </c>
      <c r="F2434" t="s">
        <v>39</v>
      </c>
      <c r="G2434">
        <v>16140.41</v>
      </c>
      <c r="H2434">
        <v>9578.69</v>
      </c>
      <c r="I2434" t="s">
        <v>20</v>
      </c>
      <c r="J2434" t="s">
        <v>21</v>
      </c>
      <c r="K2434" t="s">
        <v>42</v>
      </c>
      <c r="L2434" t="s">
        <v>48</v>
      </c>
      <c r="M2434">
        <v>1</v>
      </c>
      <c r="N2434" t="s">
        <v>24</v>
      </c>
      <c r="O2434" t="s">
        <v>25</v>
      </c>
      <c r="P2434" t="s">
        <v>49</v>
      </c>
    </row>
    <row r="2435" spans="1:16" x14ac:dyDescent="0.25">
      <c r="A2435" t="s">
        <v>5580</v>
      </c>
      <c r="B2435" s="6">
        <v>45507</v>
      </c>
      <c r="C2435">
        <v>5008</v>
      </c>
      <c r="D2435" t="s">
        <v>5581</v>
      </c>
      <c r="E2435" t="s">
        <v>38</v>
      </c>
      <c r="F2435" t="s">
        <v>58</v>
      </c>
      <c r="G2435">
        <v>40566.74</v>
      </c>
      <c r="H2435">
        <v>21931.73</v>
      </c>
      <c r="I2435" t="s">
        <v>20</v>
      </c>
      <c r="J2435" t="s">
        <v>21</v>
      </c>
      <c r="K2435" t="s">
        <v>80</v>
      </c>
      <c r="L2435" t="s">
        <v>23</v>
      </c>
      <c r="M2435">
        <v>1</v>
      </c>
      <c r="N2435" t="s">
        <v>33</v>
      </c>
      <c r="O2435" t="s">
        <v>25</v>
      </c>
      <c r="P2435" t="s">
        <v>34</v>
      </c>
    </row>
    <row r="2436" spans="1:16" x14ac:dyDescent="0.25">
      <c r="A2436" t="s">
        <v>5582</v>
      </c>
      <c r="B2436" s="6">
        <v>44903</v>
      </c>
      <c r="C2436">
        <v>3583</v>
      </c>
      <c r="D2436" t="s">
        <v>5583</v>
      </c>
      <c r="E2436" t="s">
        <v>18</v>
      </c>
      <c r="F2436" t="s">
        <v>47</v>
      </c>
      <c r="G2436">
        <v>11756.59</v>
      </c>
      <c r="H2436">
        <v>7112.7</v>
      </c>
      <c r="I2436" t="s">
        <v>120</v>
      </c>
      <c r="J2436" t="s">
        <v>21</v>
      </c>
      <c r="K2436" t="s">
        <v>42</v>
      </c>
      <c r="L2436" t="s">
        <v>43</v>
      </c>
      <c r="M2436">
        <v>5</v>
      </c>
      <c r="N2436" t="s">
        <v>33</v>
      </c>
      <c r="O2436" t="s">
        <v>25</v>
      </c>
      <c r="P2436" t="s">
        <v>26</v>
      </c>
    </row>
    <row r="2437" spans="1:16" x14ac:dyDescent="0.25">
      <c r="A2437" t="s">
        <v>5584</v>
      </c>
      <c r="B2437" s="6">
        <v>44848</v>
      </c>
      <c r="C2437">
        <v>2386</v>
      </c>
      <c r="D2437" t="s">
        <v>4529</v>
      </c>
      <c r="E2437" t="s">
        <v>38</v>
      </c>
      <c r="F2437" t="s">
        <v>58</v>
      </c>
      <c r="G2437">
        <v>46458.720000000001</v>
      </c>
      <c r="H2437">
        <v>24235.07</v>
      </c>
      <c r="I2437" t="s">
        <v>84</v>
      </c>
      <c r="J2437" t="s">
        <v>54</v>
      </c>
      <c r="K2437" t="s">
        <v>22</v>
      </c>
      <c r="L2437" t="s">
        <v>64</v>
      </c>
      <c r="M2437">
        <v>3</v>
      </c>
      <c r="N2437" t="s">
        <v>24</v>
      </c>
      <c r="O2437" t="s">
        <v>25</v>
      </c>
      <c r="P2437" t="s">
        <v>49</v>
      </c>
    </row>
    <row r="2438" spans="1:16" x14ac:dyDescent="0.25">
      <c r="A2438" t="s">
        <v>5585</v>
      </c>
      <c r="B2438" s="6">
        <v>45628</v>
      </c>
      <c r="C2438">
        <v>5891</v>
      </c>
      <c r="D2438" t="s">
        <v>4796</v>
      </c>
      <c r="E2438" t="s">
        <v>38</v>
      </c>
      <c r="F2438" t="s">
        <v>39</v>
      </c>
      <c r="G2438">
        <v>19121.13</v>
      </c>
      <c r="H2438">
        <v>9833.73</v>
      </c>
      <c r="I2438" t="s">
        <v>120</v>
      </c>
      <c r="J2438" t="s">
        <v>21</v>
      </c>
      <c r="K2438" t="s">
        <v>32</v>
      </c>
      <c r="L2438" t="s">
        <v>43</v>
      </c>
      <c r="M2438">
        <v>1</v>
      </c>
      <c r="N2438" t="s">
        <v>33</v>
      </c>
      <c r="O2438" t="s">
        <v>25</v>
      </c>
      <c r="P2438" t="s">
        <v>34</v>
      </c>
    </row>
    <row r="2439" spans="1:16" x14ac:dyDescent="0.25">
      <c r="A2439" t="s">
        <v>5586</v>
      </c>
      <c r="B2439" s="6">
        <v>45561</v>
      </c>
      <c r="C2439">
        <v>9118</v>
      </c>
      <c r="D2439" t="s">
        <v>3189</v>
      </c>
      <c r="E2439" t="s">
        <v>38</v>
      </c>
      <c r="F2439" t="s">
        <v>47</v>
      </c>
      <c r="G2439">
        <v>9941.8799999999992</v>
      </c>
      <c r="H2439">
        <v>5455.53</v>
      </c>
      <c r="I2439" t="s">
        <v>63</v>
      </c>
      <c r="J2439" t="s">
        <v>54</v>
      </c>
      <c r="K2439" t="s">
        <v>22</v>
      </c>
      <c r="L2439" t="s">
        <v>55</v>
      </c>
      <c r="M2439">
        <v>5</v>
      </c>
      <c r="N2439" t="s">
        <v>24</v>
      </c>
      <c r="O2439" t="s">
        <v>70</v>
      </c>
      <c r="P2439" t="s">
        <v>49</v>
      </c>
    </row>
    <row r="2440" spans="1:16" x14ac:dyDescent="0.25">
      <c r="A2440" t="s">
        <v>5587</v>
      </c>
      <c r="B2440" s="6">
        <v>45119</v>
      </c>
      <c r="C2440">
        <v>1712</v>
      </c>
      <c r="D2440" t="s">
        <v>2825</v>
      </c>
      <c r="E2440" t="s">
        <v>18</v>
      </c>
      <c r="F2440" t="s">
        <v>58</v>
      </c>
      <c r="G2440">
        <v>27220.74</v>
      </c>
      <c r="H2440">
        <v>13029.22</v>
      </c>
      <c r="I2440" t="s">
        <v>20</v>
      </c>
      <c r="J2440" t="s">
        <v>21</v>
      </c>
      <c r="K2440" t="s">
        <v>42</v>
      </c>
      <c r="L2440" t="s">
        <v>55</v>
      </c>
      <c r="M2440">
        <v>2</v>
      </c>
      <c r="N2440" t="s">
        <v>69</v>
      </c>
      <c r="O2440" t="s">
        <v>70</v>
      </c>
      <c r="P2440" t="s">
        <v>26</v>
      </c>
    </row>
    <row r="2441" spans="1:16" x14ac:dyDescent="0.25">
      <c r="A2441" t="s">
        <v>5588</v>
      </c>
      <c r="B2441" s="6">
        <v>45291</v>
      </c>
      <c r="C2441">
        <v>9114</v>
      </c>
      <c r="D2441" t="s">
        <v>5589</v>
      </c>
      <c r="E2441" t="s">
        <v>18</v>
      </c>
      <c r="F2441" t="s">
        <v>19</v>
      </c>
      <c r="G2441">
        <v>8524.74</v>
      </c>
      <c r="H2441">
        <v>5286.39</v>
      </c>
      <c r="I2441" t="s">
        <v>120</v>
      </c>
      <c r="J2441" t="s">
        <v>21</v>
      </c>
      <c r="K2441" t="s">
        <v>22</v>
      </c>
      <c r="L2441" t="s">
        <v>48</v>
      </c>
      <c r="M2441">
        <v>2</v>
      </c>
      <c r="N2441" t="s">
        <v>33</v>
      </c>
      <c r="O2441" t="s">
        <v>25</v>
      </c>
      <c r="P2441" t="s">
        <v>49</v>
      </c>
    </row>
    <row r="2442" spans="1:16" x14ac:dyDescent="0.25">
      <c r="A2442" t="s">
        <v>5590</v>
      </c>
      <c r="B2442" s="6">
        <v>45277</v>
      </c>
      <c r="C2442">
        <v>7313</v>
      </c>
      <c r="D2442" t="s">
        <v>5591</v>
      </c>
      <c r="E2442" t="s">
        <v>38</v>
      </c>
      <c r="F2442" t="s">
        <v>30</v>
      </c>
      <c r="G2442">
        <v>51824.06</v>
      </c>
      <c r="H2442">
        <v>26675.02</v>
      </c>
      <c r="I2442" t="s">
        <v>84</v>
      </c>
      <c r="J2442" t="s">
        <v>54</v>
      </c>
      <c r="K2442" t="s">
        <v>32</v>
      </c>
      <c r="L2442" t="s">
        <v>64</v>
      </c>
      <c r="M2442">
        <v>3</v>
      </c>
      <c r="N2442" t="s">
        <v>33</v>
      </c>
      <c r="O2442" t="s">
        <v>25</v>
      </c>
      <c r="P2442" t="s">
        <v>49</v>
      </c>
    </row>
    <row r="2443" spans="1:16" x14ac:dyDescent="0.25">
      <c r="A2443" t="s">
        <v>5592</v>
      </c>
      <c r="B2443" s="6">
        <v>45579</v>
      </c>
      <c r="C2443">
        <v>9026</v>
      </c>
      <c r="D2443" t="s">
        <v>5593</v>
      </c>
      <c r="E2443" t="s">
        <v>38</v>
      </c>
      <c r="F2443" t="s">
        <v>47</v>
      </c>
      <c r="G2443">
        <v>17506.66</v>
      </c>
      <c r="H2443">
        <v>11237.43</v>
      </c>
      <c r="I2443" t="s">
        <v>31</v>
      </c>
      <c r="J2443" t="s">
        <v>21</v>
      </c>
      <c r="K2443" t="s">
        <v>22</v>
      </c>
      <c r="L2443" t="s">
        <v>64</v>
      </c>
      <c r="M2443">
        <v>4</v>
      </c>
      <c r="N2443" t="s">
        <v>24</v>
      </c>
      <c r="O2443" t="s">
        <v>25</v>
      </c>
      <c r="P2443" t="s">
        <v>34</v>
      </c>
    </row>
    <row r="2444" spans="1:16" x14ac:dyDescent="0.25">
      <c r="A2444" t="s">
        <v>5594</v>
      </c>
      <c r="B2444" s="6">
        <v>44774</v>
      </c>
      <c r="C2444">
        <v>7822</v>
      </c>
      <c r="D2444" t="s">
        <v>132</v>
      </c>
      <c r="E2444" t="s">
        <v>18</v>
      </c>
      <c r="F2444" t="s">
        <v>58</v>
      </c>
      <c r="G2444">
        <v>47766.43</v>
      </c>
      <c r="H2444">
        <v>25455.52</v>
      </c>
      <c r="I2444" t="s">
        <v>53</v>
      </c>
      <c r="J2444" t="s">
        <v>54</v>
      </c>
      <c r="K2444" t="s">
        <v>42</v>
      </c>
      <c r="L2444" t="s">
        <v>55</v>
      </c>
      <c r="M2444">
        <v>5</v>
      </c>
      <c r="N2444" t="s">
        <v>33</v>
      </c>
      <c r="O2444" t="s">
        <v>70</v>
      </c>
      <c r="P2444" t="s">
        <v>26</v>
      </c>
    </row>
    <row r="2445" spans="1:16" x14ac:dyDescent="0.25">
      <c r="A2445" t="s">
        <v>5595</v>
      </c>
      <c r="B2445" s="6">
        <v>44751</v>
      </c>
      <c r="C2445">
        <v>2956</v>
      </c>
      <c r="D2445" t="s">
        <v>5597</v>
      </c>
      <c r="E2445" t="s">
        <v>38</v>
      </c>
      <c r="F2445" t="s">
        <v>19</v>
      </c>
      <c r="G2445">
        <v>6228.27</v>
      </c>
      <c r="H2445">
        <v>3931.92</v>
      </c>
      <c r="I2445" t="s">
        <v>53</v>
      </c>
      <c r="J2445" t="s">
        <v>54</v>
      </c>
      <c r="K2445" t="s">
        <v>32</v>
      </c>
      <c r="L2445" t="s">
        <v>23</v>
      </c>
      <c r="M2445">
        <v>5</v>
      </c>
      <c r="N2445" t="s">
        <v>33</v>
      </c>
      <c r="O2445" t="s">
        <v>70</v>
      </c>
      <c r="P2445" t="s">
        <v>26</v>
      </c>
    </row>
    <row r="2446" spans="1:16" x14ac:dyDescent="0.25">
      <c r="A2446" t="s">
        <v>5598</v>
      </c>
      <c r="B2446" s="6">
        <v>45118</v>
      </c>
      <c r="C2446">
        <v>7620</v>
      </c>
      <c r="D2446" t="s">
        <v>5599</v>
      </c>
      <c r="E2446" t="s">
        <v>18</v>
      </c>
      <c r="F2446" t="s">
        <v>47</v>
      </c>
      <c r="G2446">
        <v>13687.17</v>
      </c>
      <c r="H2446">
        <v>6382.39</v>
      </c>
      <c r="I2446" t="s">
        <v>53</v>
      </c>
      <c r="J2446" t="s">
        <v>54</v>
      </c>
      <c r="K2446" t="s">
        <v>32</v>
      </c>
      <c r="L2446" t="s">
        <v>48</v>
      </c>
      <c r="M2446">
        <v>4</v>
      </c>
      <c r="N2446" t="s">
        <v>69</v>
      </c>
      <c r="O2446" t="s">
        <v>25</v>
      </c>
      <c r="P2446" t="s">
        <v>49</v>
      </c>
    </row>
    <row r="2447" spans="1:16" x14ac:dyDescent="0.25">
      <c r="A2447" t="s">
        <v>5600</v>
      </c>
      <c r="B2447" s="6">
        <v>45125</v>
      </c>
      <c r="C2447">
        <v>8964</v>
      </c>
      <c r="D2447" t="s">
        <v>5601</v>
      </c>
      <c r="E2447" t="s">
        <v>38</v>
      </c>
      <c r="F2447" t="s">
        <v>47</v>
      </c>
      <c r="G2447">
        <v>7822.82</v>
      </c>
      <c r="H2447">
        <v>4413.74</v>
      </c>
      <c r="I2447" t="s">
        <v>40</v>
      </c>
      <c r="J2447" t="s">
        <v>41</v>
      </c>
      <c r="K2447" t="s">
        <v>80</v>
      </c>
      <c r="L2447" t="s">
        <v>48</v>
      </c>
      <c r="M2447">
        <v>2</v>
      </c>
      <c r="N2447" t="s">
        <v>33</v>
      </c>
      <c r="O2447" t="s">
        <v>25</v>
      </c>
      <c r="P2447" t="s">
        <v>26</v>
      </c>
    </row>
    <row r="2448" spans="1:16" x14ac:dyDescent="0.25">
      <c r="A2448" t="s">
        <v>5602</v>
      </c>
      <c r="B2448" s="6">
        <v>44193</v>
      </c>
      <c r="C2448">
        <v>7368</v>
      </c>
      <c r="D2448" t="s">
        <v>5603</v>
      </c>
      <c r="E2448" t="s">
        <v>18</v>
      </c>
      <c r="F2448" t="s">
        <v>30</v>
      </c>
      <c r="G2448">
        <v>22654.31</v>
      </c>
      <c r="H2448">
        <v>11769.12</v>
      </c>
      <c r="I2448" t="s">
        <v>63</v>
      </c>
      <c r="J2448" t="s">
        <v>54</v>
      </c>
      <c r="K2448" t="s">
        <v>22</v>
      </c>
      <c r="L2448" t="s">
        <v>64</v>
      </c>
      <c r="M2448">
        <v>3</v>
      </c>
      <c r="N2448" t="s">
        <v>33</v>
      </c>
      <c r="O2448" t="s">
        <v>25</v>
      </c>
      <c r="P2448" t="s">
        <v>26</v>
      </c>
    </row>
    <row r="2449" spans="1:16" x14ac:dyDescent="0.25">
      <c r="A2449" t="s">
        <v>5604</v>
      </c>
      <c r="B2449" s="6">
        <v>45297</v>
      </c>
      <c r="C2449">
        <v>8993</v>
      </c>
      <c r="D2449" t="s">
        <v>5606</v>
      </c>
      <c r="E2449" t="s">
        <v>38</v>
      </c>
      <c r="F2449" t="s">
        <v>39</v>
      </c>
      <c r="G2449">
        <v>20588.080000000002</v>
      </c>
      <c r="H2449">
        <v>9709.01</v>
      </c>
      <c r="I2449" t="s">
        <v>53</v>
      </c>
      <c r="J2449" t="s">
        <v>54</v>
      </c>
      <c r="K2449" t="s">
        <v>22</v>
      </c>
      <c r="L2449" t="s">
        <v>43</v>
      </c>
      <c r="M2449">
        <v>5</v>
      </c>
      <c r="N2449" t="s">
        <v>69</v>
      </c>
      <c r="O2449" t="s">
        <v>25</v>
      </c>
      <c r="P2449" t="s">
        <v>49</v>
      </c>
    </row>
    <row r="2450" spans="1:16" x14ac:dyDescent="0.25">
      <c r="A2450" t="s">
        <v>5607</v>
      </c>
      <c r="B2450" s="6">
        <v>44760</v>
      </c>
      <c r="C2450">
        <v>7882</v>
      </c>
      <c r="D2450" t="s">
        <v>5608</v>
      </c>
      <c r="E2450" t="s">
        <v>18</v>
      </c>
      <c r="F2450" t="s">
        <v>39</v>
      </c>
      <c r="G2450">
        <v>12734.63</v>
      </c>
      <c r="H2450">
        <v>5761.33</v>
      </c>
      <c r="I2450" t="s">
        <v>31</v>
      </c>
      <c r="J2450" t="s">
        <v>21</v>
      </c>
      <c r="K2450" t="s">
        <v>32</v>
      </c>
      <c r="L2450" t="s">
        <v>88</v>
      </c>
      <c r="M2450">
        <v>4</v>
      </c>
      <c r="N2450" t="s">
        <v>24</v>
      </c>
      <c r="O2450" t="s">
        <v>70</v>
      </c>
      <c r="P2450" t="s">
        <v>34</v>
      </c>
    </row>
    <row r="2451" spans="1:16" x14ac:dyDescent="0.25">
      <c r="A2451" t="s">
        <v>5609</v>
      </c>
      <c r="B2451" s="6">
        <v>45377</v>
      </c>
      <c r="C2451">
        <v>9533</v>
      </c>
      <c r="D2451" t="s">
        <v>1870</v>
      </c>
      <c r="E2451" t="s">
        <v>38</v>
      </c>
      <c r="F2451" t="s">
        <v>39</v>
      </c>
      <c r="G2451">
        <v>41765.99</v>
      </c>
      <c r="H2451">
        <v>18810.29</v>
      </c>
      <c r="I2451" t="s">
        <v>120</v>
      </c>
      <c r="J2451" t="s">
        <v>21</v>
      </c>
      <c r="K2451" t="s">
        <v>42</v>
      </c>
      <c r="L2451" t="s">
        <v>55</v>
      </c>
      <c r="M2451">
        <v>1</v>
      </c>
      <c r="N2451" t="s">
        <v>33</v>
      </c>
      <c r="O2451" t="s">
        <v>70</v>
      </c>
      <c r="P2451" t="s">
        <v>34</v>
      </c>
    </row>
    <row r="2452" spans="1:16" x14ac:dyDescent="0.25">
      <c r="A2452" t="s">
        <v>5610</v>
      </c>
      <c r="B2452" s="6">
        <v>44830</v>
      </c>
      <c r="C2452">
        <v>8282</v>
      </c>
      <c r="D2452" t="s">
        <v>357</v>
      </c>
      <c r="E2452" t="s">
        <v>38</v>
      </c>
      <c r="F2452" t="s">
        <v>19</v>
      </c>
      <c r="G2452">
        <v>19248.8</v>
      </c>
      <c r="H2452">
        <v>12461.51</v>
      </c>
      <c r="I2452" t="s">
        <v>63</v>
      </c>
      <c r="J2452" t="s">
        <v>54</v>
      </c>
      <c r="K2452" t="s">
        <v>32</v>
      </c>
      <c r="L2452" t="s">
        <v>48</v>
      </c>
      <c r="M2452">
        <v>3</v>
      </c>
      <c r="N2452" t="s">
        <v>33</v>
      </c>
      <c r="O2452" t="s">
        <v>70</v>
      </c>
      <c r="P2452" t="s">
        <v>34</v>
      </c>
    </row>
    <row r="2453" spans="1:16" x14ac:dyDescent="0.25">
      <c r="A2453" t="s">
        <v>5612</v>
      </c>
      <c r="B2453" s="6">
        <v>45004</v>
      </c>
      <c r="C2453">
        <v>4978</v>
      </c>
      <c r="D2453" t="s">
        <v>5613</v>
      </c>
      <c r="E2453" t="s">
        <v>18</v>
      </c>
      <c r="F2453" t="s">
        <v>58</v>
      </c>
      <c r="G2453">
        <v>28815.35</v>
      </c>
      <c r="H2453">
        <v>15440.81</v>
      </c>
      <c r="I2453" t="s">
        <v>68</v>
      </c>
      <c r="J2453" t="s">
        <v>41</v>
      </c>
      <c r="K2453" t="s">
        <v>42</v>
      </c>
      <c r="L2453" t="s">
        <v>43</v>
      </c>
      <c r="M2453">
        <v>4</v>
      </c>
      <c r="N2453" t="s">
        <v>69</v>
      </c>
      <c r="O2453" t="s">
        <v>70</v>
      </c>
      <c r="P2453" t="s">
        <v>49</v>
      </c>
    </row>
    <row r="2454" spans="1:16" x14ac:dyDescent="0.25">
      <c r="A2454" t="s">
        <v>5614</v>
      </c>
      <c r="B2454" s="6">
        <v>45655</v>
      </c>
      <c r="C2454">
        <v>2538</v>
      </c>
      <c r="D2454" t="s">
        <v>5616</v>
      </c>
      <c r="E2454" t="s">
        <v>18</v>
      </c>
      <c r="F2454" t="s">
        <v>47</v>
      </c>
      <c r="G2454">
        <v>13172.19</v>
      </c>
      <c r="H2454">
        <v>6134.56</v>
      </c>
      <c r="I2454" t="s">
        <v>84</v>
      </c>
      <c r="J2454" t="s">
        <v>54</v>
      </c>
      <c r="K2454" t="s">
        <v>80</v>
      </c>
      <c r="L2454" t="s">
        <v>43</v>
      </c>
      <c r="M2454">
        <v>1</v>
      </c>
      <c r="N2454" t="s">
        <v>69</v>
      </c>
      <c r="O2454" t="s">
        <v>25</v>
      </c>
      <c r="P2454" t="s">
        <v>34</v>
      </c>
    </row>
    <row r="2455" spans="1:16" x14ac:dyDescent="0.25">
      <c r="A2455" t="s">
        <v>5617</v>
      </c>
      <c r="B2455" s="6">
        <v>45242</v>
      </c>
      <c r="C2455">
        <v>8866</v>
      </c>
      <c r="D2455" t="s">
        <v>5618</v>
      </c>
      <c r="E2455" t="s">
        <v>18</v>
      </c>
      <c r="F2455" t="s">
        <v>39</v>
      </c>
      <c r="G2455">
        <v>32754.16</v>
      </c>
      <c r="H2455">
        <v>18997.7</v>
      </c>
      <c r="I2455" t="s">
        <v>53</v>
      </c>
      <c r="J2455" t="s">
        <v>54</v>
      </c>
      <c r="K2455" t="s">
        <v>32</v>
      </c>
      <c r="L2455" t="s">
        <v>64</v>
      </c>
      <c r="M2455">
        <v>3</v>
      </c>
      <c r="N2455" t="s">
        <v>24</v>
      </c>
      <c r="O2455" t="s">
        <v>25</v>
      </c>
      <c r="P2455" t="s">
        <v>26</v>
      </c>
    </row>
    <row r="2456" spans="1:16" x14ac:dyDescent="0.25">
      <c r="A2456" t="s">
        <v>5619</v>
      </c>
      <c r="B2456" s="6">
        <v>43919</v>
      </c>
      <c r="C2456">
        <v>5556</v>
      </c>
      <c r="D2456" t="s">
        <v>5621</v>
      </c>
      <c r="E2456" t="s">
        <v>18</v>
      </c>
      <c r="F2456" t="s">
        <v>30</v>
      </c>
      <c r="G2456">
        <v>65502.02</v>
      </c>
      <c r="H2456">
        <v>35902.550000000003</v>
      </c>
      <c r="I2456" t="s">
        <v>84</v>
      </c>
      <c r="J2456" t="s">
        <v>54</v>
      </c>
      <c r="K2456" t="s">
        <v>32</v>
      </c>
      <c r="L2456" t="s">
        <v>88</v>
      </c>
      <c r="M2456">
        <v>2</v>
      </c>
      <c r="N2456" t="s">
        <v>24</v>
      </c>
      <c r="O2456" t="s">
        <v>25</v>
      </c>
      <c r="P2456" t="s">
        <v>26</v>
      </c>
    </row>
    <row r="2457" spans="1:16" x14ac:dyDescent="0.25">
      <c r="A2457" t="s">
        <v>5622</v>
      </c>
      <c r="B2457" s="6">
        <v>44549</v>
      </c>
      <c r="C2457">
        <v>6407</v>
      </c>
      <c r="D2457" t="s">
        <v>5623</v>
      </c>
      <c r="E2457" t="s">
        <v>38</v>
      </c>
      <c r="F2457" t="s">
        <v>19</v>
      </c>
      <c r="G2457">
        <v>10249.58</v>
      </c>
      <c r="H2457">
        <v>4813.5</v>
      </c>
      <c r="I2457" t="s">
        <v>53</v>
      </c>
      <c r="J2457" t="s">
        <v>54</v>
      </c>
      <c r="K2457" t="s">
        <v>42</v>
      </c>
      <c r="L2457" t="s">
        <v>55</v>
      </c>
      <c r="M2457">
        <v>2</v>
      </c>
      <c r="N2457" t="s">
        <v>33</v>
      </c>
      <c r="O2457" t="s">
        <v>25</v>
      </c>
      <c r="P2457" t="s">
        <v>34</v>
      </c>
    </row>
    <row r="2458" spans="1:16" x14ac:dyDescent="0.25">
      <c r="A2458" t="s">
        <v>5624</v>
      </c>
      <c r="B2458" s="6">
        <v>44400</v>
      </c>
      <c r="C2458">
        <v>3486</v>
      </c>
      <c r="D2458" t="s">
        <v>5069</v>
      </c>
      <c r="E2458" t="s">
        <v>38</v>
      </c>
      <c r="F2458" t="s">
        <v>19</v>
      </c>
      <c r="G2458">
        <v>13441.58</v>
      </c>
      <c r="H2458">
        <v>7722.42</v>
      </c>
      <c r="I2458" t="s">
        <v>120</v>
      </c>
      <c r="J2458" t="s">
        <v>21</v>
      </c>
      <c r="K2458" t="s">
        <v>22</v>
      </c>
      <c r="L2458" t="s">
        <v>43</v>
      </c>
      <c r="M2458">
        <v>3</v>
      </c>
      <c r="N2458" t="s">
        <v>33</v>
      </c>
      <c r="O2458" t="s">
        <v>70</v>
      </c>
      <c r="P2458" t="s">
        <v>49</v>
      </c>
    </row>
    <row r="2459" spans="1:16" x14ac:dyDescent="0.25">
      <c r="A2459" t="s">
        <v>5625</v>
      </c>
      <c r="B2459" s="6">
        <v>45657</v>
      </c>
      <c r="C2459">
        <v>6374</v>
      </c>
      <c r="D2459" t="s">
        <v>5626</v>
      </c>
      <c r="E2459" t="s">
        <v>18</v>
      </c>
      <c r="F2459" t="s">
        <v>47</v>
      </c>
      <c r="G2459">
        <v>8935.07</v>
      </c>
      <c r="H2459">
        <v>4854.97</v>
      </c>
      <c r="I2459" t="s">
        <v>84</v>
      </c>
      <c r="J2459" t="s">
        <v>54</v>
      </c>
      <c r="K2459" t="s">
        <v>80</v>
      </c>
      <c r="L2459" t="s">
        <v>64</v>
      </c>
      <c r="M2459">
        <v>3</v>
      </c>
      <c r="N2459" t="s">
        <v>24</v>
      </c>
      <c r="O2459" t="s">
        <v>25</v>
      </c>
      <c r="P2459" t="s">
        <v>49</v>
      </c>
    </row>
    <row r="2460" spans="1:16" x14ac:dyDescent="0.25">
      <c r="A2460" t="s">
        <v>5627</v>
      </c>
      <c r="B2460" s="6">
        <v>45362</v>
      </c>
      <c r="C2460">
        <v>3728</v>
      </c>
      <c r="D2460" t="s">
        <v>5628</v>
      </c>
      <c r="E2460" t="s">
        <v>18</v>
      </c>
      <c r="F2460" t="s">
        <v>30</v>
      </c>
      <c r="G2460">
        <v>94993.64</v>
      </c>
      <c r="H2460">
        <v>58040.29</v>
      </c>
      <c r="I2460" t="s">
        <v>53</v>
      </c>
      <c r="J2460" t="s">
        <v>54</v>
      </c>
      <c r="K2460" t="s">
        <v>80</v>
      </c>
      <c r="L2460" t="s">
        <v>55</v>
      </c>
      <c r="M2460">
        <v>5</v>
      </c>
      <c r="N2460" t="s">
        <v>24</v>
      </c>
      <c r="O2460" t="s">
        <v>70</v>
      </c>
      <c r="P2460" t="s">
        <v>49</v>
      </c>
    </row>
    <row r="2461" spans="1:16" x14ac:dyDescent="0.25">
      <c r="A2461" t="s">
        <v>5629</v>
      </c>
      <c r="B2461" s="6">
        <v>45359</v>
      </c>
      <c r="C2461">
        <v>5995</v>
      </c>
      <c r="D2461" t="s">
        <v>5630</v>
      </c>
      <c r="E2461" t="s">
        <v>38</v>
      </c>
      <c r="F2461" t="s">
        <v>47</v>
      </c>
      <c r="G2461">
        <v>9145.33</v>
      </c>
      <c r="H2461">
        <v>4657.72</v>
      </c>
      <c r="I2461" t="s">
        <v>40</v>
      </c>
      <c r="J2461" t="s">
        <v>41</v>
      </c>
      <c r="K2461" t="s">
        <v>42</v>
      </c>
      <c r="L2461" t="s">
        <v>48</v>
      </c>
      <c r="M2461">
        <v>3</v>
      </c>
      <c r="N2461" t="s">
        <v>24</v>
      </c>
      <c r="O2461" t="s">
        <v>70</v>
      </c>
      <c r="P2461" t="s">
        <v>34</v>
      </c>
    </row>
    <row r="2462" spans="1:16" x14ac:dyDescent="0.25">
      <c r="A2462" t="s">
        <v>5631</v>
      </c>
      <c r="B2462" s="6">
        <v>44474</v>
      </c>
      <c r="C2462">
        <v>8158</v>
      </c>
      <c r="D2462" t="s">
        <v>5632</v>
      </c>
      <c r="E2462" t="s">
        <v>38</v>
      </c>
      <c r="F2462" t="s">
        <v>19</v>
      </c>
      <c r="G2462">
        <v>8011.68</v>
      </c>
      <c r="H2462">
        <v>3631.62</v>
      </c>
      <c r="I2462" t="s">
        <v>68</v>
      </c>
      <c r="J2462" t="s">
        <v>41</v>
      </c>
      <c r="K2462" t="s">
        <v>22</v>
      </c>
      <c r="L2462" t="s">
        <v>48</v>
      </c>
      <c r="M2462">
        <v>5</v>
      </c>
      <c r="N2462" t="s">
        <v>69</v>
      </c>
      <c r="O2462" t="s">
        <v>70</v>
      </c>
      <c r="P2462" t="s">
        <v>49</v>
      </c>
    </row>
    <row r="2463" spans="1:16" x14ac:dyDescent="0.25">
      <c r="A2463" t="s">
        <v>5633</v>
      </c>
      <c r="B2463" s="6">
        <v>44999</v>
      </c>
      <c r="C2463">
        <v>6973</v>
      </c>
      <c r="D2463" t="s">
        <v>5634</v>
      </c>
      <c r="E2463" t="s">
        <v>18</v>
      </c>
      <c r="F2463" t="s">
        <v>19</v>
      </c>
      <c r="G2463">
        <v>12506.3</v>
      </c>
      <c r="H2463">
        <v>5666.02</v>
      </c>
      <c r="I2463" t="s">
        <v>53</v>
      </c>
      <c r="J2463" t="s">
        <v>54</v>
      </c>
      <c r="K2463" t="s">
        <v>22</v>
      </c>
      <c r="L2463" t="s">
        <v>43</v>
      </c>
      <c r="M2463">
        <v>3</v>
      </c>
      <c r="N2463" t="s">
        <v>33</v>
      </c>
      <c r="O2463" t="s">
        <v>70</v>
      </c>
      <c r="P2463" t="s">
        <v>26</v>
      </c>
    </row>
    <row r="2464" spans="1:16" x14ac:dyDescent="0.25">
      <c r="A2464" t="s">
        <v>5635</v>
      </c>
      <c r="B2464" s="6">
        <v>44679</v>
      </c>
      <c r="C2464">
        <v>1562</v>
      </c>
      <c r="D2464" t="s">
        <v>5636</v>
      </c>
      <c r="E2464" t="s">
        <v>38</v>
      </c>
      <c r="F2464" t="s">
        <v>30</v>
      </c>
      <c r="G2464">
        <v>61257.94</v>
      </c>
      <c r="H2464">
        <v>39759.42</v>
      </c>
      <c r="I2464" t="s">
        <v>63</v>
      </c>
      <c r="J2464" t="s">
        <v>54</v>
      </c>
      <c r="K2464" t="s">
        <v>80</v>
      </c>
      <c r="L2464" t="s">
        <v>23</v>
      </c>
      <c r="M2464">
        <v>1</v>
      </c>
      <c r="N2464" t="s">
        <v>24</v>
      </c>
      <c r="O2464" t="s">
        <v>25</v>
      </c>
      <c r="P2464" t="s">
        <v>26</v>
      </c>
    </row>
    <row r="2465" spans="1:16" x14ac:dyDescent="0.25">
      <c r="A2465" t="s">
        <v>5637</v>
      </c>
      <c r="B2465" s="6">
        <v>45343</v>
      </c>
      <c r="C2465">
        <v>3587</v>
      </c>
      <c r="D2465" t="s">
        <v>5638</v>
      </c>
      <c r="E2465" t="s">
        <v>18</v>
      </c>
      <c r="F2465" t="s">
        <v>58</v>
      </c>
      <c r="G2465">
        <v>33805.33</v>
      </c>
      <c r="H2465">
        <v>19119.21</v>
      </c>
      <c r="I2465" t="s">
        <v>40</v>
      </c>
      <c r="J2465" t="s">
        <v>41</v>
      </c>
      <c r="K2465" t="s">
        <v>80</v>
      </c>
      <c r="L2465" t="s">
        <v>64</v>
      </c>
      <c r="M2465">
        <v>4</v>
      </c>
      <c r="N2465" t="s">
        <v>33</v>
      </c>
      <c r="O2465" t="s">
        <v>25</v>
      </c>
      <c r="P2465" t="s">
        <v>26</v>
      </c>
    </row>
    <row r="2466" spans="1:16" x14ac:dyDescent="0.25">
      <c r="A2466" t="s">
        <v>5639</v>
      </c>
      <c r="B2466" s="6">
        <v>44325</v>
      </c>
      <c r="C2466">
        <v>4666</v>
      </c>
      <c r="D2466" t="s">
        <v>5640</v>
      </c>
      <c r="E2466" t="s">
        <v>38</v>
      </c>
      <c r="F2466" t="s">
        <v>19</v>
      </c>
      <c r="G2466">
        <v>5573.76</v>
      </c>
      <c r="H2466">
        <v>3046.63</v>
      </c>
      <c r="I2466" t="s">
        <v>68</v>
      </c>
      <c r="J2466" t="s">
        <v>41</v>
      </c>
      <c r="K2466" t="s">
        <v>80</v>
      </c>
      <c r="L2466" t="s">
        <v>48</v>
      </c>
      <c r="M2466">
        <v>1</v>
      </c>
      <c r="N2466" t="s">
        <v>24</v>
      </c>
      <c r="O2466" t="s">
        <v>70</v>
      </c>
      <c r="P2466" t="s">
        <v>34</v>
      </c>
    </row>
    <row r="2467" spans="1:16" x14ac:dyDescent="0.25">
      <c r="A2467" t="s">
        <v>5641</v>
      </c>
      <c r="B2467" s="6">
        <v>44661</v>
      </c>
      <c r="C2467">
        <v>7685</v>
      </c>
      <c r="D2467" t="s">
        <v>5643</v>
      </c>
      <c r="E2467" t="s">
        <v>38</v>
      </c>
      <c r="F2467" t="s">
        <v>30</v>
      </c>
      <c r="G2467">
        <v>56300.5</v>
      </c>
      <c r="H2467">
        <v>28911.96</v>
      </c>
      <c r="I2467" t="s">
        <v>53</v>
      </c>
      <c r="J2467" t="s">
        <v>54</v>
      </c>
      <c r="K2467" t="s">
        <v>80</v>
      </c>
      <c r="L2467" t="s">
        <v>64</v>
      </c>
      <c r="M2467">
        <v>2</v>
      </c>
      <c r="N2467" t="s">
        <v>24</v>
      </c>
      <c r="O2467" t="s">
        <v>25</v>
      </c>
      <c r="P2467" t="s">
        <v>34</v>
      </c>
    </row>
    <row r="2468" spans="1:16" x14ac:dyDescent="0.25">
      <c r="A2468" t="s">
        <v>5644</v>
      </c>
      <c r="B2468" s="6">
        <v>45466</v>
      </c>
      <c r="C2468">
        <v>7974</v>
      </c>
      <c r="D2468" t="s">
        <v>5645</v>
      </c>
      <c r="E2468" t="s">
        <v>38</v>
      </c>
      <c r="F2468" t="s">
        <v>30</v>
      </c>
      <c r="G2468">
        <v>83096.570000000007</v>
      </c>
      <c r="H2468">
        <v>41400.15</v>
      </c>
      <c r="I2468" t="s">
        <v>20</v>
      </c>
      <c r="J2468" t="s">
        <v>21</v>
      </c>
      <c r="K2468" t="s">
        <v>22</v>
      </c>
      <c r="L2468" t="s">
        <v>88</v>
      </c>
      <c r="M2468">
        <v>5</v>
      </c>
      <c r="N2468" t="s">
        <v>69</v>
      </c>
      <c r="O2468" t="s">
        <v>25</v>
      </c>
      <c r="P2468" t="s">
        <v>26</v>
      </c>
    </row>
    <row r="2469" spans="1:16" x14ac:dyDescent="0.25">
      <c r="A2469" t="s">
        <v>5646</v>
      </c>
      <c r="B2469" s="6">
        <v>45361</v>
      </c>
      <c r="C2469">
        <v>3885</v>
      </c>
      <c r="D2469" t="s">
        <v>5647</v>
      </c>
      <c r="E2469" t="s">
        <v>38</v>
      </c>
      <c r="F2469" t="s">
        <v>39</v>
      </c>
      <c r="G2469">
        <v>52036.45</v>
      </c>
      <c r="H2469">
        <v>27783.02</v>
      </c>
      <c r="I2469" t="s">
        <v>63</v>
      </c>
      <c r="J2469" t="s">
        <v>54</v>
      </c>
      <c r="K2469" t="s">
        <v>42</v>
      </c>
      <c r="L2469" t="s">
        <v>88</v>
      </c>
      <c r="M2469">
        <v>4</v>
      </c>
      <c r="N2469" t="s">
        <v>24</v>
      </c>
      <c r="O2469" t="s">
        <v>70</v>
      </c>
      <c r="P2469" t="s">
        <v>49</v>
      </c>
    </row>
    <row r="2470" spans="1:16" x14ac:dyDescent="0.25">
      <c r="A2470" t="s">
        <v>5648</v>
      </c>
      <c r="B2470" s="6">
        <v>44608</v>
      </c>
      <c r="C2470">
        <v>7325</v>
      </c>
      <c r="D2470" t="s">
        <v>5649</v>
      </c>
      <c r="E2470" t="s">
        <v>18</v>
      </c>
      <c r="F2470" t="s">
        <v>30</v>
      </c>
      <c r="G2470">
        <v>87281.69</v>
      </c>
      <c r="H2470">
        <v>49897.13</v>
      </c>
      <c r="I2470" t="s">
        <v>53</v>
      </c>
      <c r="J2470" t="s">
        <v>54</v>
      </c>
      <c r="K2470" t="s">
        <v>80</v>
      </c>
      <c r="L2470" t="s">
        <v>48</v>
      </c>
      <c r="M2470">
        <v>1</v>
      </c>
      <c r="N2470" t="s">
        <v>33</v>
      </c>
      <c r="O2470" t="s">
        <v>25</v>
      </c>
      <c r="P2470" t="s">
        <v>49</v>
      </c>
    </row>
    <row r="2471" spans="1:16" x14ac:dyDescent="0.25">
      <c r="A2471" t="s">
        <v>5650</v>
      </c>
      <c r="B2471" s="6">
        <v>45090</v>
      </c>
      <c r="C2471">
        <v>7430</v>
      </c>
      <c r="D2471" t="s">
        <v>5652</v>
      </c>
      <c r="E2471" t="s">
        <v>38</v>
      </c>
      <c r="F2471" t="s">
        <v>30</v>
      </c>
      <c r="G2471">
        <v>90838.8</v>
      </c>
      <c r="H2471">
        <v>53760.11</v>
      </c>
      <c r="I2471" t="s">
        <v>20</v>
      </c>
      <c r="J2471" t="s">
        <v>21</v>
      </c>
      <c r="K2471" t="s">
        <v>42</v>
      </c>
      <c r="L2471" t="s">
        <v>48</v>
      </c>
      <c r="M2471">
        <v>4</v>
      </c>
      <c r="N2471" t="s">
        <v>33</v>
      </c>
      <c r="O2471" t="s">
        <v>70</v>
      </c>
      <c r="P2471" t="s">
        <v>49</v>
      </c>
    </row>
    <row r="2472" spans="1:16" x14ac:dyDescent="0.25">
      <c r="A2472" t="s">
        <v>5653</v>
      </c>
      <c r="B2472" s="6">
        <v>44140</v>
      </c>
      <c r="C2472">
        <v>2714</v>
      </c>
      <c r="D2472" t="s">
        <v>5654</v>
      </c>
      <c r="E2472" t="s">
        <v>18</v>
      </c>
      <c r="F2472" t="s">
        <v>19</v>
      </c>
      <c r="G2472">
        <v>4550.43</v>
      </c>
      <c r="H2472">
        <v>2531.0700000000002</v>
      </c>
      <c r="I2472" t="s">
        <v>84</v>
      </c>
      <c r="J2472" t="s">
        <v>54</v>
      </c>
      <c r="K2472" t="s">
        <v>80</v>
      </c>
      <c r="L2472" t="s">
        <v>64</v>
      </c>
      <c r="M2472">
        <v>1</v>
      </c>
      <c r="N2472" t="s">
        <v>24</v>
      </c>
      <c r="O2472" t="s">
        <v>25</v>
      </c>
      <c r="P2472" t="s">
        <v>26</v>
      </c>
    </row>
    <row r="2473" spans="1:16" x14ac:dyDescent="0.25">
      <c r="A2473" t="s">
        <v>5655</v>
      </c>
      <c r="B2473" s="6">
        <v>45569</v>
      </c>
      <c r="C2473">
        <v>5147</v>
      </c>
      <c r="D2473" t="s">
        <v>5656</v>
      </c>
      <c r="E2473" t="s">
        <v>18</v>
      </c>
      <c r="F2473" t="s">
        <v>39</v>
      </c>
      <c r="G2473">
        <v>17652.41</v>
      </c>
      <c r="H2473">
        <v>8182.82</v>
      </c>
      <c r="I2473" t="s">
        <v>59</v>
      </c>
      <c r="J2473" t="s">
        <v>41</v>
      </c>
      <c r="K2473" t="s">
        <v>22</v>
      </c>
      <c r="L2473" t="s">
        <v>43</v>
      </c>
      <c r="M2473">
        <v>1</v>
      </c>
      <c r="N2473" t="s">
        <v>33</v>
      </c>
      <c r="O2473" t="s">
        <v>25</v>
      </c>
      <c r="P2473" t="s">
        <v>34</v>
      </c>
    </row>
    <row r="2474" spans="1:16" x14ac:dyDescent="0.25">
      <c r="A2474" t="s">
        <v>5657</v>
      </c>
      <c r="B2474" s="6">
        <v>44492</v>
      </c>
      <c r="C2474">
        <v>2033</v>
      </c>
      <c r="D2474" t="s">
        <v>5658</v>
      </c>
      <c r="E2474" t="s">
        <v>18</v>
      </c>
      <c r="F2474" t="s">
        <v>30</v>
      </c>
      <c r="G2474">
        <v>22240.14</v>
      </c>
      <c r="H2474">
        <v>12002.92</v>
      </c>
      <c r="I2474" t="s">
        <v>68</v>
      </c>
      <c r="J2474" t="s">
        <v>41</v>
      </c>
      <c r="K2474" t="s">
        <v>22</v>
      </c>
      <c r="L2474" t="s">
        <v>48</v>
      </c>
      <c r="M2474">
        <v>2</v>
      </c>
      <c r="N2474" t="s">
        <v>24</v>
      </c>
      <c r="O2474" t="s">
        <v>25</v>
      </c>
      <c r="P2474" t="s">
        <v>49</v>
      </c>
    </row>
    <row r="2475" spans="1:16" x14ac:dyDescent="0.25">
      <c r="A2475" t="s">
        <v>5659</v>
      </c>
      <c r="B2475" s="6">
        <v>45491</v>
      </c>
      <c r="C2475">
        <v>1594</v>
      </c>
      <c r="D2475" t="s">
        <v>5661</v>
      </c>
      <c r="E2475" t="s">
        <v>38</v>
      </c>
      <c r="F2475" t="s">
        <v>19</v>
      </c>
      <c r="G2475">
        <v>19443.96</v>
      </c>
      <c r="H2475">
        <v>12022.37</v>
      </c>
      <c r="I2475" t="s">
        <v>120</v>
      </c>
      <c r="J2475" t="s">
        <v>21</v>
      </c>
      <c r="K2475" t="s">
        <v>42</v>
      </c>
      <c r="L2475" t="s">
        <v>55</v>
      </c>
      <c r="M2475">
        <v>2</v>
      </c>
      <c r="N2475" t="s">
        <v>24</v>
      </c>
      <c r="O2475" t="s">
        <v>70</v>
      </c>
      <c r="P2475" t="s">
        <v>26</v>
      </c>
    </row>
    <row r="2476" spans="1:16" x14ac:dyDescent="0.25">
      <c r="A2476" t="s">
        <v>5662</v>
      </c>
      <c r="B2476" s="6">
        <v>45573</v>
      </c>
      <c r="C2476">
        <v>9745</v>
      </c>
      <c r="D2476" t="s">
        <v>5663</v>
      </c>
      <c r="E2476" t="s">
        <v>38</v>
      </c>
      <c r="F2476" t="s">
        <v>30</v>
      </c>
      <c r="G2476">
        <v>41167.769999999997</v>
      </c>
      <c r="H2476">
        <v>24034.74</v>
      </c>
      <c r="I2476" t="s">
        <v>31</v>
      </c>
      <c r="J2476" t="s">
        <v>21</v>
      </c>
      <c r="K2476" t="s">
        <v>32</v>
      </c>
      <c r="L2476" t="s">
        <v>55</v>
      </c>
      <c r="M2476">
        <v>5</v>
      </c>
      <c r="N2476" t="s">
        <v>33</v>
      </c>
      <c r="O2476" t="s">
        <v>25</v>
      </c>
      <c r="P2476" t="s">
        <v>26</v>
      </c>
    </row>
    <row r="2477" spans="1:16" x14ac:dyDescent="0.25">
      <c r="A2477" t="s">
        <v>5664</v>
      </c>
      <c r="B2477" s="6">
        <v>45277</v>
      </c>
      <c r="C2477">
        <v>1139</v>
      </c>
      <c r="D2477" t="s">
        <v>5665</v>
      </c>
      <c r="E2477" t="s">
        <v>18</v>
      </c>
      <c r="F2477" t="s">
        <v>19</v>
      </c>
      <c r="G2477">
        <v>12530.42</v>
      </c>
      <c r="H2477">
        <v>6595.71</v>
      </c>
      <c r="I2477" t="s">
        <v>84</v>
      </c>
      <c r="J2477" t="s">
        <v>54</v>
      </c>
      <c r="K2477" t="s">
        <v>32</v>
      </c>
      <c r="L2477" t="s">
        <v>55</v>
      </c>
      <c r="M2477">
        <v>4</v>
      </c>
      <c r="N2477" t="s">
        <v>33</v>
      </c>
      <c r="O2477" t="s">
        <v>70</v>
      </c>
      <c r="P2477" t="s">
        <v>49</v>
      </c>
    </row>
    <row r="2478" spans="1:16" x14ac:dyDescent="0.25">
      <c r="A2478" t="s">
        <v>5666</v>
      </c>
      <c r="B2478" s="6">
        <v>44250</v>
      </c>
      <c r="C2478">
        <v>8698</v>
      </c>
      <c r="D2478" t="s">
        <v>5667</v>
      </c>
      <c r="E2478" t="s">
        <v>38</v>
      </c>
      <c r="F2478" t="s">
        <v>58</v>
      </c>
      <c r="G2478">
        <v>10291.57</v>
      </c>
      <c r="H2478">
        <v>5532.16</v>
      </c>
      <c r="I2478" t="s">
        <v>53</v>
      </c>
      <c r="J2478" t="s">
        <v>54</v>
      </c>
      <c r="K2478" t="s">
        <v>80</v>
      </c>
      <c r="L2478" t="s">
        <v>64</v>
      </c>
      <c r="M2478">
        <v>4</v>
      </c>
      <c r="N2478" t="s">
        <v>24</v>
      </c>
      <c r="O2478" t="s">
        <v>25</v>
      </c>
      <c r="P2478" t="s">
        <v>49</v>
      </c>
    </row>
    <row r="2479" spans="1:16" x14ac:dyDescent="0.25">
      <c r="A2479" t="s">
        <v>5668</v>
      </c>
      <c r="B2479" s="6">
        <v>44944</v>
      </c>
      <c r="C2479">
        <v>1967</v>
      </c>
      <c r="D2479" t="s">
        <v>2304</v>
      </c>
      <c r="E2479" t="s">
        <v>18</v>
      </c>
      <c r="F2479" t="s">
        <v>30</v>
      </c>
      <c r="G2479">
        <v>58349.42</v>
      </c>
      <c r="H2479">
        <v>37723.67</v>
      </c>
      <c r="I2479" t="s">
        <v>31</v>
      </c>
      <c r="J2479" t="s">
        <v>21</v>
      </c>
      <c r="K2479" t="s">
        <v>80</v>
      </c>
      <c r="L2479" t="s">
        <v>88</v>
      </c>
      <c r="M2479">
        <v>4</v>
      </c>
      <c r="N2479" t="s">
        <v>33</v>
      </c>
      <c r="O2479" t="s">
        <v>25</v>
      </c>
      <c r="P2479" t="s">
        <v>49</v>
      </c>
    </row>
    <row r="2480" spans="1:16" x14ac:dyDescent="0.25">
      <c r="A2480" t="s">
        <v>5669</v>
      </c>
      <c r="B2480" s="6">
        <v>45399</v>
      </c>
      <c r="C2480">
        <v>1212</v>
      </c>
      <c r="D2480" t="s">
        <v>5670</v>
      </c>
      <c r="E2480" t="s">
        <v>38</v>
      </c>
      <c r="F2480" t="s">
        <v>39</v>
      </c>
      <c r="G2480">
        <v>26813.63</v>
      </c>
      <c r="H2480">
        <v>14907.65</v>
      </c>
      <c r="I2480" t="s">
        <v>20</v>
      </c>
      <c r="J2480" t="s">
        <v>21</v>
      </c>
      <c r="K2480" t="s">
        <v>22</v>
      </c>
      <c r="L2480" t="s">
        <v>43</v>
      </c>
      <c r="M2480">
        <v>2</v>
      </c>
      <c r="N2480" t="s">
        <v>33</v>
      </c>
      <c r="O2480" t="s">
        <v>25</v>
      </c>
      <c r="P2480" t="s">
        <v>49</v>
      </c>
    </row>
    <row r="2481" spans="1:16" x14ac:dyDescent="0.25">
      <c r="A2481" t="s">
        <v>5671</v>
      </c>
      <c r="B2481" s="6">
        <v>45530</v>
      </c>
      <c r="C2481">
        <v>4102</v>
      </c>
      <c r="D2481" t="s">
        <v>5672</v>
      </c>
      <c r="E2481" t="s">
        <v>38</v>
      </c>
      <c r="F2481" t="s">
        <v>39</v>
      </c>
      <c r="G2481">
        <v>15280.81</v>
      </c>
      <c r="H2481">
        <v>9448.2099999999991</v>
      </c>
      <c r="I2481" t="s">
        <v>59</v>
      </c>
      <c r="J2481" t="s">
        <v>41</v>
      </c>
      <c r="K2481" t="s">
        <v>80</v>
      </c>
      <c r="L2481" t="s">
        <v>88</v>
      </c>
      <c r="M2481">
        <v>3</v>
      </c>
      <c r="N2481" t="s">
        <v>33</v>
      </c>
      <c r="O2481" t="s">
        <v>70</v>
      </c>
      <c r="P2481" t="s">
        <v>34</v>
      </c>
    </row>
    <row r="2482" spans="1:16" x14ac:dyDescent="0.25">
      <c r="A2482" t="s">
        <v>5673</v>
      </c>
      <c r="B2482" s="6">
        <v>44715</v>
      </c>
      <c r="C2482">
        <v>9490</v>
      </c>
      <c r="D2482" t="s">
        <v>5674</v>
      </c>
      <c r="E2482" t="s">
        <v>18</v>
      </c>
      <c r="F2482" t="s">
        <v>19</v>
      </c>
      <c r="G2482">
        <v>21305.91</v>
      </c>
      <c r="H2482">
        <v>10964.61</v>
      </c>
      <c r="I2482" t="s">
        <v>53</v>
      </c>
      <c r="J2482" t="s">
        <v>54</v>
      </c>
      <c r="K2482" t="s">
        <v>80</v>
      </c>
      <c r="L2482" t="s">
        <v>48</v>
      </c>
      <c r="M2482">
        <v>5</v>
      </c>
      <c r="N2482" t="s">
        <v>24</v>
      </c>
      <c r="O2482" t="s">
        <v>25</v>
      </c>
      <c r="P2482" t="s">
        <v>26</v>
      </c>
    </row>
    <row r="2483" spans="1:16" x14ac:dyDescent="0.25">
      <c r="A2483" t="s">
        <v>5675</v>
      </c>
      <c r="B2483" s="6">
        <v>45344</v>
      </c>
      <c r="C2483">
        <v>6155</v>
      </c>
      <c r="D2483" t="s">
        <v>5676</v>
      </c>
      <c r="E2483" t="s">
        <v>38</v>
      </c>
      <c r="F2483" t="s">
        <v>47</v>
      </c>
      <c r="G2483">
        <v>7925.66</v>
      </c>
      <c r="H2483">
        <v>3962.28</v>
      </c>
      <c r="I2483" t="s">
        <v>59</v>
      </c>
      <c r="J2483" t="s">
        <v>41</v>
      </c>
      <c r="K2483" t="s">
        <v>32</v>
      </c>
      <c r="L2483" t="s">
        <v>43</v>
      </c>
      <c r="M2483">
        <v>3</v>
      </c>
      <c r="N2483" t="s">
        <v>33</v>
      </c>
      <c r="O2483" t="s">
        <v>25</v>
      </c>
      <c r="P2483" t="s">
        <v>34</v>
      </c>
    </row>
    <row r="2484" spans="1:16" x14ac:dyDescent="0.25">
      <c r="A2484" t="s">
        <v>5677</v>
      </c>
      <c r="B2484" s="6">
        <v>44957</v>
      </c>
      <c r="C2484">
        <v>7778</v>
      </c>
      <c r="D2484" t="s">
        <v>5679</v>
      </c>
      <c r="E2484" t="s">
        <v>18</v>
      </c>
      <c r="F2484" t="s">
        <v>47</v>
      </c>
      <c r="G2484">
        <v>16826.73</v>
      </c>
      <c r="H2484">
        <v>9404.7800000000007</v>
      </c>
      <c r="I2484" t="s">
        <v>120</v>
      </c>
      <c r="J2484" t="s">
        <v>21</v>
      </c>
      <c r="K2484" t="s">
        <v>32</v>
      </c>
      <c r="L2484" t="s">
        <v>55</v>
      </c>
      <c r="M2484">
        <v>5</v>
      </c>
      <c r="N2484" t="s">
        <v>33</v>
      </c>
      <c r="O2484" t="s">
        <v>25</v>
      </c>
      <c r="P2484" t="s">
        <v>49</v>
      </c>
    </row>
    <row r="2485" spans="1:16" x14ac:dyDescent="0.25">
      <c r="A2485" t="s">
        <v>5680</v>
      </c>
      <c r="B2485" s="6">
        <v>45318</v>
      </c>
      <c r="C2485">
        <v>5902</v>
      </c>
      <c r="D2485" t="s">
        <v>5681</v>
      </c>
      <c r="E2485" t="s">
        <v>38</v>
      </c>
      <c r="F2485" t="s">
        <v>39</v>
      </c>
      <c r="G2485">
        <v>29152.71</v>
      </c>
      <c r="H2485">
        <v>17131.009999999998</v>
      </c>
      <c r="I2485" t="s">
        <v>53</v>
      </c>
      <c r="J2485" t="s">
        <v>54</v>
      </c>
      <c r="K2485" t="s">
        <v>32</v>
      </c>
      <c r="L2485" t="s">
        <v>43</v>
      </c>
      <c r="M2485">
        <v>5</v>
      </c>
      <c r="N2485" t="s">
        <v>33</v>
      </c>
      <c r="O2485" t="s">
        <v>25</v>
      </c>
      <c r="P2485" t="s">
        <v>34</v>
      </c>
    </row>
    <row r="2486" spans="1:16" x14ac:dyDescent="0.25">
      <c r="A2486" t="s">
        <v>5682</v>
      </c>
      <c r="B2486" s="6">
        <v>44724</v>
      </c>
      <c r="C2486">
        <v>8708</v>
      </c>
      <c r="D2486" t="s">
        <v>5683</v>
      </c>
      <c r="E2486" t="s">
        <v>18</v>
      </c>
      <c r="F2486" t="s">
        <v>30</v>
      </c>
      <c r="G2486">
        <v>49652.74</v>
      </c>
      <c r="H2486">
        <v>27660.69</v>
      </c>
      <c r="I2486" t="s">
        <v>53</v>
      </c>
      <c r="J2486" t="s">
        <v>54</v>
      </c>
      <c r="K2486" t="s">
        <v>22</v>
      </c>
      <c r="L2486" t="s">
        <v>48</v>
      </c>
      <c r="M2486">
        <v>2</v>
      </c>
      <c r="N2486" t="s">
        <v>69</v>
      </c>
      <c r="O2486" t="s">
        <v>70</v>
      </c>
      <c r="P2486" t="s">
        <v>49</v>
      </c>
    </row>
    <row r="2487" spans="1:16" x14ac:dyDescent="0.25">
      <c r="A2487" t="s">
        <v>5684</v>
      </c>
      <c r="B2487" s="6">
        <v>44902</v>
      </c>
      <c r="C2487">
        <v>7384</v>
      </c>
      <c r="D2487" t="s">
        <v>5685</v>
      </c>
      <c r="E2487" t="s">
        <v>18</v>
      </c>
      <c r="F2487" t="s">
        <v>30</v>
      </c>
      <c r="G2487">
        <v>64213.73</v>
      </c>
      <c r="H2487">
        <v>37732.25</v>
      </c>
      <c r="I2487" t="s">
        <v>20</v>
      </c>
      <c r="J2487" t="s">
        <v>21</v>
      </c>
      <c r="K2487" t="s">
        <v>80</v>
      </c>
      <c r="L2487" t="s">
        <v>43</v>
      </c>
      <c r="M2487">
        <v>4</v>
      </c>
      <c r="N2487" t="s">
        <v>69</v>
      </c>
      <c r="O2487" t="s">
        <v>25</v>
      </c>
      <c r="P2487" t="s">
        <v>34</v>
      </c>
    </row>
    <row r="2488" spans="1:16" x14ac:dyDescent="0.25">
      <c r="A2488" t="s">
        <v>5686</v>
      </c>
      <c r="B2488" s="6">
        <v>45615</v>
      </c>
      <c r="C2488">
        <v>1402</v>
      </c>
      <c r="D2488" t="s">
        <v>5688</v>
      </c>
      <c r="E2488" t="s">
        <v>18</v>
      </c>
      <c r="F2488" t="s">
        <v>47</v>
      </c>
      <c r="G2488">
        <v>13820.78</v>
      </c>
      <c r="H2488">
        <v>7171.72</v>
      </c>
      <c r="I2488" t="s">
        <v>20</v>
      </c>
      <c r="J2488" t="s">
        <v>21</v>
      </c>
      <c r="K2488" t="s">
        <v>42</v>
      </c>
      <c r="L2488" t="s">
        <v>64</v>
      </c>
      <c r="M2488">
        <v>5</v>
      </c>
      <c r="N2488" t="s">
        <v>24</v>
      </c>
      <c r="O2488" t="s">
        <v>70</v>
      </c>
      <c r="P2488" t="s">
        <v>49</v>
      </c>
    </row>
    <row r="2489" spans="1:16" x14ac:dyDescent="0.25">
      <c r="A2489" t="s">
        <v>5689</v>
      </c>
      <c r="B2489" s="6">
        <v>45388</v>
      </c>
      <c r="C2489">
        <v>3539</v>
      </c>
      <c r="D2489" t="s">
        <v>5690</v>
      </c>
      <c r="E2489" t="s">
        <v>18</v>
      </c>
      <c r="F2489" t="s">
        <v>58</v>
      </c>
      <c r="G2489">
        <v>52176.67</v>
      </c>
      <c r="H2489">
        <v>33407.910000000003</v>
      </c>
      <c r="I2489" t="s">
        <v>84</v>
      </c>
      <c r="J2489" t="s">
        <v>54</v>
      </c>
      <c r="K2489" t="s">
        <v>22</v>
      </c>
      <c r="L2489" t="s">
        <v>48</v>
      </c>
      <c r="M2489">
        <v>2</v>
      </c>
      <c r="N2489" t="s">
        <v>69</v>
      </c>
      <c r="O2489" t="s">
        <v>70</v>
      </c>
      <c r="P2489" t="s">
        <v>26</v>
      </c>
    </row>
    <row r="2490" spans="1:16" x14ac:dyDescent="0.25">
      <c r="A2490" t="s">
        <v>5691</v>
      </c>
      <c r="B2490" s="6">
        <v>45492</v>
      </c>
      <c r="C2490">
        <v>6710</v>
      </c>
      <c r="D2490" t="s">
        <v>5693</v>
      </c>
      <c r="E2490" t="s">
        <v>18</v>
      </c>
      <c r="F2490" t="s">
        <v>58</v>
      </c>
      <c r="G2490">
        <v>41690.639999999999</v>
      </c>
      <c r="H2490">
        <v>20851.21</v>
      </c>
      <c r="I2490" t="s">
        <v>31</v>
      </c>
      <c r="J2490" t="s">
        <v>21</v>
      </c>
      <c r="K2490" t="s">
        <v>22</v>
      </c>
      <c r="L2490" t="s">
        <v>43</v>
      </c>
      <c r="M2490">
        <v>3</v>
      </c>
      <c r="N2490" t="s">
        <v>33</v>
      </c>
      <c r="O2490" t="s">
        <v>25</v>
      </c>
      <c r="P2490" t="s">
        <v>26</v>
      </c>
    </row>
    <row r="2491" spans="1:16" x14ac:dyDescent="0.25">
      <c r="A2491" t="s">
        <v>5694</v>
      </c>
      <c r="B2491" s="6">
        <v>45198</v>
      </c>
      <c r="C2491">
        <v>2401</v>
      </c>
      <c r="D2491" t="s">
        <v>4375</v>
      </c>
      <c r="E2491" t="s">
        <v>38</v>
      </c>
      <c r="F2491" t="s">
        <v>58</v>
      </c>
      <c r="G2491">
        <v>31339.31</v>
      </c>
      <c r="H2491">
        <v>14423.39</v>
      </c>
      <c r="I2491" t="s">
        <v>40</v>
      </c>
      <c r="J2491" t="s">
        <v>41</v>
      </c>
      <c r="K2491" t="s">
        <v>32</v>
      </c>
      <c r="L2491" t="s">
        <v>88</v>
      </c>
      <c r="M2491">
        <v>4</v>
      </c>
      <c r="N2491" t="s">
        <v>33</v>
      </c>
      <c r="O2491" t="s">
        <v>25</v>
      </c>
      <c r="P2491" t="s">
        <v>26</v>
      </c>
    </row>
    <row r="2492" spans="1:16" x14ac:dyDescent="0.25">
      <c r="A2492" t="s">
        <v>5696</v>
      </c>
      <c r="B2492" s="6">
        <v>44717</v>
      </c>
      <c r="C2492">
        <v>1148</v>
      </c>
      <c r="D2492" t="s">
        <v>5698</v>
      </c>
      <c r="E2492" t="s">
        <v>38</v>
      </c>
      <c r="F2492" t="s">
        <v>30</v>
      </c>
      <c r="G2492">
        <v>83821.34</v>
      </c>
      <c r="H2492">
        <v>47435.7</v>
      </c>
      <c r="I2492" t="s">
        <v>120</v>
      </c>
      <c r="J2492" t="s">
        <v>21</v>
      </c>
      <c r="K2492" t="s">
        <v>80</v>
      </c>
      <c r="L2492" t="s">
        <v>88</v>
      </c>
      <c r="M2492">
        <v>4</v>
      </c>
      <c r="N2492" t="s">
        <v>33</v>
      </c>
      <c r="O2492" t="s">
        <v>70</v>
      </c>
      <c r="P2492" t="s">
        <v>49</v>
      </c>
    </row>
    <row r="2493" spans="1:16" x14ac:dyDescent="0.25">
      <c r="A2493" t="s">
        <v>5699</v>
      </c>
      <c r="B2493" s="6">
        <v>43906</v>
      </c>
      <c r="C2493">
        <v>1977</v>
      </c>
      <c r="D2493" t="s">
        <v>5700</v>
      </c>
      <c r="E2493" t="s">
        <v>38</v>
      </c>
      <c r="F2493" t="s">
        <v>19</v>
      </c>
      <c r="G2493">
        <v>4502.2299999999996</v>
      </c>
      <c r="H2493">
        <v>2512.15</v>
      </c>
      <c r="I2493" t="s">
        <v>120</v>
      </c>
      <c r="J2493" t="s">
        <v>21</v>
      </c>
      <c r="K2493" t="s">
        <v>42</v>
      </c>
      <c r="L2493" t="s">
        <v>64</v>
      </c>
      <c r="M2493">
        <v>3</v>
      </c>
      <c r="N2493" t="s">
        <v>69</v>
      </c>
      <c r="O2493" t="s">
        <v>25</v>
      </c>
      <c r="P2493" t="s">
        <v>34</v>
      </c>
    </row>
    <row r="2494" spans="1:16" x14ac:dyDescent="0.25">
      <c r="A2494" t="s">
        <v>5701</v>
      </c>
      <c r="B2494" s="6">
        <v>45567</v>
      </c>
      <c r="C2494">
        <v>4455</v>
      </c>
      <c r="D2494" t="s">
        <v>5702</v>
      </c>
      <c r="E2494" t="s">
        <v>18</v>
      </c>
      <c r="F2494" t="s">
        <v>19</v>
      </c>
      <c r="G2494">
        <v>17791.48</v>
      </c>
      <c r="H2494">
        <v>11034.41</v>
      </c>
      <c r="I2494" t="s">
        <v>84</v>
      </c>
      <c r="J2494" t="s">
        <v>54</v>
      </c>
      <c r="K2494" t="s">
        <v>80</v>
      </c>
      <c r="L2494" t="s">
        <v>23</v>
      </c>
      <c r="M2494">
        <v>5</v>
      </c>
      <c r="N2494" t="s">
        <v>24</v>
      </c>
      <c r="O2494" t="s">
        <v>70</v>
      </c>
      <c r="P2494" t="s">
        <v>34</v>
      </c>
    </row>
    <row r="2495" spans="1:16" x14ac:dyDescent="0.25">
      <c r="A2495" t="s">
        <v>5703</v>
      </c>
      <c r="B2495" s="6">
        <v>44400</v>
      </c>
      <c r="C2495">
        <v>4999</v>
      </c>
      <c r="D2495" t="s">
        <v>5704</v>
      </c>
      <c r="E2495" t="s">
        <v>18</v>
      </c>
      <c r="F2495" t="s">
        <v>58</v>
      </c>
      <c r="G2495">
        <v>40311.839999999997</v>
      </c>
      <c r="H2495">
        <v>20506.740000000002</v>
      </c>
      <c r="I2495" t="s">
        <v>84</v>
      </c>
      <c r="J2495" t="s">
        <v>54</v>
      </c>
      <c r="K2495" t="s">
        <v>22</v>
      </c>
      <c r="L2495" t="s">
        <v>55</v>
      </c>
      <c r="M2495">
        <v>4</v>
      </c>
      <c r="N2495" t="s">
        <v>33</v>
      </c>
      <c r="O2495" t="s">
        <v>25</v>
      </c>
      <c r="P2495" t="s">
        <v>26</v>
      </c>
    </row>
    <row r="2496" spans="1:16" x14ac:dyDescent="0.25">
      <c r="A2496" t="s">
        <v>5705</v>
      </c>
      <c r="B2496" s="6">
        <v>44404</v>
      </c>
      <c r="C2496">
        <v>1804</v>
      </c>
      <c r="D2496" t="s">
        <v>5706</v>
      </c>
      <c r="E2496" t="s">
        <v>38</v>
      </c>
      <c r="F2496" t="s">
        <v>39</v>
      </c>
      <c r="G2496">
        <v>27910.05</v>
      </c>
      <c r="H2496">
        <v>16285.46</v>
      </c>
      <c r="I2496" t="s">
        <v>20</v>
      </c>
      <c r="J2496" t="s">
        <v>21</v>
      </c>
      <c r="K2496" t="s">
        <v>42</v>
      </c>
      <c r="L2496" t="s">
        <v>43</v>
      </c>
      <c r="M2496">
        <v>1</v>
      </c>
      <c r="N2496" t="s">
        <v>24</v>
      </c>
      <c r="O2496" t="s">
        <v>25</v>
      </c>
      <c r="P2496" t="s">
        <v>26</v>
      </c>
    </row>
    <row r="2497" spans="1:16" x14ac:dyDescent="0.25">
      <c r="A2497" t="s">
        <v>5707</v>
      </c>
      <c r="B2497" s="6">
        <v>45640</v>
      </c>
      <c r="C2497">
        <v>4747</v>
      </c>
      <c r="D2497" t="s">
        <v>5709</v>
      </c>
      <c r="E2497" t="s">
        <v>18</v>
      </c>
      <c r="F2497" t="s">
        <v>19</v>
      </c>
      <c r="G2497">
        <v>6578.12</v>
      </c>
      <c r="H2497">
        <v>4210.9799999999996</v>
      </c>
      <c r="I2497" t="s">
        <v>84</v>
      </c>
      <c r="J2497" t="s">
        <v>54</v>
      </c>
      <c r="K2497" t="s">
        <v>22</v>
      </c>
      <c r="L2497" t="s">
        <v>64</v>
      </c>
      <c r="M2497">
        <v>4</v>
      </c>
      <c r="N2497" t="s">
        <v>33</v>
      </c>
      <c r="O2497" t="s">
        <v>25</v>
      </c>
      <c r="P2497" t="s">
        <v>26</v>
      </c>
    </row>
    <row r="2498" spans="1:16" x14ac:dyDescent="0.25">
      <c r="A2498" t="s">
        <v>5710</v>
      </c>
      <c r="B2498" s="6">
        <v>44724</v>
      </c>
      <c r="C2498">
        <v>2185</v>
      </c>
      <c r="D2498" t="s">
        <v>5711</v>
      </c>
      <c r="E2498" t="s">
        <v>38</v>
      </c>
      <c r="F2498" t="s">
        <v>30</v>
      </c>
      <c r="G2498">
        <v>50069.64</v>
      </c>
      <c r="H2498">
        <v>27872.99</v>
      </c>
      <c r="I2498" t="s">
        <v>68</v>
      </c>
      <c r="J2498" t="s">
        <v>41</v>
      </c>
      <c r="K2498" t="s">
        <v>42</v>
      </c>
      <c r="L2498" t="s">
        <v>64</v>
      </c>
      <c r="M2498">
        <v>5</v>
      </c>
      <c r="N2498" t="s">
        <v>69</v>
      </c>
      <c r="O2498" t="s">
        <v>70</v>
      </c>
      <c r="P2498" t="s">
        <v>34</v>
      </c>
    </row>
    <row r="2499" spans="1:16" x14ac:dyDescent="0.25">
      <c r="A2499" t="s">
        <v>5712</v>
      </c>
      <c r="B2499" s="6">
        <v>45345</v>
      </c>
      <c r="C2499">
        <v>1030</v>
      </c>
      <c r="D2499" t="s">
        <v>5445</v>
      </c>
      <c r="E2499" t="s">
        <v>38</v>
      </c>
      <c r="F2499" t="s">
        <v>39</v>
      </c>
      <c r="G2499">
        <v>36588.910000000003</v>
      </c>
      <c r="H2499">
        <v>17048.96</v>
      </c>
      <c r="I2499" t="s">
        <v>84</v>
      </c>
      <c r="J2499" t="s">
        <v>54</v>
      </c>
      <c r="K2499" t="s">
        <v>80</v>
      </c>
      <c r="L2499" t="s">
        <v>48</v>
      </c>
      <c r="M2499">
        <v>4</v>
      </c>
      <c r="N2499" t="s">
        <v>24</v>
      </c>
      <c r="O2499" t="s">
        <v>70</v>
      </c>
      <c r="P2499" t="s">
        <v>26</v>
      </c>
    </row>
    <row r="2500" spans="1:16" x14ac:dyDescent="0.25">
      <c r="A2500" t="s">
        <v>5713</v>
      </c>
      <c r="B2500" s="6">
        <v>44864</v>
      </c>
      <c r="C2500">
        <v>2702</v>
      </c>
      <c r="D2500" t="s">
        <v>5714</v>
      </c>
      <c r="E2500" t="s">
        <v>38</v>
      </c>
      <c r="F2500" t="s">
        <v>47</v>
      </c>
      <c r="G2500">
        <v>6927.7</v>
      </c>
      <c r="H2500">
        <v>4032.09</v>
      </c>
      <c r="I2500" t="s">
        <v>53</v>
      </c>
      <c r="J2500" t="s">
        <v>54</v>
      </c>
      <c r="K2500" t="s">
        <v>32</v>
      </c>
      <c r="L2500" t="s">
        <v>43</v>
      </c>
      <c r="M2500">
        <v>5</v>
      </c>
      <c r="N2500" t="s">
        <v>33</v>
      </c>
      <c r="O2500" t="s">
        <v>70</v>
      </c>
      <c r="P2500" t="s">
        <v>34</v>
      </c>
    </row>
    <row r="2501" spans="1:16" x14ac:dyDescent="0.25">
      <c r="A2501" t="s">
        <v>5715</v>
      </c>
      <c r="B2501" s="6">
        <v>44574</v>
      </c>
      <c r="C2501">
        <v>7371</v>
      </c>
      <c r="D2501" t="s">
        <v>5716</v>
      </c>
      <c r="E2501" t="s">
        <v>38</v>
      </c>
      <c r="F2501" t="s">
        <v>47</v>
      </c>
      <c r="G2501">
        <v>6990.83</v>
      </c>
      <c r="H2501">
        <v>3548.39</v>
      </c>
      <c r="I2501" t="s">
        <v>68</v>
      </c>
      <c r="J2501" t="s">
        <v>41</v>
      </c>
      <c r="K2501" t="s">
        <v>80</v>
      </c>
      <c r="L2501" t="s">
        <v>23</v>
      </c>
      <c r="M2501">
        <v>2</v>
      </c>
      <c r="N2501" t="s">
        <v>69</v>
      </c>
      <c r="O2501" t="s">
        <v>25</v>
      </c>
      <c r="P2501" t="s">
        <v>26</v>
      </c>
    </row>
    <row r="2502" spans="1:16" x14ac:dyDescent="0.25">
      <c r="A2502" t="s">
        <v>5717</v>
      </c>
      <c r="B2502" s="6">
        <v>45560</v>
      </c>
      <c r="C2502">
        <v>4195</v>
      </c>
      <c r="D2502" t="s">
        <v>5718</v>
      </c>
      <c r="E2502" t="s">
        <v>38</v>
      </c>
      <c r="F2502" t="s">
        <v>39</v>
      </c>
      <c r="G2502">
        <v>14794.25</v>
      </c>
      <c r="H2502">
        <v>7409.68</v>
      </c>
      <c r="I2502" t="s">
        <v>40</v>
      </c>
      <c r="J2502" t="s">
        <v>41</v>
      </c>
      <c r="K2502" t="s">
        <v>22</v>
      </c>
      <c r="L2502" t="s">
        <v>64</v>
      </c>
      <c r="M2502">
        <v>1</v>
      </c>
      <c r="N2502" t="s">
        <v>69</v>
      </c>
      <c r="O2502" t="s">
        <v>70</v>
      </c>
      <c r="P2502" t="s">
        <v>26</v>
      </c>
    </row>
    <row r="2503" spans="1:16" x14ac:dyDescent="0.25">
      <c r="A2503" t="s">
        <v>5719</v>
      </c>
      <c r="B2503" s="6">
        <v>44648</v>
      </c>
      <c r="C2503">
        <v>1418</v>
      </c>
      <c r="D2503" t="s">
        <v>5721</v>
      </c>
      <c r="E2503" t="s">
        <v>38</v>
      </c>
      <c r="F2503" t="s">
        <v>30</v>
      </c>
      <c r="G2503">
        <v>58624.66</v>
      </c>
      <c r="H2503">
        <v>35163.410000000003</v>
      </c>
      <c r="I2503" t="s">
        <v>20</v>
      </c>
      <c r="J2503" t="s">
        <v>21</v>
      </c>
      <c r="K2503" t="s">
        <v>80</v>
      </c>
      <c r="L2503" t="s">
        <v>64</v>
      </c>
      <c r="M2503">
        <v>4</v>
      </c>
      <c r="N2503" t="s">
        <v>33</v>
      </c>
      <c r="O2503" t="s">
        <v>25</v>
      </c>
      <c r="P2503" t="s">
        <v>26</v>
      </c>
    </row>
    <row r="2504" spans="1:16" x14ac:dyDescent="0.25">
      <c r="A2504" t="s">
        <v>5722</v>
      </c>
      <c r="B2504" s="6">
        <v>44238</v>
      </c>
      <c r="C2504">
        <v>8456</v>
      </c>
      <c r="D2504" t="s">
        <v>5723</v>
      </c>
      <c r="E2504" t="s">
        <v>38</v>
      </c>
      <c r="F2504" t="s">
        <v>58</v>
      </c>
      <c r="G2504">
        <v>13516.77</v>
      </c>
      <c r="H2504">
        <v>8070.98</v>
      </c>
      <c r="I2504" t="s">
        <v>40</v>
      </c>
      <c r="J2504" t="s">
        <v>41</v>
      </c>
      <c r="K2504" t="s">
        <v>22</v>
      </c>
      <c r="L2504" t="s">
        <v>23</v>
      </c>
      <c r="M2504">
        <v>5</v>
      </c>
      <c r="N2504" t="s">
        <v>69</v>
      </c>
      <c r="O2504" t="s">
        <v>70</v>
      </c>
      <c r="P2504" t="s">
        <v>49</v>
      </c>
    </row>
    <row r="2505" spans="1:16" x14ac:dyDescent="0.25">
      <c r="A2505" t="s">
        <v>5724</v>
      </c>
      <c r="B2505" s="6">
        <v>43923</v>
      </c>
      <c r="C2505">
        <v>9992</v>
      </c>
      <c r="D2505" t="s">
        <v>5725</v>
      </c>
      <c r="E2505" t="s">
        <v>18</v>
      </c>
      <c r="F2505" t="s">
        <v>58</v>
      </c>
      <c r="G2505">
        <v>19072.71</v>
      </c>
      <c r="H2505">
        <v>11075.81</v>
      </c>
      <c r="I2505" t="s">
        <v>84</v>
      </c>
      <c r="J2505" t="s">
        <v>54</v>
      </c>
      <c r="K2505" t="s">
        <v>22</v>
      </c>
      <c r="L2505" t="s">
        <v>43</v>
      </c>
      <c r="M2505">
        <v>5</v>
      </c>
      <c r="N2505" t="s">
        <v>69</v>
      </c>
      <c r="O2505" t="s">
        <v>70</v>
      </c>
      <c r="P2505" t="s">
        <v>26</v>
      </c>
    </row>
    <row r="2506" spans="1:16" x14ac:dyDescent="0.25">
      <c r="A2506" t="s">
        <v>5726</v>
      </c>
      <c r="B2506" s="6">
        <v>44988</v>
      </c>
      <c r="C2506">
        <v>7833</v>
      </c>
      <c r="D2506" t="s">
        <v>5727</v>
      </c>
      <c r="E2506" t="s">
        <v>38</v>
      </c>
      <c r="F2506" t="s">
        <v>47</v>
      </c>
      <c r="G2506">
        <v>6317.72</v>
      </c>
      <c r="H2506">
        <v>4062.12</v>
      </c>
      <c r="I2506" t="s">
        <v>53</v>
      </c>
      <c r="J2506" t="s">
        <v>54</v>
      </c>
      <c r="K2506" t="s">
        <v>42</v>
      </c>
      <c r="L2506" t="s">
        <v>55</v>
      </c>
      <c r="M2506">
        <v>4</v>
      </c>
      <c r="N2506" t="s">
        <v>24</v>
      </c>
      <c r="O2506" t="s">
        <v>70</v>
      </c>
      <c r="P2506" t="s">
        <v>26</v>
      </c>
    </row>
    <row r="2507" spans="1:16" x14ac:dyDescent="0.25">
      <c r="A2507" t="s">
        <v>5728</v>
      </c>
      <c r="B2507" s="6">
        <v>45443</v>
      </c>
      <c r="C2507">
        <v>1887</v>
      </c>
      <c r="D2507" t="s">
        <v>5016</v>
      </c>
      <c r="E2507" t="s">
        <v>18</v>
      </c>
      <c r="F2507" t="s">
        <v>58</v>
      </c>
      <c r="G2507">
        <v>57417.63</v>
      </c>
      <c r="H2507">
        <v>33738.589999999997</v>
      </c>
      <c r="I2507" t="s">
        <v>84</v>
      </c>
      <c r="J2507" t="s">
        <v>54</v>
      </c>
      <c r="K2507" t="s">
        <v>32</v>
      </c>
      <c r="L2507" t="s">
        <v>88</v>
      </c>
      <c r="M2507">
        <v>1</v>
      </c>
      <c r="N2507" t="s">
        <v>24</v>
      </c>
      <c r="O2507" t="s">
        <v>25</v>
      </c>
      <c r="P2507" t="s">
        <v>34</v>
      </c>
    </row>
    <row r="2508" spans="1:16" x14ac:dyDescent="0.25">
      <c r="A2508" t="s">
        <v>5729</v>
      </c>
      <c r="B2508" s="6">
        <v>44314</v>
      </c>
      <c r="C2508">
        <v>5615</v>
      </c>
      <c r="D2508" t="s">
        <v>5730</v>
      </c>
      <c r="E2508" t="s">
        <v>38</v>
      </c>
      <c r="F2508" t="s">
        <v>19</v>
      </c>
      <c r="G2508">
        <v>3557.64</v>
      </c>
      <c r="H2508">
        <v>2250.27</v>
      </c>
      <c r="I2508" t="s">
        <v>20</v>
      </c>
      <c r="J2508" t="s">
        <v>21</v>
      </c>
      <c r="K2508" t="s">
        <v>32</v>
      </c>
      <c r="L2508" t="s">
        <v>64</v>
      </c>
      <c r="M2508">
        <v>4</v>
      </c>
      <c r="N2508" t="s">
        <v>33</v>
      </c>
      <c r="O2508" t="s">
        <v>25</v>
      </c>
      <c r="P2508" t="s">
        <v>49</v>
      </c>
    </row>
    <row r="2509" spans="1:16" x14ac:dyDescent="0.25">
      <c r="A2509" t="s">
        <v>5731</v>
      </c>
      <c r="B2509" s="6">
        <v>45109</v>
      </c>
      <c r="C2509">
        <v>1313</v>
      </c>
      <c r="D2509" t="s">
        <v>5732</v>
      </c>
      <c r="E2509" t="s">
        <v>18</v>
      </c>
      <c r="F2509" t="s">
        <v>47</v>
      </c>
      <c r="G2509">
        <v>6105.99</v>
      </c>
      <c r="H2509">
        <v>2779.81</v>
      </c>
      <c r="I2509" t="s">
        <v>20</v>
      </c>
      <c r="J2509" t="s">
        <v>21</v>
      </c>
      <c r="K2509" t="s">
        <v>80</v>
      </c>
      <c r="L2509" t="s">
        <v>48</v>
      </c>
      <c r="M2509">
        <v>3</v>
      </c>
      <c r="N2509" t="s">
        <v>69</v>
      </c>
      <c r="O2509" t="s">
        <v>25</v>
      </c>
      <c r="P2509" t="s">
        <v>34</v>
      </c>
    </row>
    <row r="2510" spans="1:16" x14ac:dyDescent="0.25">
      <c r="A2510" t="s">
        <v>5733</v>
      </c>
      <c r="B2510" s="6">
        <v>43994</v>
      </c>
      <c r="C2510">
        <v>6450</v>
      </c>
      <c r="D2510" t="s">
        <v>5734</v>
      </c>
      <c r="E2510" t="s">
        <v>18</v>
      </c>
      <c r="F2510" t="s">
        <v>30</v>
      </c>
      <c r="G2510">
        <v>50278.7</v>
      </c>
      <c r="H2510">
        <v>25364.42</v>
      </c>
      <c r="I2510" t="s">
        <v>20</v>
      </c>
      <c r="J2510" t="s">
        <v>21</v>
      </c>
      <c r="K2510" t="s">
        <v>80</v>
      </c>
      <c r="L2510" t="s">
        <v>48</v>
      </c>
      <c r="M2510">
        <v>1</v>
      </c>
      <c r="N2510" t="s">
        <v>33</v>
      </c>
      <c r="O2510" t="s">
        <v>25</v>
      </c>
      <c r="P2510" t="s">
        <v>34</v>
      </c>
    </row>
    <row r="2511" spans="1:16" x14ac:dyDescent="0.25">
      <c r="A2511" t="s">
        <v>5735</v>
      </c>
      <c r="B2511" s="6">
        <v>45014</v>
      </c>
      <c r="C2511">
        <v>1972</v>
      </c>
      <c r="D2511" t="s">
        <v>5736</v>
      </c>
      <c r="E2511" t="s">
        <v>18</v>
      </c>
      <c r="F2511" t="s">
        <v>47</v>
      </c>
      <c r="G2511">
        <v>11786.97</v>
      </c>
      <c r="H2511">
        <v>5985.28</v>
      </c>
      <c r="I2511" t="s">
        <v>63</v>
      </c>
      <c r="J2511" t="s">
        <v>54</v>
      </c>
      <c r="K2511" t="s">
        <v>80</v>
      </c>
      <c r="L2511" t="s">
        <v>43</v>
      </c>
      <c r="M2511">
        <v>2</v>
      </c>
      <c r="N2511" t="s">
        <v>24</v>
      </c>
      <c r="O2511" t="s">
        <v>70</v>
      </c>
      <c r="P2511" t="s">
        <v>34</v>
      </c>
    </row>
    <row r="2512" spans="1:16" x14ac:dyDescent="0.25">
      <c r="A2512" t="s">
        <v>5737</v>
      </c>
      <c r="B2512" s="6">
        <v>43933</v>
      </c>
      <c r="C2512">
        <v>6841</v>
      </c>
      <c r="D2512" t="s">
        <v>5738</v>
      </c>
      <c r="E2512" t="s">
        <v>38</v>
      </c>
      <c r="F2512" t="s">
        <v>47</v>
      </c>
      <c r="G2512">
        <v>8188.57</v>
      </c>
      <c r="H2512">
        <v>5141.87</v>
      </c>
      <c r="I2512" t="s">
        <v>53</v>
      </c>
      <c r="J2512" t="s">
        <v>54</v>
      </c>
      <c r="K2512" t="s">
        <v>42</v>
      </c>
      <c r="L2512" t="s">
        <v>43</v>
      </c>
      <c r="M2512">
        <v>4</v>
      </c>
      <c r="N2512" t="s">
        <v>33</v>
      </c>
      <c r="O2512" t="s">
        <v>70</v>
      </c>
      <c r="P2512" t="s">
        <v>26</v>
      </c>
    </row>
    <row r="2513" spans="1:16" x14ac:dyDescent="0.25">
      <c r="A2513" t="s">
        <v>5739</v>
      </c>
      <c r="B2513" s="6">
        <v>44564</v>
      </c>
      <c r="C2513">
        <v>3213</v>
      </c>
      <c r="D2513" t="s">
        <v>4889</v>
      </c>
      <c r="E2513" t="s">
        <v>18</v>
      </c>
      <c r="F2513" t="s">
        <v>30</v>
      </c>
      <c r="G2513">
        <v>40744.339999999997</v>
      </c>
      <c r="H2513">
        <v>24280.46</v>
      </c>
      <c r="I2513" t="s">
        <v>120</v>
      </c>
      <c r="J2513" t="s">
        <v>21</v>
      </c>
      <c r="K2513" t="s">
        <v>42</v>
      </c>
      <c r="L2513" t="s">
        <v>64</v>
      </c>
      <c r="M2513">
        <v>3</v>
      </c>
      <c r="N2513" t="s">
        <v>33</v>
      </c>
      <c r="O2513" t="s">
        <v>25</v>
      </c>
      <c r="P2513" t="s">
        <v>26</v>
      </c>
    </row>
    <row r="2514" spans="1:16" x14ac:dyDescent="0.25">
      <c r="A2514" t="s">
        <v>5740</v>
      </c>
      <c r="B2514" s="6">
        <v>45183</v>
      </c>
      <c r="C2514">
        <v>3520</v>
      </c>
      <c r="D2514" t="s">
        <v>2191</v>
      </c>
      <c r="E2514" t="s">
        <v>38</v>
      </c>
      <c r="F2514" t="s">
        <v>30</v>
      </c>
      <c r="G2514">
        <v>84334.29</v>
      </c>
      <c r="H2514">
        <v>40189.65</v>
      </c>
      <c r="I2514" t="s">
        <v>20</v>
      </c>
      <c r="J2514" t="s">
        <v>21</v>
      </c>
      <c r="K2514" t="s">
        <v>42</v>
      </c>
      <c r="L2514" t="s">
        <v>55</v>
      </c>
      <c r="M2514">
        <v>3</v>
      </c>
      <c r="N2514" t="s">
        <v>33</v>
      </c>
      <c r="O2514" t="s">
        <v>25</v>
      </c>
      <c r="P2514" t="s">
        <v>34</v>
      </c>
    </row>
    <row r="2515" spans="1:16" x14ac:dyDescent="0.25">
      <c r="A2515" t="s">
        <v>5741</v>
      </c>
      <c r="B2515" s="6">
        <v>45289</v>
      </c>
      <c r="C2515">
        <v>8915</v>
      </c>
      <c r="D2515" t="s">
        <v>5742</v>
      </c>
      <c r="E2515" t="s">
        <v>38</v>
      </c>
      <c r="F2515" t="s">
        <v>58</v>
      </c>
      <c r="G2515">
        <v>30109.25</v>
      </c>
      <c r="H2515">
        <v>17703.88</v>
      </c>
      <c r="I2515" t="s">
        <v>63</v>
      </c>
      <c r="J2515" t="s">
        <v>54</v>
      </c>
      <c r="K2515" t="s">
        <v>80</v>
      </c>
      <c r="L2515" t="s">
        <v>64</v>
      </c>
      <c r="M2515">
        <v>5</v>
      </c>
      <c r="N2515" t="s">
        <v>33</v>
      </c>
      <c r="O2515" t="s">
        <v>25</v>
      </c>
      <c r="P2515" t="s">
        <v>26</v>
      </c>
    </row>
    <row r="2516" spans="1:16" x14ac:dyDescent="0.25">
      <c r="A2516" t="s">
        <v>5743</v>
      </c>
      <c r="B2516" s="6">
        <v>44437</v>
      </c>
      <c r="C2516">
        <v>2138</v>
      </c>
      <c r="D2516" t="s">
        <v>5744</v>
      </c>
      <c r="E2516" t="s">
        <v>38</v>
      </c>
      <c r="F2516" t="s">
        <v>58</v>
      </c>
      <c r="G2516">
        <v>20051.830000000002</v>
      </c>
      <c r="H2516">
        <v>10072.530000000001</v>
      </c>
      <c r="I2516" t="s">
        <v>84</v>
      </c>
      <c r="J2516" t="s">
        <v>54</v>
      </c>
      <c r="K2516" t="s">
        <v>22</v>
      </c>
      <c r="L2516" t="s">
        <v>23</v>
      </c>
      <c r="M2516">
        <v>3</v>
      </c>
      <c r="N2516" t="s">
        <v>33</v>
      </c>
      <c r="O2516" t="s">
        <v>25</v>
      </c>
      <c r="P2516" t="s">
        <v>34</v>
      </c>
    </row>
    <row r="2517" spans="1:16" x14ac:dyDescent="0.25">
      <c r="A2517" t="s">
        <v>5745</v>
      </c>
      <c r="B2517" s="6">
        <v>44932</v>
      </c>
      <c r="C2517">
        <v>6863</v>
      </c>
      <c r="D2517" t="s">
        <v>5746</v>
      </c>
      <c r="E2517" t="s">
        <v>18</v>
      </c>
      <c r="F2517" t="s">
        <v>39</v>
      </c>
      <c r="G2517">
        <v>36957.39</v>
      </c>
      <c r="H2517">
        <v>17633.47</v>
      </c>
      <c r="I2517" t="s">
        <v>84</v>
      </c>
      <c r="J2517" t="s">
        <v>54</v>
      </c>
      <c r="K2517" t="s">
        <v>80</v>
      </c>
      <c r="L2517" t="s">
        <v>55</v>
      </c>
      <c r="M2517">
        <v>5</v>
      </c>
      <c r="N2517" t="s">
        <v>24</v>
      </c>
      <c r="O2517" t="s">
        <v>70</v>
      </c>
      <c r="P2517" t="s">
        <v>26</v>
      </c>
    </row>
    <row r="2518" spans="1:16" x14ac:dyDescent="0.25">
      <c r="A2518" t="s">
        <v>5747</v>
      </c>
      <c r="B2518" s="6">
        <v>45440</v>
      </c>
      <c r="C2518">
        <v>2523</v>
      </c>
      <c r="D2518" t="s">
        <v>5748</v>
      </c>
      <c r="E2518" t="s">
        <v>18</v>
      </c>
      <c r="F2518" t="s">
        <v>47</v>
      </c>
      <c r="G2518">
        <v>8511.73</v>
      </c>
      <c r="H2518">
        <v>5208.63</v>
      </c>
      <c r="I2518" t="s">
        <v>84</v>
      </c>
      <c r="J2518" t="s">
        <v>54</v>
      </c>
      <c r="K2518" t="s">
        <v>80</v>
      </c>
      <c r="L2518" t="s">
        <v>48</v>
      </c>
      <c r="M2518">
        <v>3</v>
      </c>
      <c r="N2518" t="s">
        <v>24</v>
      </c>
      <c r="O2518" t="s">
        <v>25</v>
      </c>
      <c r="P2518" t="s">
        <v>49</v>
      </c>
    </row>
    <row r="2519" spans="1:16" x14ac:dyDescent="0.25">
      <c r="A2519" t="s">
        <v>5749</v>
      </c>
      <c r="B2519" s="6">
        <v>44799</v>
      </c>
      <c r="C2519">
        <v>5513</v>
      </c>
      <c r="D2519" t="s">
        <v>5750</v>
      </c>
      <c r="E2519" t="s">
        <v>18</v>
      </c>
      <c r="F2519" t="s">
        <v>47</v>
      </c>
      <c r="G2519">
        <v>9699.0400000000009</v>
      </c>
      <c r="H2519">
        <v>5173.49</v>
      </c>
      <c r="I2519" t="s">
        <v>31</v>
      </c>
      <c r="J2519" t="s">
        <v>21</v>
      </c>
      <c r="K2519" t="s">
        <v>22</v>
      </c>
      <c r="L2519" t="s">
        <v>43</v>
      </c>
      <c r="M2519">
        <v>3</v>
      </c>
      <c r="N2519" t="s">
        <v>33</v>
      </c>
      <c r="O2519" t="s">
        <v>70</v>
      </c>
      <c r="P2519" t="s">
        <v>34</v>
      </c>
    </row>
    <row r="2520" spans="1:16" x14ac:dyDescent="0.25">
      <c r="A2520" t="s">
        <v>5751</v>
      </c>
      <c r="B2520" s="6">
        <v>44578</v>
      </c>
      <c r="C2520">
        <v>4286</v>
      </c>
      <c r="D2520" t="s">
        <v>5752</v>
      </c>
      <c r="E2520" t="s">
        <v>38</v>
      </c>
      <c r="F2520" t="s">
        <v>39</v>
      </c>
      <c r="G2520">
        <v>7700.82</v>
      </c>
      <c r="H2520">
        <v>4189.46</v>
      </c>
      <c r="I2520" t="s">
        <v>120</v>
      </c>
      <c r="J2520" t="s">
        <v>21</v>
      </c>
      <c r="K2520" t="s">
        <v>80</v>
      </c>
      <c r="L2520" t="s">
        <v>43</v>
      </c>
      <c r="M2520">
        <v>5</v>
      </c>
      <c r="N2520" t="s">
        <v>33</v>
      </c>
      <c r="O2520" t="s">
        <v>25</v>
      </c>
      <c r="P2520" t="s">
        <v>49</v>
      </c>
    </row>
    <row r="2521" spans="1:16" x14ac:dyDescent="0.25">
      <c r="A2521" t="s">
        <v>5753</v>
      </c>
      <c r="B2521" s="6">
        <v>45087</v>
      </c>
      <c r="C2521">
        <v>5553</v>
      </c>
      <c r="D2521" t="s">
        <v>5754</v>
      </c>
      <c r="E2521" t="s">
        <v>18</v>
      </c>
      <c r="F2521" t="s">
        <v>19</v>
      </c>
      <c r="G2521">
        <v>5464.26</v>
      </c>
      <c r="H2521">
        <v>3393.84</v>
      </c>
      <c r="I2521" t="s">
        <v>63</v>
      </c>
      <c r="J2521" t="s">
        <v>54</v>
      </c>
      <c r="K2521" t="s">
        <v>32</v>
      </c>
      <c r="L2521" t="s">
        <v>55</v>
      </c>
      <c r="M2521">
        <v>5</v>
      </c>
      <c r="N2521" t="s">
        <v>24</v>
      </c>
      <c r="O2521" t="s">
        <v>25</v>
      </c>
      <c r="P2521" t="s">
        <v>49</v>
      </c>
    </row>
    <row r="2522" spans="1:16" x14ac:dyDescent="0.25">
      <c r="A2522" t="s">
        <v>5755</v>
      </c>
      <c r="B2522" s="6">
        <v>44857</v>
      </c>
      <c r="C2522">
        <v>2652</v>
      </c>
      <c r="D2522" t="s">
        <v>5756</v>
      </c>
      <c r="E2522" t="s">
        <v>38</v>
      </c>
      <c r="F2522" t="s">
        <v>19</v>
      </c>
      <c r="G2522">
        <v>8143.98</v>
      </c>
      <c r="H2522">
        <v>4418.26</v>
      </c>
      <c r="I2522" t="s">
        <v>20</v>
      </c>
      <c r="J2522" t="s">
        <v>21</v>
      </c>
      <c r="K2522" t="s">
        <v>32</v>
      </c>
      <c r="L2522" t="s">
        <v>64</v>
      </c>
      <c r="M2522">
        <v>2</v>
      </c>
      <c r="N2522" t="s">
        <v>33</v>
      </c>
      <c r="O2522" t="s">
        <v>25</v>
      </c>
      <c r="P2522" t="s">
        <v>26</v>
      </c>
    </row>
    <row r="2523" spans="1:16" x14ac:dyDescent="0.25">
      <c r="A2523" t="s">
        <v>5757</v>
      </c>
      <c r="B2523" s="6">
        <v>45141</v>
      </c>
      <c r="C2523">
        <v>2808</v>
      </c>
      <c r="D2523" t="s">
        <v>5758</v>
      </c>
      <c r="E2523" t="s">
        <v>18</v>
      </c>
      <c r="F2523" t="s">
        <v>30</v>
      </c>
      <c r="G2523">
        <v>55348.44</v>
      </c>
      <c r="H2523">
        <v>33864.58</v>
      </c>
      <c r="I2523" t="s">
        <v>53</v>
      </c>
      <c r="J2523" t="s">
        <v>54</v>
      </c>
      <c r="K2523" t="s">
        <v>32</v>
      </c>
      <c r="L2523" t="s">
        <v>43</v>
      </c>
      <c r="M2523">
        <v>1</v>
      </c>
      <c r="N2523" t="s">
        <v>24</v>
      </c>
      <c r="O2523" t="s">
        <v>25</v>
      </c>
      <c r="P2523" t="s">
        <v>49</v>
      </c>
    </row>
    <row r="2524" spans="1:16" x14ac:dyDescent="0.25">
      <c r="A2524" t="s">
        <v>5759</v>
      </c>
      <c r="B2524" s="6">
        <v>45611</v>
      </c>
      <c r="C2524">
        <v>9749</v>
      </c>
      <c r="D2524" t="s">
        <v>5760</v>
      </c>
      <c r="E2524" t="s">
        <v>38</v>
      </c>
      <c r="F2524" t="s">
        <v>47</v>
      </c>
      <c r="G2524">
        <v>13028.86</v>
      </c>
      <c r="H2524">
        <v>6291.91</v>
      </c>
      <c r="I2524" t="s">
        <v>68</v>
      </c>
      <c r="J2524" t="s">
        <v>41</v>
      </c>
      <c r="K2524" t="s">
        <v>22</v>
      </c>
      <c r="L2524" t="s">
        <v>43</v>
      </c>
      <c r="M2524">
        <v>4</v>
      </c>
      <c r="N2524" t="s">
        <v>33</v>
      </c>
      <c r="O2524" t="s">
        <v>25</v>
      </c>
      <c r="P2524" t="s">
        <v>26</v>
      </c>
    </row>
    <row r="2525" spans="1:16" x14ac:dyDescent="0.25">
      <c r="A2525" t="s">
        <v>5761</v>
      </c>
      <c r="B2525" s="6">
        <v>45098</v>
      </c>
      <c r="C2525">
        <v>4167</v>
      </c>
      <c r="D2525" t="s">
        <v>5763</v>
      </c>
      <c r="E2525" t="s">
        <v>38</v>
      </c>
      <c r="F2525" t="s">
        <v>19</v>
      </c>
      <c r="G2525">
        <v>15918.65</v>
      </c>
      <c r="H2525">
        <v>7359.87</v>
      </c>
      <c r="I2525" t="s">
        <v>120</v>
      </c>
      <c r="J2525" t="s">
        <v>21</v>
      </c>
      <c r="K2525" t="s">
        <v>42</v>
      </c>
      <c r="L2525" t="s">
        <v>23</v>
      </c>
      <c r="M2525">
        <v>4</v>
      </c>
      <c r="N2525" t="s">
        <v>69</v>
      </c>
      <c r="O2525" t="s">
        <v>25</v>
      </c>
      <c r="P2525" t="s">
        <v>49</v>
      </c>
    </row>
    <row r="2526" spans="1:16" x14ac:dyDescent="0.25">
      <c r="A2526" t="s">
        <v>5764</v>
      </c>
      <c r="B2526" s="6">
        <v>45179</v>
      </c>
      <c r="C2526">
        <v>8130</v>
      </c>
      <c r="D2526" t="s">
        <v>5765</v>
      </c>
      <c r="E2526" t="s">
        <v>38</v>
      </c>
      <c r="F2526" t="s">
        <v>39</v>
      </c>
      <c r="G2526">
        <v>21284.95</v>
      </c>
      <c r="H2526">
        <v>12600.63</v>
      </c>
      <c r="I2526" t="s">
        <v>84</v>
      </c>
      <c r="J2526" t="s">
        <v>54</v>
      </c>
      <c r="K2526" t="s">
        <v>22</v>
      </c>
      <c r="L2526" t="s">
        <v>88</v>
      </c>
      <c r="M2526">
        <v>3</v>
      </c>
      <c r="N2526" t="s">
        <v>33</v>
      </c>
      <c r="O2526" t="s">
        <v>25</v>
      </c>
      <c r="P2526" t="s">
        <v>49</v>
      </c>
    </row>
    <row r="2527" spans="1:16" x14ac:dyDescent="0.25">
      <c r="A2527" t="s">
        <v>5766</v>
      </c>
      <c r="B2527" s="6">
        <v>43953</v>
      </c>
      <c r="C2527">
        <v>1834</v>
      </c>
      <c r="D2527" t="s">
        <v>5767</v>
      </c>
      <c r="E2527" t="s">
        <v>38</v>
      </c>
      <c r="F2527" t="s">
        <v>39</v>
      </c>
      <c r="G2527">
        <v>15576.75</v>
      </c>
      <c r="H2527">
        <v>9425.5</v>
      </c>
      <c r="I2527" t="s">
        <v>53</v>
      </c>
      <c r="J2527" t="s">
        <v>54</v>
      </c>
      <c r="K2527" t="s">
        <v>80</v>
      </c>
      <c r="L2527" t="s">
        <v>43</v>
      </c>
      <c r="M2527">
        <v>4</v>
      </c>
      <c r="N2527" t="s">
        <v>33</v>
      </c>
      <c r="O2527" t="s">
        <v>25</v>
      </c>
      <c r="P2527" t="s">
        <v>49</v>
      </c>
    </row>
    <row r="2528" spans="1:16" x14ac:dyDescent="0.25">
      <c r="A2528" t="s">
        <v>5768</v>
      </c>
      <c r="B2528" s="6">
        <v>45096</v>
      </c>
      <c r="C2528">
        <v>3520</v>
      </c>
      <c r="D2528" t="s">
        <v>5769</v>
      </c>
      <c r="E2528" t="s">
        <v>38</v>
      </c>
      <c r="F2528" t="s">
        <v>30</v>
      </c>
      <c r="G2528">
        <v>109636.81</v>
      </c>
      <c r="H2528">
        <v>65620.72</v>
      </c>
      <c r="I2528" t="s">
        <v>84</v>
      </c>
      <c r="J2528" t="s">
        <v>54</v>
      </c>
      <c r="K2528" t="s">
        <v>42</v>
      </c>
      <c r="L2528" t="s">
        <v>43</v>
      </c>
      <c r="M2528">
        <v>4</v>
      </c>
      <c r="N2528" t="s">
        <v>24</v>
      </c>
      <c r="O2528" t="s">
        <v>70</v>
      </c>
      <c r="P2528" t="s">
        <v>26</v>
      </c>
    </row>
    <row r="2529" spans="1:16" x14ac:dyDescent="0.25">
      <c r="A2529" t="s">
        <v>5770</v>
      </c>
      <c r="B2529" s="6">
        <v>45597</v>
      </c>
      <c r="C2529">
        <v>4193</v>
      </c>
      <c r="D2529" t="s">
        <v>1642</v>
      </c>
      <c r="E2529" t="s">
        <v>38</v>
      </c>
      <c r="F2529" t="s">
        <v>58</v>
      </c>
      <c r="G2529">
        <v>21647.83</v>
      </c>
      <c r="H2529">
        <v>13309.13</v>
      </c>
      <c r="I2529" t="s">
        <v>59</v>
      </c>
      <c r="J2529" t="s">
        <v>41</v>
      </c>
      <c r="K2529" t="s">
        <v>42</v>
      </c>
      <c r="L2529" t="s">
        <v>88</v>
      </c>
      <c r="M2529">
        <v>4</v>
      </c>
      <c r="N2529" t="s">
        <v>24</v>
      </c>
      <c r="O2529" t="s">
        <v>25</v>
      </c>
      <c r="P2529" t="s">
        <v>34</v>
      </c>
    </row>
    <row r="2530" spans="1:16" x14ac:dyDescent="0.25">
      <c r="A2530" t="s">
        <v>5771</v>
      </c>
      <c r="B2530" s="6">
        <v>45051</v>
      </c>
      <c r="C2530">
        <v>8935</v>
      </c>
      <c r="D2530" t="s">
        <v>2996</v>
      </c>
      <c r="E2530" t="s">
        <v>18</v>
      </c>
      <c r="F2530" t="s">
        <v>47</v>
      </c>
      <c r="G2530">
        <v>11969.98</v>
      </c>
      <c r="H2530">
        <v>7396.27</v>
      </c>
      <c r="I2530" t="s">
        <v>40</v>
      </c>
      <c r="J2530" t="s">
        <v>41</v>
      </c>
      <c r="K2530" t="s">
        <v>42</v>
      </c>
      <c r="L2530" t="s">
        <v>23</v>
      </c>
      <c r="M2530">
        <v>5</v>
      </c>
      <c r="N2530" t="s">
        <v>24</v>
      </c>
      <c r="O2530" t="s">
        <v>25</v>
      </c>
      <c r="P2530" t="s">
        <v>49</v>
      </c>
    </row>
    <row r="2531" spans="1:16" x14ac:dyDescent="0.25">
      <c r="A2531" t="s">
        <v>5772</v>
      </c>
      <c r="B2531" s="6">
        <v>45180</v>
      </c>
      <c r="C2531">
        <v>2972</v>
      </c>
      <c r="D2531" t="s">
        <v>5774</v>
      </c>
      <c r="E2531" t="s">
        <v>38</v>
      </c>
      <c r="F2531" t="s">
        <v>19</v>
      </c>
      <c r="G2531">
        <v>7277.28</v>
      </c>
      <c r="H2531">
        <v>3858.85</v>
      </c>
      <c r="I2531" t="s">
        <v>20</v>
      </c>
      <c r="J2531" t="s">
        <v>21</v>
      </c>
      <c r="K2531" t="s">
        <v>22</v>
      </c>
      <c r="L2531" t="s">
        <v>64</v>
      </c>
      <c r="M2531">
        <v>3</v>
      </c>
      <c r="N2531" t="s">
        <v>69</v>
      </c>
      <c r="O2531" t="s">
        <v>70</v>
      </c>
      <c r="P2531" t="s">
        <v>34</v>
      </c>
    </row>
    <row r="2532" spans="1:16" x14ac:dyDescent="0.25">
      <c r="A2532" t="s">
        <v>5775</v>
      </c>
      <c r="B2532" s="6">
        <v>45322</v>
      </c>
      <c r="C2532">
        <v>5808</v>
      </c>
      <c r="D2532" t="s">
        <v>5776</v>
      </c>
      <c r="E2532" t="s">
        <v>18</v>
      </c>
      <c r="F2532" t="s">
        <v>39</v>
      </c>
      <c r="G2532">
        <v>20448.419999999998</v>
      </c>
      <c r="H2532">
        <v>9609.1299999999992</v>
      </c>
      <c r="I2532" t="s">
        <v>63</v>
      </c>
      <c r="J2532" t="s">
        <v>54</v>
      </c>
      <c r="K2532" t="s">
        <v>80</v>
      </c>
      <c r="L2532" t="s">
        <v>64</v>
      </c>
      <c r="M2532">
        <v>4</v>
      </c>
      <c r="N2532" t="s">
        <v>33</v>
      </c>
      <c r="O2532" t="s">
        <v>25</v>
      </c>
      <c r="P2532" t="s">
        <v>26</v>
      </c>
    </row>
    <row r="2533" spans="1:16" x14ac:dyDescent="0.25">
      <c r="A2533" t="s">
        <v>5777</v>
      </c>
      <c r="B2533" s="6">
        <v>45288</v>
      </c>
      <c r="C2533">
        <v>8679</v>
      </c>
      <c r="D2533" t="s">
        <v>5778</v>
      </c>
      <c r="E2533" t="s">
        <v>18</v>
      </c>
      <c r="F2533" t="s">
        <v>47</v>
      </c>
      <c r="G2533">
        <v>11024.11</v>
      </c>
      <c r="H2533">
        <v>5430.46</v>
      </c>
      <c r="I2533" t="s">
        <v>63</v>
      </c>
      <c r="J2533" t="s">
        <v>54</v>
      </c>
      <c r="K2533" t="s">
        <v>42</v>
      </c>
      <c r="L2533" t="s">
        <v>55</v>
      </c>
      <c r="M2533">
        <v>4</v>
      </c>
      <c r="N2533" t="s">
        <v>69</v>
      </c>
      <c r="O2533" t="s">
        <v>70</v>
      </c>
      <c r="P2533" t="s">
        <v>26</v>
      </c>
    </row>
    <row r="2534" spans="1:16" x14ac:dyDescent="0.25">
      <c r="A2534" t="s">
        <v>5779</v>
      </c>
      <c r="B2534" s="6">
        <v>45304</v>
      </c>
      <c r="C2534">
        <v>5818</v>
      </c>
      <c r="D2534" t="s">
        <v>5780</v>
      </c>
      <c r="E2534" t="s">
        <v>18</v>
      </c>
      <c r="F2534" t="s">
        <v>58</v>
      </c>
      <c r="G2534">
        <v>25250.32</v>
      </c>
      <c r="H2534">
        <v>14539.51</v>
      </c>
      <c r="I2534" t="s">
        <v>59</v>
      </c>
      <c r="J2534" t="s">
        <v>41</v>
      </c>
      <c r="K2534" t="s">
        <v>80</v>
      </c>
      <c r="L2534" t="s">
        <v>48</v>
      </c>
      <c r="M2534">
        <v>4</v>
      </c>
      <c r="N2534" t="s">
        <v>24</v>
      </c>
      <c r="O2534" t="s">
        <v>25</v>
      </c>
      <c r="P2534" t="s">
        <v>26</v>
      </c>
    </row>
    <row r="2535" spans="1:16" x14ac:dyDescent="0.25">
      <c r="A2535" t="s">
        <v>5781</v>
      </c>
      <c r="B2535" s="6">
        <v>45451</v>
      </c>
      <c r="C2535">
        <v>2177</v>
      </c>
      <c r="D2535" t="s">
        <v>5783</v>
      </c>
      <c r="E2535" t="s">
        <v>38</v>
      </c>
      <c r="F2535" t="s">
        <v>58</v>
      </c>
      <c r="G2535">
        <v>29712.13</v>
      </c>
      <c r="H2535">
        <v>19261.28</v>
      </c>
      <c r="I2535" t="s">
        <v>59</v>
      </c>
      <c r="J2535" t="s">
        <v>41</v>
      </c>
      <c r="K2535" t="s">
        <v>22</v>
      </c>
      <c r="L2535" t="s">
        <v>88</v>
      </c>
      <c r="M2535">
        <v>5</v>
      </c>
      <c r="N2535" t="s">
        <v>33</v>
      </c>
      <c r="O2535" t="s">
        <v>25</v>
      </c>
      <c r="P2535" t="s">
        <v>34</v>
      </c>
    </row>
    <row r="2536" spans="1:16" x14ac:dyDescent="0.25">
      <c r="A2536" t="s">
        <v>5784</v>
      </c>
      <c r="B2536" s="6">
        <v>44801</v>
      </c>
      <c r="C2536">
        <v>3581</v>
      </c>
      <c r="D2536" t="s">
        <v>5785</v>
      </c>
      <c r="E2536" t="s">
        <v>18</v>
      </c>
      <c r="F2536" t="s">
        <v>58</v>
      </c>
      <c r="G2536">
        <v>39883.17</v>
      </c>
      <c r="H2536">
        <v>21423.94</v>
      </c>
      <c r="I2536" t="s">
        <v>53</v>
      </c>
      <c r="J2536" t="s">
        <v>54</v>
      </c>
      <c r="K2536" t="s">
        <v>22</v>
      </c>
      <c r="L2536" t="s">
        <v>64</v>
      </c>
      <c r="M2536">
        <v>1</v>
      </c>
      <c r="N2536" t="s">
        <v>33</v>
      </c>
      <c r="O2536" t="s">
        <v>70</v>
      </c>
      <c r="P2536" t="s">
        <v>34</v>
      </c>
    </row>
    <row r="2537" spans="1:16" x14ac:dyDescent="0.25">
      <c r="A2537" t="s">
        <v>5786</v>
      </c>
      <c r="B2537" s="6">
        <v>43962</v>
      </c>
      <c r="C2537">
        <v>8721</v>
      </c>
      <c r="D2537" t="s">
        <v>944</v>
      </c>
      <c r="E2537" t="s">
        <v>18</v>
      </c>
      <c r="F2537" t="s">
        <v>39</v>
      </c>
      <c r="G2537">
        <v>9079.82</v>
      </c>
      <c r="H2537">
        <v>4331.1899999999996</v>
      </c>
      <c r="I2537" t="s">
        <v>63</v>
      </c>
      <c r="J2537" t="s">
        <v>54</v>
      </c>
      <c r="K2537" t="s">
        <v>22</v>
      </c>
      <c r="L2537" t="s">
        <v>48</v>
      </c>
      <c r="M2537">
        <v>4</v>
      </c>
      <c r="N2537" t="s">
        <v>33</v>
      </c>
      <c r="O2537" t="s">
        <v>25</v>
      </c>
      <c r="P2537" t="s">
        <v>34</v>
      </c>
    </row>
    <row r="2538" spans="1:16" x14ac:dyDescent="0.25">
      <c r="A2538" t="s">
        <v>5787</v>
      </c>
      <c r="B2538" s="6">
        <v>45383</v>
      </c>
      <c r="C2538">
        <v>3568</v>
      </c>
      <c r="D2538" t="s">
        <v>5788</v>
      </c>
      <c r="E2538" t="s">
        <v>18</v>
      </c>
      <c r="F2538" t="s">
        <v>39</v>
      </c>
      <c r="G2538">
        <v>44734.5</v>
      </c>
      <c r="H2538">
        <v>23815.52</v>
      </c>
      <c r="I2538" t="s">
        <v>63</v>
      </c>
      <c r="J2538" t="s">
        <v>54</v>
      </c>
      <c r="K2538" t="s">
        <v>42</v>
      </c>
      <c r="L2538" t="s">
        <v>23</v>
      </c>
      <c r="M2538">
        <v>3</v>
      </c>
      <c r="N2538" t="s">
        <v>33</v>
      </c>
      <c r="O2538" t="s">
        <v>25</v>
      </c>
      <c r="P2538" t="s">
        <v>49</v>
      </c>
    </row>
    <row r="2539" spans="1:16" x14ac:dyDescent="0.25">
      <c r="A2539" t="s">
        <v>5789</v>
      </c>
      <c r="B2539" s="6">
        <v>45114</v>
      </c>
      <c r="C2539">
        <v>2110</v>
      </c>
      <c r="D2539" t="s">
        <v>5791</v>
      </c>
      <c r="E2539" t="s">
        <v>18</v>
      </c>
      <c r="F2539" t="s">
        <v>30</v>
      </c>
      <c r="G2539">
        <v>95735.01</v>
      </c>
      <c r="H2539">
        <v>53023.68</v>
      </c>
      <c r="I2539" t="s">
        <v>20</v>
      </c>
      <c r="J2539" t="s">
        <v>21</v>
      </c>
      <c r="K2539" t="s">
        <v>42</v>
      </c>
      <c r="L2539" t="s">
        <v>64</v>
      </c>
      <c r="M2539">
        <v>2</v>
      </c>
      <c r="N2539" t="s">
        <v>33</v>
      </c>
      <c r="O2539" t="s">
        <v>25</v>
      </c>
      <c r="P2539" t="s">
        <v>34</v>
      </c>
    </row>
    <row r="2540" spans="1:16" x14ac:dyDescent="0.25">
      <c r="A2540" t="s">
        <v>5792</v>
      </c>
      <c r="B2540" s="6">
        <v>44732</v>
      </c>
      <c r="C2540">
        <v>3185</v>
      </c>
      <c r="D2540" t="s">
        <v>5794</v>
      </c>
      <c r="E2540" t="s">
        <v>38</v>
      </c>
      <c r="F2540" t="s">
        <v>30</v>
      </c>
      <c r="G2540">
        <v>15034.19</v>
      </c>
      <c r="H2540">
        <v>7123.63</v>
      </c>
      <c r="I2540" t="s">
        <v>40</v>
      </c>
      <c r="J2540" t="s">
        <v>41</v>
      </c>
      <c r="K2540" t="s">
        <v>80</v>
      </c>
      <c r="L2540" t="s">
        <v>55</v>
      </c>
      <c r="M2540">
        <v>3</v>
      </c>
      <c r="N2540" t="s">
        <v>24</v>
      </c>
      <c r="O2540" t="s">
        <v>70</v>
      </c>
      <c r="P2540" t="s">
        <v>26</v>
      </c>
    </row>
    <row r="2541" spans="1:16" x14ac:dyDescent="0.25">
      <c r="A2541" t="s">
        <v>5795</v>
      </c>
      <c r="B2541" s="6">
        <v>44849</v>
      </c>
      <c r="C2541">
        <v>9709</v>
      </c>
      <c r="D2541" t="s">
        <v>3243</v>
      </c>
      <c r="E2541" t="s">
        <v>38</v>
      </c>
      <c r="F2541" t="s">
        <v>19</v>
      </c>
      <c r="G2541">
        <v>19677.02</v>
      </c>
      <c r="H2541">
        <v>9905.16</v>
      </c>
      <c r="I2541" t="s">
        <v>63</v>
      </c>
      <c r="J2541" t="s">
        <v>54</v>
      </c>
      <c r="K2541" t="s">
        <v>22</v>
      </c>
      <c r="L2541" t="s">
        <v>23</v>
      </c>
      <c r="M2541">
        <v>2</v>
      </c>
      <c r="N2541" t="s">
        <v>33</v>
      </c>
      <c r="O2541" t="s">
        <v>70</v>
      </c>
      <c r="P2541" t="s">
        <v>49</v>
      </c>
    </row>
    <row r="2542" spans="1:16" x14ac:dyDescent="0.25">
      <c r="A2542" t="s">
        <v>5796</v>
      </c>
      <c r="B2542" s="6">
        <v>44650</v>
      </c>
      <c r="C2542">
        <v>7506</v>
      </c>
      <c r="D2542" t="s">
        <v>3621</v>
      </c>
      <c r="E2542" t="s">
        <v>18</v>
      </c>
      <c r="F2542" t="s">
        <v>30</v>
      </c>
      <c r="G2542">
        <v>56865.52</v>
      </c>
      <c r="H2542">
        <v>28393.06</v>
      </c>
      <c r="I2542" t="s">
        <v>40</v>
      </c>
      <c r="J2542" t="s">
        <v>41</v>
      </c>
      <c r="K2542" t="s">
        <v>80</v>
      </c>
      <c r="L2542" t="s">
        <v>55</v>
      </c>
      <c r="M2542">
        <v>1</v>
      </c>
      <c r="N2542" t="s">
        <v>33</v>
      </c>
      <c r="O2542" t="s">
        <v>25</v>
      </c>
      <c r="P2542" t="s">
        <v>49</v>
      </c>
    </row>
    <row r="2543" spans="1:16" x14ac:dyDescent="0.25">
      <c r="A2543" t="s">
        <v>5798</v>
      </c>
      <c r="B2543" s="6">
        <v>45592</v>
      </c>
      <c r="C2543">
        <v>6951</v>
      </c>
      <c r="D2543" t="s">
        <v>5799</v>
      </c>
      <c r="E2543" t="s">
        <v>18</v>
      </c>
      <c r="F2543" t="s">
        <v>58</v>
      </c>
      <c r="G2543">
        <v>60062.95</v>
      </c>
      <c r="H2543">
        <v>29439.93</v>
      </c>
      <c r="I2543" t="s">
        <v>53</v>
      </c>
      <c r="J2543" t="s">
        <v>54</v>
      </c>
      <c r="K2543" t="s">
        <v>42</v>
      </c>
      <c r="L2543" t="s">
        <v>43</v>
      </c>
      <c r="M2543">
        <v>3</v>
      </c>
      <c r="N2543" t="s">
        <v>33</v>
      </c>
      <c r="O2543" t="s">
        <v>70</v>
      </c>
      <c r="P2543" t="s">
        <v>26</v>
      </c>
    </row>
    <row r="2544" spans="1:16" x14ac:dyDescent="0.25">
      <c r="A2544" t="s">
        <v>5800</v>
      </c>
      <c r="B2544" s="6">
        <v>45463</v>
      </c>
      <c r="C2544">
        <v>1325</v>
      </c>
      <c r="D2544" t="s">
        <v>5802</v>
      </c>
      <c r="E2544" t="s">
        <v>18</v>
      </c>
      <c r="F2544" t="s">
        <v>39</v>
      </c>
      <c r="G2544">
        <v>34507.01</v>
      </c>
      <c r="H2544">
        <v>18927.18</v>
      </c>
      <c r="I2544" t="s">
        <v>20</v>
      </c>
      <c r="J2544" t="s">
        <v>21</v>
      </c>
      <c r="K2544" t="s">
        <v>32</v>
      </c>
      <c r="L2544" t="s">
        <v>55</v>
      </c>
      <c r="M2544">
        <v>2</v>
      </c>
      <c r="N2544" t="s">
        <v>69</v>
      </c>
      <c r="O2544" t="s">
        <v>25</v>
      </c>
      <c r="P2544" t="s">
        <v>26</v>
      </c>
    </row>
    <row r="2545" spans="1:16" x14ac:dyDescent="0.25">
      <c r="A2545" t="s">
        <v>5803</v>
      </c>
      <c r="B2545" s="6">
        <v>44920</v>
      </c>
      <c r="C2545">
        <v>6494</v>
      </c>
      <c r="D2545" t="s">
        <v>5804</v>
      </c>
      <c r="E2545" t="s">
        <v>18</v>
      </c>
      <c r="F2545" t="s">
        <v>39</v>
      </c>
      <c r="G2545">
        <v>14386.27</v>
      </c>
      <c r="H2545">
        <v>6879.91</v>
      </c>
      <c r="I2545" t="s">
        <v>84</v>
      </c>
      <c r="J2545" t="s">
        <v>54</v>
      </c>
      <c r="K2545" t="s">
        <v>42</v>
      </c>
      <c r="L2545" t="s">
        <v>64</v>
      </c>
      <c r="M2545">
        <v>1</v>
      </c>
      <c r="N2545" t="s">
        <v>24</v>
      </c>
      <c r="O2545" t="s">
        <v>25</v>
      </c>
      <c r="P2545" t="s">
        <v>26</v>
      </c>
    </row>
    <row r="2546" spans="1:16" x14ac:dyDescent="0.25">
      <c r="A2546" t="s">
        <v>5805</v>
      </c>
      <c r="B2546" s="6">
        <v>44423</v>
      </c>
      <c r="C2546">
        <v>9769</v>
      </c>
      <c r="D2546" t="s">
        <v>5806</v>
      </c>
      <c r="E2546" t="s">
        <v>38</v>
      </c>
      <c r="F2546" t="s">
        <v>19</v>
      </c>
      <c r="G2546">
        <v>4214.26</v>
      </c>
      <c r="H2546">
        <v>2604.4699999999998</v>
      </c>
      <c r="I2546" t="s">
        <v>84</v>
      </c>
      <c r="J2546" t="s">
        <v>54</v>
      </c>
      <c r="K2546" t="s">
        <v>42</v>
      </c>
      <c r="L2546" t="s">
        <v>23</v>
      </c>
      <c r="M2546">
        <v>4</v>
      </c>
      <c r="N2546" t="s">
        <v>24</v>
      </c>
      <c r="O2546" t="s">
        <v>70</v>
      </c>
      <c r="P2546" t="s">
        <v>49</v>
      </c>
    </row>
    <row r="2547" spans="1:16" x14ac:dyDescent="0.25">
      <c r="A2547" t="s">
        <v>5807</v>
      </c>
      <c r="B2547" s="6">
        <v>45353</v>
      </c>
      <c r="C2547">
        <v>7583</v>
      </c>
      <c r="D2547" t="s">
        <v>5809</v>
      </c>
      <c r="E2547" t="s">
        <v>18</v>
      </c>
      <c r="F2547" t="s">
        <v>19</v>
      </c>
      <c r="G2547">
        <v>13211.55</v>
      </c>
      <c r="H2547">
        <v>8391.85</v>
      </c>
      <c r="I2547" t="s">
        <v>31</v>
      </c>
      <c r="J2547" t="s">
        <v>21</v>
      </c>
      <c r="K2547" t="s">
        <v>32</v>
      </c>
      <c r="L2547" t="s">
        <v>55</v>
      </c>
      <c r="M2547">
        <v>1</v>
      </c>
      <c r="N2547" t="s">
        <v>24</v>
      </c>
      <c r="O2547" t="s">
        <v>25</v>
      </c>
      <c r="P2547" t="s">
        <v>49</v>
      </c>
    </row>
    <row r="2548" spans="1:16" x14ac:dyDescent="0.25">
      <c r="A2548" t="s">
        <v>5810</v>
      </c>
      <c r="B2548" s="6">
        <v>44166</v>
      </c>
      <c r="C2548">
        <v>1684</v>
      </c>
      <c r="D2548" t="s">
        <v>99</v>
      </c>
      <c r="E2548" t="s">
        <v>18</v>
      </c>
      <c r="F2548" t="s">
        <v>30</v>
      </c>
      <c r="G2548">
        <v>23660.45</v>
      </c>
      <c r="H2548">
        <v>11558.56</v>
      </c>
      <c r="I2548" t="s">
        <v>31</v>
      </c>
      <c r="J2548" t="s">
        <v>21</v>
      </c>
      <c r="K2548" t="s">
        <v>42</v>
      </c>
      <c r="L2548" t="s">
        <v>48</v>
      </c>
      <c r="M2548">
        <v>1</v>
      </c>
      <c r="N2548" t="s">
        <v>33</v>
      </c>
      <c r="O2548" t="s">
        <v>25</v>
      </c>
      <c r="P2548" t="s">
        <v>49</v>
      </c>
    </row>
    <row r="2549" spans="1:16" x14ac:dyDescent="0.25">
      <c r="A2549" t="s">
        <v>5811</v>
      </c>
      <c r="B2549" s="6">
        <v>44925</v>
      </c>
      <c r="C2549">
        <v>6591</v>
      </c>
      <c r="D2549" t="s">
        <v>5812</v>
      </c>
      <c r="E2549" t="s">
        <v>38</v>
      </c>
      <c r="F2549" t="s">
        <v>47</v>
      </c>
      <c r="G2549">
        <v>15155.38</v>
      </c>
      <c r="H2549">
        <v>8612.2199999999993</v>
      </c>
      <c r="I2549" t="s">
        <v>84</v>
      </c>
      <c r="J2549" t="s">
        <v>54</v>
      </c>
      <c r="K2549" t="s">
        <v>22</v>
      </c>
      <c r="L2549" t="s">
        <v>48</v>
      </c>
      <c r="M2549">
        <v>2</v>
      </c>
      <c r="N2549" t="s">
        <v>69</v>
      </c>
      <c r="O2549" t="s">
        <v>70</v>
      </c>
      <c r="P2549" t="s">
        <v>26</v>
      </c>
    </row>
    <row r="2550" spans="1:16" x14ac:dyDescent="0.25">
      <c r="A2550" t="s">
        <v>5813</v>
      </c>
      <c r="B2550" s="6">
        <v>44573</v>
      </c>
      <c r="C2550">
        <v>2230</v>
      </c>
      <c r="D2550" t="s">
        <v>5814</v>
      </c>
      <c r="E2550" t="s">
        <v>18</v>
      </c>
      <c r="F2550" t="s">
        <v>39</v>
      </c>
      <c r="G2550">
        <v>44538.57</v>
      </c>
      <c r="H2550">
        <v>27882.02</v>
      </c>
      <c r="I2550" t="s">
        <v>84</v>
      </c>
      <c r="J2550" t="s">
        <v>54</v>
      </c>
      <c r="K2550" t="s">
        <v>80</v>
      </c>
      <c r="L2550" t="s">
        <v>64</v>
      </c>
      <c r="M2550">
        <v>4</v>
      </c>
      <c r="N2550" t="s">
        <v>24</v>
      </c>
      <c r="O2550" t="s">
        <v>25</v>
      </c>
      <c r="P2550" t="s">
        <v>26</v>
      </c>
    </row>
    <row r="2551" spans="1:16" x14ac:dyDescent="0.25">
      <c r="A2551" t="s">
        <v>5815</v>
      </c>
      <c r="B2551" s="6">
        <v>44830</v>
      </c>
      <c r="C2551">
        <v>7496</v>
      </c>
      <c r="D2551" t="s">
        <v>5816</v>
      </c>
      <c r="E2551" t="s">
        <v>18</v>
      </c>
      <c r="F2551" t="s">
        <v>19</v>
      </c>
      <c r="G2551">
        <v>5097.3999999999996</v>
      </c>
      <c r="H2551">
        <v>3128.02</v>
      </c>
      <c r="I2551" t="s">
        <v>84</v>
      </c>
      <c r="J2551" t="s">
        <v>54</v>
      </c>
      <c r="K2551" t="s">
        <v>42</v>
      </c>
      <c r="L2551" t="s">
        <v>43</v>
      </c>
      <c r="M2551">
        <v>5</v>
      </c>
      <c r="N2551" t="s">
        <v>69</v>
      </c>
      <c r="O2551" t="s">
        <v>70</v>
      </c>
      <c r="P2551" t="s">
        <v>34</v>
      </c>
    </row>
    <row r="2552" spans="1:16" x14ac:dyDescent="0.25">
      <c r="A2552" t="s">
        <v>5817</v>
      </c>
      <c r="B2552" s="6">
        <v>45015</v>
      </c>
      <c r="C2552">
        <v>1073</v>
      </c>
      <c r="D2552" t="s">
        <v>5818</v>
      </c>
      <c r="E2552" t="s">
        <v>18</v>
      </c>
      <c r="F2552" t="s">
        <v>19</v>
      </c>
      <c r="G2552">
        <v>4033.13</v>
      </c>
      <c r="H2552">
        <v>1995.67</v>
      </c>
      <c r="I2552" t="s">
        <v>31</v>
      </c>
      <c r="J2552" t="s">
        <v>21</v>
      </c>
      <c r="K2552" t="s">
        <v>42</v>
      </c>
      <c r="L2552" t="s">
        <v>48</v>
      </c>
      <c r="M2552">
        <v>4</v>
      </c>
      <c r="N2552" t="s">
        <v>33</v>
      </c>
      <c r="O2552" t="s">
        <v>70</v>
      </c>
      <c r="P2552" t="s">
        <v>34</v>
      </c>
    </row>
    <row r="2553" spans="1:16" x14ac:dyDescent="0.25">
      <c r="A2553" t="s">
        <v>5819</v>
      </c>
      <c r="B2553" s="6">
        <v>44813</v>
      </c>
      <c r="C2553">
        <v>2581</v>
      </c>
      <c r="D2553" t="s">
        <v>5821</v>
      </c>
      <c r="E2553" t="s">
        <v>18</v>
      </c>
      <c r="F2553" t="s">
        <v>19</v>
      </c>
      <c r="G2553">
        <v>3829.14</v>
      </c>
      <c r="H2553">
        <v>2473.6</v>
      </c>
      <c r="I2553" t="s">
        <v>20</v>
      </c>
      <c r="J2553" t="s">
        <v>21</v>
      </c>
      <c r="K2553" t="s">
        <v>42</v>
      </c>
      <c r="L2553" t="s">
        <v>55</v>
      </c>
      <c r="M2553">
        <v>3</v>
      </c>
      <c r="N2553" t="s">
        <v>33</v>
      </c>
      <c r="O2553" t="s">
        <v>25</v>
      </c>
      <c r="P2553" t="s">
        <v>49</v>
      </c>
    </row>
    <row r="2554" spans="1:16" x14ac:dyDescent="0.25">
      <c r="A2554" t="s">
        <v>5822</v>
      </c>
      <c r="B2554" s="6">
        <v>44742</v>
      </c>
      <c r="C2554">
        <v>9656</v>
      </c>
      <c r="D2554" t="s">
        <v>4779</v>
      </c>
      <c r="E2554" t="s">
        <v>38</v>
      </c>
      <c r="F2554" t="s">
        <v>19</v>
      </c>
      <c r="G2554">
        <v>5590.44</v>
      </c>
      <c r="H2554">
        <v>3325.32</v>
      </c>
      <c r="I2554" t="s">
        <v>120</v>
      </c>
      <c r="J2554" t="s">
        <v>21</v>
      </c>
      <c r="K2554" t="s">
        <v>42</v>
      </c>
      <c r="L2554" t="s">
        <v>23</v>
      </c>
      <c r="M2554">
        <v>2</v>
      </c>
      <c r="N2554" t="s">
        <v>24</v>
      </c>
      <c r="O2554" t="s">
        <v>70</v>
      </c>
      <c r="P2554" t="s">
        <v>26</v>
      </c>
    </row>
    <row r="2555" spans="1:16" x14ac:dyDescent="0.25">
      <c r="A2555" t="s">
        <v>5823</v>
      </c>
      <c r="B2555" s="6">
        <v>45574</v>
      </c>
      <c r="C2555">
        <v>7316</v>
      </c>
      <c r="D2555" t="s">
        <v>5825</v>
      </c>
      <c r="E2555" t="s">
        <v>38</v>
      </c>
      <c r="F2555" t="s">
        <v>47</v>
      </c>
      <c r="G2555">
        <v>4594.1400000000003</v>
      </c>
      <c r="H2555">
        <v>2238.59</v>
      </c>
      <c r="I2555" t="s">
        <v>20</v>
      </c>
      <c r="J2555" t="s">
        <v>21</v>
      </c>
      <c r="K2555" t="s">
        <v>22</v>
      </c>
      <c r="L2555" t="s">
        <v>23</v>
      </c>
      <c r="M2555">
        <v>5</v>
      </c>
      <c r="N2555" t="s">
        <v>33</v>
      </c>
      <c r="O2555" t="s">
        <v>70</v>
      </c>
      <c r="P2555" t="s">
        <v>34</v>
      </c>
    </row>
    <row r="2556" spans="1:16" x14ac:dyDescent="0.25">
      <c r="A2556" t="s">
        <v>5826</v>
      </c>
      <c r="B2556" s="6">
        <v>44203</v>
      </c>
      <c r="C2556">
        <v>6290</v>
      </c>
      <c r="D2556" t="s">
        <v>4269</v>
      </c>
      <c r="E2556" t="s">
        <v>18</v>
      </c>
      <c r="F2556" t="s">
        <v>30</v>
      </c>
      <c r="G2556">
        <v>45978.57</v>
      </c>
      <c r="H2556">
        <v>23562.11</v>
      </c>
      <c r="I2556" t="s">
        <v>120</v>
      </c>
      <c r="J2556" t="s">
        <v>21</v>
      </c>
      <c r="K2556" t="s">
        <v>22</v>
      </c>
      <c r="L2556" t="s">
        <v>43</v>
      </c>
      <c r="M2556">
        <v>2</v>
      </c>
      <c r="N2556" t="s">
        <v>33</v>
      </c>
      <c r="O2556" t="s">
        <v>70</v>
      </c>
      <c r="P2556" t="s">
        <v>34</v>
      </c>
    </row>
    <row r="2557" spans="1:16" x14ac:dyDescent="0.25">
      <c r="A2557" t="s">
        <v>5827</v>
      </c>
      <c r="B2557" s="6">
        <v>45107</v>
      </c>
      <c r="C2557">
        <v>9941</v>
      </c>
      <c r="D2557" t="s">
        <v>3950</v>
      </c>
      <c r="E2557" t="s">
        <v>18</v>
      </c>
      <c r="F2557" t="s">
        <v>19</v>
      </c>
      <c r="G2557">
        <v>10391.32</v>
      </c>
      <c r="H2557">
        <v>4707.6400000000003</v>
      </c>
      <c r="I2557" t="s">
        <v>40</v>
      </c>
      <c r="J2557" t="s">
        <v>41</v>
      </c>
      <c r="K2557" t="s">
        <v>80</v>
      </c>
      <c r="L2557" t="s">
        <v>88</v>
      </c>
      <c r="M2557">
        <v>4</v>
      </c>
      <c r="N2557" t="s">
        <v>24</v>
      </c>
      <c r="O2557" t="s">
        <v>25</v>
      </c>
      <c r="P2557" t="s">
        <v>49</v>
      </c>
    </row>
    <row r="2558" spans="1:16" x14ac:dyDescent="0.25">
      <c r="A2558" t="s">
        <v>5828</v>
      </c>
      <c r="B2558" s="6">
        <v>45515</v>
      </c>
      <c r="C2558">
        <v>3674</v>
      </c>
      <c r="D2558" t="s">
        <v>2429</v>
      </c>
      <c r="E2558" t="s">
        <v>18</v>
      </c>
      <c r="F2558" t="s">
        <v>47</v>
      </c>
      <c r="G2558">
        <v>5156.16</v>
      </c>
      <c r="H2558">
        <v>2875.97</v>
      </c>
      <c r="I2558" t="s">
        <v>59</v>
      </c>
      <c r="J2558" t="s">
        <v>41</v>
      </c>
      <c r="K2558" t="s">
        <v>22</v>
      </c>
      <c r="L2558" t="s">
        <v>23</v>
      </c>
      <c r="M2558">
        <v>4</v>
      </c>
      <c r="N2558" t="s">
        <v>33</v>
      </c>
      <c r="O2558" t="s">
        <v>70</v>
      </c>
      <c r="P2558" t="s">
        <v>26</v>
      </c>
    </row>
    <row r="2559" spans="1:16" x14ac:dyDescent="0.25">
      <c r="A2559" t="s">
        <v>5829</v>
      </c>
      <c r="B2559" s="6">
        <v>45468</v>
      </c>
      <c r="C2559">
        <v>8705</v>
      </c>
      <c r="D2559" t="s">
        <v>5830</v>
      </c>
      <c r="E2559" t="s">
        <v>18</v>
      </c>
      <c r="F2559" t="s">
        <v>19</v>
      </c>
      <c r="G2559">
        <v>7293.11</v>
      </c>
      <c r="H2559">
        <v>4684.95</v>
      </c>
      <c r="I2559" t="s">
        <v>31</v>
      </c>
      <c r="J2559" t="s">
        <v>21</v>
      </c>
      <c r="K2559" t="s">
        <v>32</v>
      </c>
      <c r="L2559" t="s">
        <v>43</v>
      </c>
      <c r="M2559">
        <v>1</v>
      </c>
      <c r="N2559" t="s">
        <v>33</v>
      </c>
      <c r="O2559" t="s">
        <v>25</v>
      </c>
      <c r="P2559" t="s">
        <v>26</v>
      </c>
    </row>
    <row r="2560" spans="1:16" x14ac:dyDescent="0.25">
      <c r="A2560" t="s">
        <v>5831</v>
      </c>
      <c r="B2560" s="6">
        <v>45112</v>
      </c>
      <c r="C2560">
        <v>3187</v>
      </c>
      <c r="D2560" t="s">
        <v>5832</v>
      </c>
      <c r="E2560" t="s">
        <v>38</v>
      </c>
      <c r="F2560" t="s">
        <v>30</v>
      </c>
      <c r="G2560">
        <v>69252.350000000006</v>
      </c>
      <c r="H2560">
        <v>39077.599999999999</v>
      </c>
      <c r="I2560" t="s">
        <v>20</v>
      </c>
      <c r="J2560" t="s">
        <v>21</v>
      </c>
      <c r="K2560" t="s">
        <v>42</v>
      </c>
      <c r="L2560" t="s">
        <v>64</v>
      </c>
      <c r="M2560">
        <v>2</v>
      </c>
      <c r="N2560" t="s">
        <v>24</v>
      </c>
      <c r="O2560" t="s">
        <v>70</v>
      </c>
      <c r="P2560" t="s">
        <v>34</v>
      </c>
    </row>
    <row r="2561" spans="1:16" x14ac:dyDescent="0.25">
      <c r="A2561" t="s">
        <v>5833</v>
      </c>
      <c r="B2561" s="6">
        <v>44234</v>
      </c>
      <c r="C2561">
        <v>4554</v>
      </c>
      <c r="D2561" t="s">
        <v>5834</v>
      </c>
      <c r="E2561" t="s">
        <v>18</v>
      </c>
      <c r="F2561" t="s">
        <v>39</v>
      </c>
      <c r="G2561">
        <v>39109.61</v>
      </c>
      <c r="H2561">
        <v>23355.91</v>
      </c>
      <c r="I2561" t="s">
        <v>84</v>
      </c>
      <c r="J2561" t="s">
        <v>54</v>
      </c>
      <c r="K2561" t="s">
        <v>22</v>
      </c>
      <c r="L2561" t="s">
        <v>43</v>
      </c>
      <c r="M2561">
        <v>4</v>
      </c>
      <c r="N2561" t="s">
        <v>69</v>
      </c>
      <c r="O2561" t="s">
        <v>70</v>
      </c>
      <c r="P2561" t="s">
        <v>34</v>
      </c>
    </row>
    <row r="2562" spans="1:16" x14ac:dyDescent="0.25">
      <c r="A2562" t="s">
        <v>5835</v>
      </c>
      <c r="B2562" s="6">
        <v>44889</v>
      </c>
      <c r="C2562">
        <v>5210</v>
      </c>
      <c r="D2562" t="s">
        <v>5836</v>
      </c>
      <c r="E2562" t="s">
        <v>38</v>
      </c>
      <c r="F2562" t="s">
        <v>58</v>
      </c>
      <c r="G2562">
        <v>19377.45</v>
      </c>
      <c r="H2562">
        <v>11179.82</v>
      </c>
      <c r="I2562" t="s">
        <v>40</v>
      </c>
      <c r="J2562" t="s">
        <v>41</v>
      </c>
      <c r="K2562" t="s">
        <v>22</v>
      </c>
      <c r="L2562" t="s">
        <v>48</v>
      </c>
      <c r="M2562">
        <v>1</v>
      </c>
      <c r="N2562" t="s">
        <v>33</v>
      </c>
      <c r="O2562" t="s">
        <v>70</v>
      </c>
      <c r="P2562" t="s">
        <v>34</v>
      </c>
    </row>
    <row r="2563" spans="1:16" x14ac:dyDescent="0.25">
      <c r="A2563" t="s">
        <v>5837</v>
      </c>
      <c r="B2563" s="6">
        <v>44436</v>
      </c>
      <c r="C2563">
        <v>3841</v>
      </c>
      <c r="D2563" t="s">
        <v>5839</v>
      </c>
      <c r="E2563" t="s">
        <v>38</v>
      </c>
      <c r="F2563" t="s">
        <v>30</v>
      </c>
      <c r="G2563">
        <v>13568.64</v>
      </c>
      <c r="H2563">
        <v>6336.37</v>
      </c>
      <c r="I2563" t="s">
        <v>63</v>
      </c>
      <c r="J2563" t="s">
        <v>54</v>
      </c>
      <c r="K2563" t="s">
        <v>80</v>
      </c>
      <c r="L2563" t="s">
        <v>64</v>
      </c>
      <c r="M2563">
        <v>4</v>
      </c>
      <c r="N2563" t="s">
        <v>24</v>
      </c>
      <c r="O2563" t="s">
        <v>70</v>
      </c>
      <c r="P2563" t="s">
        <v>49</v>
      </c>
    </row>
    <row r="2564" spans="1:16" x14ac:dyDescent="0.25">
      <c r="A2564" t="s">
        <v>5840</v>
      </c>
      <c r="B2564" s="6">
        <v>44363</v>
      </c>
      <c r="C2564">
        <v>4702</v>
      </c>
      <c r="D2564" t="s">
        <v>5842</v>
      </c>
      <c r="E2564" t="s">
        <v>18</v>
      </c>
      <c r="F2564" t="s">
        <v>47</v>
      </c>
      <c r="G2564">
        <v>4257.6400000000003</v>
      </c>
      <c r="H2564">
        <v>2025.06</v>
      </c>
      <c r="I2564" t="s">
        <v>84</v>
      </c>
      <c r="J2564" t="s">
        <v>54</v>
      </c>
      <c r="K2564" t="s">
        <v>80</v>
      </c>
      <c r="L2564" t="s">
        <v>64</v>
      </c>
      <c r="M2564">
        <v>4</v>
      </c>
      <c r="N2564" t="s">
        <v>24</v>
      </c>
      <c r="O2564" t="s">
        <v>25</v>
      </c>
      <c r="P2564" t="s">
        <v>34</v>
      </c>
    </row>
    <row r="2565" spans="1:16" x14ac:dyDescent="0.25">
      <c r="A2565" t="s">
        <v>5843</v>
      </c>
      <c r="B2565" s="6">
        <v>44251</v>
      </c>
      <c r="C2565">
        <v>9538</v>
      </c>
      <c r="D2565" t="s">
        <v>1522</v>
      </c>
      <c r="E2565" t="s">
        <v>38</v>
      </c>
      <c r="F2565" t="s">
        <v>39</v>
      </c>
      <c r="G2565">
        <v>13424.37</v>
      </c>
      <c r="H2565">
        <v>6308.94</v>
      </c>
      <c r="I2565" t="s">
        <v>84</v>
      </c>
      <c r="J2565" t="s">
        <v>54</v>
      </c>
      <c r="K2565" t="s">
        <v>42</v>
      </c>
      <c r="L2565" t="s">
        <v>43</v>
      </c>
      <c r="M2565">
        <v>3</v>
      </c>
      <c r="N2565" t="s">
        <v>33</v>
      </c>
      <c r="O2565" t="s">
        <v>25</v>
      </c>
      <c r="P2565" t="s">
        <v>49</v>
      </c>
    </row>
    <row r="2566" spans="1:16" x14ac:dyDescent="0.25">
      <c r="A2566" t="s">
        <v>5845</v>
      </c>
      <c r="B2566" s="6">
        <v>45656</v>
      </c>
      <c r="C2566">
        <v>9014</v>
      </c>
      <c r="D2566" t="s">
        <v>5846</v>
      </c>
      <c r="E2566" t="s">
        <v>38</v>
      </c>
      <c r="F2566" t="s">
        <v>39</v>
      </c>
      <c r="G2566">
        <v>19229.13</v>
      </c>
      <c r="H2566">
        <v>11667.35</v>
      </c>
      <c r="I2566" t="s">
        <v>84</v>
      </c>
      <c r="J2566" t="s">
        <v>54</v>
      </c>
      <c r="K2566" t="s">
        <v>42</v>
      </c>
      <c r="L2566" t="s">
        <v>64</v>
      </c>
      <c r="M2566">
        <v>3</v>
      </c>
      <c r="N2566" t="s">
        <v>69</v>
      </c>
      <c r="O2566" t="s">
        <v>70</v>
      </c>
      <c r="P2566" t="s">
        <v>49</v>
      </c>
    </row>
    <row r="2567" spans="1:16" x14ac:dyDescent="0.25">
      <c r="A2567" t="s">
        <v>5847</v>
      </c>
      <c r="B2567" s="6">
        <v>45231</v>
      </c>
      <c r="C2567">
        <v>8324</v>
      </c>
      <c r="D2567" t="s">
        <v>5848</v>
      </c>
      <c r="E2567" t="s">
        <v>38</v>
      </c>
      <c r="F2567" t="s">
        <v>39</v>
      </c>
      <c r="G2567">
        <v>10174.35</v>
      </c>
      <c r="H2567">
        <v>5358.46</v>
      </c>
      <c r="I2567" t="s">
        <v>20</v>
      </c>
      <c r="J2567" t="s">
        <v>21</v>
      </c>
      <c r="K2567" t="s">
        <v>32</v>
      </c>
      <c r="L2567" t="s">
        <v>48</v>
      </c>
      <c r="M2567">
        <v>5</v>
      </c>
      <c r="N2567" t="s">
        <v>33</v>
      </c>
      <c r="O2567" t="s">
        <v>25</v>
      </c>
      <c r="P2567" t="s">
        <v>26</v>
      </c>
    </row>
    <row r="2568" spans="1:16" x14ac:dyDescent="0.25">
      <c r="A2568" t="s">
        <v>5849</v>
      </c>
      <c r="B2568" s="6">
        <v>45454</v>
      </c>
      <c r="C2568">
        <v>7673</v>
      </c>
      <c r="D2568" t="s">
        <v>4116</v>
      </c>
      <c r="E2568" t="s">
        <v>18</v>
      </c>
      <c r="F2568" t="s">
        <v>58</v>
      </c>
      <c r="G2568">
        <v>49413.05</v>
      </c>
      <c r="H2568">
        <v>29279.09</v>
      </c>
      <c r="I2568" t="s">
        <v>20</v>
      </c>
      <c r="J2568" t="s">
        <v>21</v>
      </c>
      <c r="K2568" t="s">
        <v>80</v>
      </c>
      <c r="L2568" t="s">
        <v>43</v>
      </c>
      <c r="M2568">
        <v>3</v>
      </c>
      <c r="N2568" t="s">
        <v>33</v>
      </c>
      <c r="O2568" t="s">
        <v>70</v>
      </c>
      <c r="P2568" t="s">
        <v>49</v>
      </c>
    </row>
    <row r="2569" spans="1:16" x14ac:dyDescent="0.25">
      <c r="A2569" t="s">
        <v>5850</v>
      </c>
      <c r="B2569" s="6">
        <v>45218</v>
      </c>
      <c r="C2569">
        <v>8119</v>
      </c>
      <c r="D2569" t="s">
        <v>5851</v>
      </c>
      <c r="E2569" t="s">
        <v>18</v>
      </c>
      <c r="F2569" t="s">
        <v>19</v>
      </c>
      <c r="G2569">
        <v>15990.64</v>
      </c>
      <c r="H2569">
        <v>9582.5300000000007</v>
      </c>
      <c r="I2569" t="s">
        <v>31</v>
      </c>
      <c r="J2569" t="s">
        <v>21</v>
      </c>
      <c r="K2569" t="s">
        <v>22</v>
      </c>
      <c r="L2569" t="s">
        <v>23</v>
      </c>
      <c r="M2569">
        <v>5</v>
      </c>
      <c r="N2569" t="s">
        <v>33</v>
      </c>
      <c r="O2569" t="s">
        <v>70</v>
      </c>
      <c r="P2569" t="s">
        <v>49</v>
      </c>
    </row>
    <row r="2570" spans="1:16" x14ac:dyDescent="0.25">
      <c r="A2570" t="s">
        <v>5852</v>
      </c>
      <c r="B2570" s="6">
        <v>45350</v>
      </c>
      <c r="C2570">
        <v>6493</v>
      </c>
      <c r="D2570" t="s">
        <v>5853</v>
      </c>
      <c r="E2570" t="s">
        <v>38</v>
      </c>
      <c r="F2570" t="s">
        <v>58</v>
      </c>
      <c r="G2570">
        <v>21596.87</v>
      </c>
      <c r="H2570">
        <v>13834.33</v>
      </c>
      <c r="I2570" t="s">
        <v>84</v>
      </c>
      <c r="J2570" t="s">
        <v>54</v>
      </c>
      <c r="K2570" t="s">
        <v>42</v>
      </c>
      <c r="L2570" t="s">
        <v>48</v>
      </c>
      <c r="M2570">
        <v>1</v>
      </c>
      <c r="N2570" t="s">
        <v>33</v>
      </c>
      <c r="O2570" t="s">
        <v>25</v>
      </c>
      <c r="P2570" t="s">
        <v>26</v>
      </c>
    </row>
    <row r="2571" spans="1:16" x14ac:dyDescent="0.25">
      <c r="A2571" t="s">
        <v>5854</v>
      </c>
      <c r="B2571" s="6">
        <v>44662</v>
      </c>
      <c r="C2571">
        <v>7210</v>
      </c>
      <c r="D2571" t="s">
        <v>4194</v>
      </c>
      <c r="E2571" t="s">
        <v>38</v>
      </c>
      <c r="F2571" t="s">
        <v>30</v>
      </c>
      <c r="G2571">
        <v>33320.36</v>
      </c>
      <c r="H2571">
        <v>21391.25</v>
      </c>
      <c r="I2571" t="s">
        <v>31</v>
      </c>
      <c r="J2571" t="s">
        <v>21</v>
      </c>
      <c r="K2571" t="s">
        <v>80</v>
      </c>
      <c r="L2571" t="s">
        <v>48</v>
      </c>
      <c r="M2571">
        <v>4</v>
      </c>
      <c r="N2571" t="s">
        <v>24</v>
      </c>
      <c r="O2571" t="s">
        <v>70</v>
      </c>
      <c r="P2571" t="s">
        <v>49</v>
      </c>
    </row>
    <row r="2572" spans="1:16" x14ac:dyDescent="0.25">
      <c r="A2572" t="s">
        <v>5855</v>
      </c>
      <c r="B2572" s="6">
        <v>45302</v>
      </c>
      <c r="C2572">
        <v>3020</v>
      </c>
      <c r="D2572" t="s">
        <v>5856</v>
      </c>
      <c r="E2572" t="s">
        <v>18</v>
      </c>
      <c r="F2572" t="s">
        <v>47</v>
      </c>
      <c r="G2572">
        <v>15453.04</v>
      </c>
      <c r="H2572">
        <v>7254.95</v>
      </c>
      <c r="I2572" t="s">
        <v>20</v>
      </c>
      <c r="J2572" t="s">
        <v>21</v>
      </c>
      <c r="K2572" t="s">
        <v>42</v>
      </c>
      <c r="L2572" t="s">
        <v>23</v>
      </c>
      <c r="M2572">
        <v>5</v>
      </c>
      <c r="N2572" t="s">
        <v>69</v>
      </c>
      <c r="O2572" t="s">
        <v>70</v>
      </c>
      <c r="P2572" t="s">
        <v>49</v>
      </c>
    </row>
    <row r="2573" spans="1:16" x14ac:dyDescent="0.25">
      <c r="A2573" t="s">
        <v>5857</v>
      </c>
      <c r="B2573" s="6">
        <v>44727</v>
      </c>
      <c r="C2573">
        <v>6573</v>
      </c>
      <c r="D2573" t="s">
        <v>1504</v>
      </c>
      <c r="E2573" t="s">
        <v>18</v>
      </c>
      <c r="F2573" t="s">
        <v>39</v>
      </c>
      <c r="G2573">
        <v>18432.98</v>
      </c>
      <c r="H2573">
        <v>10442.99</v>
      </c>
      <c r="I2573" t="s">
        <v>63</v>
      </c>
      <c r="J2573" t="s">
        <v>54</v>
      </c>
      <c r="K2573" t="s">
        <v>22</v>
      </c>
      <c r="L2573" t="s">
        <v>43</v>
      </c>
      <c r="M2573">
        <v>4</v>
      </c>
      <c r="N2573" t="s">
        <v>33</v>
      </c>
      <c r="O2573" t="s">
        <v>70</v>
      </c>
      <c r="P2573" t="s">
        <v>49</v>
      </c>
    </row>
    <row r="2574" spans="1:16" x14ac:dyDescent="0.25">
      <c r="A2574" t="s">
        <v>5858</v>
      </c>
      <c r="B2574" s="6">
        <v>44196</v>
      </c>
      <c r="C2574">
        <v>6784</v>
      </c>
      <c r="D2574" t="s">
        <v>5859</v>
      </c>
      <c r="E2574" t="s">
        <v>38</v>
      </c>
      <c r="F2574" t="s">
        <v>19</v>
      </c>
      <c r="G2574">
        <v>9311.09</v>
      </c>
      <c r="H2574">
        <v>4698.18</v>
      </c>
      <c r="I2574" t="s">
        <v>68</v>
      </c>
      <c r="J2574" t="s">
        <v>41</v>
      </c>
      <c r="K2574" t="s">
        <v>32</v>
      </c>
      <c r="L2574" t="s">
        <v>64</v>
      </c>
      <c r="M2574">
        <v>3</v>
      </c>
      <c r="N2574" t="s">
        <v>69</v>
      </c>
      <c r="O2574" t="s">
        <v>70</v>
      </c>
      <c r="P2574" t="s">
        <v>49</v>
      </c>
    </row>
    <row r="2575" spans="1:16" x14ac:dyDescent="0.25">
      <c r="A2575" t="s">
        <v>5860</v>
      </c>
      <c r="B2575" s="6">
        <v>45244</v>
      </c>
      <c r="C2575">
        <v>9458</v>
      </c>
      <c r="D2575" t="s">
        <v>5861</v>
      </c>
      <c r="E2575" t="s">
        <v>18</v>
      </c>
      <c r="F2575" t="s">
        <v>39</v>
      </c>
      <c r="G2575">
        <v>30329.7</v>
      </c>
      <c r="H2575">
        <v>19410.099999999999</v>
      </c>
      <c r="I2575" t="s">
        <v>59</v>
      </c>
      <c r="J2575" t="s">
        <v>41</v>
      </c>
      <c r="K2575" t="s">
        <v>42</v>
      </c>
      <c r="L2575" t="s">
        <v>55</v>
      </c>
      <c r="M2575">
        <v>4</v>
      </c>
      <c r="N2575" t="s">
        <v>33</v>
      </c>
      <c r="O2575" t="s">
        <v>25</v>
      </c>
      <c r="P2575" t="s">
        <v>49</v>
      </c>
    </row>
    <row r="2576" spans="1:16" x14ac:dyDescent="0.25">
      <c r="A2576" t="s">
        <v>5862</v>
      </c>
      <c r="B2576" s="6">
        <v>45423</v>
      </c>
      <c r="C2576">
        <v>4850</v>
      </c>
      <c r="D2576" t="s">
        <v>5863</v>
      </c>
      <c r="E2576" t="s">
        <v>38</v>
      </c>
      <c r="F2576" t="s">
        <v>19</v>
      </c>
      <c r="G2576">
        <v>10296.299999999999</v>
      </c>
      <c r="H2576">
        <v>5522.98</v>
      </c>
      <c r="I2576" t="s">
        <v>63</v>
      </c>
      <c r="J2576" t="s">
        <v>54</v>
      </c>
      <c r="K2576" t="s">
        <v>42</v>
      </c>
      <c r="L2576" t="s">
        <v>48</v>
      </c>
      <c r="M2576">
        <v>4</v>
      </c>
      <c r="N2576" t="s">
        <v>24</v>
      </c>
      <c r="O2576" t="s">
        <v>25</v>
      </c>
      <c r="P2576" t="s">
        <v>26</v>
      </c>
    </row>
    <row r="2577" spans="1:16" x14ac:dyDescent="0.25">
      <c r="A2577" t="s">
        <v>5864</v>
      </c>
      <c r="B2577" s="6">
        <v>44368</v>
      </c>
      <c r="C2577">
        <v>8898</v>
      </c>
      <c r="D2577" t="s">
        <v>5865</v>
      </c>
      <c r="E2577" t="s">
        <v>38</v>
      </c>
      <c r="F2577" t="s">
        <v>19</v>
      </c>
      <c r="G2577">
        <v>4281.22</v>
      </c>
      <c r="H2577">
        <v>2496.48</v>
      </c>
      <c r="I2577" t="s">
        <v>84</v>
      </c>
      <c r="J2577" t="s">
        <v>54</v>
      </c>
      <c r="K2577" t="s">
        <v>22</v>
      </c>
      <c r="L2577" t="s">
        <v>88</v>
      </c>
      <c r="M2577">
        <v>5</v>
      </c>
      <c r="N2577" t="s">
        <v>33</v>
      </c>
      <c r="O2577" t="s">
        <v>25</v>
      </c>
      <c r="P2577" t="s">
        <v>26</v>
      </c>
    </row>
    <row r="2578" spans="1:16" x14ac:dyDescent="0.25">
      <c r="A2578" t="s">
        <v>5866</v>
      </c>
      <c r="B2578" s="6">
        <v>45613</v>
      </c>
      <c r="C2578">
        <v>9355</v>
      </c>
      <c r="D2578" t="s">
        <v>5867</v>
      </c>
      <c r="E2578" t="s">
        <v>18</v>
      </c>
      <c r="F2578" t="s">
        <v>58</v>
      </c>
      <c r="G2578">
        <v>54195.16</v>
      </c>
      <c r="H2578">
        <v>28863.65</v>
      </c>
      <c r="I2578" t="s">
        <v>120</v>
      </c>
      <c r="J2578" t="s">
        <v>21</v>
      </c>
      <c r="K2578" t="s">
        <v>22</v>
      </c>
      <c r="L2578" t="s">
        <v>64</v>
      </c>
      <c r="M2578">
        <v>3</v>
      </c>
      <c r="N2578" t="s">
        <v>69</v>
      </c>
      <c r="O2578" t="s">
        <v>25</v>
      </c>
      <c r="P2578" t="s">
        <v>49</v>
      </c>
    </row>
    <row r="2579" spans="1:16" x14ac:dyDescent="0.25">
      <c r="A2579" t="s">
        <v>5868</v>
      </c>
      <c r="B2579" s="6">
        <v>45431</v>
      </c>
      <c r="C2579">
        <v>3483</v>
      </c>
      <c r="D2579" t="s">
        <v>5869</v>
      </c>
      <c r="E2579" t="s">
        <v>18</v>
      </c>
      <c r="F2579" t="s">
        <v>19</v>
      </c>
      <c r="G2579">
        <v>9527.08</v>
      </c>
      <c r="H2579">
        <v>5717.58</v>
      </c>
      <c r="I2579" t="s">
        <v>40</v>
      </c>
      <c r="J2579" t="s">
        <v>41</v>
      </c>
      <c r="K2579" t="s">
        <v>32</v>
      </c>
      <c r="L2579" t="s">
        <v>88</v>
      </c>
      <c r="M2579">
        <v>2</v>
      </c>
      <c r="N2579" t="s">
        <v>33</v>
      </c>
      <c r="O2579" t="s">
        <v>25</v>
      </c>
      <c r="P2579" t="s">
        <v>49</v>
      </c>
    </row>
    <row r="2580" spans="1:16" x14ac:dyDescent="0.25">
      <c r="A2580" t="s">
        <v>5870</v>
      </c>
      <c r="B2580" s="6">
        <v>44297</v>
      </c>
      <c r="C2580">
        <v>7090</v>
      </c>
      <c r="D2580" t="s">
        <v>5871</v>
      </c>
      <c r="E2580" t="s">
        <v>18</v>
      </c>
      <c r="F2580" t="s">
        <v>58</v>
      </c>
      <c r="G2580">
        <v>25941.38</v>
      </c>
      <c r="H2580">
        <v>13364.61</v>
      </c>
      <c r="I2580" t="s">
        <v>40</v>
      </c>
      <c r="J2580" t="s">
        <v>41</v>
      </c>
      <c r="K2580" t="s">
        <v>80</v>
      </c>
      <c r="L2580" t="s">
        <v>48</v>
      </c>
      <c r="M2580">
        <v>4</v>
      </c>
      <c r="N2580" t="s">
        <v>24</v>
      </c>
      <c r="O2580" t="s">
        <v>25</v>
      </c>
      <c r="P2580" t="s">
        <v>26</v>
      </c>
    </row>
    <row r="2581" spans="1:16" x14ac:dyDescent="0.25">
      <c r="A2581" t="s">
        <v>5872</v>
      </c>
      <c r="B2581" s="6">
        <v>45630</v>
      </c>
      <c r="C2581">
        <v>3881</v>
      </c>
      <c r="D2581" t="s">
        <v>5873</v>
      </c>
      <c r="E2581" t="s">
        <v>18</v>
      </c>
      <c r="F2581" t="s">
        <v>19</v>
      </c>
      <c r="G2581">
        <v>16200.81</v>
      </c>
      <c r="H2581">
        <v>8254.43</v>
      </c>
      <c r="I2581" t="s">
        <v>31</v>
      </c>
      <c r="J2581" t="s">
        <v>21</v>
      </c>
      <c r="K2581" t="s">
        <v>80</v>
      </c>
      <c r="L2581" t="s">
        <v>64</v>
      </c>
      <c r="M2581">
        <v>3</v>
      </c>
      <c r="N2581" t="s">
        <v>69</v>
      </c>
      <c r="O2581" t="s">
        <v>25</v>
      </c>
      <c r="P2581" t="s">
        <v>49</v>
      </c>
    </row>
    <row r="2582" spans="1:16" x14ac:dyDescent="0.25">
      <c r="A2582" t="s">
        <v>5874</v>
      </c>
      <c r="B2582" s="6">
        <v>44695</v>
      </c>
      <c r="C2582">
        <v>4352</v>
      </c>
      <c r="D2582" t="s">
        <v>5875</v>
      </c>
      <c r="E2582" t="s">
        <v>38</v>
      </c>
      <c r="F2582" t="s">
        <v>58</v>
      </c>
      <c r="G2582">
        <v>24597.48</v>
      </c>
      <c r="H2582">
        <v>12232.5</v>
      </c>
      <c r="I2582" t="s">
        <v>68</v>
      </c>
      <c r="J2582" t="s">
        <v>41</v>
      </c>
      <c r="K2582" t="s">
        <v>80</v>
      </c>
      <c r="L2582" t="s">
        <v>23</v>
      </c>
      <c r="M2582">
        <v>4</v>
      </c>
      <c r="N2582" t="s">
        <v>33</v>
      </c>
      <c r="O2582" t="s">
        <v>70</v>
      </c>
      <c r="P2582" t="s">
        <v>34</v>
      </c>
    </row>
    <row r="2583" spans="1:16" x14ac:dyDescent="0.25">
      <c r="A2583" t="s">
        <v>5876</v>
      </c>
      <c r="B2583" s="6">
        <v>44140</v>
      </c>
      <c r="C2583">
        <v>7442</v>
      </c>
      <c r="D2583" t="s">
        <v>5877</v>
      </c>
      <c r="E2583" t="s">
        <v>38</v>
      </c>
      <c r="F2583" t="s">
        <v>30</v>
      </c>
      <c r="G2583">
        <v>25103.68</v>
      </c>
      <c r="H2583">
        <v>11379.55</v>
      </c>
      <c r="I2583" t="s">
        <v>63</v>
      </c>
      <c r="J2583" t="s">
        <v>54</v>
      </c>
      <c r="K2583" t="s">
        <v>80</v>
      </c>
      <c r="L2583" t="s">
        <v>23</v>
      </c>
      <c r="M2583">
        <v>4</v>
      </c>
      <c r="N2583" t="s">
        <v>33</v>
      </c>
      <c r="O2583" t="s">
        <v>70</v>
      </c>
      <c r="P2583" t="s">
        <v>26</v>
      </c>
    </row>
    <row r="2584" spans="1:16" x14ac:dyDescent="0.25">
      <c r="A2584" t="s">
        <v>5878</v>
      </c>
      <c r="B2584" s="6">
        <v>44092</v>
      </c>
      <c r="C2584">
        <v>1908</v>
      </c>
      <c r="D2584" t="s">
        <v>5879</v>
      </c>
      <c r="E2584" t="s">
        <v>38</v>
      </c>
      <c r="F2584" t="s">
        <v>39</v>
      </c>
      <c r="G2584">
        <v>31226.49</v>
      </c>
      <c r="H2584">
        <v>17183.5</v>
      </c>
      <c r="I2584" t="s">
        <v>63</v>
      </c>
      <c r="J2584" t="s">
        <v>54</v>
      </c>
      <c r="K2584" t="s">
        <v>22</v>
      </c>
      <c r="L2584" t="s">
        <v>23</v>
      </c>
      <c r="M2584">
        <v>3</v>
      </c>
      <c r="N2584" t="s">
        <v>24</v>
      </c>
      <c r="O2584" t="s">
        <v>70</v>
      </c>
      <c r="P2584" t="s">
        <v>26</v>
      </c>
    </row>
    <row r="2585" spans="1:16" x14ac:dyDescent="0.25">
      <c r="A2585" t="s">
        <v>5880</v>
      </c>
      <c r="B2585" s="6">
        <v>45635</v>
      </c>
      <c r="C2585">
        <v>5036</v>
      </c>
      <c r="D2585" t="s">
        <v>677</v>
      </c>
      <c r="E2585" t="s">
        <v>38</v>
      </c>
      <c r="F2585" t="s">
        <v>19</v>
      </c>
      <c r="G2585">
        <v>8241.48</v>
      </c>
      <c r="H2585">
        <v>3972.54</v>
      </c>
      <c r="I2585" t="s">
        <v>40</v>
      </c>
      <c r="J2585" t="s">
        <v>41</v>
      </c>
      <c r="K2585" t="s">
        <v>32</v>
      </c>
      <c r="L2585" t="s">
        <v>43</v>
      </c>
      <c r="M2585">
        <v>3</v>
      </c>
      <c r="N2585" t="s">
        <v>24</v>
      </c>
      <c r="O2585" t="s">
        <v>25</v>
      </c>
      <c r="P2585" t="s">
        <v>34</v>
      </c>
    </row>
    <row r="2586" spans="1:16" x14ac:dyDescent="0.25">
      <c r="A2586" t="s">
        <v>5881</v>
      </c>
      <c r="B2586" s="6">
        <v>44826</v>
      </c>
      <c r="C2586">
        <v>1605</v>
      </c>
      <c r="D2586" t="s">
        <v>2831</v>
      </c>
      <c r="E2586" t="s">
        <v>38</v>
      </c>
      <c r="F2586" t="s">
        <v>58</v>
      </c>
      <c r="G2586">
        <v>11299.36</v>
      </c>
      <c r="H2586">
        <v>5496.34</v>
      </c>
      <c r="I2586" t="s">
        <v>31</v>
      </c>
      <c r="J2586" t="s">
        <v>21</v>
      </c>
      <c r="K2586" t="s">
        <v>80</v>
      </c>
      <c r="L2586" t="s">
        <v>43</v>
      </c>
      <c r="M2586">
        <v>5</v>
      </c>
      <c r="N2586" t="s">
        <v>69</v>
      </c>
      <c r="O2586" t="s">
        <v>25</v>
      </c>
      <c r="P2586" t="s">
        <v>49</v>
      </c>
    </row>
    <row r="2587" spans="1:16" x14ac:dyDescent="0.25">
      <c r="A2587" t="s">
        <v>5882</v>
      </c>
      <c r="B2587" s="6">
        <v>45220</v>
      </c>
      <c r="C2587">
        <v>4553</v>
      </c>
      <c r="D2587" t="s">
        <v>5219</v>
      </c>
      <c r="E2587" t="s">
        <v>18</v>
      </c>
      <c r="F2587" t="s">
        <v>58</v>
      </c>
      <c r="G2587">
        <v>18226.759999999998</v>
      </c>
      <c r="H2587">
        <v>8671.17</v>
      </c>
      <c r="I2587" t="s">
        <v>120</v>
      </c>
      <c r="J2587" t="s">
        <v>21</v>
      </c>
      <c r="K2587" t="s">
        <v>32</v>
      </c>
      <c r="L2587" t="s">
        <v>64</v>
      </c>
      <c r="M2587">
        <v>3</v>
      </c>
      <c r="N2587" t="s">
        <v>33</v>
      </c>
      <c r="O2587" t="s">
        <v>25</v>
      </c>
      <c r="P2587" t="s">
        <v>26</v>
      </c>
    </row>
    <row r="2588" spans="1:16" x14ac:dyDescent="0.25">
      <c r="A2588" t="s">
        <v>5883</v>
      </c>
      <c r="B2588" s="6">
        <v>44746</v>
      </c>
      <c r="C2588">
        <v>8897</v>
      </c>
      <c r="D2588" t="s">
        <v>4657</v>
      </c>
      <c r="E2588" t="s">
        <v>18</v>
      </c>
      <c r="F2588" t="s">
        <v>47</v>
      </c>
      <c r="G2588">
        <v>13397.83</v>
      </c>
      <c r="H2588">
        <v>8016.86</v>
      </c>
      <c r="I2588" t="s">
        <v>84</v>
      </c>
      <c r="J2588" t="s">
        <v>54</v>
      </c>
      <c r="K2588" t="s">
        <v>22</v>
      </c>
      <c r="L2588" t="s">
        <v>43</v>
      </c>
      <c r="M2588">
        <v>3</v>
      </c>
      <c r="N2588" t="s">
        <v>33</v>
      </c>
      <c r="O2588" t="s">
        <v>70</v>
      </c>
      <c r="P2588" t="s">
        <v>34</v>
      </c>
    </row>
    <row r="2589" spans="1:16" x14ac:dyDescent="0.25">
      <c r="A2589" t="s">
        <v>5884</v>
      </c>
      <c r="B2589" s="6">
        <v>44605</v>
      </c>
      <c r="C2589">
        <v>8139</v>
      </c>
      <c r="D2589" t="s">
        <v>2031</v>
      </c>
      <c r="E2589" t="s">
        <v>38</v>
      </c>
      <c r="F2589" t="s">
        <v>39</v>
      </c>
      <c r="G2589">
        <v>21705.46</v>
      </c>
      <c r="H2589">
        <v>12372.26</v>
      </c>
      <c r="I2589" t="s">
        <v>84</v>
      </c>
      <c r="J2589" t="s">
        <v>54</v>
      </c>
      <c r="K2589" t="s">
        <v>32</v>
      </c>
      <c r="L2589" t="s">
        <v>23</v>
      </c>
      <c r="M2589">
        <v>3</v>
      </c>
      <c r="N2589" t="s">
        <v>33</v>
      </c>
      <c r="O2589" t="s">
        <v>25</v>
      </c>
      <c r="P2589" t="s">
        <v>49</v>
      </c>
    </row>
    <row r="2590" spans="1:16" x14ac:dyDescent="0.25">
      <c r="A2590" t="s">
        <v>5886</v>
      </c>
      <c r="B2590" s="6">
        <v>45515</v>
      </c>
      <c r="C2590">
        <v>1094</v>
      </c>
      <c r="D2590" t="s">
        <v>5887</v>
      </c>
      <c r="E2590" t="s">
        <v>18</v>
      </c>
      <c r="F2590" t="s">
        <v>19</v>
      </c>
      <c r="G2590">
        <v>21949.19</v>
      </c>
      <c r="H2590">
        <v>12278.1</v>
      </c>
      <c r="I2590" t="s">
        <v>53</v>
      </c>
      <c r="J2590" t="s">
        <v>54</v>
      </c>
      <c r="K2590" t="s">
        <v>32</v>
      </c>
      <c r="L2590" t="s">
        <v>43</v>
      </c>
      <c r="M2590">
        <v>2</v>
      </c>
      <c r="N2590" t="s">
        <v>24</v>
      </c>
      <c r="O2590" t="s">
        <v>25</v>
      </c>
      <c r="P2590" t="s">
        <v>26</v>
      </c>
    </row>
    <row r="2591" spans="1:16" x14ac:dyDescent="0.25">
      <c r="A2591" t="s">
        <v>5888</v>
      </c>
      <c r="B2591" s="6">
        <v>45118</v>
      </c>
      <c r="C2591">
        <v>6746</v>
      </c>
      <c r="D2591" t="s">
        <v>5889</v>
      </c>
      <c r="E2591" t="s">
        <v>38</v>
      </c>
      <c r="F2591" t="s">
        <v>30</v>
      </c>
      <c r="G2591">
        <v>39011.93</v>
      </c>
      <c r="H2591">
        <v>24914.74</v>
      </c>
      <c r="I2591" t="s">
        <v>120</v>
      </c>
      <c r="J2591" t="s">
        <v>21</v>
      </c>
      <c r="K2591" t="s">
        <v>80</v>
      </c>
      <c r="L2591" t="s">
        <v>43</v>
      </c>
      <c r="M2591">
        <v>3</v>
      </c>
      <c r="N2591" t="s">
        <v>69</v>
      </c>
      <c r="O2591" t="s">
        <v>25</v>
      </c>
      <c r="P2591" t="s">
        <v>34</v>
      </c>
    </row>
    <row r="2592" spans="1:16" x14ac:dyDescent="0.25">
      <c r="A2592" t="s">
        <v>5890</v>
      </c>
      <c r="B2592" s="6">
        <v>45004</v>
      </c>
      <c r="C2592">
        <v>5020</v>
      </c>
      <c r="D2592" t="s">
        <v>5462</v>
      </c>
      <c r="E2592" t="s">
        <v>18</v>
      </c>
      <c r="F2592" t="s">
        <v>39</v>
      </c>
      <c r="G2592">
        <v>44188.02</v>
      </c>
      <c r="H2592">
        <v>28044.38</v>
      </c>
      <c r="I2592" t="s">
        <v>53</v>
      </c>
      <c r="J2592" t="s">
        <v>54</v>
      </c>
      <c r="K2592" t="s">
        <v>22</v>
      </c>
      <c r="L2592" t="s">
        <v>43</v>
      </c>
      <c r="M2592">
        <v>3</v>
      </c>
      <c r="N2592" t="s">
        <v>24</v>
      </c>
      <c r="O2592" t="s">
        <v>25</v>
      </c>
      <c r="P2592" t="s">
        <v>49</v>
      </c>
    </row>
    <row r="2593" spans="1:16" x14ac:dyDescent="0.25">
      <c r="A2593" t="s">
        <v>5891</v>
      </c>
      <c r="B2593" s="6">
        <v>44720</v>
      </c>
      <c r="C2593">
        <v>1418</v>
      </c>
      <c r="D2593" t="s">
        <v>5892</v>
      </c>
      <c r="E2593" t="s">
        <v>38</v>
      </c>
      <c r="F2593" t="s">
        <v>30</v>
      </c>
      <c r="G2593">
        <v>61961.25</v>
      </c>
      <c r="H2593">
        <v>35943.85</v>
      </c>
      <c r="I2593" t="s">
        <v>84</v>
      </c>
      <c r="J2593" t="s">
        <v>54</v>
      </c>
      <c r="K2593" t="s">
        <v>42</v>
      </c>
      <c r="L2593" t="s">
        <v>43</v>
      </c>
      <c r="M2593">
        <v>1</v>
      </c>
      <c r="N2593" t="s">
        <v>33</v>
      </c>
      <c r="O2593" t="s">
        <v>25</v>
      </c>
      <c r="P2593" t="s">
        <v>49</v>
      </c>
    </row>
    <row r="2594" spans="1:16" x14ac:dyDescent="0.25">
      <c r="A2594" t="s">
        <v>5893</v>
      </c>
      <c r="B2594" s="6">
        <v>45178</v>
      </c>
      <c r="C2594">
        <v>5155</v>
      </c>
      <c r="D2594" t="s">
        <v>5894</v>
      </c>
      <c r="E2594" t="s">
        <v>38</v>
      </c>
      <c r="F2594" t="s">
        <v>47</v>
      </c>
      <c r="G2594">
        <v>9131.6</v>
      </c>
      <c r="H2594">
        <v>5183.59</v>
      </c>
      <c r="I2594" t="s">
        <v>31</v>
      </c>
      <c r="J2594" t="s">
        <v>21</v>
      </c>
      <c r="K2594" t="s">
        <v>80</v>
      </c>
      <c r="L2594" t="s">
        <v>43</v>
      </c>
      <c r="M2594">
        <v>5</v>
      </c>
      <c r="N2594" t="s">
        <v>69</v>
      </c>
      <c r="O2594" t="s">
        <v>25</v>
      </c>
      <c r="P2594" t="s">
        <v>34</v>
      </c>
    </row>
    <row r="2595" spans="1:16" x14ac:dyDescent="0.25">
      <c r="A2595" t="s">
        <v>5895</v>
      </c>
      <c r="B2595" s="6">
        <v>44674</v>
      </c>
      <c r="C2595">
        <v>5920</v>
      </c>
      <c r="D2595" t="s">
        <v>5896</v>
      </c>
      <c r="E2595" t="s">
        <v>38</v>
      </c>
      <c r="F2595" t="s">
        <v>39</v>
      </c>
      <c r="G2595">
        <v>21608.63</v>
      </c>
      <c r="H2595">
        <v>12938.18</v>
      </c>
      <c r="I2595" t="s">
        <v>120</v>
      </c>
      <c r="J2595" t="s">
        <v>21</v>
      </c>
      <c r="K2595" t="s">
        <v>80</v>
      </c>
      <c r="L2595" t="s">
        <v>23</v>
      </c>
      <c r="M2595">
        <v>2</v>
      </c>
      <c r="N2595" t="s">
        <v>69</v>
      </c>
      <c r="O2595" t="s">
        <v>25</v>
      </c>
      <c r="P2595" t="s">
        <v>26</v>
      </c>
    </row>
    <row r="2596" spans="1:16" x14ac:dyDescent="0.25">
      <c r="A2596" t="s">
        <v>5897</v>
      </c>
      <c r="B2596" s="6">
        <v>45549</v>
      </c>
      <c r="C2596">
        <v>2216</v>
      </c>
      <c r="D2596" t="s">
        <v>5898</v>
      </c>
      <c r="E2596" t="s">
        <v>38</v>
      </c>
      <c r="F2596" t="s">
        <v>30</v>
      </c>
      <c r="G2596">
        <v>18056.78</v>
      </c>
      <c r="H2596">
        <v>8914.91</v>
      </c>
      <c r="I2596" t="s">
        <v>84</v>
      </c>
      <c r="J2596" t="s">
        <v>54</v>
      </c>
      <c r="K2596" t="s">
        <v>42</v>
      </c>
      <c r="L2596" t="s">
        <v>23</v>
      </c>
      <c r="M2596">
        <v>5</v>
      </c>
      <c r="N2596" t="s">
        <v>69</v>
      </c>
      <c r="O2596" t="s">
        <v>25</v>
      </c>
      <c r="P2596" t="s">
        <v>34</v>
      </c>
    </row>
    <row r="2597" spans="1:16" x14ac:dyDescent="0.25">
      <c r="A2597" t="s">
        <v>5899</v>
      </c>
      <c r="B2597" s="6">
        <v>44504</v>
      </c>
      <c r="C2597">
        <v>1142</v>
      </c>
      <c r="D2597" t="s">
        <v>5900</v>
      </c>
      <c r="E2597" t="s">
        <v>38</v>
      </c>
      <c r="F2597" t="s">
        <v>39</v>
      </c>
      <c r="G2597">
        <v>23570.52</v>
      </c>
      <c r="H2597">
        <v>10625.14</v>
      </c>
      <c r="I2597" t="s">
        <v>68</v>
      </c>
      <c r="J2597" t="s">
        <v>41</v>
      </c>
      <c r="K2597" t="s">
        <v>80</v>
      </c>
      <c r="L2597" t="s">
        <v>23</v>
      </c>
      <c r="M2597">
        <v>4</v>
      </c>
      <c r="N2597" t="s">
        <v>33</v>
      </c>
      <c r="O2597" t="s">
        <v>25</v>
      </c>
      <c r="P2597" t="s">
        <v>49</v>
      </c>
    </row>
    <row r="2598" spans="1:16" x14ac:dyDescent="0.25">
      <c r="A2598" t="s">
        <v>5901</v>
      </c>
      <c r="B2598" s="6">
        <v>44862</v>
      </c>
      <c r="C2598">
        <v>8387</v>
      </c>
      <c r="D2598" t="s">
        <v>5902</v>
      </c>
      <c r="E2598" t="s">
        <v>18</v>
      </c>
      <c r="F2598" t="s">
        <v>30</v>
      </c>
      <c r="G2598">
        <v>83284.990000000005</v>
      </c>
      <c r="H2598">
        <v>44302.45</v>
      </c>
      <c r="I2598" t="s">
        <v>20</v>
      </c>
      <c r="J2598" t="s">
        <v>21</v>
      </c>
      <c r="K2598" t="s">
        <v>22</v>
      </c>
      <c r="L2598" t="s">
        <v>43</v>
      </c>
      <c r="M2598">
        <v>5</v>
      </c>
      <c r="N2598" t="s">
        <v>24</v>
      </c>
      <c r="O2598" t="s">
        <v>70</v>
      </c>
      <c r="P2598" t="s">
        <v>49</v>
      </c>
    </row>
    <row r="2599" spans="1:16" x14ac:dyDescent="0.25">
      <c r="A2599" t="s">
        <v>5903</v>
      </c>
      <c r="B2599" s="6">
        <v>45540</v>
      </c>
      <c r="C2599">
        <v>7371</v>
      </c>
      <c r="D2599" t="s">
        <v>5904</v>
      </c>
      <c r="E2599" t="s">
        <v>38</v>
      </c>
      <c r="F2599" t="s">
        <v>58</v>
      </c>
      <c r="G2599">
        <v>32248.55</v>
      </c>
      <c r="H2599">
        <v>18471.95</v>
      </c>
      <c r="I2599" t="s">
        <v>84</v>
      </c>
      <c r="J2599" t="s">
        <v>54</v>
      </c>
      <c r="K2599" t="s">
        <v>42</v>
      </c>
      <c r="L2599" t="s">
        <v>43</v>
      </c>
      <c r="M2599">
        <v>4</v>
      </c>
      <c r="N2599" t="s">
        <v>69</v>
      </c>
      <c r="O2599" t="s">
        <v>25</v>
      </c>
      <c r="P2599" t="s">
        <v>49</v>
      </c>
    </row>
    <row r="2600" spans="1:16" x14ac:dyDescent="0.25">
      <c r="A2600" t="s">
        <v>5905</v>
      </c>
      <c r="B2600" s="6">
        <v>45523</v>
      </c>
      <c r="C2600">
        <v>5009</v>
      </c>
      <c r="D2600" t="s">
        <v>5906</v>
      </c>
      <c r="E2600" t="s">
        <v>18</v>
      </c>
      <c r="F2600" t="s">
        <v>47</v>
      </c>
      <c r="G2600">
        <v>15621.7</v>
      </c>
      <c r="H2600">
        <v>8942.09</v>
      </c>
      <c r="I2600" t="s">
        <v>120</v>
      </c>
      <c r="J2600" t="s">
        <v>21</v>
      </c>
      <c r="K2600" t="s">
        <v>42</v>
      </c>
      <c r="L2600" t="s">
        <v>88</v>
      </c>
      <c r="M2600">
        <v>3</v>
      </c>
      <c r="N2600" t="s">
        <v>69</v>
      </c>
      <c r="O2600" t="s">
        <v>70</v>
      </c>
      <c r="P2600" t="s">
        <v>34</v>
      </c>
    </row>
    <row r="2601" spans="1:16" x14ac:dyDescent="0.25">
      <c r="A2601" t="s">
        <v>5907</v>
      </c>
      <c r="B2601" s="6">
        <v>45019</v>
      </c>
      <c r="C2601">
        <v>8846</v>
      </c>
      <c r="D2601" t="s">
        <v>263</v>
      </c>
      <c r="E2601" t="s">
        <v>38</v>
      </c>
      <c r="F2601" t="s">
        <v>39</v>
      </c>
      <c r="G2601">
        <v>31404.06</v>
      </c>
      <c r="H2601">
        <v>17167.8</v>
      </c>
      <c r="I2601" t="s">
        <v>53</v>
      </c>
      <c r="J2601" t="s">
        <v>54</v>
      </c>
      <c r="K2601" t="s">
        <v>32</v>
      </c>
      <c r="L2601" t="s">
        <v>64</v>
      </c>
      <c r="M2601">
        <v>2</v>
      </c>
      <c r="N2601" t="s">
        <v>33</v>
      </c>
      <c r="O2601" t="s">
        <v>25</v>
      </c>
      <c r="P2601" t="s">
        <v>34</v>
      </c>
    </row>
    <row r="2602" spans="1:16" x14ac:dyDescent="0.25">
      <c r="A2602" t="s">
        <v>5908</v>
      </c>
      <c r="B2602" s="6">
        <v>45329</v>
      </c>
      <c r="C2602">
        <v>2333</v>
      </c>
      <c r="D2602" t="s">
        <v>5910</v>
      </c>
      <c r="E2602" t="s">
        <v>38</v>
      </c>
      <c r="F2602" t="s">
        <v>39</v>
      </c>
      <c r="G2602">
        <v>22449.54</v>
      </c>
      <c r="H2602">
        <v>12314.81</v>
      </c>
      <c r="I2602" t="s">
        <v>120</v>
      </c>
      <c r="J2602" t="s">
        <v>21</v>
      </c>
      <c r="K2602" t="s">
        <v>32</v>
      </c>
      <c r="L2602" t="s">
        <v>23</v>
      </c>
      <c r="M2602">
        <v>2</v>
      </c>
      <c r="N2602" t="s">
        <v>69</v>
      </c>
      <c r="O2602" t="s">
        <v>25</v>
      </c>
      <c r="P2602" t="s">
        <v>26</v>
      </c>
    </row>
    <row r="2603" spans="1:16" x14ac:dyDescent="0.25">
      <c r="A2603" t="s">
        <v>5911</v>
      </c>
      <c r="B2603" s="6">
        <v>44741</v>
      </c>
      <c r="C2603">
        <v>8178</v>
      </c>
      <c r="D2603" t="s">
        <v>5912</v>
      </c>
      <c r="E2603" t="s">
        <v>18</v>
      </c>
      <c r="F2603" t="s">
        <v>30</v>
      </c>
      <c r="G2603">
        <v>29793.18</v>
      </c>
      <c r="H2603">
        <v>16687.330000000002</v>
      </c>
      <c r="I2603" t="s">
        <v>59</v>
      </c>
      <c r="J2603" t="s">
        <v>41</v>
      </c>
      <c r="K2603" t="s">
        <v>42</v>
      </c>
      <c r="L2603" t="s">
        <v>55</v>
      </c>
      <c r="M2603">
        <v>3</v>
      </c>
      <c r="N2603" t="s">
        <v>24</v>
      </c>
      <c r="O2603" t="s">
        <v>25</v>
      </c>
      <c r="P2603" t="s">
        <v>26</v>
      </c>
    </row>
    <row r="2604" spans="1:16" x14ac:dyDescent="0.25">
      <c r="A2604" t="s">
        <v>5913</v>
      </c>
      <c r="B2604" s="6">
        <v>44533</v>
      </c>
      <c r="C2604">
        <v>2689</v>
      </c>
      <c r="D2604" t="s">
        <v>5914</v>
      </c>
      <c r="E2604" t="s">
        <v>18</v>
      </c>
      <c r="F2604" t="s">
        <v>39</v>
      </c>
      <c r="G2604">
        <v>13483.02</v>
      </c>
      <c r="H2604">
        <v>6699.15</v>
      </c>
      <c r="I2604" t="s">
        <v>63</v>
      </c>
      <c r="J2604" t="s">
        <v>54</v>
      </c>
      <c r="K2604" t="s">
        <v>22</v>
      </c>
      <c r="L2604" t="s">
        <v>64</v>
      </c>
      <c r="M2604">
        <v>3</v>
      </c>
      <c r="N2604" t="s">
        <v>33</v>
      </c>
      <c r="O2604" t="s">
        <v>25</v>
      </c>
      <c r="P2604" t="s">
        <v>26</v>
      </c>
    </row>
    <row r="2605" spans="1:16" x14ac:dyDescent="0.25">
      <c r="A2605" t="s">
        <v>5915</v>
      </c>
      <c r="B2605" s="6">
        <v>45226</v>
      </c>
      <c r="C2605">
        <v>9875</v>
      </c>
      <c r="D2605" t="s">
        <v>5916</v>
      </c>
      <c r="E2605" t="s">
        <v>18</v>
      </c>
      <c r="F2605" t="s">
        <v>30</v>
      </c>
      <c r="G2605">
        <v>46258.879999999997</v>
      </c>
      <c r="H2605">
        <v>30045.439999999999</v>
      </c>
      <c r="I2605" t="s">
        <v>59</v>
      </c>
      <c r="J2605" t="s">
        <v>41</v>
      </c>
      <c r="K2605" t="s">
        <v>32</v>
      </c>
      <c r="L2605" t="s">
        <v>43</v>
      </c>
      <c r="M2605">
        <v>2</v>
      </c>
      <c r="N2605" t="s">
        <v>24</v>
      </c>
      <c r="O2605" t="s">
        <v>25</v>
      </c>
      <c r="P2605" t="s">
        <v>34</v>
      </c>
    </row>
    <row r="2606" spans="1:16" x14ac:dyDescent="0.25">
      <c r="A2606" t="s">
        <v>5917</v>
      </c>
      <c r="B2606" s="6">
        <v>45249</v>
      </c>
      <c r="C2606">
        <v>8711</v>
      </c>
      <c r="D2606" t="s">
        <v>5918</v>
      </c>
      <c r="E2606" t="s">
        <v>18</v>
      </c>
      <c r="F2606" t="s">
        <v>30</v>
      </c>
      <c r="G2606">
        <v>59351.67</v>
      </c>
      <c r="H2606">
        <v>36047.46</v>
      </c>
      <c r="I2606" t="s">
        <v>40</v>
      </c>
      <c r="J2606" t="s">
        <v>41</v>
      </c>
      <c r="K2606" t="s">
        <v>32</v>
      </c>
      <c r="L2606" t="s">
        <v>64</v>
      </c>
      <c r="M2606">
        <v>4</v>
      </c>
      <c r="N2606" t="s">
        <v>33</v>
      </c>
      <c r="O2606" t="s">
        <v>25</v>
      </c>
      <c r="P2606" t="s">
        <v>34</v>
      </c>
    </row>
    <row r="2607" spans="1:16" x14ac:dyDescent="0.25">
      <c r="A2607" t="s">
        <v>5919</v>
      </c>
      <c r="B2607" s="6">
        <v>45053</v>
      </c>
      <c r="C2607">
        <v>7304</v>
      </c>
      <c r="D2607" t="s">
        <v>5920</v>
      </c>
      <c r="E2607" t="s">
        <v>38</v>
      </c>
      <c r="F2607" t="s">
        <v>19</v>
      </c>
      <c r="G2607">
        <v>4478.9799999999996</v>
      </c>
      <c r="H2607">
        <v>2463.0100000000002</v>
      </c>
      <c r="I2607" t="s">
        <v>31</v>
      </c>
      <c r="J2607" t="s">
        <v>21</v>
      </c>
      <c r="K2607" t="s">
        <v>80</v>
      </c>
      <c r="L2607" t="s">
        <v>43</v>
      </c>
      <c r="M2607">
        <v>3</v>
      </c>
      <c r="N2607" t="s">
        <v>69</v>
      </c>
      <c r="O2607" t="s">
        <v>70</v>
      </c>
      <c r="P2607" t="s">
        <v>26</v>
      </c>
    </row>
    <row r="2608" spans="1:16" x14ac:dyDescent="0.25">
      <c r="A2608" t="s">
        <v>5921</v>
      </c>
      <c r="B2608" s="6">
        <v>44585</v>
      </c>
      <c r="C2608">
        <v>3301</v>
      </c>
      <c r="D2608" t="s">
        <v>5922</v>
      </c>
      <c r="E2608" t="s">
        <v>38</v>
      </c>
      <c r="F2608" t="s">
        <v>39</v>
      </c>
      <c r="G2608">
        <v>12183.58</v>
      </c>
      <c r="H2608">
        <v>6968.51</v>
      </c>
      <c r="I2608" t="s">
        <v>120</v>
      </c>
      <c r="J2608" t="s">
        <v>21</v>
      </c>
      <c r="K2608" t="s">
        <v>22</v>
      </c>
      <c r="L2608" t="s">
        <v>48</v>
      </c>
      <c r="M2608">
        <v>1</v>
      </c>
      <c r="N2608" t="s">
        <v>33</v>
      </c>
      <c r="O2608" t="s">
        <v>25</v>
      </c>
      <c r="P2608" t="s">
        <v>26</v>
      </c>
    </row>
    <row r="2609" spans="1:16" x14ac:dyDescent="0.25">
      <c r="A2609" t="s">
        <v>5923</v>
      </c>
      <c r="B2609" s="6">
        <v>44637</v>
      </c>
      <c r="C2609">
        <v>9467</v>
      </c>
      <c r="D2609" t="s">
        <v>4147</v>
      </c>
      <c r="E2609" t="s">
        <v>18</v>
      </c>
      <c r="F2609" t="s">
        <v>47</v>
      </c>
      <c r="G2609">
        <v>6820.4</v>
      </c>
      <c r="H2609">
        <v>3595.46</v>
      </c>
      <c r="I2609" t="s">
        <v>31</v>
      </c>
      <c r="J2609" t="s">
        <v>21</v>
      </c>
      <c r="K2609" t="s">
        <v>22</v>
      </c>
      <c r="L2609" t="s">
        <v>88</v>
      </c>
      <c r="M2609">
        <v>5</v>
      </c>
      <c r="N2609" t="s">
        <v>33</v>
      </c>
      <c r="O2609" t="s">
        <v>25</v>
      </c>
      <c r="P2609" t="s">
        <v>34</v>
      </c>
    </row>
    <row r="2610" spans="1:16" x14ac:dyDescent="0.25">
      <c r="A2610" t="s">
        <v>5924</v>
      </c>
      <c r="B2610" s="6">
        <v>44666</v>
      </c>
      <c r="C2610">
        <v>8246</v>
      </c>
      <c r="D2610" t="s">
        <v>5925</v>
      </c>
      <c r="E2610" t="s">
        <v>18</v>
      </c>
      <c r="F2610" t="s">
        <v>58</v>
      </c>
      <c r="G2610">
        <v>21941.46</v>
      </c>
      <c r="H2610">
        <v>12671.23</v>
      </c>
      <c r="I2610" t="s">
        <v>63</v>
      </c>
      <c r="J2610" t="s">
        <v>54</v>
      </c>
      <c r="K2610" t="s">
        <v>22</v>
      </c>
      <c r="L2610" t="s">
        <v>48</v>
      </c>
      <c r="M2610">
        <v>5</v>
      </c>
      <c r="N2610" t="s">
        <v>24</v>
      </c>
      <c r="O2610" t="s">
        <v>70</v>
      </c>
      <c r="P2610" t="s">
        <v>34</v>
      </c>
    </row>
    <row r="2611" spans="1:16" x14ac:dyDescent="0.25">
      <c r="A2611" t="s">
        <v>5926</v>
      </c>
      <c r="B2611" s="6">
        <v>44815</v>
      </c>
      <c r="C2611">
        <v>6167</v>
      </c>
      <c r="D2611" t="s">
        <v>5927</v>
      </c>
      <c r="E2611" t="s">
        <v>18</v>
      </c>
      <c r="F2611" t="s">
        <v>19</v>
      </c>
      <c r="G2611">
        <v>13514.9</v>
      </c>
      <c r="H2611">
        <v>8261.43</v>
      </c>
      <c r="I2611" t="s">
        <v>31</v>
      </c>
      <c r="J2611" t="s">
        <v>21</v>
      </c>
      <c r="K2611" t="s">
        <v>42</v>
      </c>
      <c r="L2611" t="s">
        <v>23</v>
      </c>
      <c r="M2611">
        <v>4</v>
      </c>
      <c r="N2611" t="s">
        <v>33</v>
      </c>
      <c r="O2611" t="s">
        <v>70</v>
      </c>
      <c r="P2611" t="s">
        <v>26</v>
      </c>
    </row>
    <row r="2612" spans="1:16" x14ac:dyDescent="0.25">
      <c r="A2612" t="s">
        <v>5928</v>
      </c>
      <c r="B2612" s="6">
        <v>45309</v>
      </c>
      <c r="C2612">
        <v>1393</v>
      </c>
      <c r="D2612" t="s">
        <v>5929</v>
      </c>
      <c r="E2612" t="s">
        <v>38</v>
      </c>
      <c r="F2612" t="s">
        <v>47</v>
      </c>
      <c r="G2612">
        <v>5288.84</v>
      </c>
      <c r="H2612">
        <v>2580.83</v>
      </c>
      <c r="I2612" t="s">
        <v>63</v>
      </c>
      <c r="J2612" t="s">
        <v>54</v>
      </c>
      <c r="K2612" t="s">
        <v>22</v>
      </c>
      <c r="L2612" t="s">
        <v>64</v>
      </c>
      <c r="M2612">
        <v>5</v>
      </c>
      <c r="N2612" t="s">
        <v>33</v>
      </c>
      <c r="O2612" t="s">
        <v>25</v>
      </c>
      <c r="P2612" t="s">
        <v>26</v>
      </c>
    </row>
    <row r="2613" spans="1:16" x14ac:dyDescent="0.25">
      <c r="A2613" t="s">
        <v>5930</v>
      </c>
      <c r="B2613" s="6">
        <v>44427</v>
      </c>
      <c r="C2613">
        <v>4000</v>
      </c>
      <c r="D2613" t="s">
        <v>5931</v>
      </c>
      <c r="E2613" t="s">
        <v>38</v>
      </c>
      <c r="F2613" t="s">
        <v>39</v>
      </c>
      <c r="G2613">
        <v>30214.720000000001</v>
      </c>
      <c r="H2613">
        <v>16743.150000000001</v>
      </c>
      <c r="I2613" t="s">
        <v>120</v>
      </c>
      <c r="J2613" t="s">
        <v>21</v>
      </c>
      <c r="K2613" t="s">
        <v>42</v>
      </c>
      <c r="L2613" t="s">
        <v>23</v>
      </c>
      <c r="M2613">
        <v>4</v>
      </c>
      <c r="N2613" t="s">
        <v>24</v>
      </c>
      <c r="O2613" t="s">
        <v>70</v>
      </c>
      <c r="P2613" t="s">
        <v>26</v>
      </c>
    </row>
    <row r="2614" spans="1:16" x14ac:dyDescent="0.25">
      <c r="A2614" t="s">
        <v>5932</v>
      </c>
      <c r="B2614" s="6">
        <v>44676</v>
      </c>
      <c r="C2614">
        <v>2694</v>
      </c>
      <c r="D2614" t="s">
        <v>5933</v>
      </c>
      <c r="E2614" t="s">
        <v>38</v>
      </c>
      <c r="F2614" t="s">
        <v>30</v>
      </c>
      <c r="G2614">
        <v>35540.839999999997</v>
      </c>
      <c r="H2614">
        <v>22183.14</v>
      </c>
      <c r="I2614" t="s">
        <v>84</v>
      </c>
      <c r="J2614" t="s">
        <v>54</v>
      </c>
      <c r="K2614" t="s">
        <v>80</v>
      </c>
      <c r="L2614" t="s">
        <v>48</v>
      </c>
      <c r="M2614">
        <v>2</v>
      </c>
      <c r="N2614" t="s">
        <v>24</v>
      </c>
      <c r="O2614" t="s">
        <v>70</v>
      </c>
      <c r="P2614" t="s">
        <v>49</v>
      </c>
    </row>
    <row r="2615" spans="1:16" x14ac:dyDescent="0.25">
      <c r="A2615" t="s">
        <v>5934</v>
      </c>
      <c r="B2615" s="6">
        <v>45276</v>
      </c>
      <c r="C2615">
        <v>4345</v>
      </c>
      <c r="D2615" t="s">
        <v>5935</v>
      </c>
      <c r="E2615" t="s">
        <v>38</v>
      </c>
      <c r="F2615" t="s">
        <v>58</v>
      </c>
      <c r="G2615">
        <v>50783.25</v>
      </c>
      <c r="H2615">
        <v>30601.57</v>
      </c>
      <c r="I2615" t="s">
        <v>63</v>
      </c>
      <c r="J2615" t="s">
        <v>54</v>
      </c>
      <c r="K2615" t="s">
        <v>22</v>
      </c>
      <c r="L2615" t="s">
        <v>64</v>
      </c>
      <c r="M2615">
        <v>4</v>
      </c>
      <c r="N2615" t="s">
        <v>33</v>
      </c>
      <c r="O2615" t="s">
        <v>25</v>
      </c>
      <c r="P2615" t="s">
        <v>34</v>
      </c>
    </row>
    <row r="2616" spans="1:16" x14ac:dyDescent="0.25">
      <c r="A2616" t="s">
        <v>5936</v>
      </c>
      <c r="B2616" s="6">
        <v>44808</v>
      </c>
      <c r="C2616">
        <v>6732</v>
      </c>
      <c r="D2616" t="s">
        <v>5937</v>
      </c>
      <c r="E2616" t="s">
        <v>38</v>
      </c>
      <c r="F2616" t="s">
        <v>58</v>
      </c>
      <c r="G2616">
        <v>29531.27</v>
      </c>
      <c r="H2616">
        <v>14727.33</v>
      </c>
      <c r="I2616" t="s">
        <v>53</v>
      </c>
      <c r="J2616" t="s">
        <v>54</v>
      </c>
      <c r="K2616" t="s">
        <v>42</v>
      </c>
      <c r="L2616" t="s">
        <v>88</v>
      </c>
      <c r="M2616">
        <v>1</v>
      </c>
      <c r="N2616" t="s">
        <v>69</v>
      </c>
      <c r="O2616" t="s">
        <v>25</v>
      </c>
      <c r="P2616" t="s">
        <v>49</v>
      </c>
    </row>
    <row r="2617" spans="1:16" x14ac:dyDescent="0.25">
      <c r="A2617" t="s">
        <v>5938</v>
      </c>
      <c r="B2617" s="6">
        <v>45264</v>
      </c>
      <c r="C2617">
        <v>6796</v>
      </c>
      <c r="D2617" t="s">
        <v>5939</v>
      </c>
      <c r="E2617" t="s">
        <v>18</v>
      </c>
      <c r="F2617" t="s">
        <v>47</v>
      </c>
      <c r="G2617">
        <v>7096.42</v>
      </c>
      <c r="H2617">
        <v>3447.21</v>
      </c>
      <c r="I2617" t="s">
        <v>31</v>
      </c>
      <c r="J2617" t="s">
        <v>21</v>
      </c>
      <c r="K2617" t="s">
        <v>22</v>
      </c>
      <c r="L2617" t="s">
        <v>55</v>
      </c>
      <c r="M2617">
        <v>5</v>
      </c>
      <c r="N2617" t="s">
        <v>69</v>
      </c>
      <c r="O2617" t="s">
        <v>70</v>
      </c>
      <c r="P2617" t="s">
        <v>49</v>
      </c>
    </row>
    <row r="2618" spans="1:16" x14ac:dyDescent="0.25">
      <c r="A2618" t="s">
        <v>5940</v>
      </c>
      <c r="B2618" s="6">
        <v>45111</v>
      </c>
      <c r="C2618">
        <v>3440</v>
      </c>
      <c r="D2618" t="s">
        <v>5941</v>
      </c>
      <c r="E2618" t="s">
        <v>18</v>
      </c>
      <c r="F2618" t="s">
        <v>39</v>
      </c>
      <c r="G2618">
        <v>33632.019999999997</v>
      </c>
      <c r="H2618">
        <v>16162.98</v>
      </c>
      <c r="I2618" t="s">
        <v>63</v>
      </c>
      <c r="J2618" t="s">
        <v>54</v>
      </c>
      <c r="K2618" t="s">
        <v>22</v>
      </c>
      <c r="L2618" t="s">
        <v>55</v>
      </c>
      <c r="M2618">
        <v>3</v>
      </c>
      <c r="N2618" t="s">
        <v>33</v>
      </c>
      <c r="O2618" t="s">
        <v>25</v>
      </c>
      <c r="P2618" t="s">
        <v>34</v>
      </c>
    </row>
    <row r="2619" spans="1:16" x14ac:dyDescent="0.25">
      <c r="A2619" t="s">
        <v>5942</v>
      </c>
      <c r="B2619" s="6">
        <v>44391</v>
      </c>
      <c r="C2619">
        <v>9568</v>
      </c>
      <c r="D2619" t="s">
        <v>5943</v>
      </c>
      <c r="E2619" t="s">
        <v>18</v>
      </c>
      <c r="F2619" t="s">
        <v>30</v>
      </c>
      <c r="G2619">
        <v>36764.980000000003</v>
      </c>
      <c r="H2619">
        <v>21548.19</v>
      </c>
      <c r="I2619" t="s">
        <v>120</v>
      </c>
      <c r="J2619" t="s">
        <v>21</v>
      </c>
      <c r="K2619" t="s">
        <v>22</v>
      </c>
      <c r="L2619" t="s">
        <v>55</v>
      </c>
      <c r="M2619">
        <v>3</v>
      </c>
      <c r="N2619" t="s">
        <v>24</v>
      </c>
      <c r="O2619" t="s">
        <v>70</v>
      </c>
      <c r="P2619" t="s">
        <v>34</v>
      </c>
    </row>
    <row r="2620" spans="1:16" x14ac:dyDescent="0.25">
      <c r="A2620" t="s">
        <v>5944</v>
      </c>
      <c r="B2620" s="6">
        <v>45517</v>
      </c>
      <c r="C2620">
        <v>6837</v>
      </c>
      <c r="D2620" t="s">
        <v>5082</v>
      </c>
      <c r="E2620" t="s">
        <v>18</v>
      </c>
      <c r="F2620" t="s">
        <v>39</v>
      </c>
      <c r="G2620">
        <v>12583.56</v>
      </c>
      <c r="H2620">
        <v>7856.37</v>
      </c>
      <c r="I2620" t="s">
        <v>84</v>
      </c>
      <c r="J2620" t="s">
        <v>54</v>
      </c>
      <c r="K2620" t="s">
        <v>42</v>
      </c>
      <c r="L2620" t="s">
        <v>88</v>
      </c>
      <c r="M2620">
        <v>5</v>
      </c>
      <c r="N2620" t="s">
        <v>33</v>
      </c>
      <c r="O2620" t="s">
        <v>70</v>
      </c>
      <c r="P2620" t="s">
        <v>49</v>
      </c>
    </row>
    <row r="2621" spans="1:16" x14ac:dyDescent="0.25">
      <c r="A2621" t="s">
        <v>5945</v>
      </c>
      <c r="B2621" s="6">
        <v>44123</v>
      </c>
      <c r="C2621">
        <v>1608</v>
      </c>
      <c r="D2621" t="s">
        <v>5946</v>
      </c>
      <c r="E2621" t="s">
        <v>38</v>
      </c>
      <c r="F2621" t="s">
        <v>19</v>
      </c>
      <c r="G2621">
        <v>5998.09</v>
      </c>
      <c r="H2621">
        <v>3646.4</v>
      </c>
      <c r="I2621" t="s">
        <v>20</v>
      </c>
      <c r="J2621" t="s">
        <v>21</v>
      </c>
      <c r="K2621" t="s">
        <v>32</v>
      </c>
      <c r="L2621" t="s">
        <v>88</v>
      </c>
      <c r="M2621">
        <v>4</v>
      </c>
      <c r="N2621" t="s">
        <v>24</v>
      </c>
      <c r="O2621" t="s">
        <v>70</v>
      </c>
      <c r="P2621" t="s">
        <v>49</v>
      </c>
    </row>
    <row r="2622" spans="1:16" x14ac:dyDescent="0.25">
      <c r="A2622" t="s">
        <v>5947</v>
      </c>
      <c r="B2622" s="6">
        <v>44532</v>
      </c>
      <c r="C2622">
        <v>4459</v>
      </c>
      <c r="D2622" t="s">
        <v>1555</v>
      </c>
      <c r="E2622" t="s">
        <v>18</v>
      </c>
      <c r="F2622" t="s">
        <v>47</v>
      </c>
      <c r="G2622">
        <v>4808.74</v>
      </c>
      <c r="H2622">
        <v>2632.53</v>
      </c>
      <c r="I2622" t="s">
        <v>68</v>
      </c>
      <c r="J2622" t="s">
        <v>41</v>
      </c>
      <c r="K2622" t="s">
        <v>32</v>
      </c>
      <c r="L2622" t="s">
        <v>88</v>
      </c>
      <c r="M2622">
        <v>3</v>
      </c>
      <c r="N2622" t="s">
        <v>33</v>
      </c>
      <c r="O2622" t="s">
        <v>25</v>
      </c>
      <c r="P2622" t="s">
        <v>49</v>
      </c>
    </row>
    <row r="2623" spans="1:16" x14ac:dyDescent="0.25">
      <c r="A2623" t="s">
        <v>5948</v>
      </c>
      <c r="B2623" s="6">
        <v>44375</v>
      </c>
      <c r="C2623">
        <v>5862</v>
      </c>
      <c r="D2623" t="s">
        <v>5949</v>
      </c>
      <c r="E2623" t="s">
        <v>18</v>
      </c>
      <c r="F2623" t="s">
        <v>30</v>
      </c>
      <c r="G2623">
        <v>31646.86</v>
      </c>
      <c r="H2623">
        <v>18335.580000000002</v>
      </c>
      <c r="I2623" t="s">
        <v>63</v>
      </c>
      <c r="J2623" t="s">
        <v>54</v>
      </c>
      <c r="K2623" t="s">
        <v>80</v>
      </c>
      <c r="L2623" t="s">
        <v>64</v>
      </c>
      <c r="M2623">
        <v>2</v>
      </c>
      <c r="N2623" t="s">
        <v>24</v>
      </c>
      <c r="O2623" t="s">
        <v>25</v>
      </c>
      <c r="P2623" t="s">
        <v>26</v>
      </c>
    </row>
    <row r="2624" spans="1:16" x14ac:dyDescent="0.25">
      <c r="A2624" t="s">
        <v>5950</v>
      </c>
      <c r="B2624" s="6">
        <v>45290</v>
      </c>
      <c r="C2624">
        <v>1297</v>
      </c>
      <c r="D2624" t="s">
        <v>5951</v>
      </c>
      <c r="E2624" t="s">
        <v>38</v>
      </c>
      <c r="F2624" t="s">
        <v>39</v>
      </c>
      <c r="G2624">
        <v>34671.01</v>
      </c>
      <c r="H2624">
        <v>21655.4</v>
      </c>
      <c r="I2624" t="s">
        <v>120</v>
      </c>
      <c r="J2624" t="s">
        <v>21</v>
      </c>
      <c r="K2624" t="s">
        <v>80</v>
      </c>
      <c r="L2624" t="s">
        <v>64</v>
      </c>
      <c r="M2624">
        <v>2</v>
      </c>
      <c r="N2624" t="s">
        <v>69</v>
      </c>
      <c r="O2624" t="s">
        <v>25</v>
      </c>
      <c r="P2624" t="s">
        <v>26</v>
      </c>
    </row>
    <row r="2625" spans="1:16" x14ac:dyDescent="0.25">
      <c r="A2625" t="s">
        <v>5952</v>
      </c>
      <c r="B2625" s="6">
        <v>44851</v>
      </c>
      <c r="C2625">
        <v>9224</v>
      </c>
      <c r="D2625" t="s">
        <v>5953</v>
      </c>
      <c r="E2625" t="s">
        <v>38</v>
      </c>
      <c r="F2625" t="s">
        <v>58</v>
      </c>
      <c r="G2625">
        <v>15798</v>
      </c>
      <c r="H2625">
        <v>8682</v>
      </c>
      <c r="I2625" t="s">
        <v>120</v>
      </c>
      <c r="J2625" t="s">
        <v>21</v>
      </c>
      <c r="K2625" t="s">
        <v>22</v>
      </c>
      <c r="L2625" t="s">
        <v>43</v>
      </c>
      <c r="M2625">
        <v>5</v>
      </c>
      <c r="N2625" t="s">
        <v>69</v>
      </c>
      <c r="O2625" t="s">
        <v>70</v>
      </c>
      <c r="P2625" t="s">
        <v>34</v>
      </c>
    </row>
    <row r="2626" spans="1:16" x14ac:dyDescent="0.25">
      <c r="A2626" t="s">
        <v>5954</v>
      </c>
      <c r="B2626" s="6">
        <v>45409</v>
      </c>
      <c r="C2626">
        <v>9938</v>
      </c>
      <c r="D2626" t="s">
        <v>5955</v>
      </c>
      <c r="E2626" t="s">
        <v>38</v>
      </c>
      <c r="F2626" t="s">
        <v>58</v>
      </c>
      <c r="G2626">
        <v>20671.810000000001</v>
      </c>
      <c r="H2626">
        <v>9751.23</v>
      </c>
      <c r="I2626" t="s">
        <v>40</v>
      </c>
      <c r="J2626" t="s">
        <v>41</v>
      </c>
      <c r="K2626" t="s">
        <v>32</v>
      </c>
      <c r="L2626" t="s">
        <v>43</v>
      </c>
      <c r="M2626">
        <v>1</v>
      </c>
      <c r="N2626" t="s">
        <v>33</v>
      </c>
      <c r="O2626" t="s">
        <v>25</v>
      </c>
      <c r="P2626" t="s">
        <v>34</v>
      </c>
    </row>
    <row r="2627" spans="1:16" x14ac:dyDescent="0.25">
      <c r="A2627" t="s">
        <v>5956</v>
      </c>
      <c r="B2627" s="6">
        <v>44421</v>
      </c>
      <c r="C2627">
        <v>2830</v>
      </c>
      <c r="D2627" t="s">
        <v>5957</v>
      </c>
      <c r="E2627" t="s">
        <v>18</v>
      </c>
      <c r="F2627" t="s">
        <v>39</v>
      </c>
      <c r="G2627">
        <v>36292.29</v>
      </c>
      <c r="H2627">
        <v>17921.39</v>
      </c>
      <c r="I2627" t="s">
        <v>53</v>
      </c>
      <c r="J2627" t="s">
        <v>54</v>
      </c>
      <c r="K2627" t="s">
        <v>22</v>
      </c>
      <c r="L2627" t="s">
        <v>23</v>
      </c>
      <c r="M2627">
        <v>4</v>
      </c>
      <c r="N2627" t="s">
        <v>33</v>
      </c>
      <c r="O2627" t="s">
        <v>25</v>
      </c>
      <c r="P2627" t="s">
        <v>34</v>
      </c>
    </row>
    <row r="2628" spans="1:16" x14ac:dyDescent="0.25">
      <c r="A2628" t="s">
        <v>5958</v>
      </c>
      <c r="B2628" s="6">
        <v>45591</v>
      </c>
      <c r="C2628">
        <v>9162</v>
      </c>
      <c r="D2628" t="s">
        <v>5959</v>
      </c>
      <c r="E2628" t="s">
        <v>38</v>
      </c>
      <c r="F2628" t="s">
        <v>19</v>
      </c>
      <c r="G2628">
        <v>15870.14</v>
      </c>
      <c r="H2628">
        <v>8296.4599999999991</v>
      </c>
      <c r="I2628" t="s">
        <v>63</v>
      </c>
      <c r="J2628" t="s">
        <v>54</v>
      </c>
      <c r="K2628" t="s">
        <v>22</v>
      </c>
      <c r="L2628" t="s">
        <v>48</v>
      </c>
      <c r="M2628">
        <v>5</v>
      </c>
      <c r="N2628" t="s">
        <v>24</v>
      </c>
      <c r="O2628" t="s">
        <v>70</v>
      </c>
      <c r="P2628" t="s">
        <v>34</v>
      </c>
    </row>
    <row r="2629" spans="1:16" x14ac:dyDescent="0.25">
      <c r="A2629" t="s">
        <v>5960</v>
      </c>
      <c r="B2629" s="6">
        <v>44003</v>
      </c>
      <c r="C2629">
        <v>2540</v>
      </c>
      <c r="D2629" t="s">
        <v>5962</v>
      </c>
      <c r="E2629" t="s">
        <v>38</v>
      </c>
      <c r="F2629" t="s">
        <v>19</v>
      </c>
      <c r="G2629">
        <v>3630.54</v>
      </c>
      <c r="H2629">
        <v>1835.42</v>
      </c>
      <c r="I2629" t="s">
        <v>63</v>
      </c>
      <c r="J2629" t="s">
        <v>54</v>
      </c>
      <c r="K2629" t="s">
        <v>80</v>
      </c>
      <c r="L2629" t="s">
        <v>55</v>
      </c>
      <c r="M2629">
        <v>3</v>
      </c>
      <c r="N2629" t="s">
        <v>69</v>
      </c>
      <c r="O2629" t="s">
        <v>70</v>
      </c>
      <c r="P2629" t="s">
        <v>34</v>
      </c>
    </row>
    <row r="2630" spans="1:16" x14ac:dyDescent="0.25">
      <c r="A2630" t="s">
        <v>5963</v>
      </c>
      <c r="B2630" s="6">
        <v>45426</v>
      </c>
      <c r="C2630">
        <v>7061</v>
      </c>
      <c r="D2630" t="s">
        <v>5736</v>
      </c>
      <c r="E2630" t="s">
        <v>18</v>
      </c>
      <c r="F2630" t="s">
        <v>39</v>
      </c>
      <c r="G2630">
        <v>31791.95</v>
      </c>
      <c r="H2630">
        <v>16111.71</v>
      </c>
      <c r="I2630" t="s">
        <v>53</v>
      </c>
      <c r="J2630" t="s">
        <v>54</v>
      </c>
      <c r="K2630" t="s">
        <v>42</v>
      </c>
      <c r="L2630" t="s">
        <v>48</v>
      </c>
      <c r="M2630">
        <v>5</v>
      </c>
      <c r="N2630" t="s">
        <v>24</v>
      </c>
      <c r="O2630" t="s">
        <v>25</v>
      </c>
      <c r="P2630" t="s">
        <v>34</v>
      </c>
    </row>
    <row r="2631" spans="1:16" x14ac:dyDescent="0.25">
      <c r="A2631" t="s">
        <v>5964</v>
      </c>
      <c r="B2631" s="6">
        <v>44606</v>
      </c>
      <c r="C2631">
        <v>2876</v>
      </c>
      <c r="D2631" t="s">
        <v>5965</v>
      </c>
      <c r="E2631" t="s">
        <v>18</v>
      </c>
      <c r="F2631" t="s">
        <v>19</v>
      </c>
      <c r="G2631">
        <v>17014.39</v>
      </c>
      <c r="H2631">
        <v>10439.35</v>
      </c>
      <c r="I2631" t="s">
        <v>120</v>
      </c>
      <c r="J2631" t="s">
        <v>21</v>
      </c>
      <c r="K2631" t="s">
        <v>22</v>
      </c>
      <c r="L2631" t="s">
        <v>88</v>
      </c>
      <c r="M2631">
        <v>5</v>
      </c>
      <c r="N2631" t="s">
        <v>24</v>
      </c>
      <c r="O2631" t="s">
        <v>70</v>
      </c>
      <c r="P2631" t="s">
        <v>26</v>
      </c>
    </row>
    <row r="2632" spans="1:16" x14ac:dyDescent="0.25">
      <c r="A2632" t="s">
        <v>5966</v>
      </c>
      <c r="B2632" s="6">
        <v>45519</v>
      </c>
      <c r="C2632">
        <v>7425</v>
      </c>
      <c r="D2632" t="s">
        <v>5783</v>
      </c>
      <c r="E2632" t="s">
        <v>38</v>
      </c>
      <c r="F2632" t="s">
        <v>47</v>
      </c>
      <c r="G2632">
        <v>17548.93</v>
      </c>
      <c r="H2632">
        <v>8993.68</v>
      </c>
      <c r="I2632" t="s">
        <v>63</v>
      </c>
      <c r="J2632" t="s">
        <v>54</v>
      </c>
      <c r="K2632" t="s">
        <v>32</v>
      </c>
      <c r="L2632" t="s">
        <v>64</v>
      </c>
      <c r="M2632">
        <v>4</v>
      </c>
      <c r="N2632" t="s">
        <v>33</v>
      </c>
      <c r="O2632" t="s">
        <v>70</v>
      </c>
      <c r="P2632" t="s">
        <v>34</v>
      </c>
    </row>
    <row r="2633" spans="1:16" x14ac:dyDescent="0.25">
      <c r="A2633" t="s">
        <v>5967</v>
      </c>
      <c r="B2633" s="6">
        <v>44700</v>
      </c>
      <c r="C2633">
        <v>3791</v>
      </c>
      <c r="D2633" t="s">
        <v>5969</v>
      </c>
      <c r="E2633" t="s">
        <v>38</v>
      </c>
      <c r="F2633" t="s">
        <v>39</v>
      </c>
      <c r="G2633">
        <v>29895.11</v>
      </c>
      <c r="H2633">
        <v>14590.82</v>
      </c>
      <c r="I2633" t="s">
        <v>20</v>
      </c>
      <c r="J2633" t="s">
        <v>21</v>
      </c>
      <c r="K2633" t="s">
        <v>32</v>
      </c>
      <c r="L2633" t="s">
        <v>88</v>
      </c>
      <c r="M2633">
        <v>2</v>
      </c>
      <c r="N2633" t="s">
        <v>33</v>
      </c>
      <c r="O2633" t="s">
        <v>25</v>
      </c>
      <c r="P2633" t="s">
        <v>26</v>
      </c>
    </row>
    <row r="2634" spans="1:16" x14ac:dyDescent="0.25">
      <c r="A2634" t="s">
        <v>5970</v>
      </c>
      <c r="B2634" s="6">
        <v>44640</v>
      </c>
      <c r="C2634">
        <v>4404</v>
      </c>
      <c r="D2634" t="s">
        <v>5971</v>
      </c>
      <c r="E2634" t="s">
        <v>38</v>
      </c>
      <c r="F2634" t="s">
        <v>47</v>
      </c>
      <c r="G2634">
        <v>14235.68</v>
      </c>
      <c r="H2634">
        <v>8863.39</v>
      </c>
      <c r="I2634" t="s">
        <v>20</v>
      </c>
      <c r="J2634" t="s">
        <v>21</v>
      </c>
      <c r="K2634" t="s">
        <v>42</v>
      </c>
      <c r="L2634" t="s">
        <v>88</v>
      </c>
      <c r="M2634">
        <v>1</v>
      </c>
      <c r="N2634" t="s">
        <v>69</v>
      </c>
      <c r="O2634" t="s">
        <v>25</v>
      </c>
      <c r="P2634" t="s">
        <v>34</v>
      </c>
    </row>
    <row r="2635" spans="1:16" x14ac:dyDescent="0.25">
      <c r="A2635" t="s">
        <v>5972</v>
      </c>
      <c r="B2635" s="6">
        <v>44999</v>
      </c>
      <c r="C2635">
        <v>6558</v>
      </c>
      <c r="D2635" t="s">
        <v>5973</v>
      </c>
      <c r="E2635" t="s">
        <v>18</v>
      </c>
      <c r="F2635" t="s">
        <v>47</v>
      </c>
      <c r="G2635">
        <v>9794.4</v>
      </c>
      <c r="H2635">
        <v>6175.6</v>
      </c>
      <c r="I2635" t="s">
        <v>63</v>
      </c>
      <c r="J2635" t="s">
        <v>54</v>
      </c>
      <c r="K2635" t="s">
        <v>22</v>
      </c>
      <c r="L2635" t="s">
        <v>43</v>
      </c>
      <c r="M2635">
        <v>3</v>
      </c>
      <c r="N2635" t="s">
        <v>24</v>
      </c>
      <c r="O2635" t="s">
        <v>25</v>
      </c>
      <c r="P2635" t="s">
        <v>26</v>
      </c>
    </row>
    <row r="2636" spans="1:16" x14ac:dyDescent="0.25">
      <c r="A2636" t="s">
        <v>5974</v>
      </c>
      <c r="B2636" s="6">
        <v>44031</v>
      </c>
      <c r="C2636">
        <v>4367</v>
      </c>
      <c r="D2636" t="s">
        <v>5976</v>
      </c>
      <c r="E2636" t="s">
        <v>38</v>
      </c>
      <c r="F2636" t="s">
        <v>58</v>
      </c>
      <c r="G2636">
        <v>6905.18</v>
      </c>
      <c r="H2636">
        <v>4024.28</v>
      </c>
      <c r="I2636" t="s">
        <v>120</v>
      </c>
      <c r="J2636" t="s">
        <v>21</v>
      </c>
      <c r="K2636" t="s">
        <v>32</v>
      </c>
      <c r="L2636" t="s">
        <v>64</v>
      </c>
      <c r="M2636">
        <v>5</v>
      </c>
      <c r="N2636" t="s">
        <v>69</v>
      </c>
      <c r="O2636" t="s">
        <v>70</v>
      </c>
      <c r="P2636" t="s">
        <v>26</v>
      </c>
    </row>
    <row r="2637" spans="1:16" x14ac:dyDescent="0.25">
      <c r="A2637" t="s">
        <v>5977</v>
      </c>
      <c r="B2637" s="6">
        <v>44276</v>
      </c>
      <c r="C2637">
        <v>3054</v>
      </c>
      <c r="D2637" t="s">
        <v>5979</v>
      </c>
      <c r="E2637" t="s">
        <v>38</v>
      </c>
      <c r="F2637" t="s">
        <v>58</v>
      </c>
      <c r="G2637">
        <v>25035.7</v>
      </c>
      <c r="H2637">
        <v>14876.22</v>
      </c>
      <c r="I2637" t="s">
        <v>53</v>
      </c>
      <c r="J2637" t="s">
        <v>54</v>
      </c>
      <c r="K2637" t="s">
        <v>80</v>
      </c>
      <c r="L2637" t="s">
        <v>88</v>
      </c>
      <c r="M2637">
        <v>4</v>
      </c>
      <c r="N2637" t="s">
        <v>69</v>
      </c>
      <c r="O2637" t="s">
        <v>25</v>
      </c>
      <c r="P2637" t="s">
        <v>49</v>
      </c>
    </row>
    <row r="2638" spans="1:16" x14ac:dyDescent="0.25">
      <c r="A2638" t="s">
        <v>5980</v>
      </c>
      <c r="B2638" s="6">
        <v>45489</v>
      </c>
      <c r="C2638">
        <v>8312</v>
      </c>
      <c r="D2638" t="s">
        <v>5981</v>
      </c>
      <c r="E2638" t="s">
        <v>38</v>
      </c>
      <c r="F2638" t="s">
        <v>30</v>
      </c>
      <c r="G2638">
        <v>83671.39</v>
      </c>
      <c r="H2638">
        <v>47417.75</v>
      </c>
      <c r="I2638" t="s">
        <v>20</v>
      </c>
      <c r="J2638" t="s">
        <v>21</v>
      </c>
      <c r="K2638" t="s">
        <v>32</v>
      </c>
      <c r="L2638" t="s">
        <v>43</v>
      </c>
      <c r="M2638">
        <v>3</v>
      </c>
      <c r="N2638" t="s">
        <v>33</v>
      </c>
      <c r="O2638" t="s">
        <v>70</v>
      </c>
      <c r="P2638" t="s">
        <v>26</v>
      </c>
    </row>
    <row r="2639" spans="1:16" x14ac:dyDescent="0.25">
      <c r="A2639" t="s">
        <v>5982</v>
      </c>
      <c r="B2639" s="6">
        <v>45372</v>
      </c>
      <c r="C2639">
        <v>7698</v>
      </c>
      <c r="D2639" t="s">
        <v>5983</v>
      </c>
      <c r="E2639" t="s">
        <v>38</v>
      </c>
      <c r="F2639" t="s">
        <v>39</v>
      </c>
      <c r="G2639">
        <v>45611.18</v>
      </c>
      <c r="H2639">
        <v>26030.65</v>
      </c>
      <c r="I2639" t="s">
        <v>53</v>
      </c>
      <c r="J2639" t="s">
        <v>54</v>
      </c>
      <c r="K2639" t="s">
        <v>22</v>
      </c>
      <c r="L2639" t="s">
        <v>48</v>
      </c>
      <c r="M2639">
        <v>3</v>
      </c>
      <c r="N2639" t="s">
        <v>33</v>
      </c>
      <c r="O2639" t="s">
        <v>70</v>
      </c>
      <c r="P2639" t="s">
        <v>34</v>
      </c>
    </row>
    <row r="2640" spans="1:16" x14ac:dyDescent="0.25">
      <c r="A2640" t="s">
        <v>5984</v>
      </c>
      <c r="B2640" s="6">
        <v>43869</v>
      </c>
      <c r="C2640">
        <v>3022</v>
      </c>
      <c r="D2640" t="s">
        <v>5986</v>
      </c>
      <c r="E2640" t="s">
        <v>18</v>
      </c>
      <c r="F2640" t="s">
        <v>19</v>
      </c>
      <c r="G2640">
        <v>12132.96</v>
      </c>
      <c r="H2640">
        <v>6633.49</v>
      </c>
      <c r="I2640" t="s">
        <v>20</v>
      </c>
      <c r="J2640" t="s">
        <v>21</v>
      </c>
      <c r="K2640" t="s">
        <v>22</v>
      </c>
      <c r="L2640" t="s">
        <v>88</v>
      </c>
      <c r="M2640">
        <v>2</v>
      </c>
      <c r="N2640" t="s">
        <v>33</v>
      </c>
      <c r="O2640" t="s">
        <v>70</v>
      </c>
      <c r="P2640" t="s">
        <v>49</v>
      </c>
    </row>
    <row r="2641" spans="1:16" x14ac:dyDescent="0.25">
      <c r="A2641" t="s">
        <v>5987</v>
      </c>
      <c r="B2641" s="6">
        <v>44360</v>
      </c>
      <c r="C2641">
        <v>2570</v>
      </c>
      <c r="D2641" t="s">
        <v>5988</v>
      </c>
      <c r="E2641" t="s">
        <v>18</v>
      </c>
      <c r="F2641" t="s">
        <v>58</v>
      </c>
      <c r="G2641">
        <v>10114.84</v>
      </c>
      <c r="H2641">
        <v>5366.56</v>
      </c>
      <c r="I2641" t="s">
        <v>20</v>
      </c>
      <c r="J2641" t="s">
        <v>21</v>
      </c>
      <c r="K2641" t="s">
        <v>22</v>
      </c>
      <c r="L2641" t="s">
        <v>23</v>
      </c>
      <c r="M2641">
        <v>2</v>
      </c>
      <c r="N2641" t="s">
        <v>33</v>
      </c>
      <c r="O2641" t="s">
        <v>25</v>
      </c>
      <c r="P2641" t="s">
        <v>26</v>
      </c>
    </row>
    <row r="2642" spans="1:16" x14ac:dyDescent="0.25">
      <c r="A2642" t="s">
        <v>5989</v>
      </c>
      <c r="B2642" s="6">
        <v>45606</v>
      </c>
      <c r="C2642">
        <v>6986</v>
      </c>
      <c r="D2642" t="s">
        <v>5990</v>
      </c>
      <c r="E2642" t="s">
        <v>18</v>
      </c>
      <c r="F2642" t="s">
        <v>30</v>
      </c>
      <c r="G2642">
        <v>16174.95</v>
      </c>
      <c r="H2642">
        <v>8422.66</v>
      </c>
      <c r="I2642" t="s">
        <v>68</v>
      </c>
      <c r="J2642" t="s">
        <v>41</v>
      </c>
      <c r="K2642" t="s">
        <v>32</v>
      </c>
      <c r="L2642" t="s">
        <v>43</v>
      </c>
      <c r="M2642">
        <v>4</v>
      </c>
      <c r="N2642" t="s">
        <v>24</v>
      </c>
      <c r="O2642" t="s">
        <v>25</v>
      </c>
      <c r="P2642" t="s">
        <v>34</v>
      </c>
    </row>
    <row r="2643" spans="1:16" x14ac:dyDescent="0.25">
      <c r="A2643" t="s">
        <v>5991</v>
      </c>
      <c r="B2643" s="6">
        <v>44970</v>
      </c>
      <c r="C2643">
        <v>7186</v>
      </c>
      <c r="D2643" t="s">
        <v>5992</v>
      </c>
      <c r="E2643" t="s">
        <v>38</v>
      </c>
      <c r="F2643" t="s">
        <v>47</v>
      </c>
      <c r="G2643">
        <v>3662.38</v>
      </c>
      <c r="H2643">
        <v>1955.89</v>
      </c>
      <c r="I2643" t="s">
        <v>63</v>
      </c>
      <c r="J2643" t="s">
        <v>54</v>
      </c>
      <c r="K2643" t="s">
        <v>32</v>
      </c>
      <c r="L2643" t="s">
        <v>23</v>
      </c>
      <c r="M2643">
        <v>4</v>
      </c>
      <c r="N2643" t="s">
        <v>33</v>
      </c>
      <c r="O2643" t="s">
        <v>25</v>
      </c>
      <c r="P2643" t="s">
        <v>26</v>
      </c>
    </row>
    <row r="2644" spans="1:16" x14ac:dyDescent="0.25">
      <c r="A2644" t="s">
        <v>5993</v>
      </c>
      <c r="B2644" s="6">
        <v>45000</v>
      </c>
      <c r="C2644">
        <v>9101</v>
      </c>
      <c r="D2644" t="s">
        <v>5995</v>
      </c>
      <c r="E2644" t="s">
        <v>18</v>
      </c>
      <c r="F2644" t="s">
        <v>47</v>
      </c>
      <c r="G2644">
        <v>3715.3</v>
      </c>
      <c r="H2644">
        <v>2358.1999999999998</v>
      </c>
      <c r="I2644" t="s">
        <v>59</v>
      </c>
      <c r="J2644" t="s">
        <v>41</v>
      </c>
      <c r="K2644" t="s">
        <v>42</v>
      </c>
      <c r="L2644" t="s">
        <v>55</v>
      </c>
      <c r="M2644">
        <v>5</v>
      </c>
      <c r="N2644" t="s">
        <v>69</v>
      </c>
      <c r="O2644" t="s">
        <v>25</v>
      </c>
      <c r="P2644" t="s">
        <v>34</v>
      </c>
    </row>
    <row r="2645" spans="1:16" x14ac:dyDescent="0.25">
      <c r="A2645" t="s">
        <v>5996</v>
      </c>
      <c r="B2645" s="6">
        <v>45464</v>
      </c>
      <c r="C2645">
        <v>7812</v>
      </c>
      <c r="D2645" t="s">
        <v>5997</v>
      </c>
      <c r="E2645" t="s">
        <v>18</v>
      </c>
      <c r="F2645" t="s">
        <v>47</v>
      </c>
      <c r="G2645">
        <v>3106.17</v>
      </c>
      <c r="H2645">
        <v>1726.64</v>
      </c>
      <c r="I2645" t="s">
        <v>68</v>
      </c>
      <c r="J2645" t="s">
        <v>41</v>
      </c>
      <c r="K2645" t="s">
        <v>22</v>
      </c>
      <c r="L2645" t="s">
        <v>55</v>
      </c>
      <c r="M2645">
        <v>3</v>
      </c>
      <c r="N2645" t="s">
        <v>69</v>
      </c>
      <c r="O2645" t="s">
        <v>70</v>
      </c>
      <c r="P2645" t="s">
        <v>49</v>
      </c>
    </row>
    <row r="2646" spans="1:16" x14ac:dyDescent="0.25">
      <c r="A2646" t="s">
        <v>5998</v>
      </c>
      <c r="B2646" s="6">
        <v>44511</v>
      </c>
      <c r="C2646">
        <v>2053</v>
      </c>
      <c r="D2646" t="s">
        <v>6000</v>
      </c>
      <c r="E2646" t="s">
        <v>18</v>
      </c>
      <c r="F2646" t="s">
        <v>58</v>
      </c>
      <c r="G2646">
        <v>24548.22</v>
      </c>
      <c r="H2646">
        <v>14050.35</v>
      </c>
      <c r="I2646" t="s">
        <v>31</v>
      </c>
      <c r="J2646" t="s">
        <v>21</v>
      </c>
      <c r="K2646" t="s">
        <v>42</v>
      </c>
      <c r="L2646" t="s">
        <v>23</v>
      </c>
      <c r="M2646">
        <v>4</v>
      </c>
      <c r="N2646" t="s">
        <v>24</v>
      </c>
      <c r="O2646" t="s">
        <v>25</v>
      </c>
      <c r="P2646" t="s">
        <v>34</v>
      </c>
    </row>
    <row r="2647" spans="1:16" x14ac:dyDescent="0.25">
      <c r="A2647" t="s">
        <v>6001</v>
      </c>
      <c r="B2647" s="6">
        <v>45127</v>
      </c>
      <c r="C2647">
        <v>3686</v>
      </c>
      <c r="D2647" t="s">
        <v>6002</v>
      </c>
      <c r="E2647" t="s">
        <v>18</v>
      </c>
      <c r="F2647" t="s">
        <v>58</v>
      </c>
      <c r="G2647">
        <v>25893.9</v>
      </c>
      <c r="H2647">
        <v>13943.99</v>
      </c>
      <c r="I2647" t="s">
        <v>84</v>
      </c>
      <c r="J2647" t="s">
        <v>54</v>
      </c>
      <c r="K2647" t="s">
        <v>32</v>
      </c>
      <c r="L2647" t="s">
        <v>64</v>
      </c>
      <c r="M2647">
        <v>2</v>
      </c>
      <c r="N2647" t="s">
        <v>33</v>
      </c>
      <c r="O2647" t="s">
        <v>70</v>
      </c>
      <c r="P2647" t="s">
        <v>34</v>
      </c>
    </row>
    <row r="2648" spans="1:16" x14ac:dyDescent="0.25">
      <c r="A2648" t="s">
        <v>6003</v>
      </c>
      <c r="B2648" s="6">
        <v>45026</v>
      </c>
      <c r="C2648">
        <v>1164</v>
      </c>
      <c r="D2648" t="s">
        <v>6004</v>
      </c>
      <c r="E2648" t="s">
        <v>18</v>
      </c>
      <c r="F2648" t="s">
        <v>19</v>
      </c>
      <c r="G2648">
        <v>5353.58</v>
      </c>
      <c r="H2648">
        <v>2464.84</v>
      </c>
      <c r="I2648" t="s">
        <v>53</v>
      </c>
      <c r="J2648" t="s">
        <v>54</v>
      </c>
      <c r="K2648" t="s">
        <v>80</v>
      </c>
      <c r="L2648" t="s">
        <v>23</v>
      </c>
      <c r="M2648">
        <v>4</v>
      </c>
      <c r="N2648" t="s">
        <v>24</v>
      </c>
      <c r="O2648" t="s">
        <v>25</v>
      </c>
      <c r="P2648" t="s">
        <v>49</v>
      </c>
    </row>
    <row r="2649" spans="1:16" x14ac:dyDescent="0.25">
      <c r="A2649" t="s">
        <v>6005</v>
      </c>
      <c r="B2649" s="6">
        <v>45189</v>
      </c>
      <c r="C2649">
        <v>8354</v>
      </c>
      <c r="D2649" t="s">
        <v>6007</v>
      </c>
      <c r="E2649" t="s">
        <v>18</v>
      </c>
      <c r="F2649" t="s">
        <v>47</v>
      </c>
      <c r="G2649">
        <v>4538.66</v>
      </c>
      <c r="H2649">
        <v>2195.11</v>
      </c>
      <c r="I2649" t="s">
        <v>84</v>
      </c>
      <c r="J2649" t="s">
        <v>54</v>
      </c>
      <c r="K2649" t="s">
        <v>32</v>
      </c>
      <c r="L2649" t="s">
        <v>43</v>
      </c>
      <c r="M2649">
        <v>1</v>
      </c>
      <c r="N2649" t="s">
        <v>69</v>
      </c>
      <c r="O2649" t="s">
        <v>70</v>
      </c>
      <c r="P2649" t="s">
        <v>26</v>
      </c>
    </row>
    <row r="2650" spans="1:16" x14ac:dyDescent="0.25">
      <c r="A2650" t="s">
        <v>6008</v>
      </c>
      <c r="B2650" s="6">
        <v>45270</v>
      </c>
      <c r="C2650">
        <v>3861</v>
      </c>
      <c r="D2650" t="s">
        <v>6009</v>
      </c>
      <c r="E2650" t="s">
        <v>38</v>
      </c>
      <c r="F2650" t="s">
        <v>58</v>
      </c>
      <c r="G2650">
        <v>20089.490000000002</v>
      </c>
      <c r="H2650">
        <v>9490.81</v>
      </c>
      <c r="I2650" t="s">
        <v>20</v>
      </c>
      <c r="J2650" t="s">
        <v>21</v>
      </c>
      <c r="K2650" t="s">
        <v>32</v>
      </c>
      <c r="L2650" t="s">
        <v>43</v>
      </c>
      <c r="M2650">
        <v>3</v>
      </c>
      <c r="N2650" t="s">
        <v>24</v>
      </c>
      <c r="O2650" t="s">
        <v>70</v>
      </c>
      <c r="P2650" t="s">
        <v>34</v>
      </c>
    </row>
    <row r="2651" spans="1:16" x14ac:dyDescent="0.25">
      <c r="A2651" t="s">
        <v>6010</v>
      </c>
      <c r="B2651" s="6">
        <v>44721</v>
      </c>
      <c r="C2651">
        <v>5395</v>
      </c>
      <c r="D2651" t="s">
        <v>847</v>
      </c>
      <c r="E2651" t="s">
        <v>38</v>
      </c>
      <c r="F2651" t="s">
        <v>30</v>
      </c>
      <c r="G2651">
        <v>62236.45</v>
      </c>
      <c r="H2651">
        <v>28721.26</v>
      </c>
      <c r="I2651" t="s">
        <v>63</v>
      </c>
      <c r="J2651" t="s">
        <v>54</v>
      </c>
      <c r="K2651" t="s">
        <v>32</v>
      </c>
      <c r="L2651" t="s">
        <v>48</v>
      </c>
      <c r="M2651">
        <v>3</v>
      </c>
      <c r="N2651" t="s">
        <v>24</v>
      </c>
      <c r="O2651" t="s">
        <v>25</v>
      </c>
      <c r="P2651" t="s">
        <v>34</v>
      </c>
    </row>
    <row r="2652" spans="1:16" x14ac:dyDescent="0.25">
      <c r="A2652" t="s">
        <v>6011</v>
      </c>
      <c r="B2652" s="6">
        <v>45476</v>
      </c>
      <c r="C2652">
        <v>6988</v>
      </c>
      <c r="D2652" t="s">
        <v>6012</v>
      </c>
      <c r="E2652" t="s">
        <v>18</v>
      </c>
      <c r="F2652" t="s">
        <v>39</v>
      </c>
      <c r="G2652">
        <v>15229.42</v>
      </c>
      <c r="H2652">
        <v>9649.7099999999991</v>
      </c>
      <c r="I2652" t="s">
        <v>40</v>
      </c>
      <c r="J2652" t="s">
        <v>41</v>
      </c>
      <c r="K2652" t="s">
        <v>32</v>
      </c>
      <c r="L2652" t="s">
        <v>43</v>
      </c>
      <c r="M2652">
        <v>4</v>
      </c>
      <c r="N2652" t="s">
        <v>33</v>
      </c>
      <c r="O2652" t="s">
        <v>25</v>
      </c>
      <c r="P2652" t="s">
        <v>49</v>
      </c>
    </row>
    <row r="2653" spans="1:16" x14ac:dyDescent="0.25">
      <c r="A2653" t="s">
        <v>6013</v>
      </c>
      <c r="B2653" s="6">
        <v>44954</v>
      </c>
      <c r="C2653">
        <v>2893</v>
      </c>
      <c r="D2653" t="s">
        <v>6014</v>
      </c>
      <c r="E2653" t="s">
        <v>38</v>
      </c>
      <c r="F2653" t="s">
        <v>47</v>
      </c>
      <c r="G2653">
        <v>14224.7</v>
      </c>
      <c r="H2653">
        <v>6671.36</v>
      </c>
      <c r="I2653" t="s">
        <v>120</v>
      </c>
      <c r="J2653" t="s">
        <v>21</v>
      </c>
      <c r="K2653" t="s">
        <v>22</v>
      </c>
      <c r="L2653" t="s">
        <v>23</v>
      </c>
      <c r="M2653">
        <v>3</v>
      </c>
      <c r="N2653" t="s">
        <v>69</v>
      </c>
      <c r="O2653" t="s">
        <v>70</v>
      </c>
      <c r="P2653" t="s">
        <v>26</v>
      </c>
    </row>
    <row r="2654" spans="1:16" x14ac:dyDescent="0.25">
      <c r="A2654" t="s">
        <v>6015</v>
      </c>
      <c r="B2654" s="6">
        <v>45483</v>
      </c>
      <c r="C2654">
        <v>7891</v>
      </c>
      <c r="D2654" t="s">
        <v>2447</v>
      </c>
      <c r="E2654" t="s">
        <v>38</v>
      </c>
      <c r="F2654" t="s">
        <v>39</v>
      </c>
      <c r="G2654">
        <v>23599.78</v>
      </c>
      <c r="H2654">
        <v>11165.21</v>
      </c>
      <c r="I2654" t="s">
        <v>63</v>
      </c>
      <c r="J2654" t="s">
        <v>54</v>
      </c>
      <c r="K2654" t="s">
        <v>22</v>
      </c>
      <c r="L2654" t="s">
        <v>88</v>
      </c>
      <c r="M2654">
        <v>4</v>
      </c>
      <c r="N2654" t="s">
        <v>33</v>
      </c>
      <c r="O2654" t="s">
        <v>70</v>
      </c>
      <c r="P2654" t="s">
        <v>49</v>
      </c>
    </row>
    <row r="2655" spans="1:16" x14ac:dyDescent="0.25">
      <c r="A2655" t="s">
        <v>6016</v>
      </c>
      <c r="B2655" s="6">
        <v>44053</v>
      </c>
      <c r="C2655">
        <v>3853</v>
      </c>
      <c r="D2655" t="s">
        <v>792</v>
      </c>
      <c r="E2655" t="s">
        <v>38</v>
      </c>
      <c r="F2655" t="s">
        <v>39</v>
      </c>
      <c r="G2655">
        <v>7920.39</v>
      </c>
      <c r="H2655">
        <v>4462.42</v>
      </c>
      <c r="I2655" t="s">
        <v>63</v>
      </c>
      <c r="J2655" t="s">
        <v>54</v>
      </c>
      <c r="K2655" t="s">
        <v>22</v>
      </c>
      <c r="L2655" t="s">
        <v>64</v>
      </c>
      <c r="M2655">
        <v>3</v>
      </c>
      <c r="N2655" t="s">
        <v>33</v>
      </c>
      <c r="O2655" t="s">
        <v>25</v>
      </c>
      <c r="P2655" t="s">
        <v>26</v>
      </c>
    </row>
    <row r="2656" spans="1:16" x14ac:dyDescent="0.25">
      <c r="A2656" t="s">
        <v>6017</v>
      </c>
      <c r="B2656" s="6">
        <v>44112</v>
      </c>
      <c r="C2656">
        <v>4117</v>
      </c>
      <c r="D2656" t="s">
        <v>6018</v>
      </c>
      <c r="E2656" t="s">
        <v>18</v>
      </c>
      <c r="F2656" t="s">
        <v>58</v>
      </c>
      <c r="G2656">
        <v>7459.79</v>
      </c>
      <c r="H2656">
        <v>4066.12</v>
      </c>
      <c r="I2656" t="s">
        <v>53</v>
      </c>
      <c r="J2656" t="s">
        <v>54</v>
      </c>
      <c r="K2656" t="s">
        <v>80</v>
      </c>
      <c r="L2656" t="s">
        <v>55</v>
      </c>
      <c r="M2656">
        <v>5</v>
      </c>
      <c r="N2656" t="s">
        <v>24</v>
      </c>
      <c r="O2656" t="s">
        <v>25</v>
      </c>
      <c r="P2656" t="s">
        <v>34</v>
      </c>
    </row>
    <row r="2657" spans="1:16" x14ac:dyDescent="0.25">
      <c r="A2657" t="s">
        <v>6019</v>
      </c>
      <c r="B2657" s="6">
        <v>45601</v>
      </c>
      <c r="C2657">
        <v>6930</v>
      </c>
      <c r="D2657" t="s">
        <v>3559</v>
      </c>
      <c r="E2657" t="s">
        <v>18</v>
      </c>
      <c r="F2657" t="s">
        <v>58</v>
      </c>
      <c r="G2657">
        <v>26719.64</v>
      </c>
      <c r="H2657">
        <v>15219.6</v>
      </c>
      <c r="I2657" t="s">
        <v>59</v>
      </c>
      <c r="J2657" t="s">
        <v>41</v>
      </c>
      <c r="K2657" t="s">
        <v>22</v>
      </c>
      <c r="L2657" t="s">
        <v>55</v>
      </c>
      <c r="M2657">
        <v>3</v>
      </c>
      <c r="N2657" t="s">
        <v>33</v>
      </c>
      <c r="O2657" t="s">
        <v>25</v>
      </c>
      <c r="P2657" t="s">
        <v>26</v>
      </c>
    </row>
    <row r="2658" spans="1:16" x14ac:dyDescent="0.25">
      <c r="A2658" t="s">
        <v>6020</v>
      </c>
      <c r="B2658" s="6">
        <v>45478</v>
      </c>
      <c r="C2658">
        <v>7047</v>
      </c>
      <c r="D2658" t="s">
        <v>6021</v>
      </c>
      <c r="E2658" t="s">
        <v>18</v>
      </c>
      <c r="F2658" t="s">
        <v>47</v>
      </c>
      <c r="G2658">
        <v>10497.54</v>
      </c>
      <c r="H2658">
        <v>5631.3</v>
      </c>
      <c r="I2658" t="s">
        <v>20</v>
      </c>
      <c r="J2658" t="s">
        <v>21</v>
      </c>
      <c r="K2658" t="s">
        <v>42</v>
      </c>
      <c r="L2658" t="s">
        <v>23</v>
      </c>
      <c r="M2658">
        <v>3</v>
      </c>
      <c r="N2658" t="s">
        <v>33</v>
      </c>
      <c r="O2658" t="s">
        <v>70</v>
      </c>
      <c r="P2658" t="s">
        <v>26</v>
      </c>
    </row>
    <row r="2659" spans="1:16" x14ac:dyDescent="0.25">
      <c r="A2659" t="s">
        <v>6022</v>
      </c>
      <c r="B2659" s="6">
        <v>45484</v>
      </c>
      <c r="C2659">
        <v>2602</v>
      </c>
      <c r="D2659" t="s">
        <v>6024</v>
      </c>
      <c r="E2659" t="s">
        <v>18</v>
      </c>
      <c r="F2659" t="s">
        <v>47</v>
      </c>
      <c r="G2659">
        <v>11190.98</v>
      </c>
      <c r="H2659">
        <v>5766.79</v>
      </c>
      <c r="I2659" t="s">
        <v>63</v>
      </c>
      <c r="J2659" t="s">
        <v>54</v>
      </c>
      <c r="K2659" t="s">
        <v>80</v>
      </c>
      <c r="L2659" t="s">
        <v>55</v>
      </c>
      <c r="M2659">
        <v>2</v>
      </c>
      <c r="N2659" t="s">
        <v>33</v>
      </c>
      <c r="O2659" t="s">
        <v>25</v>
      </c>
      <c r="P2659" t="s">
        <v>26</v>
      </c>
    </row>
    <row r="2660" spans="1:16" x14ac:dyDescent="0.25">
      <c r="A2660" t="s">
        <v>6025</v>
      </c>
      <c r="B2660" s="6">
        <v>44902</v>
      </c>
      <c r="C2660">
        <v>1718</v>
      </c>
      <c r="D2660" t="s">
        <v>6026</v>
      </c>
      <c r="E2660" t="s">
        <v>38</v>
      </c>
      <c r="F2660" t="s">
        <v>30</v>
      </c>
      <c r="G2660">
        <v>55643.72</v>
      </c>
      <c r="H2660">
        <v>30585.97</v>
      </c>
      <c r="I2660" t="s">
        <v>53</v>
      </c>
      <c r="J2660" t="s">
        <v>54</v>
      </c>
      <c r="K2660" t="s">
        <v>32</v>
      </c>
      <c r="L2660" t="s">
        <v>23</v>
      </c>
      <c r="M2660">
        <v>2</v>
      </c>
      <c r="N2660" t="s">
        <v>24</v>
      </c>
      <c r="O2660" t="s">
        <v>70</v>
      </c>
      <c r="P2660" t="s">
        <v>49</v>
      </c>
    </row>
    <row r="2661" spans="1:16" x14ac:dyDescent="0.25">
      <c r="A2661" t="s">
        <v>6027</v>
      </c>
      <c r="B2661" s="6">
        <v>45105</v>
      </c>
      <c r="C2661">
        <v>7451</v>
      </c>
      <c r="D2661" t="s">
        <v>6029</v>
      </c>
      <c r="E2661" t="s">
        <v>18</v>
      </c>
      <c r="F2661" t="s">
        <v>19</v>
      </c>
      <c r="G2661">
        <v>6969.58</v>
      </c>
      <c r="H2661">
        <v>3783.91</v>
      </c>
      <c r="I2661" t="s">
        <v>59</v>
      </c>
      <c r="J2661" t="s">
        <v>41</v>
      </c>
      <c r="K2661" t="s">
        <v>22</v>
      </c>
      <c r="L2661" t="s">
        <v>64</v>
      </c>
      <c r="M2661">
        <v>5</v>
      </c>
      <c r="N2661" t="s">
        <v>69</v>
      </c>
      <c r="O2661" t="s">
        <v>25</v>
      </c>
      <c r="P2661" t="s">
        <v>26</v>
      </c>
    </row>
    <row r="2662" spans="1:16" x14ac:dyDescent="0.25">
      <c r="A2662" t="s">
        <v>6030</v>
      </c>
      <c r="B2662" s="6">
        <v>44696</v>
      </c>
      <c r="C2662">
        <v>3575</v>
      </c>
      <c r="D2662" t="s">
        <v>6031</v>
      </c>
      <c r="E2662" t="s">
        <v>38</v>
      </c>
      <c r="F2662" t="s">
        <v>58</v>
      </c>
      <c r="G2662">
        <v>40756.31</v>
      </c>
      <c r="H2662">
        <v>22422.09</v>
      </c>
      <c r="I2662" t="s">
        <v>63</v>
      </c>
      <c r="J2662" t="s">
        <v>54</v>
      </c>
      <c r="K2662" t="s">
        <v>42</v>
      </c>
      <c r="L2662" t="s">
        <v>88</v>
      </c>
      <c r="M2662">
        <v>4</v>
      </c>
      <c r="N2662" t="s">
        <v>33</v>
      </c>
      <c r="O2662" t="s">
        <v>25</v>
      </c>
      <c r="P2662" t="s">
        <v>49</v>
      </c>
    </row>
    <row r="2663" spans="1:16" x14ac:dyDescent="0.25">
      <c r="A2663" t="s">
        <v>6032</v>
      </c>
      <c r="B2663" s="6">
        <v>45657</v>
      </c>
      <c r="C2663">
        <v>2514</v>
      </c>
      <c r="D2663" t="s">
        <v>6033</v>
      </c>
      <c r="E2663" t="s">
        <v>18</v>
      </c>
      <c r="F2663" t="s">
        <v>58</v>
      </c>
      <c r="G2663">
        <v>31170.51</v>
      </c>
      <c r="H2663">
        <v>16534.63</v>
      </c>
      <c r="I2663" t="s">
        <v>59</v>
      </c>
      <c r="J2663" t="s">
        <v>41</v>
      </c>
      <c r="K2663" t="s">
        <v>42</v>
      </c>
      <c r="L2663" t="s">
        <v>88</v>
      </c>
      <c r="M2663">
        <v>3</v>
      </c>
      <c r="N2663" t="s">
        <v>24</v>
      </c>
      <c r="O2663" t="s">
        <v>25</v>
      </c>
      <c r="P2663" t="s">
        <v>34</v>
      </c>
    </row>
    <row r="2664" spans="1:16" x14ac:dyDescent="0.25">
      <c r="A2664" t="s">
        <v>6034</v>
      </c>
      <c r="B2664" s="6">
        <v>43893</v>
      </c>
      <c r="C2664">
        <v>2487</v>
      </c>
      <c r="D2664" t="s">
        <v>6035</v>
      </c>
      <c r="E2664" t="s">
        <v>38</v>
      </c>
      <c r="F2664" t="s">
        <v>58</v>
      </c>
      <c r="G2664">
        <v>17192.05</v>
      </c>
      <c r="H2664">
        <v>10852.85</v>
      </c>
      <c r="I2664" t="s">
        <v>20</v>
      </c>
      <c r="J2664" t="s">
        <v>21</v>
      </c>
      <c r="K2664" t="s">
        <v>80</v>
      </c>
      <c r="L2664" t="s">
        <v>55</v>
      </c>
      <c r="M2664">
        <v>4</v>
      </c>
      <c r="N2664" t="s">
        <v>33</v>
      </c>
      <c r="O2664" t="s">
        <v>70</v>
      </c>
      <c r="P2664" t="s">
        <v>26</v>
      </c>
    </row>
    <row r="2665" spans="1:16" x14ac:dyDescent="0.25">
      <c r="A2665" t="s">
        <v>6036</v>
      </c>
      <c r="B2665" s="6">
        <v>44310</v>
      </c>
      <c r="C2665">
        <v>9558</v>
      </c>
      <c r="D2665" t="s">
        <v>6038</v>
      </c>
      <c r="E2665" t="s">
        <v>18</v>
      </c>
      <c r="F2665" t="s">
        <v>58</v>
      </c>
      <c r="G2665">
        <v>25334.61</v>
      </c>
      <c r="H2665">
        <v>11550.62</v>
      </c>
      <c r="I2665" t="s">
        <v>84</v>
      </c>
      <c r="J2665" t="s">
        <v>54</v>
      </c>
      <c r="K2665" t="s">
        <v>32</v>
      </c>
      <c r="L2665" t="s">
        <v>88</v>
      </c>
      <c r="M2665">
        <v>4</v>
      </c>
      <c r="N2665" t="s">
        <v>24</v>
      </c>
      <c r="O2665" t="s">
        <v>25</v>
      </c>
      <c r="P2665" t="s">
        <v>34</v>
      </c>
    </row>
    <row r="2666" spans="1:16" x14ac:dyDescent="0.25">
      <c r="A2666" t="s">
        <v>6039</v>
      </c>
      <c r="B2666" s="6">
        <v>44163</v>
      </c>
      <c r="C2666">
        <v>5763</v>
      </c>
      <c r="D2666" t="s">
        <v>6040</v>
      </c>
      <c r="E2666" t="s">
        <v>18</v>
      </c>
      <c r="F2666" t="s">
        <v>58</v>
      </c>
      <c r="G2666">
        <v>33212.18</v>
      </c>
      <c r="H2666">
        <v>19746.62</v>
      </c>
      <c r="I2666" t="s">
        <v>63</v>
      </c>
      <c r="J2666" t="s">
        <v>54</v>
      </c>
      <c r="K2666" t="s">
        <v>80</v>
      </c>
      <c r="L2666" t="s">
        <v>43</v>
      </c>
      <c r="M2666">
        <v>2</v>
      </c>
      <c r="N2666" t="s">
        <v>69</v>
      </c>
      <c r="O2666" t="s">
        <v>25</v>
      </c>
      <c r="P2666" t="s">
        <v>34</v>
      </c>
    </row>
    <row r="2667" spans="1:16" x14ac:dyDescent="0.25">
      <c r="A2667" t="s">
        <v>6041</v>
      </c>
      <c r="B2667" s="6">
        <v>45082</v>
      </c>
      <c r="C2667">
        <v>2142</v>
      </c>
      <c r="D2667" t="s">
        <v>6042</v>
      </c>
      <c r="E2667" t="s">
        <v>18</v>
      </c>
      <c r="F2667" t="s">
        <v>39</v>
      </c>
      <c r="G2667">
        <v>13252.14</v>
      </c>
      <c r="H2667">
        <v>8610.09</v>
      </c>
      <c r="I2667" t="s">
        <v>68</v>
      </c>
      <c r="J2667" t="s">
        <v>41</v>
      </c>
      <c r="K2667" t="s">
        <v>42</v>
      </c>
      <c r="L2667" t="s">
        <v>88</v>
      </c>
      <c r="M2667">
        <v>4</v>
      </c>
      <c r="N2667" t="s">
        <v>69</v>
      </c>
      <c r="O2667" t="s">
        <v>25</v>
      </c>
      <c r="P2667" t="s">
        <v>49</v>
      </c>
    </row>
    <row r="2668" spans="1:16" x14ac:dyDescent="0.25">
      <c r="A2668" t="s">
        <v>6043</v>
      </c>
      <c r="B2668" s="6">
        <v>44048</v>
      </c>
      <c r="C2668">
        <v>3069</v>
      </c>
      <c r="D2668" t="s">
        <v>5649</v>
      </c>
      <c r="E2668" t="s">
        <v>18</v>
      </c>
      <c r="F2668" t="s">
        <v>47</v>
      </c>
      <c r="G2668">
        <v>11211.69</v>
      </c>
      <c r="H2668">
        <v>5993.16</v>
      </c>
      <c r="I2668" t="s">
        <v>63</v>
      </c>
      <c r="J2668" t="s">
        <v>54</v>
      </c>
      <c r="K2668" t="s">
        <v>42</v>
      </c>
      <c r="L2668" t="s">
        <v>64</v>
      </c>
      <c r="M2668">
        <v>1</v>
      </c>
      <c r="N2668" t="s">
        <v>33</v>
      </c>
      <c r="O2668" t="s">
        <v>70</v>
      </c>
      <c r="P2668" t="s">
        <v>49</v>
      </c>
    </row>
    <row r="2669" spans="1:16" x14ac:dyDescent="0.25">
      <c r="A2669" t="s">
        <v>6045</v>
      </c>
      <c r="B2669" s="6">
        <v>44638</v>
      </c>
      <c r="C2669">
        <v>5572</v>
      </c>
      <c r="D2669" t="s">
        <v>6046</v>
      </c>
      <c r="E2669" t="s">
        <v>38</v>
      </c>
      <c r="F2669" t="s">
        <v>19</v>
      </c>
      <c r="G2669">
        <v>6876.15</v>
      </c>
      <c r="H2669">
        <v>3296.24</v>
      </c>
      <c r="I2669" t="s">
        <v>68</v>
      </c>
      <c r="J2669" t="s">
        <v>41</v>
      </c>
      <c r="K2669" t="s">
        <v>80</v>
      </c>
      <c r="L2669" t="s">
        <v>88</v>
      </c>
      <c r="M2669">
        <v>4</v>
      </c>
      <c r="N2669" t="s">
        <v>33</v>
      </c>
      <c r="O2669" t="s">
        <v>25</v>
      </c>
      <c r="P2669" t="s">
        <v>26</v>
      </c>
    </row>
    <row r="2670" spans="1:16" x14ac:dyDescent="0.25">
      <c r="A2670" t="s">
        <v>6047</v>
      </c>
      <c r="B2670" s="6">
        <v>44723</v>
      </c>
      <c r="C2670">
        <v>8047</v>
      </c>
      <c r="D2670" t="s">
        <v>6048</v>
      </c>
      <c r="E2670" t="s">
        <v>18</v>
      </c>
      <c r="F2670" t="s">
        <v>19</v>
      </c>
      <c r="G2670">
        <v>17756.830000000002</v>
      </c>
      <c r="H2670">
        <v>10283.24</v>
      </c>
      <c r="I2670" t="s">
        <v>53</v>
      </c>
      <c r="J2670" t="s">
        <v>54</v>
      </c>
      <c r="K2670" t="s">
        <v>42</v>
      </c>
      <c r="L2670" t="s">
        <v>55</v>
      </c>
      <c r="M2670">
        <v>1</v>
      </c>
      <c r="N2670" t="s">
        <v>24</v>
      </c>
      <c r="O2670" t="s">
        <v>25</v>
      </c>
      <c r="P2670" t="s">
        <v>49</v>
      </c>
    </row>
    <row r="2671" spans="1:16" x14ac:dyDescent="0.25">
      <c r="A2671" t="s">
        <v>6049</v>
      </c>
      <c r="B2671" s="6">
        <v>44779</v>
      </c>
      <c r="C2671">
        <v>2723</v>
      </c>
      <c r="D2671" t="s">
        <v>6051</v>
      </c>
      <c r="E2671" t="s">
        <v>18</v>
      </c>
      <c r="F2671" t="s">
        <v>19</v>
      </c>
      <c r="G2671">
        <v>20668.740000000002</v>
      </c>
      <c r="H2671">
        <v>11546.89</v>
      </c>
      <c r="I2671" t="s">
        <v>63</v>
      </c>
      <c r="J2671" t="s">
        <v>54</v>
      </c>
      <c r="K2671" t="s">
        <v>22</v>
      </c>
      <c r="L2671" t="s">
        <v>48</v>
      </c>
      <c r="M2671">
        <v>4</v>
      </c>
      <c r="N2671" t="s">
        <v>24</v>
      </c>
      <c r="O2671" t="s">
        <v>25</v>
      </c>
      <c r="P2671" t="s">
        <v>49</v>
      </c>
    </row>
    <row r="2672" spans="1:16" x14ac:dyDescent="0.25">
      <c r="A2672" t="s">
        <v>6052</v>
      </c>
      <c r="B2672" s="6">
        <v>44116</v>
      </c>
      <c r="C2672">
        <v>4726</v>
      </c>
      <c r="D2672" t="s">
        <v>6053</v>
      </c>
      <c r="E2672" t="s">
        <v>18</v>
      </c>
      <c r="F2672" t="s">
        <v>19</v>
      </c>
      <c r="G2672">
        <v>5607.9</v>
      </c>
      <c r="H2672">
        <v>3303.61</v>
      </c>
      <c r="I2672" t="s">
        <v>120</v>
      </c>
      <c r="J2672" t="s">
        <v>21</v>
      </c>
      <c r="K2672" t="s">
        <v>42</v>
      </c>
      <c r="L2672" t="s">
        <v>48</v>
      </c>
      <c r="M2672">
        <v>3</v>
      </c>
      <c r="N2672" t="s">
        <v>24</v>
      </c>
      <c r="O2672" t="s">
        <v>25</v>
      </c>
      <c r="P2672" t="s">
        <v>34</v>
      </c>
    </row>
    <row r="2673" spans="1:16" x14ac:dyDescent="0.25">
      <c r="A2673" t="s">
        <v>6054</v>
      </c>
      <c r="B2673" s="6">
        <v>44897</v>
      </c>
      <c r="C2673">
        <v>8680</v>
      </c>
      <c r="D2673" t="s">
        <v>6055</v>
      </c>
      <c r="E2673" t="s">
        <v>18</v>
      </c>
      <c r="F2673" t="s">
        <v>19</v>
      </c>
      <c r="G2673">
        <v>11717.13</v>
      </c>
      <c r="H2673">
        <v>6685.75</v>
      </c>
      <c r="I2673" t="s">
        <v>53</v>
      </c>
      <c r="J2673" t="s">
        <v>54</v>
      </c>
      <c r="K2673" t="s">
        <v>22</v>
      </c>
      <c r="L2673" t="s">
        <v>55</v>
      </c>
      <c r="M2673">
        <v>4</v>
      </c>
      <c r="N2673" t="s">
        <v>24</v>
      </c>
      <c r="O2673" t="s">
        <v>25</v>
      </c>
      <c r="P2673" t="s">
        <v>34</v>
      </c>
    </row>
    <row r="2674" spans="1:16" x14ac:dyDescent="0.25">
      <c r="A2674" t="s">
        <v>6056</v>
      </c>
      <c r="B2674" s="6">
        <v>45539</v>
      </c>
      <c r="C2674">
        <v>1799</v>
      </c>
      <c r="D2674" t="s">
        <v>6058</v>
      </c>
      <c r="E2674" t="s">
        <v>38</v>
      </c>
      <c r="F2674" t="s">
        <v>19</v>
      </c>
      <c r="G2674">
        <v>16650.560000000001</v>
      </c>
      <c r="H2674">
        <v>10140.73</v>
      </c>
      <c r="I2674" t="s">
        <v>68</v>
      </c>
      <c r="J2674" t="s">
        <v>41</v>
      </c>
      <c r="K2674" t="s">
        <v>32</v>
      </c>
      <c r="L2674" t="s">
        <v>64</v>
      </c>
      <c r="M2674">
        <v>1</v>
      </c>
      <c r="N2674" t="s">
        <v>33</v>
      </c>
      <c r="O2674" t="s">
        <v>70</v>
      </c>
      <c r="P2674" t="s">
        <v>49</v>
      </c>
    </row>
    <row r="2675" spans="1:16" x14ac:dyDescent="0.25">
      <c r="A2675" t="s">
        <v>6059</v>
      </c>
      <c r="B2675" s="6">
        <v>45064</v>
      </c>
      <c r="C2675">
        <v>1292</v>
      </c>
      <c r="D2675" t="s">
        <v>4422</v>
      </c>
      <c r="E2675" t="s">
        <v>38</v>
      </c>
      <c r="F2675" t="s">
        <v>30</v>
      </c>
      <c r="G2675">
        <v>33600.370000000003</v>
      </c>
      <c r="H2675">
        <v>15262.94</v>
      </c>
      <c r="I2675" t="s">
        <v>53</v>
      </c>
      <c r="J2675" t="s">
        <v>54</v>
      </c>
      <c r="K2675" t="s">
        <v>42</v>
      </c>
      <c r="L2675" t="s">
        <v>55</v>
      </c>
      <c r="M2675">
        <v>5</v>
      </c>
      <c r="N2675" t="s">
        <v>33</v>
      </c>
      <c r="O2675" t="s">
        <v>70</v>
      </c>
      <c r="P2675" t="s">
        <v>26</v>
      </c>
    </row>
    <row r="2676" spans="1:16" x14ac:dyDescent="0.25">
      <c r="A2676" t="s">
        <v>6060</v>
      </c>
      <c r="B2676" s="6">
        <v>45491</v>
      </c>
      <c r="C2676">
        <v>9279</v>
      </c>
      <c r="D2676" t="s">
        <v>4811</v>
      </c>
      <c r="E2676" t="s">
        <v>18</v>
      </c>
      <c r="F2676" t="s">
        <v>39</v>
      </c>
      <c r="G2676">
        <v>25115.040000000001</v>
      </c>
      <c r="H2676">
        <v>12333.94</v>
      </c>
      <c r="I2676" t="s">
        <v>31</v>
      </c>
      <c r="J2676" t="s">
        <v>21</v>
      </c>
      <c r="K2676" t="s">
        <v>32</v>
      </c>
      <c r="L2676" t="s">
        <v>88</v>
      </c>
      <c r="M2676">
        <v>1</v>
      </c>
      <c r="N2676" t="s">
        <v>33</v>
      </c>
      <c r="O2676" t="s">
        <v>70</v>
      </c>
      <c r="P2676" t="s">
        <v>26</v>
      </c>
    </row>
    <row r="2677" spans="1:16" x14ac:dyDescent="0.25">
      <c r="A2677" t="s">
        <v>6061</v>
      </c>
      <c r="B2677" s="6">
        <v>45252</v>
      </c>
      <c r="C2677">
        <v>3908</v>
      </c>
      <c r="D2677" t="s">
        <v>6062</v>
      </c>
      <c r="E2677" t="s">
        <v>38</v>
      </c>
      <c r="F2677" t="s">
        <v>58</v>
      </c>
      <c r="G2677">
        <v>31019.62</v>
      </c>
      <c r="H2677">
        <v>19492.349999999999</v>
      </c>
      <c r="I2677" t="s">
        <v>120</v>
      </c>
      <c r="J2677" t="s">
        <v>21</v>
      </c>
      <c r="K2677" t="s">
        <v>22</v>
      </c>
      <c r="L2677" t="s">
        <v>43</v>
      </c>
      <c r="M2677">
        <v>5</v>
      </c>
      <c r="N2677" t="s">
        <v>69</v>
      </c>
      <c r="O2677" t="s">
        <v>70</v>
      </c>
      <c r="P2677" t="s">
        <v>26</v>
      </c>
    </row>
    <row r="2678" spans="1:16" x14ac:dyDescent="0.25">
      <c r="A2678" t="s">
        <v>6063</v>
      </c>
      <c r="B2678" s="6">
        <v>44538</v>
      </c>
      <c r="C2678">
        <v>8542</v>
      </c>
      <c r="D2678" t="s">
        <v>6064</v>
      </c>
      <c r="E2678" t="s">
        <v>38</v>
      </c>
      <c r="F2678" t="s">
        <v>58</v>
      </c>
      <c r="G2678">
        <v>30904.98</v>
      </c>
      <c r="H2678">
        <v>19335.37</v>
      </c>
      <c r="I2678" t="s">
        <v>63</v>
      </c>
      <c r="J2678" t="s">
        <v>54</v>
      </c>
      <c r="K2678" t="s">
        <v>32</v>
      </c>
      <c r="L2678" t="s">
        <v>23</v>
      </c>
      <c r="M2678">
        <v>2</v>
      </c>
      <c r="N2678" t="s">
        <v>33</v>
      </c>
      <c r="O2678" t="s">
        <v>25</v>
      </c>
      <c r="P2678" t="s">
        <v>34</v>
      </c>
    </row>
    <row r="2679" spans="1:16" x14ac:dyDescent="0.25">
      <c r="A2679" t="s">
        <v>6065</v>
      </c>
      <c r="B2679" s="6">
        <v>44184</v>
      </c>
      <c r="C2679">
        <v>9504</v>
      </c>
      <c r="D2679" t="s">
        <v>6066</v>
      </c>
      <c r="E2679" t="s">
        <v>38</v>
      </c>
      <c r="F2679" t="s">
        <v>58</v>
      </c>
      <c r="G2679">
        <v>38597.730000000003</v>
      </c>
      <c r="H2679">
        <v>24254.19</v>
      </c>
      <c r="I2679" t="s">
        <v>53</v>
      </c>
      <c r="J2679" t="s">
        <v>54</v>
      </c>
      <c r="K2679" t="s">
        <v>22</v>
      </c>
      <c r="L2679" t="s">
        <v>64</v>
      </c>
      <c r="M2679">
        <v>2</v>
      </c>
      <c r="N2679" t="s">
        <v>24</v>
      </c>
      <c r="O2679" t="s">
        <v>70</v>
      </c>
      <c r="P2679" t="s">
        <v>34</v>
      </c>
    </row>
    <row r="2680" spans="1:16" x14ac:dyDescent="0.25">
      <c r="A2680" t="s">
        <v>6067</v>
      </c>
      <c r="B2680" s="6">
        <v>45289</v>
      </c>
      <c r="C2680">
        <v>4090</v>
      </c>
      <c r="D2680" t="s">
        <v>2175</v>
      </c>
      <c r="E2680" t="s">
        <v>18</v>
      </c>
      <c r="F2680" t="s">
        <v>19</v>
      </c>
      <c r="G2680">
        <v>8863.02</v>
      </c>
      <c r="H2680">
        <v>5141.54</v>
      </c>
      <c r="I2680" t="s">
        <v>53</v>
      </c>
      <c r="J2680" t="s">
        <v>54</v>
      </c>
      <c r="K2680" t="s">
        <v>32</v>
      </c>
      <c r="L2680" t="s">
        <v>48</v>
      </c>
      <c r="M2680">
        <v>4</v>
      </c>
      <c r="N2680" t="s">
        <v>69</v>
      </c>
      <c r="O2680" t="s">
        <v>25</v>
      </c>
      <c r="P2680" t="s">
        <v>26</v>
      </c>
    </row>
    <row r="2681" spans="1:16" x14ac:dyDescent="0.25">
      <c r="A2681" t="s">
        <v>6068</v>
      </c>
      <c r="B2681" s="6">
        <v>43960</v>
      </c>
      <c r="C2681">
        <v>1568</v>
      </c>
      <c r="D2681" t="s">
        <v>6069</v>
      </c>
      <c r="E2681" t="s">
        <v>38</v>
      </c>
      <c r="F2681" t="s">
        <v>19</v>
      </c>
      <c r="G2681">
        <v>9083.86</v>
      </c>
      <c r="H2681">
        <v>5716.26</v>
      </c>
      <c r="I2681" t="s">
        <v>120</v>
      </c>
      <c r="J2681" t="s">
        <v>21</v>
      </c>
      <c r="K2681" t="s">
        <v>42</v>
      </c>
      <c r="L2681" t="s">
        <v>55</v>
      </c>
      <c r="M2681">
        <v>3</v>
      </c>
      <c r="N2681" t="s">
        <v>24</v>
      </c>
      <c r="O2681" t="s">
        <v>25</v>
      </c>
      <c r="P2681" t="s">
        <v>49</v>
      </c>
    </row>
    <row r="2682" spans="1:16" x14ac:dyDescent="0.25">
      <c r="A2682" t="s">
        <v>6070</v>
      </c>
      <c r="B2682" s="6">
        <v>44170</v>
      </c>
      <c r="C2682">
        <v>3227</v>
      </c>
      <c r="D2682" t="s">
        <v>5927</v>
      </c>
      <c r="E2682" t="s">
        <v>38</v>
      </c>
      <c r="F2682" t="s">
        <v>58</v>
      </c>
      <c r="G2682">
        <v>12277.74</v>
      </c>
      <c r="H2682">
        <v>7661.07</v>
      </c>
      <c r="I2682" t="s">
        <v>120</v>
      </c>
      <c r="J2682" t="s">
        <v>21</v>
      </c>
      <c r="K2682" t="s">
        <v>22</v>
      </c>
      <c r="L2682" t="s">
        <v>43</v>
      </c>
      <c r="M2682">
        <v>3</v>
      </c>
      <c r="N2682" t="s">
        <v>33</v>
      </c>
      <c r="O2682" t="s">
        <v>70</v>
      </c>
      <c r="P2682" t="s">
        <v>49</v>
      </c>
    </row>
    <row r="2683" spans="1:16" x14ac:dyDescent="0.25">
      <c r="A2683" t="s">
        <v>6071</v>
      </c>
      <c r="B2683" s="6">
        <v>45602</v>
      </c>
      <c r="C2683">
        <v>7477</v>
      </c>
      <c r="D2683" t="s">
        <v>6073</v>
      </c>
      <c r="E2683" t="s">
        <v>38</v>
      </c>
      <c r="F2683" t="s">
        <v>30</v>
      </c>
      <c r="G2683">
        <v>76265.789999999994</v>
      </c>
      <c r="H2683">
        <v>37097.74</v>
      </c>
      <c r="I2683" t="s">
        <v>120</v>
      </c>
      <c r="J2683" t="s">
        <v>21</v>
      </c>
      <c r="K2683" t="s">
        <v>32</v>
      </c>
      <c r="L2683" t="s">
        <v>64</v>
      </c>
      <c r="M2683">
        <v>5</v>
      </c>
      <c r="N2683" t="s">
        <v>33</v>
      </c>
      <c r="O2683" t="s">
        <v>25</v>
      </c>
      <c r="P2683" t="s">
        <v>49</v>
      </c>
    </row>
    <row r="2684" spans="1:16" x14ac:dyDescent="0.25">
      <c r="A2684" t="s">
        <v>6074</v>
      </c>
      <c r="B2684" s="6">
        <v>44963</v>
      </c>
      <c r="C2684">
        <v>3434</v>
      </c>
      <c r="D2684" t="s">
        <v>6075</v>
      </c>
      <c r="E2684" t="s">
        <v>18</v>
      </c>
      <c r="F2684" t="s">
        <v>30</v>
      </c>
      <c r="G2684">
        <v>33893.71</v>
      </c>
      <c r="H2684">
        <v>15954.91</v>
      </c>
      <c r="I2684" t="s">
        <v>20</v>
      </c>
      <c r="J2684" t="s">
        <v>21</v>
      </c>
      <c r="K2684" t="s">
        <v>22</v>
      </c>
      <c r="L2684" t="s">
        <v>23</v>
      </c>
      <c r="M2684">
        <v>2</v>
      </c>
      <c r="N2684" t="s">
        <v>33</v>
      </c>
      <c r="O2684" t="s">
        <v>25</v>
      </c>
      <c r="P2684" t="s">
        <v>34</v>
      </c>
    </row>
    <row r="2685" spans="1:16" x14ac:dyDescent="0.25">
      <c r="A2685" t="s">
        <v>6076</v>
      </c>
      <c r="B2685" s="6">
        <v>45499</v>
      </c>
      <c r="C2685">
        <v>5569</v>
      </c>
      <c r="D2685" t="s">
        <v>6077</v>
      </c>
      <c r="E2685" t="s">
        <v>38</v>
      </c>
      <c r="F2685" t="s">
        <v>58</v>
      </c>
      <c r="G2685">
        <v>51486.36</v>
      </c>
      <c r="H2685">
        <v>32198.1</v>
      </c>
      <c r="I2685" t="s">
        <v>84</v>
      </c>
      <c r="J2685" t="s">
        <v>54</v>
      </c>
      <c r="K2685" t="s">
        <v>32</v>
      </c>
      <c r="L2685" t="s">
        <v>23</v>
      </c>
      <c r="M2685">
        <v>2</v>
      </c>
      <c r="N2685" t="s">
        <v>69</v>
      </c>
      <c r="O2685" t="s">
        <v>25</v>
      </c>
      <c r="P2685" t="s">
        <v>26</v>
      </c>
    </row>
    <row r="2686" spans="1:16" x14ac:dyDescent="0.25">
      <c r="A2686" t="s">
        <v>6078</v>
      </c>
      <c r="B2686" s="6">
        <v>45560</v>
      </c>
      <c r="C2686">
        <v>8774</v>
      </c>
      <c r="D2686" t="s">
        <v>6079</v>
      </c>
      <c r="E2686" t="s">
        <v>18</v>
      </c>
      <c r="F2686" t="s">
        <v>30</v>
      </c>
      <c r="G2686">
        <v>75658.55</v>
      </c>
      <c r="H2686">
        <v>45499.44</v>
      </c>
      <c r="I2686" t="s">
        <v>68</v>
      </c>
      <c r="J2686" t="s">
        <v>41</v>
      </c>
      <c r="K2686" t="s">
        <v>42</v>
      </c>
      <c r="L2686" t="s">
        <v>23</v>
      </c>
      <c r="M2686">
        <v>5</v>
      </c>
      <c r="N2686" t="s">
        <v>69</v>
      </c>
      <c r="O2686" t="s">
        <v>25</v>
      </c>
      <c r="P2686" t="s">
        <v>34</v>
      </c>
    </row>
    <row r="2687" spans="1:16" x14ac:dyDescent="0.25">
      <c r="A2687" t="s">
        <v>6080</v>
      </c>
      <c r="B2687" s="6">
        <v>45152</v>
      </c>
      <c r="C2687">
        <v>4360</v>
      </c>
      <c r="D2687" t="s">
        <v>6081</v>
      </c>
      <c r="E2687" t="s">
        <v>38</v>
      </c>
      <c r="F2687" t="s">
        <v>47</v>
      </c>
      <c r="G2687">
        <v>14109.99</v>
      </c>
      <c r="H2687">
        <v>6699.12</v>
      </c>
      <c r="I2687" t="s">
        <v>84</v>
      </c>
      <c r="J2687" t="s">
        <v>54</v>
      </c>
      <c r="K2687" t="s">
        <v>22</v>
      </c>
      <c r="L2687" t="s">
        <v>64</v>
      </c>
      <c r="M2687">
        <v>5</v>
      </c>
      <c r="N2687" t="s">
        <v>33</v>
      </c>
      <c r="O2687" t="s">
        <v>25</v>
      </c>
      <c r="P2687" t="s">
        <v>26</v>
      </c>
    </row>
    <row r="2688" spans="1:16" x14ac:dyDescent="0.25">
      <c r="A2688" t="s">
        <v>6082</v>
      </c>
      <c r="B2688" s="6">
        <v>45155</v>
      </c>
      <c r="C2688">
        <v>7101</v>
      </c>
      <c r="D2688" t="s">
        <v>6083</v>
      </c>
      <c r="E2688" t="s">
        <v>18</v>
      </c>
      <c r="F2688" t="s">
        <v>47</v>
      </c>
      <c r="G2688">
        <v>11853.55</v>
      </c>
      <c r="H2688">
        <v>5510.75</v>
      </c>
      <c r="I2688" t="s">
        <v>31</v>
      </c>
      <c r="J2688" t="s">
        <v>21</v>
      </c>
      <c r="K2688" t="s">
        <v>80</v>
      </c>
      <c r="L2688" t="s">
        <v>43</v>
      </c>
      <c r="M2688">
        <v>3</v>
      </c>
      <c r="N2688" t="s">
        <v>33</v>
      </c>
      <c r="O2688" t="s">
        <v>25</v>
      </c>
      <c r="P2688" t="s">
        <v>49</v>
      </c>
    </row>
    <row r="2689" spans="1:16" x14ac:dyDescent="0.25">
      <c r="A2689" t="s">
        <v>6084</v>
      </c>
      <c r="B2689" s="6">
        <v>44523</v>
      </c>
      <c r="C2689">
        <v>8170</v>
      </c>
      <c r="D2689" t="s">
        <v>4136</v>
      </c>
      <c r="E2689" t="s">
        <v>18</v>
      </c>
      <c r="F2689" t="s">
        <v>30</v>
      </c>
      <c r="G2689">
        <v>43938.43</v>
      </c>
      <c r="H2689">
        <v>20613.43</v>
      </c>
      <c r="I2689" t="s">
        <v>20</v>
      </c>
      <c r="J2689" t="s">
        <v>21</v>
      </c>
      <c r="K2689" t="s">
        <v>32</v>
      </c>
      <c r="L2689" t="s">
        <v>64</v>
      </c>
      <c r="M2689">
        <v>1</v>
      </c>
      <c r="N2689" t="s">
        <v>24</v>
      </c>
      <c r="O2689" t="s">
        <v>25</v>
      </c>
      <c r="P2689" t="s">
        <v>34</v>
      </c>
    </row>
    <row r="2690" spans="1:16" x14ac:dyDescent="0.25">
      <c r="A2690" t="s">
        <v>6085</v>
      </c>
      <c r="B2690" s="6">
        <v>44080</v>
      </c>
      <c r="C2690">
        <v>1254</v>
      </c>
      <c r="D2690" t="s">
        <v>6086</v>
      </c>
      <c r="E2690" t="s">
        <v>38</v>
      </c>
      <c r="F2690" t="s">
        <v>39</v>
      </c>
      <c r="G2690">
        <v>33439.03</v>
      </c>
      <c r="H2690">
        <v>21188.43</v>
      </c>
      <c r="I2690" t="s">
        <v>53</v>
      </c>
      <c r="J2690" t="s">
        <v>54</v>
      </c>
      <c r="K2690" t="s">
        <v>42</v>
      </c>
      <c r="L2690" t="s">
        <v>48</v>
      </c>
      <c r="M2690">
        <v>5</v>
      </c>
      <c r="N2690" t="s">
        <v>24</v>
      </c>
      <c r="O2690" t="s">
        <v>70</v>
      </c>
      <c r="P2690" t="s">
        <v>34</v>
      </c>
    </row>
    <row r="2691" spans="1:16" x14ac:dyDescent="0.25">
      <c r="A2691" t="s">
        <v>6087</v>
      </c>
      <c r="B2691" s="6">
        <v>45306</v>
      </c>
      <c r="C2691">
        <v>3935</v>
      </c>
      <c r="D2691" t="s">
        <v>6088</v>
      </c>
      <c r="E2691" t="s">
        <v>18</v>
      </c>
      <c r="F2691" t="s">
        <v>19</v>
      </c>
      <c r="G2691">
        <v>13754.22</v>
      </c>
      <c r="H2691">
        <v>7075.2</v>
      </c>
      <c r="I2691" t="s">
        <v>20</v>
      </c>
      <c r="J2691" t="s">
        <v>21</v>
      </c>
      <c r="K2691" t="s">
        <v>32</v>
      </c>
      <c r="L2691" t="s">
        <v>48</v>
      </c>
      <c r="M2691">
        <v>5</v>
      </c>
      <c r="N2691" t="s">
        <v>33</v>
      </c>
      <c r="O2691" t="s">
        <v>25</v>
      </c>
      <c r="P2691" t="s">
        <v>49</v>
      </c>
    </row>
    <row r="2692" spans="1:16" x14ac:dyDescent="0.25">
      <c r="A2692" t="s">
        <v>6089</v>
      </c>
      <c r="B2692" s="6">
        <v>45404</v>
      </c>
      <c r="C2692">
        <v>2149</v>
      </c>
      <c r="D2692" t="s">
        <v>6090</v>
      </c>
      <c r="E2692" t="s">
        <v>38</v>
      </c>
      <c r="F2692" t="s">
        <v>30</v>
      </c>
      <c r="G2692">
        <v>53887.89</v>
      </c>
      <c r="H2692">
        <v>27426.639999999999</v>
      </c>
      <c r="I2692" t="s">
        <v>120</v>
      </c>
      <c r="J2692" t="s">
        <v>21</v>
      </c>
      <c r="K2692" t="s">
        <v>42</v>
      </c>
      <c r="L2692" t="s">
        <v>23</v>
      </c>
      <c r="M2692">
        <v>2</v>
      </c>
      <c r="N2692" t="s">
        <v>24</v>
      </c>
      <c r="O2692" t="s">
        <v>25</v>
      </c>
      <c r="P2692" t="s">
        <v>26</v>
      </c>
    </row>
    <row r="2693" spans="1:16" x14ac:dyDescent="0.25">
      <c r="A2693" t="s">
        <v>6091</v>
      </c>
      <c r="B2693" s="6">
        <v>45257</v>
      </c>
      <c r="C2693">
        <v>7579</v>
      </c>
      <c r="D2693" t="s">
        <v>6092</v>
      </c>
      <c r="E2693" t="s">
        <v>18</v>
      </c>
      <c r="F2693" t="s">
        <v>19</v>
      </c>
      <c r="G2693">
        <v>20148.669999999998</v>
      </c>
      <c r="H2693">
        <v>10005.540000000001</v>
      </c>
      <c r="I2693" t="s">
        <v>53</v>
      </c>
      <c r="J2693" t="s">
        <v>54</v>
      </c>
      <c r="K2693" t="s">
        <v>22</v>
      </c>
      <c r="L2693" t="s">
        <v>43</v>
      </c>
      <c r="M2693">
        <v>1</v>
      </c>
      <c r="N2693" t="s">
        <v>24</v>
      </c>
      <c r="O2693" t="s">
        <v>70</v>
      </c>
      <c r="P2693" t="s">
        <v>26</v>
      </c>
    </row>
    <row r="2694" spans="1:16" x14ac:dyDescent="0.25">
      <c r="A2694" t="s">
        <v>6093</v>
      </c>
      <c r="B2694" s="6">
        <v>45305</v>
      </c>
      <c r="C2694">
        <v>5012</v>
      </c>
      <c r="D2694" t="s">
        <v>6094</v>
      </c>
      <c r="E2694" t="s">
        <v>38</v>
      </c>
      <c r="F2694" t="s">
        <v>39</v>
      </c>
      <c r="G2694">
        <v>12922.06</v>
      </c>
      <c r="H2694">
        <v>6109.78</v>
      </c>
      <c r="I2694" t="s">
        <v>40</v>
      </c>
      <c r="J2694" t="s">
        <v>41</v>
      </c>
      <c r="K2694" t="s">
        <v>32</v>
      </c>
      <c r="L2694" t="s">
        <v>88</v>
      </c>
      <c r="M2694">
        <v>1</v>
      </c>
      <c r="N2694" t="s">
        <v>33</v>
      </c>
      <c r="O2694" t="s">
        <v>25</v>
      </c>
      <c r="P2694" t="s">
        <v>26</v>
      </c>
    </row>
    <row r="2695" spans="1:16" x14ac:dyDescent="0.25">
      <c r="A2695" t="s">
        <v>6095</v>
      </c>
      <c r="B2695" s="6">
        <v>44489</v>
      </c>
      <c r="C2695">
        <v>4460</v>
      </c>
      <c r="D2695" t="s">
        <v>677</v>
      </c>
      <c r="E2695" t="s">
        <v>18</v>
      </c>
      <c r="F2695" t="s">
        <v>19</v>
      </c>
      <c r="G2695">
        <v>6059.72</v>
      </c>
      <c r="H2695">
        <v>3709.46</v>
      </c>
      <c r="I2695" t="s">
        <v>68</v>
      </c>
      <c r="J2695" t="s">
        <v>41</v>
      </c>
      <c r="K2695" t="s">
        <v>32</v>
      </c>
      <c r="L2695" t="s">
        <v>55</v>
      </c>
      <c r="M2695">
        <v>1</v>
      </c>
      <c r="N2695" t="s">
        <v>33</v>
      </c>
      <c r="O2695" t="s">
        <v>70</v>
      </c>
      <c r="P2695" t="s">
        <v>49</v>
      </c>
    </row>
    <row r="2696" spans="1:16" x14ac:dyDescent="0.25">
      <c r="A2696" t="s">
        <v>6096</v>
      </c>
      <c r="B2696" s="6">
        <v>43924</v>
      </c>
      <c r="C2696">
        <v>8352</v>
      </c>
      <c r="D2696" t="s">
        <v>6097</v>
      </c>
      <c r="E2696" t="s">
        <v>38</v>
      </c>
      <c r="F2696" t="s">
        <v>58</v>
      </c>
      <c r="G2696">
        <v>11428.39</v>
      </c>
      <c r="H2696">
        <v>6129.27</v>
      </c>
      <c r="I2696" t="s">
        <v>53</v>
      </c>
      <c r="J2696" t="s">
        <v>54</v>
      </c>
      <c r="K2696" t="s">
        <v>42</v>
      </c>
      <c r="L2696" t="s">
        <v>64</v>
      </c>
      <c r="M2696">
        <v>2</v>
      </c>
      <c r="N2696" t="s">
        <v>33</v>
      </c>
      <c r="O2696" t="s">
        <v>70</v>
      </c>
      <c r="P2696" t="s">
        <v>34</v>
      </c>
    </row>
    <row r="2697" spans="1:16" x14ac:dyDescent="0.25">
      <c r="A2697" t="s">
        <v>6098</v>
      </c>
      <c r="B2697" s="6">
        <v>45586</v>
      </c>
      <c r="C2697">
        <v>1394</v>
      </c>
      <c r="D2697" t="s">
        <v>6099</v>
      </c>
      <c r="E2697" t="s">
        <v>38</v>
      </c>
      <c r="F2697" t="s">
        <v>47</v>
      </c>
      <c r="G2697">
        <v>17184.46</v>
      </c>
      <c r="H2697">
        <v>8485.15</v>
      </c>
      <c r="I2697" t="s">
        <v>53</v>
      </c>
      <c r="J2697" t="s">
        <v>54</v>
      </c>
      <c r="K2697" t="s">
        <v>80</v>
      </c>
      <c r="L2697" t="s">
        <v>43</v>
      </c>
      <c r="M2697">
        <v>1</v>
      </c>
      <c r="N2697" t="s">
        <v>33</v>
      </c>
      <c r="O2697" t="s">
        <v>70</v>
      </c>
      <c r="P2697" t="s">
        <v>26</v>
      </c>
    </row>
    <row r="2698" spans="1:16" x14ac:dyDescent="0.25">
      <c r="A2698" t="s">
        <v>6100</v>
      </c>
      <c r="B2698" s="6">
        <v>45171</v>
      </c>
      <c r="C2698">
        <v>1371</v>
      </c>
      <c r="D2698" t="s">
        <v>6101</v>
      </c>
      <c r="E2698" t="s">
        <v>18</v>
      </c>
      <c r="F2698" t="s">
        <v>19</v>
      </c>
      <c r="G2698">
        <v>6942.92</v>
      </c>
      <c r="H2698">
        <v>4478.6099999999997</v>
      </c>
      <c r="I2698" t="s">
        <v>40</v>
      </c>
      <c r="J2698" t="s">
        <v>41</v>
      </c>
      <c r="K2698" t="s">
        <v>42</v>
      </c>
      <c r="L2698" t="s">
        <v>55</v>
      </c>
      <c r="M2698">
        <v>5</v>
      </c>
      <c r="N2698" t="s">
        <v>33</v>
      </c>
      <c r="O2698" t="s">
        <v>70</v>
      </c>
      <c r="P2698" t="s">
        <v>34</v>
      </c>
    </row>
    <row r="2699" spans="1:16" x14ac:dyDescent="0.25">
      <c r="A2699" t="s">
        <v>6102</v>
      </c>
      <c r="B2699" s="6">
        <v>44729</v>
      </c>
      <c r="C2699">
        <v>9824</v>
      </c>
      <c r="D2699" t="s">
        <v>6104</v>
      </c>
      <c r="E2699" t="s">
        <v>18</v>
      </c>
      <c r="F2699" t="s">
        <v>39</v>
      </c>
      <c r="G2699">
        <v>34204.269999999997</v>
      </c>
      <c r="H2699">
        <v>18451.580000000002</v>
      </c>
      <c r="I2699" t="s">
        <v>31</v>
      </c>
      <c r="J2699" t="s">
        <v>21</v>
      </c>
      <c r="K2699" t="s">
        <v>42</v>
      </c>
      <c r="L2699" t="s">
        <v>23</v>
      </c>
      <c r="M2699">
        <v>1</v>
      </c>
      <c r="N2699" t="s">
        <v>69</v>
      </c>
      <c r="O2699" t="s">
        <v>25</v>
      </c>
      <c r="P2699" t="s">
        <v>49</v>
      </c>
    </row>
    <row r="2700" spans="1:16" x14ac:dyDescent="0.25">
      <c r="A2700" t="s">
        <v>6105</v>
      </c>
      <c r="B2700" s="6">
        <v>45645</v>
      </c>
      <c r="C2700">
        <v>6338</v>
      </c>
      <c r="D2700" t="s">
        <v>6106</v>
      </c>
      <c r="E2700" t="s">
        <v>38</v>
      </c>
      <c r="F2700" t="s">
        <v>47</v>
      </c>
      <c r="G2700">
        <v>12831.48</v>
      </c>
      <c r="H2700">
        <v>8306.9500000000007</v>
      </c>
      <c r="I2700" t="s">
        <v>63</v>
      </c>
      <c r="J2700" t="s">
        <v>54</v>
      </c>
      <c r="K2700" t="s">
        <v>22</v>
      </c>
      <c r="L2700" t="s">
        <v>43</v>
      </c>
      <c r="M2700">
        <v>2</v>
      </c>
      <c r="N2700" t="s">
        <v>33</v>
      </c>
      <c r="O2700" t="s">
        <v>70</v>
      </c>
      <c r="P2700" t="s">
        <v>49</v>
      </c>
    </row>
    <row r="2701" spans="1:16" x14ac:dyDescent="0.25">
      <c r="A2701" t="s">
        <v>6107</v>
      </c>
      <c r="B2701" s="6">
        <v>45051</v>
      </c>
      <c r="C2701">
        <v>1393</v>
      </c>
      <c r="D2701" t="s">
        <v>6108</v>
      </c>
      <c r="E2701" t="s">
        <v>18</v>
      </c>
      <c r="F2701" t="s">
        <v>30</v>
      </c>
      <c r="G2701">
        <v>32611.24</v>
      </c>
      <c r="H2701">
        <v>16354.5</v>
      </c>
      <c r="I2701" t="s">
        <v>120</v>
      </c>
      <c r="J2701" t="s">
        <v>21</v>
      </c>
      <c r="K2701" t="s">
        <v>22</v>
      </c>
      <c r="L2701" t="s">
        <v>88</v>
      </c>
      <c r="M2701">
        <v>1</v>
      </c>
      <c r="N2701" t="s">
        <v>33</v>
      </c>
      <c r="O2701" t="s">
        <v>70</v>
      </c>
      <c r="P2701" t="s">
        <v>26</v>
      </c>
    </row>
    <row r="2702" spans="1:16" x14ac:dyDescent="0.25">
      <c r="A2702" t="s">
        <v>6109</v>
      </c>
      <c r="B2702" s="6">
        <v>43961</v>
      </c>
      <c r="C2702">
        <v>8100</v>
      </c>
      <c r="D2702" t="s">
        <v>6110</v>
      </c>
      <c r="E2702" t="s">
        <v>38</v>
      </c>
      <c r="F2702" t="s">
        <v>58</v>
      </c>
      <c r="G2702">
        <v>17500.66</v>
      </c>
      <c r="H2702">
        <v>8776.17</v>
      </c>
      <c r="I2702" t="s">
        <v>53</v>
      </c>
      <c r="J2702" t="s">
        <v>54</v>
      </c>
      <c r="K2702" t="s">
        <v>22</v>
      </c>
      <c r="L2702" t="s">
        <v>55</v>
      </c>
      <c r="M2702">
        <v>1</v>
      </c>
      <c r="N2702" t="s">
        <v>69</v>
      </c>
      <c r="O2702" t="s">
        <v>25</v>
      </c>
      <c r="P2702" t="s">
        <v>34</v>
      </c>
    </row>
    <row r="2703" spans="1:16" x14ac:dyDescent="0.25">
      <c r="A2703" t="s">
        <v>6111</v>
      </c>
      <c r="B2703" s="6">
        <v>44798</v>
      </c>
      <c r="C2703">
        <v>9657</v>
      </c>
      <c r="D2703" t="s">
        <v>6112</v>
      </c>
      <c r="E2703" t="s">
        <v>18</v>
      </c>
      <c r="F2703" t="s">
        <v>47</v>
      </c>
      <c r="G2703">
        <v>6196.14</v>
      </c>
      <c r="H2703">
        <v>3987.55</v>
      </c>
      <c r="I2703" t="s">
        <v>120</v>
      </c>
      <c r="J2703" t="s">
        <v>21</v>
      </c>
      <c r="K2703" t="s">
        <v>80</v>
      </c>
      <c r="L2703" t="s">
        <v>88</v>
      </c>
      <c r="M2703">
        <v>2</v>
      </c>
      <c r="N2703" t="s">
        <v>33</v>
      </c>
      <c r="O2703" t="s">
        <v>25</v>
      </c>
      <c r="P2703" t="s">
        <v>49</v>
      </c>
    </row>
    <row r="2704" spans="1:16" x14ac:dyDescent="0.25">
      <c r="A2704" t="s">
        <v>6113</v>
      </c>
      <c r="B2704" s="6">
        <v>44630</v>
      </c>
      <c r="C2704">
        <v>8266</v>
      </c>
      <c r="D2704" t="s">
        <v>6114</v>
      </c>
      <c r="E2704" t="s">
        <v>38</v>
      </c>
      <c r="F2704" t="s">
        <v>47</v>
      </c>
      <c r="G2704">
        <v>3256.49</v>
      </c>
      <c r="H2704">
        <v>2094.6999999999998</v>
      </c>
      <c r="I2704" t="s">
        <v>20</v>
      </c>
      <c r="J2704" t="s">
        <v>21</v>
      </c>
      <c r="K2704" t="s">
        <v>22</v>
      </c>
      <c r="L2704" t="s">
        <v>48</v>
      </c>
      <c r="M2704">
        <v>4</v>
      </c>
      <c r="N2704" t="s">
        <v>24</v>
      </c>
      <c r="O2704" t="s">
        <v>70</v>
      </c>
      <c r="P2704" t="s">
        <v>26</v>
      </c>
    </row>
    <row r="2705" spans="1:16" x14ac:dyDescent="0.25">
      <c r="A2705" t="s">
        <v>6115</v>
      </c>
      <c r="B2705" s="6">
        <v>45488</v>
      </c>
      <c r="C2705">
        <v>3898</v>
      </c>
      <c r="D2705" t="s">
        <v>6117</v>
      </c>
      <c r="E2705" t="s">
        <v>38</v>
      </c>
      <c r="F2705" t="s">
        <v>58</v>
      </c>
      <c r="G2705">
        <v>9577.0300000000007</v>
      </c>
      <c r="H2705">
        <v>5602.63</v>
      </c>
      <c r="I2705" t="s">
        <v>68</v>
      </c>
      <c r="J2705" t="s">
        <v>41</v>
      </c>
      <c r="K2705" t="s">
        <v>42</v>
      </c>
      <c r="L2705" t="s">
        <v>43</v>
      </c>
      <c r="M2705">
        <v>3</v>
      </c>
      <c r="N2705" t="s">
        <v>24</v>
      </c>
      <c r="O2705" t="s">
        <v>25</v>
      </c>
      <c r="P2705" t="s">
        <v>26</v>
      </c>
    </row>
    <row r="2706" spans="1:16" x14ac:dyDescent="0.25">
      <c r="A2706" t="s">
        <v>6118</v>
      </c>
      <c r="B2706" s="6">
        <v>45328</v>
      </c>
      <c r="C2706">
        <v>5206</v>
      </c>
      <c r="D2706" t="s">
        <v>6120</v>
      </c>
      <c r="E2706" t="s">
        <v>18</v>
      </c>
      <c r="F2706" t="s">
        <v>30</v>
      </c>
      <c r="G2706">
        <v>87198.92</v>
      </c>
      <c r="H2706">
        <v>51164.19</v>
      </c>
      <c r="I2706" t="s">
        <v>63</v>
      </c>
      <c r="J2706" t="s">
        <v>54</v>
      </c>
      <c r="K2706" t="s">
        <v>80</v>
      </c>
      <c r="L2706" t="s">
        <v>64</v>
      </c>
      <c r="M2706">
        <v>4</v>
      </c>
      <c r="N2706" t="s">
        <v>69</v>
      </c>
      <c r="O2706" t="s">
        <v>70</v>
      </c>
      <c r="P2706" t="s">
        <v>26</v>
      </c>
    </row>
    <row r="2707" spans="1:16" x14ac:dyDescent="0.25">
      <c r="A2707" t="s">
        <v>6121</v>
      </c>
      <c r="B2707" s="6">
        <v>44277</v>
      </c>
      <c r="C2707">
        <v>2992</v>
      </c>
      <c r="D2707" t="s">
        <v>6122</v>
      </c>
      <c r="E2707" t="s">
        <v>38</v>
      </c>
      <c r="F2707" t="s">
        <v>47</v>
      </c>
      <c r="G2707">
        <v>6396.26</v>
      </c>
      <c r="H2707">
        <v>2952.4</v>
      </c>
      <c r="I2707" t="s">
        <v>31</v>
      </c>
      <c r="J2707" t="s">
        <v>21</v>
      </c>
      <c r="K2707" t="s">
        <v>42</v>
      </c>
      <c r="L2707" t="s">
        <v>88</v>
      </c>
      <c r="M2707">
        <v>4</v>
      </c>
      <c r="N2707" t="s">
        <v>33</v>
      </c>
      <c r="O2707" t="s">
        <v>25</v>
      </c>
      <c r="P2707" t="s">
        <v>34</v>
      </c>
    </row>
    <row r="2708" spans="1:16" x14ac:dyDescent="0.25">
      <c r="A2708" t="s">
        <v>6123</v>
      </c>
      <c r="B2708" s="6">
        <v>44891</v>
      </c>
      <c r="C2708">
        <v>3949</v>
      </c>
      <c r="D2708" t="s">
        <v>6124</v>
      </c>
      <c r="E2708" t="s">
        <v>38</v>
      </c>
      <c r="F2708" t="s">
        <v>39</v>
      </c>
      <c r="G2708">
        <v>35454.080000000002</v>
      </c>
      <c r="H2708">
        <v>16549.95</v>
      </c>
      <c r="I2708" t="s">
        <v>84</v>
      </c>
      <c r="J2708" t="s">
        <v>54</v>
      </c>
      <c r="K2708" t="s">
        <v>32</v>
      </c>
      <c r="L2708" t="s">
        <v>23</v>
      </c>
      <c r="M2708">
        <v>5</v>
      </c>
      <c r="N2708" t="s">
        <v>69</v>
      </c>
      <c r="O2708" t="s">
        <v>25</v>
      </c>
      <c r="P2708" t="s">
        <v>26</v>
      </c>
    </row>
    <row r="2709" spans="1:16" x14ac:dyDescent="0.25">
      <c r="A2709" t="s">
        <v>6125</v>
      </c>
      <c r="B2709" s="6">
        <v>45066</v>
      </c>
      <c r="C2709">
        <v>5571</v>
      </c>
      <c r="D2709" t="s">
        <v>6126</v>
      </c>
      <c r="E2709" t="s">
        <v>38</v>
      </c>
      <c r="F2709" t="s">
        <v>47</v>
      </c>
      <c r="G2709">
        <v>12220.95</v>
      </c>
      <c r="H2709">
        <v>6955.42</v>
      </c>
      <c r="I2709" t="s">
        <v>68</v>
      </c>
      <c r="J2709" t="s">
        <v>41</v>
      </c>
      <c r="K2709" t="s">
        <v>32</v>
      </c>
      <c r="L2709" t="s">
        <v>43</v>
      </c>
      <c r="M2709">
        <v>4</v>
      </c>
      <c r="N2709" t="s">
        <v>24</v>
      </c>
      <c r="O2709" t="s">
        <v>25</v>
      </c>
      <c r="P2709" t="s">
        <v>49</v>
      </c>
    </row>
    <row r="2710" spans="1:16" x14ac:dyDescent="0.25">
      <c r="A2710" t="s">
        <v>6127</v>
      </c>
      <c r="B2710" s="6">
        <v>44833</v>
      </c>
      <c r="C2710">
        <v>6009</v>
      </c>
      <c r="D2710" t="s">
        <v>3693</v>
      </c>
      <c r="E2710" t="s">
        <v>18</v>
      </c>
      <c r="F2710" t="s">
        <v>47</v>
      </c>
      <c r="G2710">
        <v>16336.06</v>
      </c>
      <c r="H2710">
        <v>9228.02</v>
      </c>
      <c r="I2710" t="s">
        <v>53</v>
      </c>
      <c r="J2710" t="s">
        <v>54</v>
      </c>
      <c r="K2710" t="s">
        <v>42</v>
      </c>
      <c r="L2710" t="s">
        <v>64</v>
      </c>
      <c r="M2710">
        <v>3</v>
      </c>
      <c r="N2710" t="s">
        <v>69</v>
      </c>
      <c r="O2710" t="s">
        <v>70</v>
      </c>
      <c r="P2710" t="s">
        <v>34</v>
      </c>
    </row>
    <row r="2711" spans="1:16" x14ac:dyDescent="0.25">
      <c r="A2711" t="s">
        <v>6128</v>
      </c>
      <c r="B2711" s="6">
        <v>45371</v>
      </c>
      <c r="C2711">
        <v>5738</v>
      </c>
      <c r="D2711" t="s">
        <v>6129</v>
      </c>
      <c r="E2711" t="s">
        <v>38</v>
      </c>
      <c r="F2711" t="s">
        <v>47</v>
      </c>
      <c r="G2711">
        <v>8908.01</v>
      </c>
      <c r="H2711">
        <v>5155.99</v>
      </c>
      <c r="I2711" t="s">
        <v>68</v>
      </c>
      <c r="J2711" t="s">
        <v>41</v>
      </c>
      <c r="K2711" t="s">
        <v>80</v>
      </c>
      <c r="L2711" t="s">
        <v>23</v>
      </c>
      <c r="M2711">
        <v>4</v>
      </c>
      <c r="N2711" t="s">
        <v>33</v>
      </c>
      <c r="O2711" t="s">
        <v>70</v>
      </c>
      <c r="P2711" t="s">
        <v>34</v>
      </c>
    </row>
    <row r="2712" spans="1:16" x14ac:dyDescent="0.25">
      <c r="A2712" t="s">
        <v>6130</v>
      </c>
      <c r="B2712" s="6">
        <v>45032</v>
      </c>
      <c r="C2712">
        <v>9702</v>
      </c>
      <c r="D2712" t="s">
        <v>6131</v>
      </c>
      <c r="E2712" t="s">
        <v>18</v>
      </c>
      <c r="F2712" t="s">
        <v>47</v>
      </c>
      <c r="G2712">
        <v>8998.1</v>
      </c>
      <c r="H2712">
        <v>4542.58</v>
      </c>
      <c r="I2712" t="s">
        <v>53</v>
      </c>
      <c r="J2712" t="s">
        <v>54</v>
      </c>
      <c r="K2712" t="s">
        <v>32</v>
      </c>
      <c r="L2712" t="s">
        <v>88</v>
      </c>
      <c r="M2712">
        <v>1</v>
      </c>
      <c r="N2712" t="s">
        <v>24</v>
      </c>
      <c r="O2712" t="s">
        <v>70</v>
      </c>
      <c r="P2712" t="s">
        <v>34</v>
      </c>
    </row>
    <row r="2713" spans="1:16" x14ac:dyDescent="0.25">
      <c r="A2713" t="s">
        <v>6132</v>
      </c>
      <c r="B2713" s="6">
        <v>45083</v>
      </c>
      <c r="C2713">
        <v>8130</v>
      </c>
      <c r="D2713" t="s">
        <v>1834</v>
      </c>
      <c r="E2713" t="s">
        <v>38</v>
      </c>
      <c r="F2713" t="s">
        <v>47</v>
      </c>
      <c r="G2713">
        <v>10911.15</v>
      </c>
      <c r="H2713">
        <v>6424.92</v>
      </c>
      <c r="I2713" t="s">
        <v>63</v>
      </c>
      <c r="J2713" t="s">
        <v>54</v>
      </c>
      <c r="K2713" t="s">
        <v>80</v>
      </c>
      <c r="L2713" t="s">
        <v>55</v>
      </c>
      <c r="M2713">
        <v>5</v>
      </c>
      <c r="N2713" t="s">
        <v>33</v>
      </c>
      <c r="O2713" t="s">
        <v>25</v>
      </c>
      <c r="P2713" t="s">
        <v>26</v>
      </c>
    </row>
    <row r="2714" spans="1:16" x14ac:dyDescent="0.25">
      <c r="A2714" t="s">
        <v>6134</v>
      </c>
      <c r="B2714" s="6">
        <v>44737</v>
      </c>
      <c r="C2714">
        <v>4450</v>
      </c>
      <c r="D2714" t="s">
        <v>1218</v>
      </c>
      <c r="E2714" t="s">
        <v>18</v>
      </c>
      <c r="F2714" t="s">
        <v>39</v>
      </c>
      <c r="G2714">
        <v>16346.03</v>
      </c>
      <c r="H2714">
        <v>10182.5</v>
      </c>
      <c r="I2714" t="s">
        <v>68</v>
      </c>
      <c r="J2714" t="s">
        <v>41</v>
      </c>
      <c r="K2714" t="s">
        <v>80</v>
      </c>
      <c r="L2714" t="s">
        <v>55</v>
      </c>
      <c r="M2714">
        <v>5</v>
      </c>
      <c r="N2714" t="s">
        <v>24</v>
      </c>
      <c r="O2714" t="s">
        <v>25</v>
      </c>
      <c r="P2714" t="s">
        <v>34</v>
      </c>
    </row>
    <row r="2715" spans="1:16" x14ac:dyDescent="0.25">
      <c r="A2715" t="s">
        <v>6135</v>
      </c>
      <c r="B2715" s="6">
        <v>44896</v>
      </c>
      <c r="C2715">
        <v>4482</v>
      </c>
      <c r="D2715" t="s">
        <v>1069</v>
      </c>
      <c r="E2715" t="s">
        <v>38</v>
      </c>
      <c r="F2715" t="s">
        <v>58</v>
      </c>
      <c r="G2715">
        <v>31131.19</v>
      </c>
      <c r="H2715">
        <v>18128.150000000001</v>
      </c>
      <c r="I2715" t="s">
        <v>63</v>
      </c>
      <c r="J2715" t="s">
        <v>54</v>
      </c>
      <c r="K2715" t="s">
        <v>42</v>
      </c>
      <c r="L2715" t="s">
        <v>64</v>
      </c>
      <c r="M2715">
        <v>4</v>
      </c>
      <c r="N2715" t="s">
        <v>69</v>
      </c>
      <c r="O2715" t="s">
        <v>70</v>
      </c>
      <c r="P2715" t="s">
        <v>26</v>
      </c>
    </row>
    <row r="2716" spans="1:16" x14ac:dyDescent="0.25">
      <c r="A2716" t="s">
        <v>6136</v>
      </c>
      <c r="B2716" s="6">
        <v>45531</v>
      </c>
      <c r="C2716">
        <v>3208</v>
      </c>
      <c r="D2716" t="s">
        <v>4419</v>
      </c>
      <c r="E2716" t="s">
        <v>38</v>
      </c>
      <c r="F2716" t="s">
        <v>47</v>
      </c>
      <c r="G2716">
        <v>22425.41</v>
      </c>
      <c r="H2716">
        <v>13454.65</v>
      </c>
      <c r="I2716" t="s">
        <v>53</v>
      </c>
      <c r="J2716" t="s">
        <v>54</v>
      </c>
      <c r="K2716" t="s">
        <v>22</v>
      </c>
      <c r="L2716" t="s">
        <v>88</v>
      </c>
      <c r="M2716">
        <v>3</v>
      </c>
      <c r="N2716" t="s">
        <v>69</v>
      </c>
      <c r="O2716" t="s">
        <v>25</v>
      </c>
      <c r="P2716" t="s">
        <v>34</v>
      </c>
    </row>
    <row r="2717" spans="1:16" x14ac:dyDescent="0.25">
      <c r="A2717" t="s">
        <v>6137</v>
      </c>
      <c r="B2717" s="6">
        <v>45456</v>
      </c>
      <c r="C2717">
        <v>6304</v>
      </c>
      <c r="D2717" t="s">
        <v>6139</v>
      </c>
      <c r="E2717" t="s">
        <v>18</v>
      </c>
      <c r="F2717" t="s">
        <v>19</v>
      </c>
      <c r="G2717">
        <v>13301.9</v>
      </c>
      <c r="H2717">
        <v>8628.57</v>
      </c>
      <c r="I2717" t="s">
        <v>84</v>
      </c>
      <c r="J2717" t="s">
        <v>54</v>
      </c>
      <c r="K2717" t="s">
        <v>32</v>
      </c>
      <c r="L2717" t="s">
        <v>64</v>
      </c>
      <c r="M2717">
        <v>3</v>
      </c>
      <c r="N2717" t="s">
        <v>69</v>
      </c>
      <c r="O2717" t="s">
        <v>25</v>
      </c>
      <c r="P2717" t="s">
        <v>49</v>
      </c>
    </row>
    <row r="2718" spans="1:16" x14ac:dyDescent="0.25">
      <c r="A2718" t="s">
        <v>6140</v>
      </c>
      <c r="B2718" s="6">
        <v>44904</v>
      </c>
      <c r="C2718">
        <v>8756</v>
      </c>
      <c r="D2718" t="s">
        <v>1508</v>
      </c>
      <c r="E2718" t="s">
        <v>38</v>
      </c>
      <c r="F2718" t="s">
        <v>39</v>
      </c>
      <c r="G2718">
        <v>38093.699999999997</v>
      </c>
      <c r="H2718">
        <v>24300.18</v>
      </c>
      <c r="I2718" t="s">
        <v>120</v>
      </c>
      <c r="J2718" t="s">
        <v>21</v>
      </c>
      <c r="K2718" t="s">
        <v>80</v>
      </c>
      <c r="L2718" t="s">
        <v>23</v>
      </c>
      <c r="M2718">
        <v>2</v>
      </c>
      <c r="N2718" t="s">
        <v>69</v>
      </c>
      <c r="O2718" t="s">
        <v>70</v>
      </c>
      <c r="P2718" t="s">
        <v>26</v>
      </c>
    </row>
    <row r="2719" spans="1:16" x14ac:dyDescent="0.25">
      <c r="A2719" t="s">
        <v>6141</v>
      </c>
      <c r="B2719" s="6">
        <v>45101</v>
      </c>
      <c r="C2719">
        <v>1161</v>
      </c>
      <c r="D2719" t="s">
        <v>6142</v>
      </c>
      <c r="E2719" t="s">
        <v>38</v>
      </c>
      <c r="F2719" t="s">
        <v>58</v>
      </c>
      <c r="G2719">
        <v>19237.61</v>
      </c>
      <c r="H2719">
        <v>12229.49</v>
      </c>
      <c r="I2719" t="s">
        <v>53</v>
      </c>
      <c r="J2719" t="s">
        <v>54</v>
      </c>
      <c r="K2719" t="s">
        <v>80</v>
      </c>
      <c r="L2719" t="s">
        <v>23</v>
      </c>
      <c r="M2719">
        <v>5</v>
      </c>
      <c r="N2719" t="s">
        <v>24</v>
      </c>
      <c r="O2719" t="s">
        <v>70</v>
      </c>
      <c r="P2719" t="s">
        <v>26</v>
      </c>
    </row>
    <row r="2720" spans="1:16" x14ac:dyDescent="0.25">
      <c r="A2720" t="s">
        <v>6143</v>
      </c>
      <c r="B2720" s="6">
        <v>45211</v>
      </c>
      <c r="C2720">
        <v>1986</v>
      </c>
      <c r="D2720" t="s">
        <v>3948</v>
      </c>
      <c r="E2720" t="s">
        <v>38</v>
      </c>
      <c r="F2720" t="s">
        <v>39</v>
      </c>
      <c r="G2720">
        <v>39984.76</v>
      </c>
      <c r="H2720">
        <v>24897.32</v>
      </c>
      <c r="I2720" t="s">
        <v>31</v>
      </c>
      <c r="J2720" t="s">
        <v>21</v>
      </c>
      <c r="K2720" t="s">
        <v>80</v>
      </c>
      <c r="L2720" t="s">
        <v>64</v>
      </c>
      <c r="M2720">
        <v>1</v>
      </c>
      <c r="N2720" t="s">
        <v>33</v>
      </c>
      <c r="O2720" t="s">
        <v>70</v>
      </c>
      <c r="P2720" t="s">
        <v>49</v>
      </c>
    </row>
    <row r="2721" spans="1:16" x14ac:dyDescent="0.25">
      <c r="A2721" t="s">
        <v>6144</v>
      </c>
      <c r="B2721" s="6">
        <v>45275</v>
      </c>
      <c r="C2721">
        <v>5328</v>
      </c>
      <c r="D2721" t="s">
        <v>6146</v>
      </c>
      <c r="E2721" t="s">
        <v>18</v>
      </c>
      <c r="F2721" t="s">
        <v>58</v>
      </c>
      <c r="G2721">
        <v>36492.629999999997</v>
      </c>
      <c r="H2721">
        <v>22043.55</v>
      </c>
      <c r="I2721" t="s">
        <v>31</v>
      </c>
      <c r="J2721" t="s">
        <v>21</v>
      </c>
      <c r="K2721" t="s">
        <v>42</v>
      </c>
      <c r="L2721" t="s">
        <v>23</v>
      </c>
      <c r="M2721">
        <v>3</v>
      </c>
      <c r="N2721" t="s">
        <v>33</v>
      </c>
      <c r="O2721" t="s">
        <v>70</v>
      </c>
      <c r="P2721" t="s">
        <v>49</v>
      </c>
    </row>
    <row r="2722" spans="1:16" x14ac:dyDescent="0.25">
      <c r="A2722" t="s">
        <v>6147</v>
      </c>
      <c r="B2722" s="6">
        <v>44450</v>
      </c>
      <c r="C2722">
        <v>9609</v>
      </c>
      <c r="D2722" t="s">
        <v>6148</v>
      </c>
      <c r="E2722" t="s">
        <v>38</v>
      </c>
      <c r="F2722" t="s">
        <v>30</v>
      </c>
      <c r="G2722">
        <v>14145.08</v>
      </c>
      <c r="H2722">
        <v>7754.26</v>
      </c>
      <c r="I2722" t="s">
        <v>68</v>
      </c>
      <c r="J2722" t="s">
        <v>41</v>
      </c>
      <c r="K2722" t="s">
        <v>80</v>
      </c>
      <c r="L2722" t="s">
        <v>88</v>
      </c>
      <c r="M2722">
        <v>5</v>
      </c>
      <c r="N2722" t="s">
        <v>69</v>
      </c>
      <c r="O2722" t="s">
        <v>25</v>
      </c>
      <c r="P2722" t="s">
        <v>34</v>
      </c>
    </row>
    <row r="2723" spans="1:16" x14ac:dyDescent="0.25">
      <c r="A2723" t="s">
        <v>6149</v>
      </c>
      <c r="B2723" s="6">
        <v>44913</v>
      </c>
      <c r="C2723">
        <v>3844</v>
      </c>
      <c r="D2723" t="s">
        <v>6150</v>
      </c>
      <c r="E2723" t="s">
        <v>38</v>
      </c>
      <c r="F2723" t="s">
        <v>30</v>
      </c>
      <c r="G2723">
        <v>67606.899999999994</v>
      </c>
      <c r="H2723">
        <v>35078.089999999997</v>
      </c>
      <c r="I2723" t="s">
        <v>84</v>
      </c>
      <c r="J2723" t="s">
        <v>54</v>
      </c>
      <c r="K2723" t="s">
        <v>22</v>
      </c>
      <c r="L2723" t="s">
        <v>64</v>
      </c>
      <c r="M2723">
        <v>5</v>
      </c>
      <c r="N2723" t="s">
        <v>33</v>
      </c>
      <c r="O2723" t="s">
        <v>25</v>
      </c>
      <c r="P2723" t="s">
        <v>34</v>
      </c>
    </row>
    <row r="2724" spans="1:16" x14ac:dyDescent="0.25">
      <c r="A2724" t="s">
        <v>6151</v>
      </c>
      <c r="B2724" s="6">
        <v>44224</v>
      </c>
      <c r="C2724">
        <v>1754</v>
      </c>
      <c r="D2724" t="s">
        <v>6152</v>
      </c>
      <c r="E2724" t="s">
        <v>18</v>
      </c>
      <c r="F2724" t="s">
        <v>19</v>
      </c>
      <c r="G2724">
        <v>9431.89</v>
      </c>
      <c r="H2724">
        <v>4615.3599999999997</v>
      </c>
      <c r="I2724" t="s">
        <v>120</v>
      </c>
      <c r="J2724" t="s">
        <v>21</v>
      </c>
      <c r="K2724" t="s">
        <v>42</v>
      </c>
      <c r="L2724" t="s">
        <v>48</v>
      </c>
      <c r="M2724">
        <v>5</v>
      </c>
      <c r="N2724" t="s">
        <v>33</v>
      </c>
      <c r="O2724" t="s">
        <v>25</v>
      </c>
      <c r="P2724" t="s">
        <v>34</v>
      </c>
    </row>
    <row r="2725" spans="1:16" x14ac:dyDescent="0.25">
      <c r="A2725" t="s">
        <v>6153</v>
      </c>
      <c r="B2725" s="6">
        <v>44651</v>
      </c>
      <c r="C2725">
        <v>5610</v>
      </c>
      <c r="D2725" t="s">
        <v>6154</v>
      </c>
      <c r="E2725" t="s">
        <v>18</v>
      </c>
      <c r="F2725" t="s">
        <v>47</v>
      </c>
      <c r="G2725">
        <v>11283.01</v>
      </c>
      <c r="H2725">
        <v>5281.1</v>
      </c>
      <c r="I2725" t="s">
        <v>63</v>
      </c>
      <c r="J2725" t="s">
        <v>54</v>
      </c>
      <c r="K2725" t="s">
        <v>80</v>
      </c>
      <c r="L2725" t="s">
        <v>48</v>
      </c>
      <c r="M2725">
        <v>5</v>
      </c>
      <c r="N2725" t="s">
        <v>24</v>
      </c>
      <c r="O2725" t="s">
        <v>70</v>
      </c>
      <c r="P2725" t="s">
        <v>49</v>
      </c>
    </row>
    <row r="2726" spans="1:16" x14ac:dyDescent="0.25">
      <c r="A2726" t="s">
        <v>6155</v>
      </c>
      <c r="B2726" s="6">
        <v>45080</v>
      </c>
      <c r="C2726">
        <v>5306</v>
      </c>
      <c r="D2726" t="s">
        <v>672</v>
      </c>
      <c r="E2726" t="s">
        <v>18</v>
      </c>
      <c r="F2726" t="s">
        <v>19</v>
      </c>
      <c r="G2726">
        <v>9778.02</v>
      </c>
      <c r="H2726">
        <v>6337.95</v>
      </c>
      <c r="I2726" t="s">
        <v>84</v>
      </c>
      <c r="J2726" t="s">
        <v>54</v>
      </c>
      <c r="K2726" t="s">
        <v>32</v>
      </c>
      <c r="L2726" t="s">
        <v>43</v>
      </c>
      <c r="M2726">
        <v>4</v>
      </c>
      <c r="N2726" t="s">
        <v>69</v>
      </c>
      <c r="O2726" t="s">
        <v>70</v>
      </c>
      <c r="P2726" t="s">
        <v>34</v>
      </c>
    </row>
    <row r="2727" spans="1:16" x14ac:dyDescent="0.25">
      <c r="A2727" t="s">
        <v>6156</v>
      </c>
      <c r="B2727" s="6">
        <v>43873</v>
      </c>
      <c r="C2727">
        <v>3377</v>
      </c>
      <c r="D2727" t="s">
        <v>6157</v>
      </c>
      <c r="E2727" t="s">
        <v>18</v>
      </c>
      <c r="F2727" t="s">
        <v>30</v>
      </c>
      <c r="G2727">
        <v>63998.65</v>
      </c>
      <c r="H2727">
        <v>39377.089999999997</v>
      </c>
      <c r="I2727" t="s">
        <v>53</v>
      </c>
      <c r="J2727" t="s">
        <v>54</v>
      </c>
      <c r="K2727" t="s">
        <v>22</v>
      </c>
      <c r="L2727" t="s">
        <v>88</v>
      </c>
      <c r="M2727">
        <v>5</v>
      </c>
      <c r="N2727" t="s">
        <v>69</v>
      </c>
      <c r="O2727" t="s">
        <v>70</v>
      </c>
      <c r="P2727" t="s">
        <v>49</v>
      </c>
    </row>
    <row r="2728" spans="1:16" x14ac:dyDescent="0.25">
      <c r="A2728" t="s">
        <v>6158</v>
      </c>
      <c r="B2728" s="6">
        <v>44345</v>
      </c>
      <c r="C2728">
        <v>4404</v>
      </c>
      <c r="D2728" t="s">
        <v>6159</v>
      </c>
      <c r="E2728" t="s">
        <v>38</v>
      </c>
      <c r="F2728" t="s">
        <v>39</v>
      </c>
      <c r="G2728">
        <v>19164.93</v>
      </c>
      <c r="H2728">
        <v>11927.4</v>
      </c>
      <c r="I2728" t="s">
        <v>84</v>
      </c>
      <c r="J2728" t="s">
        <v>54</v>
      </c>
      <c r="K2728" t="s">
        <v>42</v>
      </c>
      <c r="L2728" t="s">
        <v>23</v>
      </c>
      <c r="M2728">
        <v>5</v>
      </c>
      <c r="N2728" t="s">
        <v>24</v>
      </c>
      <c r="O2728" t="s">
        <v>25</v>
      </c>
      <c r="P2728" t="s">
        <v>34</v>
      </c>
    </row>
    <row r="2729" spans="1:16" x14ac:dyDescent="0.25">
      <c r="A2729" t="s">
        <v>6160</v>
      </c>
      <c r="B2729" s="6">
        <v>45093</v>
      </c>
      <c r="C2729">
        <v>4991</v>
      </c>
      <c r="D2729" t="s">
        <v>6161</v>
      </c>
      <c r="E2729" t="s">
        <v>18</v>
      </c>
      <c r="F2729" t="s">
        <v>39</v>
      </c>
      <c r="G2729">
        <v>39028.370000000003</v>
      </c>
      <c r="H2729">
        <v>23268.95</v>
      </c>
      <c r="I2729" t="s">
        <v>20</v>
      </c>
      <c r="J2729" t="s">
        <v>21</v>
      </c>
      <c r="K2729" t="s">
        <v>80</v>
      </c>
      <c r="L2729" t="s">
        <v>64</v>
      </c>
      <c r="M2729">
        <v>2</v>
      </c>
      <c r="N2729" t="s">
        <v>24</v>
      </c>
      <c r="O2729" t="s">
        <v>25</v>
      </c>
      <c r="P2729" t="s">
        <v>34</v>
      </c>
    </row>
    <row r="2730" spans="1:16" x14ac:dyDescent="0.25">
      <c r="A2730" t="s">
        <v>6162</v>
      </c>
      <c r="B2730" s="6">
        <v>44730</v>
      </c>
      <c r="C2730">
        <v>4241</v>
      </c>
      <c r="D2730" t="s">
        <v>6164</v>
      </c>
      <c r="E2730" t="s">
        <v>18</v>
      </c>
      <c r="F2730" t="s">
        <v>39</v>
      </c>
      <c r="G2730">
        <v>21009.11</v>
      </c>
      <c r="H2730">
        <v>12048.26</v>
      </c>
      <c r="I2730" t="s">
        <v>20</v>
      </c>
      <c r="J2730" t="s">
        <v>21</v>
      </c>
      <c r="K2730" t="s">
        <v>32</v>
      </c>
      <c r="L2730" t="s">
        <v>88</v>
      </c>
      <c r="M2730">
        <v>3</v>
      </c>
      <c r="N2730" t="s">
        <v>24</v>
      </c>
      <c r="O2730" t="s">
        <v>70</v>
      </c>
      <c r="P2730" t="s">
        <v>26</v>
      </c>
    </row>
    <row r="2731" spans="1:16" x14ac:dyDescent="0.25">
      <c r="A2731" t="s">
        <v>6165</v>
      </c>
      <c r="B2731" s="6">
        <v>45163</v>
      </c>
      <c r="C2731">
        <v>4941</v>
      </c>
      <c r="D2731" t="s">
        <v>6166</v>
      </c>
      <c r="E2731" t="s">
        <v>38</v>
      </c>
      <c r="F2731" t="s">
        <v>39</v>
      </c>
      <c r="G2731">
        <v>40710.32</v>
      </c>
      <c r="H2731">
        <v>18964.97</v>
      </c>
      <c r="I2731" t="s">
        <v>20</v>
      </c>
      <c r="J2731" t="s">
        <v>21</v>
      </c>
      <c r="K2731" t="s">
        <v>32</v>
      </c>
      <c r="L2731" t="s">
        <v>43</v>
      </c>
      <c r="M2731">
        <v>4</v>
      </c>
      <c r="N2731" t="s">
        <v>33</v>
      </c>
      <c r="O2731" t="s">
        <v>25</v>
      </c>
      <c r="P2731" t="s">
        <v>34</v>
      </c>
    </row>
    <row r="2732" spans="1:16" x14ac:dyDescent="0.25">
      <c r="A2732" t="s">
        <v>6167</v>
      </c>
      <c r="B2732" s="6">
        <v>44953</v>
      </c>
      <c r="C2732">
        <v>1295</v>
      </c>
      <c r="D2732" t="s">
        <v>6168</v>
      </c>
      <c r="E2732" t="s">
        <v>38</v>
      </c>
      <c r="F2732" t="s">
        <v>39</v>
      </c>
      <c r="G2732">
        <v>26937.87</v>
      </c>
      <c r="H2732">
        <v>16819.93</v>
      </c>
      <c r="I2732" t="s">
        <v>84</v>
      </c>
      <c r="J2732" t="s">
        <v>54</v>
      </c>
      <c r="K2732" t="s">
        <v>32</v>
      </c>
      <c r="L2732" t="s">
        <v>43</v>
      </c>
      <c r="M2732">
        <v>4</v>
      </c>
      <c r="N2732" t="s">
        <v>69</v>
      </c>
      <c r="O2732" t="s">
        <v>70</v>
      </c>
      <c r="P2732" t="s">
        <v>34</v>
      </c>
    </row>
    <row r="2733" spans="1:16" x14ac:dyDescent="0.25">
      <c r="A2733" t="s">
        <v>6169</v>
      </c>
      <c r="B2733" s="6">
        <v>45540</v>
      </c>
      <c r="C2733">
        <v>2217</v>
      </c>
      <c r="D2733" t="s">
        <v>6170</v>
      </c>
      <c r="E2733" t="s">
        <v>18</v>
      </c>
      <c r="F2733" t="s">
        <v>39</v>
      </c>
      <c r="G2733">
        <v>17465.91</v>
      </c>
      <c r="H2733">
        <v>8857.5300000000007</v>
      </c>
      <c r="I2733" t="s">
        <v>84</v>
      </c>
      <c r="J2733" t="s">
        <v>54</v>
      </c>
      <c r="K2733" t="s">
        <v>42</v>
      </c>
      <c r="L2733" t="s">
        <v>55</v>
      </c>
      <c r="M2733">
        <v>1</v>
      </c>
      <c r="N2733" t="s">
        <v>24</v>
      </c>
      <c r="O2733" t="s">
        <v>25</v>
      </c>
      <c r="P2733" t="s">
        <v>26</v>
      </c>
    </row>
    <row r="2734" spans="1:16" x14ac:dyDescent="0.25">
      <c r="A2734" t="s">
        <v>6171</v>
      </c>
      <c r="B2734" s="6">
        <v>45160</v>
      </c>
      <c r="C2734">
        <v>3949</v>
      </c>
      <c r="D2734" t="s">
        <v>6172</v>
      </c>
      <c r="E2734" t="s">
        <v>38</v>
      </c>
      <c r="F2734" t="s">
        <v>39</v>
      </c>
      <c r="G2734">
        <v>26255.37</v>
      </c>
      <c r="H2734">
        <v>14593.31</v>
      </c>
      <c r="I2734" t="s">
        <v>53</v>
      </c>
      <c r="J2734" t="s">
        <v>54</v>
      </c>
      <c r="K2734" t="s">
        <v>22</v>
      </c>
      <c r="L2734" t="s">
        <v>88</v>
      </c>
      <c r="M2734">
        <v>5</v>
      </c>
      <c r="N2734" t="s">
        <v>33</v>
      </c>
      <c r="O2734" t="s">
        <v>70</v>
      </c>
      <c r="P2734" t="s">
        <v>34</v>
      </c>
    </row>
    <row r="2735" spans="1:16" x14ac:dyDescent="0.25">
      <c r="A2735" t="s">
        <v>6173</v>
      </c>
      <c r="B2735" s="6">
        <v>44229</v>
      </c>
      <c r="C2735">
        <v>2301</v>
      </c>
      <c r="D2735" t="s">
        <v>6175</v>
      </c>
      <c r="E2735" t="s">
        <v>18</v>
      </c>
      <c r="F2735" t="s">
        <v>58</v>
      </c>
      <c r="G2735">
        <v>41456.47</v>
      </c>
      <c r="H2735">
        <v>24619.14</v>
      </c>
      <c r="I2735" t="s">
        <v>84</v>
      </c>
      <c r="J2735" t="s">
        <v>54</v>
      </c>
      <c r="K2735" t="s">
        <v>42</v>
      </c>
      <c r="L2735" t="s">
        <v>88</v>
      </c>
      <c r="M2735">
        <v>4</v>
      </c>
      <c r="N2735" t="s">
        <v>33</v>
      </c>
      <c r="O2735" t="s">
        <v>25</v>
      </c>
      <c r="P2735" t="s">
        <v>26</v>
      </c>
    </row>
    <row r="2736" spans="1:16" x14ac:dyDescent="0.25">
      <c r="A2736" t="s">
        <v>6176</v>
      </c>
      <c r="B2736" s="6">
        <v>44188</v>
      </c>
      <c r="C2736">
        <v>8555</v>
      </c>
      <c r="D2736" t="s">
        <v>6177</v>
      </c>
      <c r="E2736" t="s">
        <v>38</v>
      </c>
      <c r="F2736" t="s">
        <v>58</v>
      </c>
      <c r="G2736">
        <v>16305.42</v>
      </c>
      <c r="H2736">
        <v>7638.36</v>
      </c>
      <c r="I2736" t="s">
        <v>59</v>
      </c>
      <c r="J2736" t="s">
        <v>41</v>
      </c>
      <c r="K2736" t="s">
        <v>80</v>
      </c>
      <c r="L2736" t="s">
        <v>88</v>
      </c>
      <c r="M2736">
        <v>4</v>
      </c>
      <c r="N2736" t="s">
        <v>69</v>
      </c>
      <c r="O2736" t="s">
        <v>70</v>
      </c>
      <c r="P2736" t="s">
        <v>26</v>
      </c>
    </row>
    <row r="2737" spans="1:16" x14ac:dyDescent="0.25">
      <c r="A2737" t="s">
        <v>6178</v>
      </c>
      <c r="B2737" s="6">
        <v>45519</v>
      </c>
      <c r="C2737">
        <v>8424</v>
      </c>
      <c r="D2737" t="s">
        <v>6179</v>
      </c>
      <c r="E2737" t="s">
        <v>18</v>
      </c>
      <c r="F2737" t="s">
        <v>19</v>
      </c>
      <c r="G2737">
        <v>10384.049999999999</v>
      </c>
      <c r="H2737">
        <v>5909.7</v>
      </c>
      <c r="I2737" t="s">
        <v>63</v>
      </c>
      <c r="J2737" t="s">
        <v>54</v>
      </c>
      <c r="K2737" t="s">
        <v>22</v>
      </c>
      <c r="L2737" t="s">
        <v>55</v>
      </c>
      <c r="M2737">
        <v>1</v>
      </c>
      <c r="N2737" t="s">
        <v>33</v>
      </c>
      <c r="O2737" t="s">
        <v>70</v>
      </c>
      <c r="P2737" t="s">
        <v>34</v>
      </c>
    </row>
    <row r="2738" spans="1:16" x14ac:dyDescent="0.25">
      <c r="A2738" t="s">
        <v>6180</v>
      </c>
      <c r="B2738" s="6">
        <v>45574</v>
      </c>
      <c r="C2738">
        <v>3589</v>
      </c>
      <c r="D2738" t="s">
        <v>5105</v>
      </c>
      <c r="E2738" t="s">
        <v>18</v>
      </c>
      <c r="F2738" t="s">
        <v>58</v>
      </c>
      <c r="G2738">
        <v>53904.98</v>
      </c>
      <c r="H2738">
        <v>31558.86</v>
      </c>
      <c r="I2738" t="s">
        <v>120</v>
      </c>
      <c r="J2738" t="s">
        <v>21</v>
      </c>
      <c r="K2738" t="s">
        <v>42</v>
      </c>
      <c r="L2738" t="s">
        <v>55</v>
      </c>
      <c r="M2738">
        <v>1</v>
      </c>
      <c r="N2738" t="s">
        <v>33</v>
      </c>
      <c r="O2738" t="s">
        <v>25</v>
      </c>
      <c r="P2738" t="s">
        <v>34</v>
      </c>
    </row>
    <row r="2739" spans="1:16" x14ac:dyDescent="0.25">
      <c r="A2739" t="s">
        <v>6181</v>
      </c>
      <c r="B2739" s="6">
        <v>45319</v>
      </c>
      <c r="C2739">
        <v>6129</v>
      </c>
      <c r="D2739" t="s">
        <v>6182</v>
      </c>
      <c r="E2739" t="s">
        <v>18</v>
      </c>
      <c r="F2739" t="s">
        <v>30</v>
      </c>
      <c r="G2739">
        <v>124855.53</v>
      </c>
      <c r="H2739">
        <v>62948.3</v>
      </c>
      <c r="I2739" t="s">
        <v>84</v>
      </c>
      <c r="J2739" t="s">
        <v>54</v>
      </c>
      <c r="K2739" t="s">
        <v>42</v>
      </c>
      <c r="L2739" t="s">
        <v>43</v>
      </c>
      <c r="M2739">
        <v>1</v>
      </c>
      <c r="N2739" t="s">
        <v>69</v>
      </c>
      <c r="O2739" t="s">
        <v>70</v>
      </c>
      <c r="P2739" t="s">
        <v>26</v>
      </c>
    </row>
    <row r="2740" spans="1:16" x14ac:dyDescent="0.25">
      <c r="A2740" t="s">
        <v>6183</v>
      </c>
      <c r="B2740" s="6">
        <v>43847</v>
      </c>
      <c r="C2740">
        <v>6553</v>
      </c>
      <c r="D2740" t="s">
        <v>6184</v>
      </c>
      <c r="E2740" t="s">
        <v>18</v>
      </c>
      <c r="F2740" t="s">
        <v>19</v>
      </c>
      <c r="G2740">
        <v>4231.92</v>
      </c>
      <c r="H2740">
        <v>2171.6799999999998</v>
      </c>
      <c r="I2740" t="s">
        <v>84</v>
      </c>
      <c r="J2740" t="s">
        <v>54</v>
      </c>
      <c r="K2740" t="s">
        <v>32</v>
      </c>
      <c r="L2740" t="s">
        <v>55</v>
      </c>
      <c r="M2740">
        <v>1</v>
      </c>
      <c r="N2740" t="s">
        <v>24</v>
      </c>
      <c r="O2740" t="s">
        <v>25</v>
      </c>
      <c r="P2740" t="s">
        <v>49</v>
      </c>
    </row>
    <row r="2741" spans="1:16" x14ac:dyDescent="0.25">
      <c r="A2741" t="s">
        <v>6185</v>
      </c>
      <c r="B2741" s="6">
        <v>45024</v>
      </c>
      <c r="C2741">
        <v>9100</v>
      </c>
      <c r="D2741" t="s">
        <v>6186</v>
      </c>
      <c r="E2741" t="s">
        <v>38</v>
      </c>
      <c r="F2741" t="s">
        <v>30</v>
      </c>
      <c r="G2741">
        <v>77704.3</v>
      </c>
      <c r="H2741">
        <v>41449.64</v>
      </c>
      <c r="I2741" t="s">
        <v>63</v>
      </c>
      <c r="J2741" t="s">
        <v>54</v>
      </c>
      <c r="K2741" t="s">
        <v>42</v>
      </c>
      <c r="L2741" t="s">
        <v>88</v>
      </c>
      <c r="M2741">
        <v>5</v>
      </c>
      <c r="N2741" t="s">
        <v>69</v>
      </c>
      <c r="O2741" t="s">
        <v>25</v>
      </c>
      <c r="P2741" t="s">
        <v>26</v>
      </c>
    </row>
    <row r="2742" spans="1:16" x14ac:dyDescent="0.25">
      <c r="A2742" t="s">
        <v>6187</v>
      </c>
      <c r="B2742" s="6">
        <v>44653</v>
      </c>
      <c r="C2742">
        <v>7565</v>
      </c>
      <c r="D2742" t="s">
        <v>6188</v>
      </c>
      <c r="E2742" t="s">
        <v>38</v>
      </c>
      <c r="F2742" t="s">
        <v>58</v>
      </c>
      <c r="G2742">
        <v>43216.21</v>
      </c>
      <c r="H2742">
        <v>22790.41</v>
      </c>
      <c r="I2742" t="s">
        <v>53</v>
      </c>
      <c r="J2742" t="s">
        <v>54</v>
      </c>
      <c r="K2742" t="s">
        <v>42</v>
      </c>
      <c r="L2742" t="s">
        <v>48</v>
      </c>
      <c r="M2742">
        <v>5</v>
      </c>
      <c r="N2742" t="s">
        <v>33</v>
      </c>
      <c r="O2742" t="s">
        <v>25</v>
      </c>
      <c r="P2742" t="s">
        <v>49</v>
      </c>
    </row>
    <row r="2743" spans="1:16" x14ac:dyDescent="0.25">
      <c r="A2743" t="s">
        <v>6189</v>
      </c>
      <c r="B2743" s="6">
        <v>45557</v>
      </c>
      <c r="C2743">
        <v>9169</v>
      </c>
      <c r="D2743" t="s">
        <v>6190</v>
      </c>
      <c r="E2743" t="s">
        <v>38</v>
      </c>
      <c r="F2743" t="s">
        <v>47</v>
      </c>
      <c r="G2743">
        <v>4833.91</v>
      </c>
      <c r="H2743">
        <v>2287.2199999999998</v>
      </c>
      <c r="I2743" t="s">
        <v>120</v>
      </c>
      <c r="J2743" t="s">
        <v>21</v>
      </c>
      <c r="K2743" t="s">
        <v>22</v>
      </c>
      <c r="L2743" t="s">
        <v>64</v>
      </c>
      <c r="M2743">
        <v>1</v>
      </c>
      <c r="N2743" t="s">
        <v>33</v>
      </c>
      <c r="O2743" t="s">
        <v>25</v>
      </c>
      <c r="P2743" t="s">
        <v>26</v>
      </c>
    </row>
    <row r="2744" spans="1:16" x14ac:dyDescent="0.25">
      <c r="A2744" t="s">
        <v>6191</v>
      </c>
      <c r="B2744" s="6">
        <v>44812</v>
      </c>
      <c r="C2744">
        <v>3791</v>
      </c>
      <c r="D2744" t="s">
        <v>6192</v>
      </c>
      <c r="E2744" t="s">
        <v>38</v>
      </c>
      <c r="F2744" t="s">
        <v>19</v>
      </c>
      <c r="G2744">
        <v>10632.62</v>
      </c>
      <c r="H2744">
        <v>5950.87</v>
      </c>
      <c r="I2744" t="s">
        <v>31</v>
      </c>
      <c r="J2744" t="s">
        <v>21</v>
      </c>
      <c r="K2744" t="s">
        <v>42</v>
      </c>
      <c r="L2744" t="s">
        <v>55</v>
      </c>
      <c r="M2744">
        <v>3</v>
      </c>
      <c r="N2744" t="s">
        <v>33</v>
      </c>
      <c r="O2744" t="s">
        <v>25</v>
      </c>
      <c r="P2744" t="s">
        <v>34</v>
      </c>
    </row>
    <row r="2745" spans="1:16" x14ac:dyDescent="0.25">
      <c r="A2745" t="s">
        <v>6193</v>
      </c>
      <c r="B2745" s="6">
        <v>45060</v>
      </c>
      <c r="C2745">
        <v>7625</v>
      </c>
      <c r="D2745" t="s">
        <v>6194</v>
      </c>
      <c r="E2745" t="s">
        <v>38</v>
      </c>
      <c r="F2745" t="s">
        <v>19</v>
      </c>
      <c r="G2745">
        <v>12910.87</v>
      </c>
      <c r="H2745">
        <v>5858.39</v>
      </c>
      <c r="I2745" t="s">
        <v>59</v>
      </c>
      <c r="J2745" t="s">
        <v>41</v>
      </c>
      <c r="K2745" t="s">
        <v>22</v>
      </c>
      <c r="L2745" t="s">
        <v>48</v>
      </c>
      <c r="M2745">
        <v>3</v>
      </c>
      <c r="N2745" t="s">
        <v>69</v>
      </c>
      <c r="O2745" t="s">
        <v>25</v>
      </c>
      <c r="P2745" t="s">
        <v>26</v>
      </c>
    </row>
    <row r="2746" spans="1:16" x14ac:dyDescent="0.25">
      <c r="A2746" t="s">
        <v>6195</v>
      </c>
      <c r="B2746" s="6">
        <v>44652</v>
      </c>
      <c r="C2746">
        <v>9353</v>
      </c>
      <c r="D2746" t="s">
        <v>6196</v>
      </c>
      <c r="E2746" t="s">
        <v>38</v>
      </c>
      <c r="F2746" t="s">
        <v>30</v>
      </c>
      <c r="G2746">
        <v>91292.31</v>
      </c>
      <c r="H2746">
        <v>58378.98</v>
      </c>
      <c r="I2746" t="s">
        <v>84</v>
      </c>
      <c r="J2746" t="s">
        <v>54</v>
      </c>
      <c r="K2746" t="s">
        <v>80</v>
      </c>
      <c r="L2746" t="s">
        <v>55</v>
      </c>
      <c r="M2746">
        <v>3</v>
      </c>
      <c r="N2746" t="s">
        <v>33</v>
      </c>
      <c r="O2746" t="s">
        <v>25</v>
      </c>
      <c r="P2746" t="s">
        <v>49</v>
      </c>
    </row>
    <row r="2747" spans="1:16" x14ac:dyDescent="0.25">
      <c r="A2747" t="s">
        <v>6197</v>
      </c>
      <c r="B2747" s="6">
        <v>44199</v>
      </c>
      <c r="C2747">
        <v>7261</v>
      </c>
      <c r="D2747" t="s">
        <v>6198</v>
      </c>
      <c r="E2747" t="s">
        <v>18</v>
      </c>
      <c r="F2747" t="s">
        <v>58</v>
      </c>
      <c r="G2747">
        <v>20610.91</v>
      </c>
      <c r="H2747">
        <v>9318.64</v>
      </c>
      <c r="I2747" t="s">
        <v>31</v>
      </c>
      <c r="J2747" t="s">
        <v>21</v>
      </c>
      <c r="K2747" t="s">
        <v>80</v>
      </c>
      <c r="L2747" t="s">
        <v>43</v>
      </c>
      <c r="M2747">
        <v>1</v>
      </c>
      <c r="N2747" t="s">
        <v>69</v>
      </c>
      <c r="O2747" t="s">
        <v>25</v>
      </c>
      <c r="P2747" t="s">
        <v>34</v>
      </c>
    </row>
    <row r="2748" spans="1:16" x14ac:dyDescent="0.25">
      <c r="A2748" t="s">
        <v>6199</v>
      </c>
      <c r="B2748" s="6">
        <v>44530</v>
      </c>
      <c r="C2748">
        <v>7413</v>
      </c>
      <c r="D2748" t="s">
        <v>6200</v>
      </c>
      <c r="E2748" t="s">
        <v>38</v>
      </c>
      <c r="F2748" t="s">
        <v>19</v>
      </c>
      <c r="G2748">
        <v>12060.97</v>
      </c>
      <c r="H2748">
        <v>7075.38</v>
      </c>
      <c r="I2748" t="s">
        <v>20</v>
      </c>
      <c r="J2748" t="s">
        <v>21</v>
      </c>
      <c r="K2748" t="s">
        <v>42</v>
      </c>
      <c r="L2748" t="s">
        <v>88</v>
      </c>
      <c r="M2748">
        <v>1</v>
      </c>
      <c r="N2748" t="s">
        <v>69</v>
      </c>
      <c r="O2748" t="s">
        <v>70</v>
      </c>
      <c r="P2748" t="s">
        <v>34</v>
      </c>
    </row>
    <row r="2749" spans="1:16" x14ac:dyDescent="0.25">
      <c r="A2749" t="s">
        <v>6201</v>
      </c>
      <c r="B2749" s="6">
        <v>44065</v>
      </c>
      <c r="C2749">
        <v>2816</v>
      </c>
      <c r="D2749" t="s">
        <v>6202</v>
      </c>
      <c r="E2749" t="s">
        <v>18</v>
      </c>
      <c r="F2749" t="s">
        <v>30</v>
      </c>
      <c r="G2749">
        <v>11157.69</v>
      </c>
      <c r="H2749">
        <v>6022.42</v>
      </c>
      <c r="I2749" t="s">
        <v>53</v>
      </c>
      <c r="J2749" t="s">
        <v>54</v>
      </c>
      <c r="K2749" t="s">
        <v>80</v>
      </c>
      <c r="L2749" t="s">
        <v>43</v>
      </c>
      <c r="M2749">
        <v>3</v>
      </c>
      <c r="N2749" t="s">
        <v>33</v>
      </c>
      <c r="O2749" t="s">
        <v>25</v>
      </c>
      <c r="P2749" t="s">
        <v>34</v>
      </c>
    </row>
    <row r="2750" spans="1:16" x14ac:dyDescent="0.25">
      <c r="A2750" t="s">
        <v>6203</v>
      </c>
      <c r="B2750" s="6">
        <v>45174</v>
      </c>
      <c r="C2750">
        <v>1749</v>
      </c>
      <c r="D2750" t="s">
        <v>6205</v>
      </c>
      <c r="E2750" t="s">
        <v>38</v>
      </c>
      <c r="F2750" t="s">
        <v>58</v>
      </c>
      <c r="G2750">
        <v>32887.019999999997</v>
      </c>
      <c r="H2750">
        <v>15662.29</v>
      </c>
      <c r="I2750" t="s">
        <v>53</v>
      </c>
      <c r="J2750" t="s">
        <v>54</v>
      </c>
      <c r="K2750" t="s">
        <v>22</v>
      </c>
      <c r="L2750" t="s">
        <v>43</v>
      </c>
      <c r="M2750">
        <v>2</v>
      </c>
      <c r="N2750" t="s">
        <v>24</v>
      </c>
      <c r="O2750" t="s">
        <v>25</v>
      </c>
      <c r="P2750" t="s">
        <v>26</v>
      </c>
    </row>
    <row r="2751" spans="1:16" x14ac:dyDescent="0.25">
      <c r="A2751" t="s">
        <v>6206</v>
      </c>
      <c r="B2751" s="6">
        <v>44156</v>
      </c>
      <c r="C2751">
        <v>3474</v>
      </c>
      <c r="D2751" t="s">
        <v>4493</v>
      </c>
      <c r="E2751" t="s">
        <v>18</v>
      </c>
      <c r="F2751" t="s">
        <v>39</v>
      </c>
      <c r="G2751">
        <v>17062.7</v>
      </c>
      <c r="H2751">
        <v>9222.2999999999993</v>
      </c>
      <c r="I2751" t="s">
        <v>63</v>
      </c>
      <c r="J2751" t="s">
        <v>54</v>
      </c>
      <c r="K2751" t="s">
        <v>32</v>
      </c>
      <c r="L2751" t="s">
        <v>48</v>
      </c>
      <c r="M2751">
        <v>3</v>
      </c>
      <c r="N2751" t="s">
        <v>24</v>
      </c>
      <c r="O2751" t="s">
        <v>25</v>
      </c>
      <c r="P2751" t="s">
        <v>26</v>
      </c>
    </row>
    <row r="2752" spans="1:16" x14ac:dyDescent="0.25">
      <c r="A2752" t="s">
        <v>6207</v>
      </c>
      <c r="B2752" s="6">
        <v>44914</v>
      </c>
      <c r="C2752">
        <v>9583</v>
      </c>
      <c r="D2752" t="s">
        <v>6208</v>
      </c>
      <c r="E2752" t="s">
        <v>18</v>
      </c>
      <c r="F2752" t="s">
        <v>47</v>
      </c>
      <c r="G2752">
        <v>5558.67</v>
      </c>
      <c r="H2752">
        <v>3357.84</v>
      </c>
      <c r="I2752" t="s">
        <v>53</v>
      </c>
      <c r="J2752" t="s">
        <v>54</v>
      </c>
      <c r="K2752" t="s">
        <v>42</v>
      </c>
      <c r="L2752" t="s">
        <v>43</v>
      </c>
      <c r="M2752">
        <v>5</v>
      </c>
      <c r="N2752" t="s">
        <v>69</v>
      </c>
      <c r="O2752" t="s">
        <v>70</v>
      </c>
      <c r="P2752" t="s">
        <v>49</v>
      </c>
    </row>
    <row r="2753" spans="1:16" x14ac:dyDescent="0.25">
      <c r="A2753" t="s">
        <v>6209</v>
      </c>
      <c r="B2753" s="6">
        <v>45568</v>
      </c>
      <c r="C2753">
        <v>2484</v>
      </c>
      <c r="D2753" t="s">
        <v>6210</v>
      </c>
      <c r="E2753" t="s">
        <v>18</v>
      </c>
      <c r="F2753" t="s">
        <v>30</v>
      </c>
      <c r="G2753">
        <v>76244.539999999994</v>
      </c>
      <c r="H2753">
        <v>36828.74</v>
      </c>
      <c r="I2753" t="s">
        <v>120</v>
      </c>
      <c r="J2753" t="s">
        <v>21</v>
      </c>
      <c r="K2753" t="s">
        <v>80</v>
      </c>
      <c r="L2753" t="s">
        <v>23</v>
      </c>
      <c r="M2753">
        <v>1</v>
      </c>
      <c r="N2753" t="s">
        <v>24</v>
      </c>
      <c r="O2753" t="s">
        <v>25</v>
      </c>
      <c r="P2753" t="s">
        <v>49</v>
      </c>
    </row>
    <row r="2754" spans="1:16" x14ac:dyDescent="0.25">
      <c r="A2754" t="s">
        <v>6211</v>
      </c>
      <c r="B2754" s="6">
        <v>44448</v>
      </c>
      <c r="C2754">
        <v>1630</v>
      </c>
      <c r="D2754" t="s">
        <v>6212</v>
      </c>
      <c r="E2754" t="s">
        <v>18</v>
      </c>
      <c r="F2754" t="s">
        <v>30</v>
      </c>
      <c r="G2754">
        <v>75523.75</v>
      </c>
      <c r="H2754">
        <v>47202.26</v>
      </c>
      <c r="I2754" t="s">
        <v>84</v>
      </c>
      <c r="J2754" t="s">
        <v>54</v>
      </c>
      <c r="K2754" t="s">
        <v>32</v>
      </c>
      <c r="L2754" t="s">
        <v>48</v>
      </c>
      <c r="M2754">
        <v>1</v>
      </c>
      <c r="N2754" t="s">
        <v>24</v>
      </c>
      <c r="O2754" t="s">
        <v>25</v>
      </c>
      <c r="P2754" t="s">
        <v>26</v>
      </c>
    </row>
    <row r="2755" spans="1:16" x14ac:dyDescent="0.25">
      <c r="A2755" t="s">
        <v>6213</v>
      </c>
      <c r="B2755" s="6">
        <v>45608</v>
      </c>
      <c r="C2755">
        <v>2730</v>
      </c>
      <c r="D2755" t="s">
        <v>6215</v>
      </c>
      <c r="E2755" t="s">
        <v>38</v>
      </c>
      <c r="F2755" t="s">
        <v>47</v>
      </c>
      <c r="G2755">
        <v>5050.78</v>
      </c>
      <c r="H2755">
        <v>2715.41</v>
      </c>
      <c r="I2755" t="s">
        <v>20</v>
      </c>
      <c r="J2755" t="s">
        <v>21</v>
      </c>
      <c r="K2755" t="s">
        <v>80</v>
      </c>
      <c r="L2755" t="s">
        <v>55</v>
      </c>
      <c r="M2755">
        <v>4</v>
      </c>
      <c r="N2755" t="s">
        <v>24</v>
      </c>
      <c r="O2755" t="s">
        <v>25</v>
      </c>
      <c r="P2755" t="s">
        <v>49</v>
      </c>
    </row>
    <row r="2756" spans="1:16" x14ac:dyDescent="0.25">
      <c r="A2756" t="s">
        <v>6216</v>
      </c>
      <c r="B2756" s="6">
        <v>44660</v>
      </c>
      <c r="C2756">
        <v>1890</v>
      </c>
      <c r="D2756" t="s">
        <v>6217</v>
      </c>
      <c r="E2756" t="s">
        <v>18</v>
      </c>
      <c r="F2756" t="s">
        <v>30</v>
      </c>
      <c r="G2756">
        <v>82776.039999999994</v>
      </c>
      <c r="H2756">
        <v>41279.9</v>
      </c>
      <c r="I2756" t="s">
        <v>53</v>
      </c>
      <c r="J2756" t="s">
        <v>54</v>
      </c>
      <c r="K2756" t="s">
        <v>80</v>
      </c>
      <c r="L2756" t="s">
        <v>43</v>
      </c>
      <c r="M2756">
        <v>4</v>
      </c>
      <c r="N2756" t="s">
        <v>33</v>
      </c>
      <c r="O2756" t="s">
        <v>25</v>
      </c>
      <c r="P2756" t="s">
        <v>26</v>
      </c>
    </row>
    <row r="2757" spans="1:16" x14ac:dyDescent="0.25">
      <c r="A2757" t="s">
        <v>6218</v>
      </c>
      <c r="B2757" s="6">
        <v>44585</v>
      </c>
      <c r="C2757">
        <v>1321</v>
      </c>
      <c r="D2757" t="s">
        <v>6219</v>
      </c>
      <c r="E2757" t="s">
        <v>38</v>
      </c>
      <c r="F2757" t="s">
        <v>39</v>
      </c>
      <c r="G2757">
        <v>27276.66</v>
      </c>
      <c r="H2757">
        <v>12374.56</v>
      </c>
      <c r="I2757" t="s">
        <v>20</v>
      </c>
      <c r="J2757" t="s">
        <v>21</v>
      </c>
      <c r="K2757" t="s">
        <v>80</v>
      </c>
      <c r="L2757" t="s">
        <v>43</v>
      </c>
      <c r="M2757">
        <v>4</v>
      </c>
      <c r="N2757" t="s">
        <v>69</v>
      </c>
      <c r="O2757" t="s">
        <v>70</v>
      </c>
      <c r="P2757" t="s">
        <v>49</v>
      </c>
    </row>
    <row r="2758" spans="1:16" x14ac:dyDescent="0.25">
      <c r="A2758" t="s">
        <v>6220</v>
      </c>
      <c r="B2758" s="6">
        <v>45566</v>
      </c>
      <c r="C2758">
        <v>5710</v>
      </c>
      <c r="D2758" t="s">
        <v>6221</v>
      </c>
      <c r="E2758" t="s">
        <v>18</v>
      </c>
      <c r="F2758" t="s">
        <v>47</v>
      </c>
      <c r="G2758">
        <v>11187.53</v>
      </c>
      <c r="H2758">
        <v>7232.16</v>
      </c>
      <c r="I2758" t="s">
        <v>59</v>
      </c>
      <c r="J2758" t="s">
        <v>41</v>
      </c>
      <c r="K2758" t="s">
        <v>22</v>
      </c>
      <c r="L2758" t="s">
        <v>64</v>
      </c>
      <c r="M2758">
        <v>4</v>
      </c>
      <c r="N2758" t="s">
        <v>33</v>
      </c>
      <c r="O2758" t="s">
        <v>25</v>
      </c>
      <c r="P2758" t="s">
        <v>34</v>
      </c>
    </row>
    <row r="2759" spans="1:16" x14ac:dyDescent="0.25">
      <c r="A2759" t="s">
        <v>6222</v>
      </c>
      <c r="B2759" s="6">
        <v>45580</v>
      </c>
      <c r="C2759">
        <v>1447</v>
      </c>
      <c r="D2759" t="s">
        <v>1608</v>
      </c>
      <c r="E2759" t="s">
        <v>18</v>
      </c>
      <c r="F2759" t="s">
        <v>47</v>
      </c>
      <c r="G2759">
        <v>5585.78</v>
      </c>
      <c r="H2759">
        <v>2582.84</v>
      </c>
      <c r="I2759" t="s">
        <v>68</v>
      </c>
      <c r="J2759" t="s">
        <v>41</v>
      </c>
      <c r="K2759" t="s">
        <v>42</v>
      </c>
      <c r="L2759" t="s">
        <v>48</v>
      </c>
      <c r="M2759">
        <v>4</v>
      </c>
      <c r="N2759" t="s">
        <v>33</v>
      </c>
      <c r="O2759" t="s">
        <v>25</v>
      </c>
      <c r="P2759" t="s">
        <v>49</v>
      </c>
    </row>
    <row r="2760" spans="1:16" x14ac:dyDescent="0.25">
      <c r="A2760" t="s">
        <v>6223</v>
      </c>
      <c r="B2760" s="6">
        <v>43972</v>
      </c>
      <c r="C2760">
        <v>5013</v>
      </c>
      <c r="D2760" t="s">
        <v>6224</v>
      </c>
      <c r="E2760" t="s">
        <v>38</v>
      </c>
      <c r="F2760" t="s">
        <v>30</v>
      </c>
      <c r="G2760">
        <v>22064.79</v>
      </c>
      <c r="H2760">
        <v>13445.41</v>
      </c>
      <c r="I2760" t="s">
        <v>40</v>
      </c>
      <c r="J2760" t="s">
        <v>41</v>
      </c>
      <c r="K2760" t="s">
        <v>42</v>
      </c>
      <c r="L2760" t="s">
        <v>88</v>
      </c>
      <c r="M2760">
        <v>4</v>
      </c>
      <c r="N2760" t="s">
        <v>69</v>
      </c>
      <c r="O2760" t="s">
        <v>70</v>
      </c>
      <c r="P2760" t="s">
        <v>49</v>
      </c>
    </row>
    <row r="2761" spans="1:16" x14ac:dyDescent="0.25">
      <c r="A2761" t="s">
        <v>6225</v>
      </c>
      <c r="B2761" s="6">
        <v>45321</v>
      </c>
      <c r="C2761">
        <v>8698</v>
      </c>
      <c r="D2761" t="s">
        <v>6226</v>
      </c>
      <c r="E2761" t="s">
        <v>18</v>
      </c>
      <c r="F2761" t="s">
        <v>19</v>
      </c>
      <c r="G2761">
        <v>5000.7</v>
      </c>
      <c r="H2761">
        <v>2905.26</v>
      </c>
      <c r="I2761" t="s">
        <v>59</v>
      </c>
      <c r="J2761" t="s">
        <v>41</v>
      </c>
      <c r="K2761" t="s">
        <v>22</v>
      </c>
      <c r="L2761" t="s">
        <v>23</v>
      </c>
      <c r="M2761">
        <v>4</v>
      </c>
      <c r="N2761" t="s">
        <v>33</v>
      </c>
      <c r="O2761" t="s">
        <v>25</v>
      </c>
      <c r="P2761" t="s">
        <v>26</v>
      </c>
    </row>
    <row r="2762" spans="1:16" x14ac:dyDescent="0.25">
      <c r="A2762" t="s">
        <v>6227</v>
      </c>
      <c r="B2762" s="6">
        <v>44952</v>
      </c>
      <c r="C2762">
        <v>9936</v>
      </c>
      <c r="D2762" t="s">
        <v>3940</v>
      </c>
      <c r="E2762" t="s">
        <v>38</v>
      </c>
      <c r="F2762" t="s">
        <v>39</v>
      </c>
      <c r="G2762">
        <v>51354.46</v>
      </c>
      <c r="H2762">
        <v>26482.5</v>
      </c>
      <c r="I2762" t="s">
        <v>63</v>
      </c>
      <c r="J2762" t="s">
        <v>54</v>
      </c>
      <c r="K2762" t="s">
        <v>80</v>
      </c>
      <c r="L2762" t="s">
        <v>23</v>
      </c>
      <c r="M2762">
        <v>5</v>
      </c>
      <c r="N2762" t="s">
        <v>24</v>
      </c>
      <c r="O2762" t="s">
        <v>25</v>
      </c>
      <c r="P2762" t="s">
        <v>34</v>
      </c>
    </row>
    <row r="2763" spans="1:16" x14ac:dyDescent="0.25">
      <c r="A2763" t="s">
        <v>6228</v>
      </c>
      <c r="B2763" s="6">
        <v>44281</v>
      </c>
      <c r="C2763">
        <v>6333</v>
      </c>
      <c r="D2763" t="s">
        <v>297</v>
      </c>
      <c r="E2763" t="s">
        <v>18</v>
      </c>
      <c r="F2763" t="s">
        <v>58</v>
      </c>
      <c r="G2763">
        <v>24932.12</v>
      </c>
      <c r="H2763">
        <v>12937.15</v>
      </c>
      <c r="I2763" t="s">
        <v>53</v>
      </c>
      <c r="J2763" t="s">
        <v>54</v>
      </c>
      <c r="K2763" t="s">
        <v>32</v>
      </c>
      <c r="L2763" t="s">
        <v>23</v>
      </c>
      <c r="M2763">
        <v>1</v>
      </c>
      <c r="N2763" t="s">
        <v>33</v>
      </c>
      <c r="O2763" t="s">
        <v>25</v>
      </c>
      <c r="P2763" t="s">
        <v>49</v>
      </c>
    </row>
    <row r="2764" spans="1:16" x14ac:dyDescent="0.25">
      <c r="A2764" t="s">
        <v>6230</v>
      </c>
      <c r="B2764" s="6">
        <v>45351</v>
      </c>
      <c r="C2764">
        <v>6398</v>
      </c>
      <c r="D2764" t="s">
        <v>6231</v>
      </c>
      <c r="E2764" t="s">
        <v>18</v>
      </c>
      <c r="F2764" t="s">
        <v>47</v>
      </c>
      <c r="G2764">
        <v>8491.73</v>
      </c>
      <c r="H2764">
        <v>3958.2</v>
      </c>
      <c r="I2764" t="s">
        <v>53</v>
      </c>
      <c r="J2764" t="s">
        <v>54</v>
      </c>
      <c r="K2764" t="s">
        <v>80</v>
      </c>
      <c r="L2764" t="s">
        <v>43</v>
      </c>
      <c r="M2764">
        <v>5</v>
      </c>
      <c r="N2764" t="s">
        <v>24</v>
      </c>
      <c r="O2764" t="s">
        <v>70</v>
      </c>
      <c r="P2764" t="s">
        <v>34</v>
      </c>
    </row>
    <row r="2765" spans="1:16" x14ac:dyDescent="0.25">
      <c r="A2765" t="s">
        <v>6232</v>
      </c>
      <c r="B2765" s="6">
        <v>45610</v>
      </c>
      <c r="C2765">
        <v>9693</v>
      </c>
      <c r="D2765" t="s">
        <v>2331</v>
      </c>
      <c r="E2765" t="s">
        <v>38</v>
      </c>
      <c r="F2765" t="s">
        <v>58</v>
      </c>
      <c r="G2765">
        <v>16872.53</v>
      </c>
      <c r="H2765">
        <v>7675.36</v>
      </c>
      <c r="I2765" t="s">
        <v>53</v>
      </c>
      <c r="J2765" t="s">
        <v>54</v>
      </c>
      <c r="K2765" t="s">
        <v>22</v>
      </c>
      <c r="L2765" t="s">
        <v>88</v>
      </c>
      <c r="M2765">
        <v>1</v>
      </c>
      <c r="N2765" t="s">
        <v>33</v>
      </c>
      <c r="O2765" t="s">
        <v>70</v>
      </c>
      <c r="P2765" t="s">
        <v>26</v>
      </c>
    </row>
    <row r="2766" spans="1:16" x14ac:dyDescent="0.25">
      <c r="A2766" t="s">
        <v>6233</v>
      </c>
      <c r="B2766" s="6">
        <v>45483</v>
      </c>
      <c r="C2766">
        <v>6426</v>
      </c>
      <c r="D2766" t="s">
        <v>6234</v>
      </c>
      <c r="E2766" t="s">
        <v>38</v>
      </c>
      <c r="F2766" t="s">
        <v>47</v>
      </c>
      <c r="G2766">
        <v>12194.96</v>
      </c>
      <c r="H2766">
        <v>7717.46</v>
      </c>
      <c r="I2766" t="s">
        <v>31</v>
      </c>
      <c r="J2766" t="s">
        <v>21</v>
      </c>
      <c r="K2766" t="s">
        <v>32</v>
      </c>
      <c r="L2766" t="s">
        <v>23</v>
      </c>
      <c r="M2766">
        <v>2</v>
      </c>
      <c r="N2766" t="s">
        <v>24</v>
      </c>
      <c r="O2766" t="s">
        <v>70</v>
      </c>
      <c r="P2766" t="s">
        <v>26</v>
      </c>
    </row>
    <row r="2767" spans="1:16" x14ac:dyDescent="0.25">
      <c r="A2767" t="s">
        <v>6235</v>
      </c>
      <c r="B2767" s="6">
        <v>45590</v>
      </c>
      <c r="C2767">
        <v>8341</v>
      </c>
      <c r="D2767" t="s">
        <v>4893</v>
      </c>
      <c r="E2767" t="s">
        <v>18</v>
      </c>
      <c r="F2767" t="s">
        <v>30</v>
      </c>
      <c r="G2767">
        <v>61622.21</v>
      </c>
      <c r="H2767">
        <v>38050.050000000003</v>
      </c>
      <c r="I2767" t="s">
        <v>120</v>
      </c>
      <c r="J2767" t="s">
        <v>21</v>
      </c>
      <c r="K2767" t="s">
        <v>32</v>
      </c>
      <c r="L2767" t="s">
        <v>55</v>
      </c>
      <c r="M2767">
        <v>5</v>
      </c>
      <c r="N2767" t="s">
        <v>69</v>
      </c>
      <c r="O2767" t="s">
        <v>70</v>
      </c>
      <c r="P2767" t="s">
        <v>26</v>
      </c>
    </row>
    <row r="2768" spans="1:16" x14ac:dyDescent="0.25">
      <c r="A2768" t="s">
        <v>6236</v>
      </c>
      <c r="B2768" s="6">
        <v>45479</v>
      </c>
      <c r="C2768">
        <v>4255</v>
      </c>
      <c r="D2768" t="s">
        <v>6237</v>
      </c>
      <c r="E2768" t="s">
        <v>38</v>
      </c>
      <c r="F2768" t="s">
        <v>58</v>
      </c>
      <c r="G2768">
        <v>35638.449999999997</v>
      </c>
      <c r="H2768">
        <v>19165.919999999998</v>
      </c>
      <c r="I2768" t="s">
        <v>40</v>
      </c>
      <c r="J2768" t="s">
        <v>41</v>
      </c>
      <c r="K2768" t="s">
        <v>32</v>
      </c>
      <c r="L2768" t="s">
        <v>88</v>
      </c>
      <c r="M2768">
        <v>1</v>
      </c>
      <c r="N2768" t="s">
        <v>33</v>
      </c>
      <c r="O2768" t="s">
        <v>25</v>
      </c>
      <c r="P2768" t="s">
        <v>34</v>
      </c>
    </row>
    <row r="2769" spans="1:16" x14ac:dyDescent="0.25">
      <c r="A2769" t="s">
        <v>6238</v>
      </c>
      <c r="B2769" s="6">
        <v>44962</v>
      </c>
      <c r="C2769">
        <v>4634</v>
      </c>
      <c r="D2769" t="s">
        <v>3960</v>
      </c>
      <c r="E2769" t="s">
        <v>38</v>
      </c>
      <c r="F2769" t="s">
        <v>19</v>
      </c>
      <c r="G2769">
        <v>10517.76</v>
      </c>
      <c r="H2769">
        <v>5337.06</v>
      </c>
      <c r="I2769" t="s">
        <v>20</v>
      </c>
      <c r="J2769" t="s">
        <v>21</v>
      </c>
      <c r="K2769" t="s">
        <v>32</v>
      </c>
      <c r="L2769" t="s">
        <v>64</v>
      </c>
      <c r="M2769">
        <v>3</v>
      </c>
      <c r="N2769" t="s">
        <v>33</v>
      </c>
      <c r="O2769" t="s">
        <v>25</v>
      </c>
      <c r="P2769" t="s">
        <v>49</v>
      </c>
    </row>
    <row r="2770" spans="1:16" x14ac:dyDescent="0.25">
      <c r="A2770" t="s">
        <v>6239</v>
      </c>
      <c r="B2770" s="6">
        <v>45453</v>
      </c>
      <c r="C2770">
        <v>5586</v>
      </c>
      <c r="D2770" t="s">
        <v>6240</v>
      </c>
      <c r="E2770" t="s">
        <v>38</v>
      </c>
      <c r="F2770" t="s">
        <v>19</v>
      </c>
      <c r="G2770">
        <v>21635.9</v>
      </c>
      <c r="H2770">
        <v>12124.43</v>
      </c>
      <c r="I2770" t="s">
        <v>20</v>
      </c>
      <c r="J2770" t="s">
        <v>21</v>
      </c>
      <c r="K2770" t="s">
        <v>22</v>
      </c>
      <c r="L2770" t="s">
        <v>88</v>
      </c>
      <c r="M2770">
        <v>1</v>
      </c>
      <c r="N2770" t="s">
        <v>24</v>
      </c>
      <c r="O2770" t="s">
        <v>25</v>
      </c>
      <c r="P2770" t="s">
        <v>26</v>
      </c>
    </row>
    <row r="2771" spans="1:16" x14ac:dyDescent="0.25">
      <c r="A2771" t="s">
        <v>6241</v>
      </c>
      <c r="B2771" s="6">
        <v>45347</v>
      </c>
      <c r="C2771">
        <v>8335</v>
      </c>
      <c r="D2771" t="s">
        <v>6242</v>
      </c>
      <c r="E2771" t="s">
        <v>38</v>
      </c>
      <c r="F2771" t="s">
        <v>19</v>
      </c>
      <c r="G2771">
        <v>15208.51</v>
      </c>
      <c r="H2771">
        <v>9219.57</v>
      </c>
      <c r="I2771" t="s">
        <v>59</v>
      </c>
      <c r="J2771" t="s">
        <v>41</v>
      </c>
      <c r="K2771" t="s">
        <v>32</v>
      </c>
      <c r="L2771" t="s">
        <v>48</v>
      </c>
      <c r="M2771">
        <v>1</v>
      </c>
      <c r="N2771" t="s">
        <v>33</v>
      </c>
      <c r="O2771" t="s">
        <v>25</v>
      </c>
      <c r="P2771" t="s">
        <v>26</v>
      </c>
    </row>
    <row r="2772" spans="1:16" x14ac:dyDescent="0.25">
      <c r="A2772" t="s">
        <v>6243</v>
      </c>
      <c r="B2772" s="6">
        <v>44462</v>
      </c>
      <c r="C2772">
        <v>4920</v>
      </c>
      <c r="D2772" t="s">
        <v>6244</v>
      </c>
      <c r="E2772" t="s">
        <v>18</v>
      </c>
      <c r="F2772" t="s">
        <v>39</v>
      </c>
      <c r="G2772">
        <v>18377.009999999998</v>
      </c>
      <c r="H2772">
        <v>9690.51</v>
      </c>
      <c r="I2772" t="s">
        <v>68</v>
      </c>
      <c r="J2772" t="s">
        <v>41</v>
      </c>
      <c r="K2772" t="s">
        <v>32</v>
      </c>
      <c r="L2772" t="s">
        <v>88</v>
      </c>
      <c r="M2772">
        <v>1</v>
      </c>
      <c r="N2772" t="s">
        <v>24</v>
      </c>
      <c r="O2772" t="s">
        <v>70</v>
      </c>
      <c r="P2772" t="s">
        <v>26</v>
      </c>
    </row>
    <row r="2773" spans="1:16" x14ac:dyDescent="0.25">
      <c r="A2773" t="s">
        <v>6245</v>
      </c>
      <c r="B2773" s="6">
        <v>45417</v>
      </c>
      <c r="C2773">
        <v>8135</v>
      </c>
      <c r="D2773" t="s">
        <v>5088</v>
      </c>
      <c r="E2773" t="s">
        <v>38</v>
      </c>
      <c r="F2773" t="s">
        <v>58</v>
      </c>
      <c r="G2773">
        <v>29829.29</v>
      </c>
      <c r="H2773">
        <v>15232.1</v>
      </c>
      <c r="I2773" t="s">
        <v>120</v>
      </c>
      <c r="J2773" t="s">
        <v>21</v>
      </c>
      <c r="K2773" t="s">
        <v>22</v>
      </c>
      <c r="L2773" t="s">
        <v>64</v>
      </c>
      <c r="M2773">
        <v>2</v>
      </c>
      <c r="N2773" t="s">
        <v>33</v>
      </c>
      <c r="O2773" t="s">
        <v>70</v>
      </c>
      <c r="P2773" t="s">
        <v>34</v>
      </c>
    </row>
    <row r="2774" spans="1:16" x14ac:dyDescent="0.25">
      <c r="A2774" t="s">
        <v>6246</v>
      </c>
      <c r="B2774" s="6">
        <v>44780</v>
      </c>
      <c r="C2774">
        <v>7771</v>
      </c>
      <c r="D2774" t="s">
        <v>6247</v>
      </c>
      <c r="E2774" t="s">
        <v>18</v>
      </c>
      <c r="F2774" t="s">
        <v>30</v>
      </c>
      <c r="G2774">
        <v>45666.48</v>
      </c>
      <c r="H2774">
        <v>29418.1</v>
      </c>
      <c r="I2774" t="s">
        <v>84</v>
      </c>
      <c r="J2774" t="s">
        <v>54</v>
      </c>
      <c r="K2774" t="s">
        <v>80</v>
      </c>
      <c r="L2774" t="s">
        <v>23</v>
      </c>
      <c r="M2774">
        <v>5</v>
      </c>
      <c r="N2774" t="s">
        <v>33</v>
      </c>
      <c r="O2774" t="s">
        <v>25</v>
      </c>
      <c r="P2774" t="s">
        <v>49</v>
      </c>
    </row>
    <row r="2775" spans="1:16" x14ac:dyDescent="0.25">
      <c r="A2775" t="s">
        <v>6248</v>
      </c>
      <c r="B2775" s="6">
        <v>45314</v>
      </c>
      <c r="C2775">
        <v>8543</v>
      </c>
      <c r="D2775" t="s">
        <v>6249</v>
      </c>
      <c r="E2775" t="s">
        <v>18</v>
      </c>
      <c r="F2775" t="s">
        <v>58</v>
      </c>
      <c r="G2775">
        <v>10738.69</v>
      </c>
      <c r="H2775">
        <v>6544.46</v>
      </c>
      <c r="I2775" t="s">
        <v>68</v>
      </c>
      <c r="J2775" t="s">
        <v>41</v>
      </c>
      <c r="K2775" t="s">
        <v>32</v>
      </c>
      <c r="L2775" t="s">
        <v>88</v>
      </c>
      <c r="M2775">
        <v>4</v>
      </c>
      <c r="N2775" t="s">
        <v>24</v>
      </c>
      <c r="O2775" t="s">
        <v>70</v>
      </c>
      <c r="P2775" t="s">
        <v>34</v>
      </c>
    </row>
    <row r="2776" spans="1:16" x14ac:dyDescent="0.25">
      <c r="A2776" t="s">
        <v>6250</v>
      </c>
      <c r="B2776" s="6">
        <v>44615</v>
      </c>
      <c r="C2776">
        <v>9306</v>
      </c>
      <c r="D2776" t="s">
        <v>5048</v>
      </c>
      <c r="E2776" t="s">
        <v>38</v>
      </c>
      <c r="F2776" t="s">
        <v>19</v>
      </c>
      <c r="G2776">
        <v>18807.22</v>
      </c>
      <c r="H2776">
        <v>9981.99</v>
      </c>
      <c r="I2776" t="s">
        <v>84</v>
      </c>
      <c r="J2776" t="s">
        <v>54</v>
      </c>
      <c r="K2776" t="s">
        <v>32</v>
      </c>
      <c r="L2776" t="s">
        <v>43</v>
      </c>
      <c r="M2776">
        <v>1</v>
      </c>
      <c r="N2776" t="s">
        <v>69</v>
      </c>
      <c r="O2776" t="s">
        <v>25</v>
      </c>
      <c r="P2776" t="s">
        <v>49</v>
      </c>
    </row>
    <row r="2777" spans="1:16" x14ac:dyDescent="0.25">
      <c r="A2777" t="s">
        <v>6251</v>
      </c>
      <c r="B2777" s="6">
        <v>45496</v>
      </c>
      <c r="C2777">
        <v>9578</v>
      </c>
      <c r="D2777" t="s">
        <v>6252</v>
      </c>
      <c r="E2777" t="s">
        <v>18</v>
      </c>
      <c r="F2777" t="s">
        <v>39</v>
      </c>
      <c r="G2777">
        <v>53824.56</v>
      </c>
      <c r="H2777">
        <v>25939.45</v>
      </c>
      <c r="I2777" t="s">
        <v>63</v>
      </c>
      <c r="J2777" t="s">
        <v>54</v>
      </c>
      <c r="K2777" t="s">
        <v>22</v>
      </c>
      <c r="L2777" t="s">
        <v>88</v>
      </c>
      <c r="M2777">
        <v>2</v>
      </c>
      <c r="N2777" t="s">
        <v>33</v>
      </c>
      <c r="O2777" t="s">
        <v>25</v>
      </c>
      <c r="P2777" t="s">
        <v>34</v>
      </c>
    </row>
    <row r="2778" spans="1:16" x14ac:dyDescent="0.25">
      <c r="A2778" t="s">
        <v>6253</v>
      </c>
      <c r="B2778" s="6">
        <v>44600</v>
      </c>
      <c r="C2778">
        <v>8366</v>
      </c>
      <c r="D2778" t="s">
        <v>6254</v>
      </c>
      <c r="E2778" t="s">
        <v>18</v>
      </c>
      <c r="F2778" t="s">
        <v>47</v>
      </c>
      <c r="G2778">
        <v>5351.74</v>
      </c>
      <c r="H2778">
        <v>2713.85</v>
      </c>
      <c r="I2778" t="s">
        <v>84</v>
      </c>
      <c r="J2778" t="s">
        <v>54</v>
      </c>
      <c r="K2778" t="s">
        <v>80</v>
      </c>
      <c r="L2778" t="s">
        <v>43</v>
      </c>
      <c r="M2778">
        <v>4</v>
      </c>
      <c r="N2778" t="s">
        <v>33</v>
      </c>
      <c r="O2778" t="s">
        <v>25</v>
      </c>
      <c r="P2778" t="s">
        <v>49</v>
      </c>
    </row>
    <row r="2779" spans="1:16" x14ac:dyDescent="0.25">
      <c r="A2779" t="s">
        <v>6255</v>
      </c>
      <c r="B2779" s="6">
        <v>45608</v>
      </c>
      <c r="C2779">
        <v>6664</v>
      </c>
      <c r="D2779" t="s">
        <v>6256</v>
      </c>
      <c r="E2779" t="s">
        <v>38</v>
      </c>
      <c r="F2779" t="s">
        <v>39</v>
      </c>
      <c r="G2779">
        <v>23241.88</v>
      </c>
      <c r="H2779">
        <v>12925.77</v>
      </c>
      <c r="I2779" t="s">
        <v>63</v>
      </c>
      <c r="J2779" t="s">
        <v>54</v>
      </c>
      <c r="K2779" t="s">
        <v>80</v>
      </c>
      <c r="L2779" t="s">
        <v>43</v>
      </c>
      <c r="M2779">
        <v>5</v>
      </c>
      <c r="N2779" t="s">
        <v>33</v>
      </c>
      <c r="O2779" t="s">
        <v>70</v>
      </c>
      <c r="P2779" t="s">
        <v>34</v>
      </c>
    </row>
    <row r="2780" spans="1:16" x14ac:dyDescent="0.25">
      <c r="A2780" t="s">
        <v>6257</v>
      </c>
      <c r="B2780" s="6">
        <v>44724</v>
      </c>
      <c r="C2780">
        <v>7179</v>
      </c>
      <c r="D2780" t="s">
        <v>3216</v>
      </c>
      <c r="E2780" t="s">
        <v>38</v>
      </c>
      <c r="F2780" t="s">
        <v>39</v>
      </c>
      <c r="G2780">
        <v>27920.66</v>
      </c>
      <c r="H2780">
        <v>16106.88</v>
      </c>
      <c r="I2780" t="s">
        <v>40</v>
      </c>
      <c r="J2780" t="s">
        <v>41</v>
      </c>
      <c r="K2780" t="s">
        <v>80</v>
      </c>
      <c r="L2780" t="s">
        <v>55</v>
      </c>
      <c r="M2780">
        <v>2</v>
      </c>
      <c r="N2780" t="s">
        <v>33</v>
      </c>
      <c r="O2780" t="s">
        <v>25</v>
      </c>
      <c r="P2780" t="s">
        <v>49</v>
      </c>
    </row>
    <row r="2781" spans="1:16" x14ac:dyDescent="0.25">
      <c r="A2781" t="s">
        <v>6258</v>
      </c>
      <c r="B2781" s="6">
        <v>45504</v>
      </c>
      <c r="C2781">
        <v>1919</v>
      </c>
      <c r="D2781" t="s">
        <v>6259</v>
      </c>
      <c r="E2781" t="s">
        <v>38</v>
      </c>
      <c r="F2781" t="s">
        <v>19</v>
      </c>
      <c r="G2781">
        <v>21084.44</v>
      </c>
      <c r="H2781">
        <v>12042.76</v>
      </c>
      <c r="I2781" t="s">
        <v>120</v>
      </c>
      <c r="J2781" t="s">
        <v>21</v>
      </c>
      <c r="K2781" t="s">
        <v>80</v>
      </c>
      <c r="L2781" t="s">
        <v>48</v>
      </c>
      <c r="M2781">
        <v>3</v>
      </c>
      <c r="N2781" t="s">
        <v>33</v>
      </c>
      <c r="O2781" t="s">
        <v>25</v>
      </c>
      <c r="P2781" t="s">
        <v>34</v>
      </c>
    </row>
    <row r="2782" spans="1:16" x14ac:dyDescent="0.25">
      <c r="A2782" t="s">
        <v>6260</v>
      </c>
      <c r="B2782" s="6">
        <v>44465</v>
      </c>
      <c r="C2782">
        <v>6479</v>
      </c>
      <c r="D2782" t="s">
        <v>6261</v>
      </c>
      <c r="E2782" t="s">
        <v>18</v>
      </c>
      <c r="F2782" t="s">
        <v>47</v>
      </c>
      <c r="G2782">
        <v>6787.41</v>
      </c>
      <c r="H2782">
        <v>3226.36</v>
      </c>
      <c r="I2782" t="s">
        <v>20</v>
      </c>
      <c r="J2782" t="s">
        <v>21</v>
      </c>
      <c r="K2782" t="s">
        <v>80</v>
      </c>
      <c r="L2782" t="s">
        <v>55</v>
      </c>
      <c r="M2782">
        <v>3</v>
      </c>
      <c r="N2782" t="s">
        <v>69</v>
      </c>
      <c r="O2782" t="s">
        <v>25</v>
      </c>
      <c r="P2782" t="s">
        <v>34</v>
      </c>
    </row>
    <row r="2783" spans="1:16" x14ac:dyDescent="0.25">
      <c r="A2783" t="s">
        <v>6262</v>
      </c>
      <c r="B2783" s="6">
        <v>45152</v>
      </c>
      <c r="C2783">
        <v>2275</v>
      </c>
      <c r="D2783" t="s">
        <v>6263</v>
      </c>
      <c r="E2783" t="s">
        <v>38</v>
      </c>
      <c r="F2783" t="s">
        <v>58</v>
      </c>
      <c r="G2783">
        <v>44029.25</v>
      </c>
      <c r="H2783">
        <v>28381.89</v>
      </c>
      <c r="I2783" t="s">
        <v>31</v>
      </c>
      <c r="J2783" t="s">
        <v>21</v>
      </c>
      <c r="K2783" t="s">
        <v>22</v>
      </c>
      <c r="L2783" t="s">
        <v>64</v>
      </c>
      <c r="M2783">
        <v>3</v>
      </c>
      <c r="N2783" t="s">
        <v>33</v>
      </c>
      <c r="O2783" t="s">
        <v>25</v>
      </c>
      <c r="P2783" t="s">
        <v>34</v>
      </c>
    </row>
    <row r="2784" spans="1:16" x14ac:dyDescent="0.25">
      <c r="A2784" t="s">
        <v>6264</v>
      </c>
      <c r="B2784" s="6">
        <v>44662</v>
      </c>
      <c r="C2784">
        <v>9139</v>
      </c>
      <c r="D2784" t="s">
        <v>6265</v>
      </c>
      <c r="E2784" t="s">
        <v>18</v>
      </c>
      <c r="F2784" t="s">
        <v>47</v>
      </c>
      <c r="G2784">
        <v>8119.79</v>
      </c>
      <c r="H2784">
        <v>4827.07</v>
      </c>
      <c r="I2784" t="s">
        <v>120</v>
      </c>
      <c r="J2784" t="s">
        <v>21</v>
      </c>
      <c r="K2784" t="s">
        <v>22</v>
      </c>
      <c r="L2784" t="s">
        <v>88</v>
      </c>
      <c r="M2784">
        <v>5</v>
      </c>
      <c r="N2784" t="s">
        <v>24</v>
      </c>
      <c r="O2784" t="s">
        <v>25</v>
      </c>
      <c r="P2784" t="s">
        <v>26</v>
      </c>
    </row>
    <row r="2785" spans="1:16" x14ac:dyDescent="0.25">
      <c r="A2785" t="s">
        <v>6266</v>
      </c>
      <c r="B2785" s="6">
        <v>44702</v>
      </c>
      <c r="C2785">
        <v>5146</v>
      </c>
      <c r="D2785" t="s">
        <v>6267</v>
      </c>
      <c r="E2785" t="s">
        <v>18</v>
      </c>
      <c r="F2785" t="s">
        <v>47</v>
      </c>
      <c r="G2785">
        <v>12049.67</v>
      </c>
      <c r="H2785">
        <v>6222.58</v>
      </c>
      <c r="I2785" t="s">
        <v>20</v>
      </c>
      <c r="J2785" t="s">
        <v>21</v>
      </c>
      <c r="K2785" t="s">
        <v>80</v>
      </c>
      <c r="L2785" t="s">
        <v>88</v>
      </c>
      <c r="M2785">
        <v>4</v>
      </c>
      <c r="N2785" t="s">
        <v>69</v>
      </c>
      <c r="O2785" t="s">
        <v>25</v>
      </c>
      <c r="P2785" t="s">
        <v>49</v>
      </c>
    </row>
    <row r="2786" spans="1:16" x14ac:dyDescent="0.25">
      <c r="A2786" t="s">
        <v>6268</v>
      </c>
      <c r="B2786" s="6">
        <v>44780</v>
      </c>
      <c r="C2786">
        <v>3051</v>
      </c>
      <c r="D2786" t="s">
        <v>6269</v>
      </c>
      <c r="E2786" t="s">
        <v>38</v>
      </c>
      <c r="F2786" t="s">
        <v>30</v>
      </c>
      <c r="G2786">
        <v>77915.990000000005</v>
      </c>
      <c r="H2786">
        <v>45409.26</v>
      </c>
      <c r="I2786" t="s">
        <v>120</v>
      </c>
      <c r="J2786" t="s">
        <v>21</v>
      </c>
      <c r="K2786" t="s">
        <v>42</v>
      </c>
      <c r="L2786" t="s">
        <v>23</v>
      </c>
      <c r="M2786">
        <v>3</v>
      </c>
      <c r="N2786" t="s">
        <v>33</v>
      </c>
      <c r="O2786" t="s">
        <v>70</v>
      </c>
      <c r="P2786" t="s">
        <v>34</v>
      </c>
    </row>
    <row r="2787" spans="1:16" x14ac:dyDescent="0.25">
      <c r="A2787" t="s">
        <v>6270</v>
      </c>
      <c r="B2787" s="6">
        <v>45164</v>
      </c>
      <c r="C2787">
        <v>3216</v>
      </c>
      <c r="D2787" t="s">
        <v>6271</v>
      </c>
      <c r="E2787" t="s">
        <v>38</v>
      </c>
      <c r="F2787" t="s">
        <v>58</v>
      </c>
      <c r="G2787">
        <v>29291.22</v>
      </c>
      <c r="H2787">
        <v>14770.44</v>
      </c>
      <c r="I2787" t="s">
        <v>31</v>
      </c>
      <c r="J2787" t="s">
        <v>21</v>
      </c>
      <c r="K2787" t="s">
        <v>80</v>
      </c>
      <c r="L2787" t="s">
        <v>48</v>
      </c>
      <c r="M2787">
        <v>1</v>
      </c>
      <c r="N2787" t="s">
        <v>33</v>
      </c>
      <c r="O2787" t="s">
        <v>70</v>
      </c>
      <c r="P2787" t="s">
        <v>34</v>
      </c>
    </row>
    <row r="2788" spans="1:16" x14ac:dyDescent="0.25">
      <c r="A2788" t="s">
        <v>6272</v>
      </c>
      <c r="B2788" s="6">
        <v>45411</v>
      </c>
      <c r="C2788">
        <v>7670</v>
      </c>
      <c r="D2788" t="s">
        <v>6273</v>
      </c>
      <c r="E2788" t="s">
        <v>18</v>
      </c>
      <c r="F2788" t="s">
        <v>58</v>
      </c>
      <c r="G2788">
        <v>66890.73</v>
      </c>
      <c r="H2788">
        <v>38343.75</v>
      </c>
      <c r="I2788" t="s">
        <v>84</v>
      </c>
      <c r="J2788" t="s">
        <v>54</v>
      </c>
      <c r="K2788" t="s">
        <v>32</v>
      </c>
      <c r="L2788" t="s">
        <v>43</v>
      </c>
      <c r="M2788">
        <v>5</v>
      </c>
      <c r="N2788" t="s">
        <v>24</v>
      </c>
      <c r="O2788" t="s">
        <v>25</v>
      </c>
      <c r="P2788" t="s">
        <v>34</v>
      </c>
    </row>
    <row r="2789" spans="1:16" x14ac:dyDescent="0.25">
      <c r="A2789" t="s">
        <v>6274</v>
      </c>
      <c r="B2789" s="6">
        <v>45142</v>
      </c>
      <c r="C2789">
        <v>7754</v>
      </c>
      <c r="D2789" t="s">
        <v>6275</v>
      </c>
      <c r="E2789" t="s">
        <v>38</v>
      </c>
      <c r="F2789" t="s">
        <v>30</v>
      </c>
      <c r="G2789">
        <v>96319.19</v>
      </c>
      <c r="H2789">
        <v>44507.09</v>
      </c>
      <c r="I2789" t="s">
        <v>120</v>
      </c>
      <c r="J2789" t="s">
        <v>21</v>
      </c>
      <c r="K2789" t="s">
        <v>42</v>
      </c>
      <c r="L2789" t="s">
        <v>64</v>
      </c>
      <c r="M2789">
        <v>3</v>
      </c>
      <c r="N2789" t="s">
        <v>24</v>
      </c>
      <c r="O2789" t="s">
        <v>70</v>
      </c>
      <c r="P2789" t="s">
        <v>26</v>
      </c>
    </row>
    <row r="2790" spans="1:16" x14ac:dyDescent="0.25">
      <c r="A2790" t="s">
        <v>6276</v>
      </c>
      <c r="B2790" s="6">
        <v>44967</v>
      </c>
      <c r="C2790">
        <v>3636</v>
      </c>
      <c r="D2790" t="s">
        <v>6277</v>
      </c>
      <c r="E2790" t="s">
        <v>38</v>
      </c>
      <c r="F2790" t="s">
        <v>58</v>
      </c>
      <c r="G2790">
        <v>15397.77</v>
      </c>
      <c r="H2790">
        <v>7642.88</v>
      </c>
      <c r="I2790" t="s">
        <v>120</v>
      </c>
      <c r="J2790" t="s">
        <v>21</v>
      </c>
      <c r="K2790" t="s">
        <v>42</v>
      </c>
      <c r="L2790" t="s">
        <v>55</v>
      </c>
      <c r="M2790">
        <v>4</v>
      </c>
      <c r="N2790" t="s">
        <v>33</v>
      </c>
      <c r="O2790" t="s">
        <v>70</v>
      </c>
      <c r="P2790" t="s">
        <v>26</v>
      </c>
    </row>
    <row r="2791" spans="1:16" x14ac:dyDescent="0.25">
      <c r="A2791" t="s">
        <v>6278</v>
      </c>
      <c r="B2791" s="6">
        <v>45617</v>
      </c>
      <c r="C2791">
        <v>8109</v>
      </c>
      <c r="D2791" t="s">
        <v>6279</v>
      </c>
      <c r="E2791" t="s">
        <v>18</v>
      </c>
      <c r="F2791" t="s">
        <v>47</v>
      </c>
      <c r="G2791">
        <v>5680.58</v>
      </c>
      <c r="H2791">
        <v>3446.05</v>
      </c>
      <c r="I2791" t="s">
        <v>59</v>
      </c>
      <c r="J2791" t="s">
        <v>41</v>
      </c>
      <c r="K2791" t="s">
        <v>22</v>
      </c>
      <c r="L2791" t="s">
        <v>55</v>
      </c>
      <c r="M2791">
        <v>1</v>
      </c>
      <c r="N2791" t="s">
        <v>24</v>
      </c>
      <c r="O2791" t="s">
        <v>25</v>
      </c>
      <c r="P2791" t="s">
        <v>34</v>
      </c>
    </row>
    <row r="2792" spans="1:16" x14ac:dyDescent="0.25">
      <c r="A2792" t="s">
        <v>6280</v>
      </c>
      <c r="B2792" s="6">
        <v>44721</v>
      </c>
      <c r="C2792">
        <v>1634</v>
      </c>
      <c r="D2792" t="s">
        <v>5681</v>
      </c>
      <c r="E2792" t="s">
        <v>18</v>
      </c>
      <c r="F2792" t="s">
        <v>47</v>
      </c>
      <c r="G2792">
        <v>2775.81</v>
      </c>
      <c r="H2792">
        <v>1740.48</v>
      </c>
      <c r="I2792" t="s">
        <v>40</v>
      </c>
      <c r="J2792" t="s">
        <v>41</v>
      </c>
      <c r="K2792" t="s">
        <v>42</v>
      </c>
      <c r="L2792" t="s">
        <v>64</v>
      </c>
      <c r="M2792">
        <v>2</v>
      </c>
      <c r="N2792" t="s">
        <v>24</v>
      </c>
      <c r="O2792" t="s">
        <v>70</v>
      </c>
      <c r="P2792" t="s">
        <v>49</v>
      </c>
    </row>
    <row r="2793" spans="1:16" x14ac:dyDescent="0.25">
      <c r="A2793" t="s">
        <v>6281</v>
      </c>
      <c r="B2793" s="6">
        <v>45294</v>
      </c>
      <c r="C2793">
        <v>6157</v>
      </c>
      <c r="D2793" t="s">
        <v>6283</v>
      </c>
      <c r="E2793" t="s">
        <v>18</v>
      </c>
      <c r="F2793" t="s">
        <v>19</v>
      </c>
      <c r="G2793">
        <v>23114.240000000002</v>
      </c>
      <c r="H2793">
        <v>11004.85</v>
      </c>
      <c r="I2793" t="s">
        <v>84</v>
      </c>
      <c r="J2793" t="s">
        <v>54</v>
      </c>
      <c r="K2793" t="s">
        <v>80</v>
      </c>
      <c r="L2793" t="s">
        <v>48</v>
      </c>
      <c r="M2793">
        <v>2</v>
      </c>
      <c r="N2793" t="s">
        <v>33</v>
      </c>
      <c r="O2793" t="s">
        <v>70</v>
      </c>
      <c r="P2793" t="s">
        <v>26</v>
      </c>
    </row>
    <row r="2794" spans="1:16" x14ac:dyDescent="0.25">
      <c r="A2794" t="s">
        <v>6284</v>
      </c>
      <c r="B2794" s="6">
        <v>44766</v>
      </c>
      <c r="C2794">
        <v>2736</v>
      </c>
      <c r="D2794" t="s">
        <v>6285</v>
      </c>
      <c r="E2794" t="s">
        <v>18</v>
      </c>
      <c r="F2794" t="s">
        <v>47</v>
      </c>
      <c r="G2794">
        <v>14242.26</v>
      </c>
      <c r="H2794">
        <v>6577.41</v>
      </c>
      <c r="I2794" t="s">
        <v>53</v>
      </c>
      <c r="J2794" t="s">
        <v>54</v>
      </c>
      <c r="K2794" t="s">
        <v>80</v>
      </c>
      <c r="L2794" t="s">
        <v>55</v>
      </c>
      <c r="M2794">
        <v>1</v>
      </c>
      <c r="N2794" t="s">
        <v>69</v>
      </c>
      <c r="O2794" t="s">
        <v>25</v>
      </c>
      <c r="P2794" t="s">
        <v>49</v>
      </c>
    </row>
    <row r="2795" spans="1:16" x14ac:dyDescent="0.25">
      <c r="A2795" t="s">
        <v>6286</v>
      </c>
      <c r="B2795" s="6">
        <v>44573</v>
      </c>
      <c r="C2795">
        <v>5419</v>
      </c>
      <c r="D2795" t="s">
        <v>2212</v>
      </c>
      <c r="E2795" t="s">
        <v>18</v>
      </c>
      <c r="F2795" t="s">
        <v>19</v>
      </c>
      <c r="G2795">
        <v>4231.18</v>
      </c>
      <c r="H2795">
        <v>2291.9299999999998</v>
      </c>
      <c r="I2795" t="s">
        <v>68</v>
      </c>
      <c r="J2795" t="s">
        <v>41</v>
      </c>
      <c r="K2795" t="s">
        <v>80</v>
      </c>
      <c r="L2795" t="s">
        <v>88</v>
      </c>
      <c r="M2795">
        <v>2</v>
      </c>
      <c r="N2795" t="s">
        <v>33</v>
      </c>
      <c r="O2795" t="s">
        <v>25</v>
      </c>
      <c r="P2795" t="s">
        <v>34</v>
      </c>
    </row>
    <row r="2796" spans="1:16" x14ac:dyDescent="0.25">
      <c r="A2796" t="s">
        <v>6287</v>
      </c>
      <c r="B2796" s="6">
        <v>45636</v>
      </c>
      <c r="C2796">
        <v>6834</v>
      </c>
      <c r="D2796" t="s">
        <v>6288</v>
      </c>
      <c r="E2796" t="s">
        <v>18</v>
      </c>
      <c r="F2796" t="s">
        <v>39</v>
      </c>
      <c r="G2796">
        <v>43703.88</v>
      </c>
      <c r="H2796">
        <v>28172.880000000001</v>
      </c>
      <c r="I2796" t="s">
        <v>120</v>
      </c>
      <c r="J2796" t="s">
        <v>21</v>
      </c>
      <c r="K2796" t="s">
        <v>42</v>
      </c>
      <c r="L2796" t="s">
        <v>64</v>
      </c>
      <c r="M2796">
        <v>4</v>
      </c>
      <c r="N2796" t="s">
        <v>24</v>
      </c>
      <c r="O2796" t="s">
        <v>25</v>
      </c>
      <c r="P2796" t="s">
        <v>26</v>
      </c>
    </row>
    <row r="2797" spans="1:16" x14ac:dyDescent="0.25">
      <c r="A2797" t="s">
        <v>6289</v>
      </c>
      <c r="B2797" s="6">
        <v>44855</v>
      </c>
      <c r="C2797">
        <v>4149</v>
      </c>
      <c r="D2797" t="s">
        <v>6290</v>
      </c>
      <c r="E2797" t="s">
        <v>38</v>
      </c>
      <c r="F2797" t="s">
        <v>58</v>
      </c>
      <c r="G2797">
        <v>15528.29</v>
      </c>
      <c r="H2797">
        <v>8849.59</v>
      </c>
      <c r="I2797" t="s">
        <v>68</v>
      </c>
      <c r="J2797" t="s">
        <v>41</v>
      </c>
      <c r="K2797" t="s">
        <v>80</v>
      </c>
      <c r="L2797" t="s">
        <v>88</v>
      </c>
      <c r="M2797">
        <v>5</v>
      </c>
      <c r="N2797" t="s">
        <v>69</v>
      </c>
      <c r="O2797" t="s">
        <v>25</v>
      </c>
      <c r="P2797" t="s">
        <v>34</v>
      </c>
    </row>
    <row r="2798" spans="1:16" x14ac:dyDescent="0.25">
      <c r="A2798" t="s">
        <v>6291</v>
      </c>
      <c r="B2798" s="6">
        <v>44833</v>
      </c>
      <c r="C2798">
        <v>4742</v>
      </c>
      <c r="D2798" t="s">
        <v>6292</v>
      </c>
      <c r="E2798" t="s">
        <v>18</v>
      </c>
      <c r="F2798" t="s">
        <v>39</v>
      </c>
      <c r="G2798">
        <v>33592.18</v>
      </c>
      <c r="H2798">
        <v>15781.4</v>
      </c>
      <c r="I2798" t="s">
        <v>31</v>
      </c>
      <c r="J2798" t="s">
        <v>21</v>
      </c>
      <c r="K2798" t="s">
        <v>42</v>
      </c>
      <c r="L2798" t="s">
        <v>48</v>
      </c>
      <c r="M2798">
        <v>2</v>
      </c>
      <c r="N2798" t="s">
        <v>33</v>
      </c>
      <c r="O2798" t="s">
        <v>70</v>
      </c>
      <c r="P2798" t="s">
        <v>49</v>
      </c>
    </row>
    <row r="2799" spans="1:16" x14ac:dyDescent="0.25">
      <c r="A2799" t="s">
        <v>6293</v>
      </c>
      <c r="B2799" s="6">
        <v>45287</v>
      </c>
      <c r="C2799">
        <v>5831</v>
      </c>
      <c r="D2799" t="s">
        <v>6294</v>
      </c>
      <c r="E2799" t="s">
        <v>38</v>
      </c>
      <c r="F2799" t="s">
        <v>30</v>
      </c>
      <c r="G2799">
        <v>24659.08</v>
      </c>
      <c r="H2799">
        <v>14922.23</v>
      </c>
      <c r="I2799" t="s">
        <v>68</v>
      </c>
      <c r="J2799" t="s">
        <v>41</v>
      </c>
      <c r="K2799" t="s">
        <v>32</v>
      </c>
      <c r="L2799" t="s">
        <v>43</v>
      </c>
      <c r="M2799">
        <v>3</v>
      </c>
      <c r="N2799" t="s">
        <v>33</v>
      </c>
      <c r="O2799" t="s">
        <v>25</v>
      </c>
      <c r="P2799" t="s">
        <v>34</v>
      </c>
    </row>
    <row r="2800" spans="1:16" x14ac:dyDescent="0.25">
      <c r="A2800" t="s">
        <v>6295</v>
      </c>
      <c r="B2800" s="6">
        <v>45654</v>
      </c>
      <c r="C2800">
        <v>5832</v>
      </c>
      <c r="D2800" t="s">
        <v>3349</v>
      </c>
      <c r="E2800" t="s">
        <v>38</v>
      </c>
      <c r="F2800" t="s">
        <v>19</v>
      </c>
      <c r="G2800">
        <v>16101.4</v>
      </c>
      <c r="H2800">
        <v>7662.59</v>
      </c>
      <c r="I2800" t="s">
        <v>59</v>
      </c>
      <c r="J2800" t="s">
        <v>41</v>
      </c>
      <c r="K2800" t="s">
        <v>80</v>
      </c>
      <c r="L2800" t="s">
        <v>48</v>
      </c>
      <c r="M2800">
        <v>3</v>
      </c>
      <c r="N2800" t="s">
        <v>69</v>
      </c>
      <c r="O2800" t="s">
        <v>25</v>
      </c>
      <c r="P2800" t="s">
        <v>49</v>
      </c>
    </row>
    <row r="2801" spans="1:16" x14ac:dyDescent="0.25">
      <c r="A2801" t="s">
        <v>6296</v>
      </c>
      <c r="B2801" s="6">
        <v>44850</v>
      </c>
      <c r="C2801">
        <v>7718</v>
      </c>
      <c r="D2801" t="s">
        <v>6297</v>
      </c>
      <c r="E2801" t="s">
        <v>38</v>
      </c>
      <c r="F2801" t="s">
        <v>19</v>
      </c>
      <c r="G2801">
        <v>9452.5300000000007</v>
      </c>
      <c r="H2801">
        <v>5751.37</v>
      </c>
      <c r="I2801" t="s">
        <v>68</v>
      </c>
      <c r="J2801" t="s">
        <v>41</v>
      </c>
      <c r="K2801" t="s">
        <v>22</v>
      </c>
      <c r="L2801" t="s">
        <v>55</v>
      </c>
      <c r="M2801">
        <v>1</v>
      </c>
      <c r="N2801" t="s">
        <v>24</v>
      </c>
      <c r="O2801" t="s">
        <v>25</v>
      </c>
      <c r="P2801" t="s">
        <v>34</v>
      </c>
    </row>
    <row r="2802" spans="1:16" x14ac:dyDescent="0.25">
      <c r="A2802" t="s">
        <v>6298</v>
      </c>
      <c r="B2802" s="6">
        <v>44488</v>
      </c>
      <c r="C2802">
        <v>2081</v>
      </c>
      <c r="D2802" t="s">
        <v>6299</v>
      </c>
      <c r="E2802" t="s">
        <v>38</v>
      </c>
      <c r="F2802" t="s">
        <v>30</v>
      </c>
      <c r="G2802">
        <v>59600.639999999999</v>
      </c>
      <c r="H2802">
        <v>28383.43</v>
      </c>
      <c r="I2802" t="s">
        <v>63</v>
      </c>
      <c r="J2802" t="s">
        <v>54</v>
      </c>
      <c r="K2802" t="s">
        <v>32</v>
      </c>
      <c r="L2802" t="s">
        <v>43</v>
      </c>
      <c r="M2802">
        <v>2</v>
      </c>
      <c r="N2802" t="s">
        <v>33</v>
      </c>
      <c r="O2802" t="s">
        <v>25</v>
      </c>
      <c r="P2802" t="s">
        <v>49</v>
      </c>
    </row>
    <row r="2803" spans="1:16" x14ac:dyDescent="0.25">
      <c r="A2803" t="s">
        <v>6300</v>
      </c>
      <c r="B2803" s="6">
        <v>45384</v>
      </c>
      <c r="C2803">
        <v>9449</v>
      </c>
      <c r="D2803" t="s">
        <v>6301</v>
      </c>
      <c r="E2803" t="s">
        <v>18</v>
      </c>
      <c r="F2803" t="s">
        <v>47</v>
      </c>
      <c r="G2803">
        <v>3152.58</v>
      </c>
      <c r="H2803">
        <v>1824.24</v>
      </c>
      <c r="I2803" t="s">
        <v>20</v>
      </c>
      <c r="J2803" t="s">
        <v>21</v>
      </c>
      <c r="K2803" t="s">
        <v>80</v>
      </c>
      <c r="L2803" t="s">
        <v>43</v>
      </c>
      <c r="M2803">
        <v>5</v>
      </c>
      <c r="N2803" t="s">
        <v>24</v>
      </c>
      <c r="O2803" t="s">
        <v>25</v>
      </c>
      <c r="P2803" t="s">
        <v>49</v>
      </c>
    </row>
    <row r="2804" spans="1:16" x14ac:dyDescent="0.25">
      <c r="A2804" t="s">
        <v>6302</v>
      </c>
      <c r="B2804" s="6">
        <v>45485</v>
      </c>
      <c r="C2804">
        <v>2916</v>
      </c>
      <c r="D2804" t="s">
        <v>6303</v>
      </c>
      <c r="E2804" t="s">
        <v>18</v>
      </c>
      <c r="F2804" t="s">
        <v>39</v>
      </c>
      <c r="G2804">
        <v>49748.39</v>
      </c>
      <c r="H2804">
        <v>24605.1</v>
      </c>
      <c r="I2804" t="s">
        <v>20</v>
      </c>
      <c r="J2804" t="s">
        <v>21</v>
      </c>
      <c r="K2804" t="s">
        <v>32</v>
      </c>
      <c r="L2804" t="s">
        <v>88</v>
      </c>
      <c r="M2804">
        <v>3</v>
      </c>
      <c r="N2804" t="s">
        <v>33</v>
      </c>
      <c r="O2804" t="s">
        <v>70</v>
      </c>
      <c r="P2804" t="s">
        <v>49</v>
      </c>
    </row>
    <row r="2805" spans="1:16" x14ac:dyDescent="0.25">
      <c r="A2805" t="s">
        <v>6304</v>
      </c>
      <c r="B2805" s="6">
        <v>44963</v>
      </c>
      <c r="C2805">
        <v>6386</v>
      </c>
      <c r="D2805" t="s">
        <v>6305</v>
      </c>
      <c r="E2805" t="s">
        <v>38</v>
      </c>
      <c r="F2805" t="s">
        <v>39</v>
      </c>
      <c r="G2805">
        <v>20528.12</v>
      </c>
      <c r="H2805">
        <v>13068.02</v>
      </c>
      <c r="I2805" t="s">
        <v>63</v>
      </c>
      <c r="J2805" t="s">
        <v>54</v>
      </c>
      <c r="K2805" t="s">
        <v>42</v>
      </c>
      <c r="L2805" t="s">
        <v>88</v>
      </c>
      <c r="M2805">
        <v>5</v>
      </c>
      <c r="N2805" t="s">
        <v>33</v>
      </c>
      <c r="O2805" t="s">
        <v>25</v>
      </c>
      <c r="P2805" t="s">
        <v>49</v>
      </c>
    </row>
    <row r="2806" spans="1:16" x14ac:dyDescent="0.25">
      <c r="A2806" t="s">
        <v>6306</v>
      </c>
      <c r="B2806" s="6">
        <v>44523</v>
      </c>
      <c r="C2806">
        <v>2169</v>
      </c>
      <c r="D2806" t="s">
        <v>6307</v>
      </c>
      <c r="E2806" t="s">
        <v>18</v>
      </c>
      <c r="F2806" t="s">
        <v>58</v>
      </c>
      <c r="G2806">
        <v>19174</v>
      </c>
      <c r="H2806">
        <v>11072.55</v>
      </c>
      <c r="I2806" t="s">
        <v>20</v>
      </c>
      <c r="J2806" t="s">
        <v>21</v>
      </c>
      <c r="K2806" t="s">
        <v>22</v>
      </c>
      <c r="L2806" t="s">
        <v>48</v>
      </c>
      <c r="M2806">
        <v>5</v>
      </c>
      <c r="N2806" t="s">
        <v>33</v>
      </c>
      <c r="O2806" t="s">
        <v>25</v>
      </c>
      <c r="P2806" t="s">
        <v>34</v>
      </c>
    </row>
    <row r="2807" spans="1:16" x14ac:dyDescent="0.25">
      <c r="A2807" t="s">
        <v>6308</v>
      </c>
      <c r="B2807" s="6">
        <v>45617</v>
      </c>
      <c r="C2807">
        <v>1849</v>
      </c>
      <c r="D2807" t="s">
        <v>6309</v>
      </c>
      <c r="E2807" t="s">
        <v>38</v>
      </c>
      <c r="F2807" t="s">
        <v>30</v>
      </c>
      <c r="G2807">
        <v>15235.77</v>
      </c>
      <c r="H2807">
        <v>9463.65</v>
      </c>
      <c r="I2807" t="s">
        <v>40</v>
      </c>
      <c r="J2807" t="s">
        <v>41</v>
      </c>
      <c r="K2807" t="s">
        <v>80</v>
      </c>
      <c r="L2807" t="s">
        <v>55</v>
      </c>
      <c r="M2807">
        <v>5</v>
      </c>
      <c r="N2807" t="s">
        <v>33</v>
      </c>
      <c r="O2807" t="s">
        <v>70</v>
      </c>
      <c r="P2807" t="s">
        <v>26</v>
      </c>
    </row>
    <row r="2808" spans="1:16" x14ac:dyDescent="0.25">
      <c r="A2808" t="s">
        <v>6310</v>
      </c>
      <c r="B2808" s="6">
        <v>44424</v>
      </c>
      <c r="C2808">
        <v>3937</v>
      </c>
      <c r="D2808" t="s">
        <v>6312</v>
      </c>
      <c r="E2808" t="s">
        <v>38</v>
      </c>
      <c r="F2808" t="s">
        <v>39</v>
      </c>
      <c r="G2808">
        <v>25971.93</v>
      </c>
      <c r="H2808">
        <v>16224.78</v>
      </c>
      <c r="I2808" t="s">
        <v>20</v>
      </c>
      <c r="J2808" t="s">
        <v>21</v>
      </c>
      <c r="K2808" t="s">
        <v>32</v>
      </c>
      <c r="L2808" t="s">
        <v>23</v>
      </c>
      <c r="M2808">
        <v>4</v>
      </c>
      <c r="N2808" t="s">
        <v>33</v>
      </c>
      <c r="O2808" t="s">
        <v>25</v>
      </c>
      <c r="P2808" t="s">
        <v>34</v>
      </c>
    </row>
    <row r="2809" spans="1:16" x14ac:dyDescent="0.25">
      <c r="A2809" t="s">
        <v>6313</v>
      </c>
      <c r="B2809" s="6">
        <v>45173</v>
      </c>
      <c r="C2809">
        <v>4958</v>
      </c>
      <c r="D2809" t="s">
        <v>6314</v>
      </c>
      <c r="E2809" t="s">
        <v>38</v>
      </c>
      <c r="F2809" t="s">
        <v>39</v>
      </c>
      <c r="G2809">
        <v>30981.89</v>
      </c>
      <c r="H2809">
        <v>17146.080000000002</v>
      </c>
      <c r="I2809" t="s">
        <v>20</v>
      </c>
      <c r="J2809" t="s">
        <v>21</v>
      </c>
      <c r="K2809" t="s">
        <v>80</v>
      </c>
      <c r="L2809" t="s">
        <v>48</v>
      </c>
      <c r="M2809">
        <v>3</v>
      </c>
      <c r="N2809" t="s">
        <v>33</v>
      </c>
      <c r="O2809" t="s">
        <v>70</v>
      </c>
      <c r="P2809" t="s">
        <v>26</v>
      </c>
    </row>
    <row r="2810" spans="1:16" x14ac:dyDescent="0.25">
      <c r="A2810" t="s">
        <v>6315</v>
      </c>
      <c r="B2810" s="6">
        <v>45491</v>
      </c>
      <c r="C2810">
        <v>2783</v>
      </c>
      <c r="D2810" t="s">
        <v>6316</v>
      </c>
      <c r="E2810" t="s">
        <v>38</v>
      </c>
      <c r="F2810" t="s">
        <v>30</v>
      </c>
      <c r="G2810">
        <v>48027.81</v>
      </c>
      <c r="H2810">
        <v>24183.98</v>
      </c>
      <c r="I2810" t="s">
        <v>31</v>
      </c>
      <c r="J2810" t="s">
        <v>21</v>
      </c>
      <c r="K2810" t="s">
        <v>32</v>
      </c>
      <c r="L2810" t="s">
        <v>43</v>
      </c>
      <c r="M2810">
        <v>3</v>
      </c>
      <c r="N2810" t="s">
        <v>24</v>
      </c>
      <c r="O2810" t="s">
        <v>70</v>
      </c>
      <c r="P2810" t="s">
        <v>49</v>
      </c>
    </row>
    <row r="2811" spans="1:16" x14ac:dyDescent="0.25">
      <c r="A2811" t="s">
        <v>6317</v>
      </c>
      <c r="B2811" s="6">
        <v>44506</v>
      </c>
      <c r="C2811">
        <v>2648</v>
      </c>
      <c r="D2811" t="s">
        <v>6318</v>
      </c>
      <c r="E2811" t="s">
        <v>38</v>
      </c>
      <c r="F2811" t="s">
        <v>39</v>
      </c>
      <c r="G2811">
        <v>34178.14</v>
      </c>
      <c r="H2811">
        <v>17785.64</v>
      </c>
      <c r="I2811" t="s">
        <v>63</v>
      </c>
      <c r="J2811" t="s">
        <v>54</v>
      </c>
      <c r="K2811" t="s">
        <v>42</v>
      </c>
      <c r="L2811" t="s">
        <v>43</v>
      </c>
      <c r="M2811">
        <v>5</v>
      </c>
      <c r="N2811" t="s">
        <v>33</v>
      </c>
      <c r="O2811" t="s">
        <v>25</v>
      </c>
      <c r="P2811" t="s">
        <v>34</v>
      </c>
    </row>
    <row r="2812" spans="1:16" x14ac:dyDescent="0.25">
      <c r="A2812" t="s">
        <v>6319</v>
      </c>
      <c r="B2812" s="6">
        <v>45342</v>
      </c>
      <c r="C2812">
        <v>6431</v>
      </c>
      <c r="D2812" t="s">
        <v>6320</v>
      </c>
      <c r="E2812" t="s">
        <v>18</v>
      </c>
      <c r="F2812" t="s">
        <v>47</v>
      </c>
      <c r="G2812">
        <v>7370.01</v>
      </c>
      <c r="H2812">
        <v>3618.35</v>
      </c>
      <c r="I2812" t="s">
        <v>84</v>
      </c>
      <c r="J2812" t="s">
        <v>54</v>
      </c>
      <c r="K2812" t="s">
        <v>80</v>
      </c>
      <c r="L2812" t="s">
        <v>43</v>
      </c>
      <c r="M2812">
        <v>2</v>
      </c>
      <c r="N2812" t="s">
        <v>33</v>
      </c>
      <c r="O2812" t="s">
        <v>70</v>
      </c>
      <c r="P2812" t="s">
        <v>49</v>
      </c>
    </row>
    <row r="2813" spans="1:16" x14ac:dyDescent="0.25">
      <c r="A2813" t="s">
        <v>6321</v>
      </c>
      <c r="B2813" s="6">
        <v>44594</v>
      </c>
      <c r="C2813">
        <v>7930</v>
      </c>
      <c r="D2813" t="s">
        <v>924</v>
      </c>
      <c r="E2813" t="s">
        <v>18</v>
      </c>
      <c r="F2813" t="s">
        <v>39</v>
      </c>
      <c r="G2813">
        <v>42431.07</v>
      </c>
      <c r="H2813">
        <v>22314.16</v>
      </c>
      <c r="I2813" t="s">
        <v>53</v>
      </c>
      <c r="J2813" t="s">
        <v>54</v>
      </c>
      <c r="K2813" t="s">
        <v>22</v>
      </c>
      <c r="L2813" t="s">
        <v>23</v>
      </c>
      <c r="M2813">
        <v>1</v>
      </c>
      <c r="N2813" t="s">
        <v>69</v>
      </c>
      <c r="O2813" t="s">
        <v>70</v>
      </c>
      <c r="P2813" t="s">
        <v>26</v>
      </c>
    </row>
    <row r="2814" spans="1:16" x14ac:dyDescent="0.25">
      <c r="A2814" t="s">
        <v>6322</v>
      </c>
      <c r="B2814" s="6">
        <v>45215</v>
      </c>
      <c r="C2814">
        <v>9549</v>
      </c>
      <c r="D2814" t="s">
        <v>6323</v>
      </c>
      <c r="E2814" t="s">
        <v>38</v>
      </c>
      <c r="F2814" t="s">
        <v>30</v>
      </c>
      <c r="G2814">
        <v>22241.85</v>
      </c>
      <c r="H2814">
        <v>10031.07</v>
      </c>
      <c r="I2814" t="s">
        <v>84</v>
      </c>
      <c r="J2814" t="s">
        <v>54</v>
      </c>
      <c r="K2814" t="s">
        <v>22</v>
      </c>
      <c r="L2814" t="s">
        <v>48</v>
      </c>
      <c r="M2814">
        <v>2</v>
      </c>
      <c r="N2814" t="s">
        <v>69</v>
      </c>
      <c r="O2814" t="s">
        <v>25</v>
      </c>
      <c r="P2814" t="s">
        <v>49</v>
      </c>
    </row>
    <row r="2815" spans="1:16" x14ac:dyDescent="0.25">
      <c r="A2815" t="s">
        <v>6324</v>
      </c>
      <c r="B2815" s="6">
        <v>44511</v>
      </c>
      <c r="C2815">
        <v>6421</v>
      </c>
      <c r="D2815" t="s">
        <v>2624</v>
      </c>
      <c r="E2815" t="s">
        <v>18</v>
      </c>
      <c r="F2815" t="s">
        <v>19</v>
      </c>
      <c r="G2815">
        <v>16690.54</v>
      </c>
      <c r="H2815">
        <v>10297.01</v>
      </c>
      <c r="I2815" t="s">
        <v>84</v>
      </c>
      <c r="J2815" t="s">
        <v>54</v>
      </c>
      <c r="K2815" t="s">
        <v>80</v>
      </c>
      <c r="L2815" t="s">
        <v>43</v>
      </c>
      <c r="M2815">
        <v>2</v>
      </c>
      <c r="N2815" t="s">
        <v>33</v>
      </c>
      <c r="O2815" t="s">
        <v>25</v>
      </c>
      <c r="P2815" t="s">
        <v>49</v>
      </c>
    </row>
    <row r="2816" spans="1:16" x14ac:dyDescent="0.25">
      <c r="A2816" t="s">
        <v>6325</v>
      </c>
      <c r="B2816" s="6">
        <v>45546</v>
      </c>
      <c r="C2816">
        <v>7304</v>
      </c>
      <c r="D2816" t="s">
        <v>6326</v>
      </c>
      <c r="E2816" t="s">
        <v>18</v>
      </c>
      <c r="F2816" t="s">
        <v>58</v>
      </c>
      <c r="G2816">
        <v>18278.099999999999</v>
      </c>
      <c r="H2816">
        <v>11554.79</v>
      </c>
      <c r="I2816" t="s">
        <v>31</v>
      </c>
      <c r="J2816" t="s">
        <v>21</v>
      </c>
      <c r="K2816" t="s">
        <v>80</v>
      </c>
      <c r="L2816" t="s">
        <v>88</v>
      </c>
      <c r="M2816">
        <v>2</v>
      </c>
      <c r="N2816" t="s">
        <v>33</v>
      </c>
      <c r="O2816" t="s">
        <v>70</v>
      </c>
      <c r="P2816" t="s">
        <v>34</v>
      </c>
    </row>
    <row r="2817" spans="1:16" x14ac:dyDescent="0.25">
      <c r="A2817" t="s">
        <v>6327</v>
      </c>
      <c r="B2817" s="6">
        <v>44448</v>
      </c>
      <c r="C2817">
        <v>1430</v>
      </c>
      <c r="D2817" t="s">
        <v>6328</v>
      </c>
      <c r="E2817" t="s">
        <v>38</v>
      </c>
      <c r="F2817" t="s">
        <v>19</v>
      </c>
      <c r="G2817">
        <v>8379.2900000000009</v>
      </c>
      <c r="H2817">
        <v>4780.54</v>
      </c>
      <c r="I2817" t="s">
        <v>53</v>
      </c>
      <c r="J2817" t="s">
        <v>54</v>
      </c>
      <c r="K2817" t="s">
        <v>22</v>
      </c>
      <c r="L2817" t="s">
        <v>88</v>
      </c>
      <c r="M2817">
        <v>3</v>
      </c>
      <c r="N2817" t="s">
        <v>33</v>
      </c>
      <c r="O2817" t="s">
        <v>70</v>
      </c>
      <c r="P2817" t="s">
        <v>26</v>
      </c>
    </row>
    <row r="2818" spans="1:16" x14ac:dyDescent="0.25">
      <c r="A2818" t="s">
        <v>6329</v>
      </c>
      <c r="B2818" s="6">
        <v>44909</v>
      </c>
      <c r="C2818">
        <v>7297</v>
      </c>
      <c r="D2818" t="s">
        <v>6330</v>
      </c>
      <c r="E2818" t="s">
        <v>18</v>
      </c>
      <c r="F2818" t="s">
        <v>39</v>
      </c>
      <c r="G2818">
        <v>27888.83</v>
      </c>
      <c r="H2818">
        <v>16282.23</v>
      </c>
      <c r="I2818" t="s">
        <v>31</v>
      </c>
      <c r="J2818" t="s">
        <v>21</v>
      </c>
      <c r="K2818" t="s">
        <v>42</v>
      </c>
      <c r="L2818" t="s">
        <v>55</v>
      </c>
      <c r="M2818">
        <v>5</v>
      </c>
      <c r="N2818" t="s">
        <v>69</v>
      </c>
      <c r="O2818" t="s">
        <v>70</v>
      </c>
      <c r="P2818" t="s">
        <v>26</v>
      </c>
    </row>
    <row r="2819" spans="1:16" x14ac:dyDescent="0.25">
      <c r="A2819" t="s">
        <v>6331</v>
      </c>
      <c r="B2819" s="6">
        <v>44012</v>
      </c>
      <c r="C2819">
        <v>4744</v>
      </c>
      <c r="D2819" t="s">
        <v>6332</v>
      </c>
      <c r="E2819" t="s">
        <v>38</v>
      </c>
      <c r="F2819" t="s">
        <v>47</v>
      </c>
      <c r="G2819">
        <v>6824.46</v>
      </c>
      <c r="H2819">
        <v>3078.57</v>
      </c>
      <c r="I2819" t="s">
        <v>120</v>
      </c>
      <c r="J2819" t="s">
        <v>21</v>
      </c>
      <c r="K2819" t="s">
        <v>80</v>
      </c>
      <c r="L2819" t="s">
        <v>55</v>
      </c>
      <c r="M2819">
        <v>3</v>
      </c>
      <c r="N2819" t="s">
        <v>24</v>
      </c>
      <c r="O2819" t="s">
        <v>70</v>
      </c>
      <c r="P2819" t="s">
        <v>26</v>
      </c>
    </row>
    <row r="2820" spans="1:16" x14ac:dyDescent="0.25">
      <c r="A2820" t="s">
        <v>6333</v>
      </c>
      <c r="B2820" s="6">
        <v>45390</v>
      </c>
      <c r="C2820">
        <v>9704</v>
      </c>
      <c r="D2820" t="s">
        <v>6334</v>
      </c>
      <c r="E2820" t="s">
        <v>38</v>
      </c>
      <c r="F2820" t="s">
        <v>47</v>
      </c>
      <c r="G2820">
        <v>12242.46</v>
      </c>
      <c r="H2820">
        <v>7950.79</v>
      </c>
      <c r="I2820" t="s">
        <v>84</v>
      </c>
      <c r="J2820" t="s">
        <v>54</v>
      </c>
      <c r="K2820" t="s">
        <v>80</v>
      </c>
      <c r="L2820" t="s">
        <v>88</v>
      </c>
      <c r="M2820">
        <v>5</v>
      </c>
      <c r="N2820" t="s">
        <v>33</v>
      </c>
      <c r="O2820" t="s">
        <v>25</v>
      </c>
      <c r="P2820" t="s">
        <v>49</v>
      </c>
    </row>
    <row r="2821" spans="1:16" x14ac:dyDescent="0.25">
      <c r="A2821" t="s">
        <v>6335</v>
      </c>
      <c r="B2821" s="6">
        <v>44039</v>
      </c>
      <c r="C2821">
        <v>8522</v>
      </c>
      <c r="D2821" t="s">
        <v>6337</v>
      </c>
      <c r="E2821" t="s">
        <v>38</v>
      </c>
      <c r="F2821" t="s">
        <v>47</v>
      </c>
      <c r="G2821">
        <v>11207.26</v>
      </c>
      <c r="H2821">
        <v>7214.4</v>
      </c>
      <c r="I2821" t="s">
        <v>53</v>
      </c>
      <c r="J2821" t="s">
        <v>54</v>
      </c>
      <c r="K2821" t="s">
        <v>42</v>
      </c>
      <c r="L2821" t="s">
        <v>55</v>
      </c>
      <c r="M2821">
        <v>3</v>
      </c>
      <c r="N2821" t="s">
        <v>33</v>
      </c>
      <c r="O2821" t="s">
        <v>70</v>
      </c>
      <c r="P2821" t="s">
        <v>26</v>
      </c>
    </row>
    <row r="2822" spans="1:16" x14ac:dyDescent="0.25">
      <c r="A2822" t="s">
        <v>6338</v>
      </c>
      <c r="B2822" s="6">
        <v>44794</v>
      </c>
      <c r="C2822">
        <v>5982</v>
      </c>
      <c r="D2822" t="s">
        <v>6340</v>
      </c>
      <c r="E2822" t="s">
        <v>38</v>
      </c>
      <c r="F2822" t="s">
        <v>39</v>
      </c>
      <c r="G2822">
        <v>23057.62</v>
      </c>
      <c r="H2822">
        <v>14268.78</v>
      </c>
      <c r="I2822" t="s">
        <v>63</v>
      </c>
      <c r="J2822" t="s">
        <v>54</v>
      </c>
      <c r="K2822" t="s">
        <v>80</v>
      </c>
      <c r="L2822" t="s">
        <v>88</v>
      </c>
      <c r="M2822">
        <v>4</v>
      </c>
      <c r="N2822" t="s">
        <v>69</v>
      </c>
      <c r="O2822" t="s">
        <v>70</v>
      </c>
      <c r="P2822" t="s">
        <v>49</v>
      </c>
    </row>
    <row r="2823" spans="1:16" x14ac:dyDescent="0.25">
      <c r="A2823" t="s">
        <v>6341</v>
      </c>
      <c r="B2823" s="6">
        <v>43861</v>
      </c>
      <c r="C2823">
        <v>1044</v>
      </c>
      <c r="D2823" t="s">
        <v>3729</v>
      </c>
      <c r="E2823" t="s">
        <v>38</v>
      </c>
      <c r="F2823" t="s">
        <v>47</v>
      </c>
      <c r="G2823">
        <v>6746.74</v>
      </c>
      <c r="H2823">
        <v>3864.95</v>
      </c>
      <c r="I2823" t="s">
        <v>120</v>
      </c>
      <c r="J2823" t="s">
        <v>21</v>
      </c>
      <c r="K2823" t="s">
        <v>32</v>
      </c>
      <c r="L2823" t="s">
        <v>23</v>
      </c>
      <c r="M2823">
        <v>2</v>
      </c>
      <c r="N2823" t="s">
        <v>33</v>
      </c>
      <c r="O2823" t="s">
        <v>70</v>
      </c>
      <c r="P2823" t="s">
        <v>34</v>
      </c>
    </row>
    <row r="2824" spans="1:16" x14ac:dyDescent="0.25">
      <c r="A2824" t="s">
        <v>6342</v>
      </c>
      <c r="B2824" s="6">
        <v>45617</v>
      </c>
      <c r="C2824">
        <v>7851</v>
      </c>
      <c r="D2824" t="s">
        <v>6343</v>
      </c>
      <c r="E2824" t="s">
        <v>18</v>
      </c>
      <c r="F2824" t="s">
        <v>58</v>
      </c>
      <c r="G2824">
        <v>48743.4</v>
      </c>
      <c r="H2824">
        <v>31203.31</v>
      </c>
      <c r="I2824" t="s">
        <v>20</v>
      </c>
      <c r="J2824" t="s">
        <v>21</v>
      </c>
      <c r="K2824" t="s">
        <v>42</v>
      </c>
      <c r="L2824" t="s">
        <v>23</v>
      </c>
      <c r="M2824">
        <v>4</v>
      </c>
      <c r="N2824" t="s">
        <v>33</v>
      </c>
      <c r="O2824" t="s">
        <v>70</v>
      </c>
      <c r="P2824" t="s">
        <v>26</v>
      </c>
    </row>
    <row r="2825" spans="1:16" x14ac:dyDescent="0.25">
      <c r="A2825" t="s">
        <v>6344</v>
      </c>
      <c r="B2825" s="6">
        <v>45178</v>
      </c>
      <c r="C2825">
        <v>2151</v>
      </c>
      <c r="D2825" t="s">
        <v>466</v>
      </c>
      <c r="E2825" t="s">
        <v>38</v>
      </c>
      <c r="F2825" t="s">
        <v>58</v>
      </c>
      <c r="G2825">
        <v>18644.509999999998</v>
      </c>
      <c r="H2825">
        <v>9144.73</v>
      </c>
      <c r="I2825" t="s">
        <v>53</v>
      </c>
      <c r="J2825" t="s">
        <v>54</v>
      </c>
      <c r="K2825" t="s">
        <v>80</v>
      </c>
      <c r="L2825" t="s">
        <v>55</v>
      </c>
      <c r="M2825">
        <v>3</v>
      </c>
      <c r="N2825" t="s">
        <v>69</v>
      </c>
      <c r="O2825" t="s">
        <v>25</v>
      </c>
      <c r="P2825" t="s">
        <v>26</v>
      </c>
    </row>
    <row r="2826" spans="1:16" x14ac:dyDescent="0.25">
      <c r="A2826" t="s">
        <v>6345</v>
      </c>
      <c r="B2826" s="6">
        <v>44052</v>
      </c>
      <c r="C2826">
        <v>1945</v>
      </c>
      <c r="D2826" t="s">
        <v>6346</v>
      </c>
      <c r="E2826" t="s">
        <v>38</v>
      </c>
      <c r="F2826" t="s">
        <v>39</v>
      </c>
      <c r="G2826">
        <v>23412.55</v>
      </c>
      <c r="H2826">
        <v>11796.15</v>
      </c>
      <c r="I2826" t="s">
        <v>63</v>
      </c>
      <c r="J2826" t="s">
        <v>54</v>
      </c>
      <c r="K2826" t="s">
        <v>22</v>
      </c>
      <c r="L2826" t="s">
        <v>64</v>
      </c>
      <c r="M2826">
        <v>5</v>
      </c>
      <c r="N2826" t="s">
        <v>24</v>
      </c>
      <c r="O2826" t="s">
        <v>70</v>
      </c>
      <c r="P2826" t="s">
        <v>34</v>
      </c>
    </row>
    <row r="2827" spans="1:16" x14ac:dyDescent="0.25">
      <c r="A2827" t="s">
        <v>6347</v>
      </c>
      <c r="B2827" s="6">
        <v>45072</v>
      </c>
      <c r="C2827">
        <v>8260</v>
      </c>
      <c r="D2827" t="s">
        <v>6349</v>
      </c>
      <c r="E2827" t="s">
        <v>18</v>
      </c>
      <c r="F2827" t="s">
        <v>58</v>
      </c>
      <c r="G2827">
        <v>33356.26</v>
      </c>
      <c r="H2827">
        <v>19159.36</v>
      </c>
      <c r="I2827" t="s">
        <v>31</v>
      </c>
      <c r="J2827" t="s">
        <v>21</v>
      </c>
      <c r="K2827" t="s">
        <v>22</v>
      </c>
      <c r="L2827" t="s">
        <v>43</v>
      </c>
      <c r="M2827">
        <v>4</v>
      </c>
      <c r="N2827" t="s">
        <v>33</v>
      </c>
      <c r="O2827" t="s">
        <v>25</v>
      </c>
      <c r="P2827" t="s">
        <v>26</v>
      </c>
    </row>
    <row r="2828" spans="1:16" x14ac:dyDescent="0.25">
      <c r="A2828" t="s">
        <v>6350</v>
      </c>
      <c r="B2828" s="6">
        <v>45404</v>
      </c>
      <c r="C2828">
        <v>9406</v>
      </c>
      <c r="D2828" t="s">
        <v>3639</v>
      </c>
      <c r="E2828" t="s">
        <v>38</v>
      </c>
      <c r="F2828" t="s">
        <v>30</v>
      </c>
      <c r="G2828">
        <v>48278.5</v>
      </c>
      <c r="H2828">
        <v>24727.96</v>
      </c>
      <c r="I2828" t="s">
        <v>68</v>
      </c>
      <c r="J2828" t="s">
        <v>41</v>
      </c>
      <c r="K2828" t="s">
        <v>80</v>
      </c>
      <c r="L2828" t="s">
        <v>64</v>
      </c>
      <c r="M2828">
        <v>5</v>
      </c>
      <c r="N2828" t="s">
        <v>24</v>
      </c>
      <c r="O2828" t="s">
        <v>70</v>
      </c>
      <c r="P2828" t="s">
        <v>26</v>
      </c>
    </row>
    <row r="2829" spans="1:16" x14ac:dyDescent="0.25">
      <c r="A2829" t="s">
        <v>6351</v>
      </c>
      <c r="B2829" s="6">
        <v>45198</v>
      </c>
      <c r="C2829">
        <v>9812</v>
      </c>
      <c r="D2829" t="s">
        <v>6352</v>
      </c>
      <c r="E2829" t="s">
        <v>38</v>
      </c>
      <c r="F2829" t="s">
        <v>30</v>
      </c>
      <c r="G2829">
        <v>116920.48</v>
      </c>
      <c r="H2829">
        <v>63066.71</v>
      </c>
      <c r="I2829" t="s">
        <v>63</v>
      </c>
      <c r="J2829" t="s">
        <v>54</v>
      </c>
      <c r="K2829" t="s">
        <v>42</v>
      </c>
      <c r="L2829" t="s">
        <v>43</v>
      </c>
      <c r="M2829">
        <v>2</v>
      </c>
      <c r="N2829" t="s">
        <v>69</v>
      </c>
      <c r="O2829" t="s">
        <v>25</v>
      </c>
      <c r="P2829" t="s">
        <v>26</v>
      </c>
    </row>
    <row r="2830" spans="1:16" x14ac:dyDescent="0.25">
      <c r="A2830" t="s">
        <v>6353</v>
      </c>
      <c r="B2830" s="6">
        <v>44811</v>
      </c>
      <c r="C2830">
        <v>6815</v>
      </c>
      <c r="D2830" t="s">
        <v>6354</v>
      </c>
      <c r="E2830" t="s">
        <v>18</v>
      </c>
      <c r="F2830" t="s">
        <v>58</v>
      </c>
      <c r="G2830">
        <v>12279.44</v>
      </c>
      <c r="H2830">
        <v>7967.54</v>
      </c>
      <c r="I2830" t="s">
        <v>120</v>
      </c>
      <c r="J2830" t="s">
        <v>21</v>
      </c>
      <c r="K2830" t="s">
        <v>32</v>
      </c>
      <c r="L2830" t="s">
        <v>64</v>
      </c>
      <c r="M2830">
        <v>4</v>
      </c>
      <c r="N2830" t="s">
        <v>69</v>
      </c>
      <c r="O2830" t="s">
        <v>70</v>
      </c>
      <c r="P2830" t="s">
        <v>26</v>
      </c>
    </row>
    <row r="2831" spans="1:16" x14ac:dyDescent="0.25">
      <c r="A2831" t="s">
        <v>6355</v>
      </c>
      <c r="B2831" s="6">
        <v>45559</v>
      </c>
      <c r="C2831">
        <v>5538</v>
      </c>
      <c r="D2831" t="s">
        <v>5499</v>
      </c>
      <c r="E2831" t="s">
        <v>18</v>
      </c>
      <c r="F2831" t="s">
        <v>39</v>
      </c>
      <c r="G2831">
        <v>37017.230000000003</v>
      </c>
      <c r="H2831">
        <v>23367.45</v>
      </c>
      <c r="I2831" t="s">
        <v>53</v>
      </c>
      <c r="J2831" t="s">
        <v>54</v>
      </c>
      <c r="K2831" t="s">
        <v>32</v>
      </c>
      <c r="L2831" t="s">
        <v>88</v>
      </c>
      <c r="M2831">
        <v>4</v>
      </c>
      <c r="N2831" t="s">
        <v>33</v>
      </c>
      <c r="O2831" t="s">
        <v>70</v>
      </c>
      <c r="P2831" t="s">
        <v>26</v>
      </c>
    </row>
    <row r="2832" spans="1:16" x14ac:dyDescent="0.25">
      <c r="A2832" t="s">
        <v>6356</v>
      </c>
      <c r="B2832" s="6">
        <v>45320</v>
      </c>
      <c r="C2832">
        <v>5563</v>
      </c>
      <c r="D2832" t="s">
        <v>1151</v>
      </c>
      <c r="E2832" t="s">
        <v>18</v>
      </c>
      <c r="F2832" t="s">
        <v>58</v>
      </c>
      <c r="G2832">
        <v>40705.85</v>
      </c>
      <c r="H2832">
        <v>24689.07</v>
      </c>
      <c r="I2832" t="s">
        <v>120</v>
      </c>
      <c r="J2832" t="s">
        <v>21</v>
      </c>
      <c r="K2832" t="s">
        <v>22</v>
      </c>
      <c r="L2832" t="s">
        <v>88</v>
      </c>
      <c r="M2832">
        <v>5</v>
      </c>
      <c r="N2832" t="s">
        <v>33</v>
      </c>
      <c r="O2832" t="s">
        <v>25</v>
      </c>
      <c r="P2832" t="s">
        <v>49</v>
      </c>
    </row>
    <row r="2833" spans="1:16" x14ac:dyDescent="0.25">
      <c r="A2833" t="s">
        <v>6357</v>
      </c>
      <c r="B2833" s="6">
        <v>45239</v>
      </c>
      <c r="C2833">
        <v>6973</v>
      </c>
      <c r="D2833" t="s">
        <v>6359</v>
      </c>
      <c r="E2833" t="s">
        <v>18</v>
      </c>
      <c r="F2833" t="s">
        <v>58</v>
      </c>
      <c r="G2833">
        <v>37216.29</v>
      </c>
      <c r="H2833">
        <v>17302.310000000001</v>
      </c>
      <c r="I2833" t="s">
        <v>63</v>
      </c>
      <c r="J2833" t="s">
        <v>54</v>
      </c>
      <c r="K2833" t="s">
        <v>32</v>
      </c>
      <c r="L2833" t="s">
        <v>64</v>
      </c>
      <c r="M2833">
        <v>5</v>
      </c>
      <c r="N2833" t="s">
        <v>69</v>
      </c>
      <c r="O2833" t="s">
        <v>25</v>
      </c>
      <c r="P2833" t="s">
        <v>34</v>
      </c>
    </row>
    <row r="2834" spans="1:16" x14ac:dyDescent="0.25">
      <c r="A2834" t="s">
        <v>6360</v>
      </c>
      <c r="B2834" s="6">
        <v>44868</v>
      </c>
      <c r="C2834">
        <v>1982</v>
      </c>
      <c r="D2834" t="s">
        <v>6361</v>
      </c>
      <c r="E2834" t="s">
        <v>38</v>
      </c>
      <c r="F2834" t="s">
        <v>30</v>
      </c>
      <c r="G2834">
        <v>61811.839999999997</v>
      </c>
      <c r="H2834">
        <v>34569.269999999997</v>
      </c>
      <c r="I2834" t="s">
        <v>120</v>
      </c>
      <c r="J2834" t="s">
        <v>21</v>
      </c>
      <c r="K2834" t="s">
        <v>42</v>
      </c>
      <c r="L2834" t="s">
        <v>55</v>
      </c>
      <c r="M2834">
        <v>5</v>
      </c>
      <c r="N2834" t="s">
        <v>24</v>
      </c>
      <c r="O2834" t="s">
        <v>70</v>
      </c>
      <c r="P2834" t="s">
        <v>26</v>
      </c>
    </row>
    <row r="2835" spans="1:16" x14ac:dyDescent="0.25">
      <c r="A2835" t="s">
        <v>6362</v>
      </c>
      <c r="B2835" s="6">
        <v>45652</v>
      </c>
      <c r="C2835">
        <v>2190</v>
      </c>
      <c r="D2835" t="s">
        <v>6363</v>
      </c>
      <c r="E2835" t="s">
        <v>18</v>
      </c>
      <c r="F2835" t="s">
        <v>47</v>
      </c>
      <c r="G2835">
        <v>9906.48</v>
      </c>
      <c r="H2835">
        <v>6125.86</v>
      </c>
      <c r="I2835" t="s">
        <v>31</v>
      </c>
      <c r="J2835" t="s">
        <v>21</v>
      </c>
      <c r="K2835" t="s">
        <v>22</v>
      </c>
      <c r="L2835" t="s">
        <v>55</v>
      </c>
      <c r="M2835">
        <v>5</v>
      </c>
      <c r="N2835" t="s">
        <v>24</v>
      </c>
      <c r="O2835" t="s">
        <v>70</v>
      </c>
      <c r="P2835" t="s">
        <v>49</v>
      </c>
    </row>
    <row r="2836" spans="1:16" x14ac:dyDescent="0.25">
      <c r="A2836" t="s">
        <v>6364</v>
      </c>
      <c r="B2836" s="6">
        <v>45076</v>
      </c>
      <c r="C2836">
        <v>2322</v>
      </c>
      <c r="D2836" t="s">
        <v>6365</v>
      </c>
      <c r="E2836" t="s">
        <v>38</v>
      </c>
      <c r="F2836" t="s">
        <v>47</v>
      </c>
      <c r="G2836">
        <v>18914.28</v>
      </c>
      <c r="H2836">
        <v>10125.35</v>
      </c>
      <c r="I2836" t="s">
        <v>53</v>
      </c>
      <c r="J2836" t="s">
        <v>54</v>
      </c>
      <c r="K2836" t="s">
        <v>80</v>
      </c>
      <c r="L2836" t="s">
        <v>55</v>
      </c>
      <c r="M2836">
        <v>1</v>
      </c>
      <c r="N2836" t="s">
        <v>24</v>
      </c>
      <c r="O2836" t="s">
        <v>25</v>
      </c>
      <c r="P2836" t="s">
        <v>26</v>
      </c>
    </row>
    <row r="2837" spans="1:16" x14ac:dyDescent="0.25">
      <c r="A2837" t="s">
        <v>6366</v>
      </c>
      <c r="B2837" s="6">
        <v>44071</v>
      </c>
      <c r="C2837">
        <v>1488</v>
      </c>
      <c r="D2837" t="s">
        <v>6367</v>
      </c>
      <c r="E2837" t="s">
        <v>38</v>
      </c>
      <c r="F2837" t="s">
        <v>58</v>
      </c>
      <c r="G2837">
        <v>19909.150000000001</v>
      </c>
      <c r="H2837">
        <v>11921.75</v>
      </c>
      <c r="I2837" t="s">
        <v>59</v>
      </c>
      <c r="J2837" t="s">
        <v>41</v>
      </c>
      <c r="K2837" t="s">
        <v>42</v>
      </c>
      <c r="L2837" t="s">
        <v>43</v>
      </c>
      <c r="M2837">
        <v>2</v>
      </c>
      <c r="N2837" t="s">
        <v>33</v>
      </c>
      <c r="O2837" t="s">
        <v>70</v>
      </c>
      <c r="P2837" t="s">
        <v>34</v>
      </c>
    </row>
    <row r="2838" spans="1:16" x14ac:dyDescent="0.25">
      <c r="A2838" t="s">
        <v>6368</v>
      </c>
      <c r="B2838" s="6">
        <v>45286</v>
      </c>
      <c r="C2838">
        <v>8932</v>
      </c>
      <c r="D2838" t="s">
        <v>4942</v>
      </c>
      <c r="E2838" t="s">
        <v>18</v>
      </c>
      <c r="F2838" t="s">
        <v>30</v>
      </c>
      <c r="G2838">
        <v>37714.97</v>
      </c>
      <c r="H2838">
        <v>17022.75</v>
      </c>
      <c r="I2838" t="s">
        <v>120</v>
      </c>
      <c r="J2838" t="s">
        <v>21</v>
      </c>
      <c r="K2838" t="s">
        <v>32</v>
      </c>
      <c r="L2838" t="s">
        <v>55</v>
      </c>
      <c r="M2838">
        <v>2</v>
      </c>
      <c r="N2838" t="s">
        <v>33</v>
      </c>
      <c r="O2838" t="s">
        <v>25</v>
      </c>
      <c r="P2838" t="s">
        <v>49</v>
      </c>
    </row>
    <row r="2839" spans="1:16" x14ac:dyDescent="0.25">
      <c r="A2839" t="s">
        <v>6370</v>
      </c>
      <c r="B2839" s="6">
        <v>45238</v>
      </c>
      <c r="C2839">
        <v>3917</v>
      </c>
      <c r="D2839" t="s">
        <v>3395</v>
      </c>
      <c r="E2839" t="s">
        <v>18</v>
      </c>
      <c r="F2839" t="s">
        <v>30</v>
      </c>
      <c r="G2839">
        <v>53558.62</v>
      </c>
      <c r="H2839">
        <v>30643.81</v>
      </c>
      <c r="I2839" t="s">
        <v>68</v>
      </c>
      <c r="J2839" t="s">
        <v>41</v>
      </c>
      <c r="K2839" t="s">
        <v>80</v>
      </c>
      <c r="L2839" t="s">
        <v>64</v>
      </c>
      <c r="M2839">
        <v>3</v>
      </c>
      <c r="N2839" t="s">
        <v>24</v>
      </c>
      <c r="O2839" t="s">
        <v>25</v>
      </c>
      <c r="P2839" t="s">
        <v>34</v>
      </c>
    </row>
    <row r="2840" spans="1:16" x14ac:dyDescent="0.25">
      <c r="A2840" t="s">
        <v>6371</v>
      </c>
      <c r="B2840" s="6">
        <v>45384</v>
      </c>
      <c r="C2840">
        <v>2233</v>
      </c>
      <c r="D2840" t="s">
        <v>6372</v>
      </c>
      <c r="E2840" t="s">
        <v>18</v>
      </c>
      <c r="F2840" t="s">
        <v>47</v>
      </c>
      <c r="G2840">
        <v>4417.97</v>
      </c>
      <c r="H2840">
        <v>2108.5100000000002</v>
      </c>
      <c r="I2840" t="s">
        <v>120</v>
      </c>
      <c r="J2840" t="s">
        <v>21</v>
      </c>
      <c r="K2840" t="s">
        <v>80</v>
      </c>
      <c r="L2840" t="s">
        <v>23</v>
      </c>
      <c r="M2840">
        <v>2</v>
      </c>
      <c r="N2840" t="s">
        <v>33</v>
      </c>
      <c r="O2840" t="s">
        <v>70</v>
      </c>
      <c r="P2840" t="s">
        <v>26</v>
      </c>
    </row>
    <row r="2841" spans="1:16" x14ac:dyDescent="0.25">
      <c r="A2841" t="s">
        <v>6373</v>
      </c>
      <c r="B2841" s="6">
        <v>45169</v>
      </c>
      <c r="C2841">
        <v>9708</v>
      </c>
      <c r="D2841" t="s">
        <v>4790</v>
      </c>
      <c r="E2841" t="s">
        <v>38</v>
      </c>
      <c r="F2841" t="s">
        <v>47</v>
      </c>
      <c r="G2841">
        <v>8379.7800000000007</v>
      </c>
      <c r="H2841">
        <v>5196.0200000000004</v>
      </c>
      <c r="I2841" t="s">
        <v>59</v>
      </c>
      <c r="J2841" t="s">
        <v>41</v>
      </c>
      <c r="K2841" t="s">
        <v>32</v>
      </c>
      <c r="L2841" t="s">
        <v>64</v>
      </c>
      <c r="M2841">
        <v>5</v>
      </c>
      <c r="N2841" t="s">
        <v>33</v>
      </c>
      <c r="O2841" t="s">
        <v>70</v>
      </c>
      <c r="P2841" t="s">
        <v>49</v>
      </c>
    </row>
    <row r="2842" spans="1:16" x14ac:dyDescent="0.25">
      <c r="A2842" t="s">
        <v>6374</v>
      </c>
      <c r="B2842" s="6">
        <v>45058</v>
      </c>
      <c r="C2842">
        <v>3979</v>
      </c>
      <c r="D2842" t="s">
        <v>6375</v>
      </c>
      <c r="E2842" t="s">
        <v>18</v>
      </c>
      <c r="F2842" t="s">
        <v>39</v>
      </c>
      <c r="G2842">
        <v>20637.04</v>
      </c>
      <c r="H2842">
        <v>11901.75</v>
      </c>
      <c r="I2842" t="s">
        <v>53</v>
      </c>
      <c r="J2842" t="s">
        <v>54</v>
      </c>
      <c r="K2842" t="s">
        <v>22</v>
      </c>
      <c r="L2842" t="s">
        <v>55</v>
      </c>
      <c r="M2842">
        <v>3</v>
      </c>
      <c r="N2842" t="s">
        <v>24</v>
      </c>
      <c r="O2842" t="s">
        <v>25</v>
      </c>
      <c r="P2842" t="s">
        <v>34</v>
      </c>
    </row>
    <row r="2843" spans="1:16" x14ac:dyDescent="0.25">
      <c r="A2843" t="s">
        <v>6376</v>
      </c>
      <c r="B2843" s="6">
        <v>44614</v>
      </c>
      <c r="C2843">
        <v>9940</v>
      </c>
      <c r="D2843" t="s">
        <v>6377</v>
      </c>
      <c r="E2843" t="s">
        <v>38</v>
      </c>
      <c r="F2843" t="s">
        <v>19</v>
      </c>
      <c r="G2843">
        <v>17748.73</v>
      </c>
      <c r="H2843">
        <v>10847.97</v>
      </c>
      <c r="I2843" t="s">
        <v>20</v>
      </c>
      <c r="J2843" t="s">
        <v>21</v>
      </c>
      <c r="K2843" t="s">
        <v>32</v>
      </c>
      <c r="L2843" t="s">
        <v>23</v>
      </c>
      <c r="M2843">
        <v>2</v>
      </c>
      <c r="N2843" t="s">
        <v>24</v>
      </c>
      <c r="O2843" t="s">
        <v>25</v>
      </c>
      <c r="P2843" t="s">
        <v>26</v>
      </c>
    </row>
    <row r="2844" spans="1:16" x14ac:dyDescent="0.25">
      <c r="A2844" t="s">
        <v>6378</v>
      </c>
      <c r="B2844" s="6">
        <v>44647</v>
      </c>
      <c r="C2844">
        <v>3451</v>
      </c>
      <c r="D2844" t="s">
        <v>6058</v>
      </c>
      <c r="E2844" t="s">
        <v>18</v>
      </c>
      <c r="F2844" t="s">
        <v>58</v>
      </c>
      <c r="G2844">
        <v>13446.67</v>
      </c>
      <c r="H2844">
        <v>6682.26</v>
      </c>
      <c r="I2844" t="s">
        <v>20</v>
      </c>
      <c r="J2844" t="s">
        <v>21</v>
      </c>
      <c r="K2844" t="s">
        <v>32</v>
      </c>
      <c r="L2844" t="s">
        <v>55</v>
      </c>
      <c r="M2844">
        <v>2</v>
      </c>
      <c r="N2844" t="s">
        <v>24</v>
      </c>
      <c r="O2844" t="s">
        <v>70</v>
      </c>
      <c r="P2844" t="s">
        <v>34</v>
      </c>
    </row>
    <row r="2845" spans="1:16" x14ac:dyDescent="0.25">
      <c r="A2845" t="s">
        <v>6379</v>
      </c>
      <c r="B2845" s="6">
        <v>44844</v>
      </c>
      <c r="C2845">
        <v>9041</v>
      </c>
      <c r="D2845" t="s">
        <v>6380</v>
      </c>
      <c r="E2845" t="s">
        <v>18</v>
      </c>
      <c r="F2845" t="s">
        <v>39</v>
      </c>
      <c r="G2845">
        <v>36253.83</v>
      </c>
      <c r="H2845">
        <v>19024.46</v>
      </c>
      <c r="I2845" t="s">
        <v>120</v>
      </c>
      <c r="J2845" t="s">
        <v>21</v>
      </c>
      <c r="K2845" t="s">
        <v>22</v>
      </c>
      <c r="L2845" t="s">
        <v>64</v>
      </c>
      <c r="M2845">
        <v>3</v>
      </c>
      <c r="N2845" t="s">
        <v>69</v>
      </c>
      <c r="O2845" t="s">
        <v>25</v>
      </c>
      <c r="P2845" t="s">
        <v>34</v>
      </c>
    </row>
    <row r="2846" spans="1:16" x14ac:dyDescent="0.25">
      <c r="A2846" t="s">
        <v>6381</v>
      </c>
      <c r="B2846" s="6">
        <v>44827</v>
      </c>
      <c r="C2846">
        <v>5794</v>
      </c>
      <c r="D2846" t="s">
        <v>6382</v>
      </c>
      <c r="E2846" t="s">
        <v>18</v>
      </c>
      <c r="F2846" t="s">
        <v>47</v>
      </c>
      <c r="G2846">
        <v>8448.2000000000007</v>
      </c>
      <c r="H2846">
        <v>4948.5200000000004</v>
      </c>
      <c r="I2846" t="s">
        <v>20</v>
      </c>
      <c r="J2846" t="s">
        <v>21</v>
      </c>
      <c r="K2846" t="s">
        <v>32</v>
      </c>
      <c r="L2846" t="s">
        <v>43</v>
      </c>
      <c r="M2846">
        <v>4</v>
      </c>
      <c r="N2846" t="s">
        <v>33</v>
      </c>
      <c r="O2846" t="s">
        <v>70</v>
      </c>
      <c r="P2846" t="s">
        <v>49</v>
      </c>
    </row>
    <row r="2847" spans="1:16" x14ac:dyDescent="0.25">
      <c r="A2847" t="s">
        <v>6383</v>
      </c>
      <c r="B2847" s="6">
        <v>45523</v>
      </c>
      <c r="C2847">
        <v>8008</v>
      </c>
      <c r="D2847" t="s">
        <v>6384</v>
      </c>
      <c r="E2847" t="s">
        <v>18</v>
      </c>
      <c r="F2847" t="s">
        <v>30</v>
      </c>
      <c r="G2847">
        <v>86989</v>
      </c>
      <c r="H2847">
        <v>45429.16</v>
      </c>
      <c r="I2847" t="s">
        <v>63</v>
      </c>
      <c r="J2847" t="s">
        <v>54</v>
      </c>
      <c r="K2847" t="s">
        <v>80</v>
      </c>
      <c r="L2847" t="s">
        <v>48</v>
      </c>
      <c r="M2847">
        <v>2</v>
      </c>
      <c r="N2847" t="s">
        <v>33</v>
      </c>
      <c r="O2847" t="s">
        <v>25</v>
      </c>
      <c r="P2847" t="s">
        <v>34</v>
      </c>
    </row>
    <row r="2848" spans="1:16" x14ac:dyDescent="0.25">
      <c r="A2848" t="s">
        <v>6385</v>
      </c>
      <c r="B2848" s="6">
        <v>44270</v>
      </c>
      <c r="C2848">
        <v>2354</v>
      </c>
      <c r="D2848" t="s">
        <v>6387</v>
      </c>
      <c r="E2848" t="s">
        <v>38</v>
      </c>
      <c r="F2848" t="s">
        <v>47</v>
      </c>
      <c r="G2848">
        <v>15218.62</v>
      </c>
      <c r="H2848">
        <v>7984.53</v>
      </c>
      <c r="I2848" t="s">
        <v>63</v>
      </c>
      <c r="J2848" t="s">
        <v>54</v>
      </c>
      <c r="K2848" t="s">
        <v>22</v>
      </c>
      <c r="L2848" t="s">
        <v>55</v>
      </c>
      <c r="M2848">
        <v>1</v>
      </c>
      <c r="N2848" t="s">
        <v>33</v>
      </c>
      <c r="O2848" t="s">
        <v>70</v>
      </c>
      <c r="P2848" t="s">
        <v>49</v>
      </c>
    </row>
    <row r="2849" spans="1:16" x14ac:dyDescent="0.25">
      <c r="A2849" t="s">
        <v>6388</v>
      </c>
      <c r="B2849" s="6">
        <v>45445</v>
      </c>
      <c r="C2849">
        <v>5679</v>
      </c>
      <c r="D2849" t="s">
        <v>6389</v>
      </c>
      <c r="E2849" t="s">
        <v>38</v>
      </c>
      <c r="F2849" t="s">
        <v>58</v>
      </c>
      <c r="G2849">
        <v>24038.98</v>
      </c>
      <c r="H2849">
        <v>12440.02</v>
      </c>
      <c r="I2849" t="s">
        <v>40</v>
      </c>
      <c r="J2849" t="s">
        <v>41</v>
      </c>
      <c r="K2849" t="s">
        <v>80</v>
      </c>
      <c r="L2849" t="s">
        <v>48</v>
      </c>
      <c r="M2849">
        <v>5</v>
      </c>
      <c r="N2849" t="s">
        <v>24</v>
      </c>
      <c r="O2849" t="s">
        <v>70</v>
      </c>
      <c r="P2849" t="s">
        <v>26</v>
      </c>
    </row>
    <row r="2850" spans="1:16" x14ac:dyDescent="0.25">
      <c r="A2850" t="s">
        <v>6390</v>
      </c>
      <c r="B2850" s="6">
        <v>44864</v>
      </c>
      <c r="C2850">
        <v>9800</v>
      </c>
      <c r="D2850" t="s">
        <v>6391</v>
      </c>
      <c r="E2850" t="s">
        <v>38</v>
      </c>
      <c r="F2850" t="s">
        <v>39</v>
      </c>
      <c r="G2850">
        <v>7260.75</v>
      </c>
      <c r="H2850">
        <v>3312.39</v>
      </c>
      <c r="I2850" t="s">
        <v>20</v>
      </c>
      <c r="J2850" t="s">
        <v>21</v>
      </c>
      <c r="K2850" t="s">
        <v>42</v>
      </c>
      <c r="L2850" t="s">
        <v>23</v>
      </c>
      <c r="M2850">
        <v>5</v>
      </c>
      <c r="N2850" t="s">
        <v>33</v>
      </c>
      <c r="O2850" t="s">
        <v>70</v>
      </c>
      <c r="P2850" t="s">
        <v>49</v>
      </c>
    </row>
    <row r="2851" spans="1:16" x14ac:dyDescent="0.25">
      <c r="A2851" t="s">
        <v>6392</v>
      </c>
      <c r="B2851" s="6">
        <v>45627</v>
      </c>
      <c r="C2851">
        <v>7395</v>
      </c>
      <c r="D2851" t="s">
        <v>6393</v>
      </c>
      <c r="E2851" t="s">
        <v>38</v>
      </c>
      <c r="F2851" t="s">
        <v>19</v>
      </c>
      <c r="G2851">
        <v>12583.83</v>
      </c>
      <c r="H2851">
        <v>7544.64</v>
      </c>
      <c r="I2851" t="s">
        <v>20</v>
      </c>
      <c r="J2851" t="s">
        <v>21</v>
      </c>
      <c r="K2851" t="s">
        <v>32</v>
      </c>
      <c r="L2851" t="s">
        <v>48</v>
      </c>
      <c r="M2851">
        <v>4</v>
      </c>
      <c r="N2851" t="s">
        <v>24</v>
      </c>
      <c r="O2851" t="s">
        <v>25</v>
      </c>
      <c r="P2851" t="s">
        <v>34</v>
      </c>
    </row>
    <row r="2852" spans="1:16" x14ac:dyDescent="0.25">
      <c r="A2852" t="s">
        <v>6394</v>
      </c>
      <c r="B2852" s="6">
        <v>45371</v>
      </c>
      <c r="C2852">
        <v>3509</v>
      </c>
      <c r="D2852" t="s">
        <v>6395</v>
      </c>
      <c r="E2852" t="s">
        <v>18</v>
      </c>
      <c r="F2852" t="s">
        <v>19</v>
      </c>
      <c r="G2852">
        <v>17030.939999999999</v>
      </c>
      <c r="H2852">
        <v>10650.37</v>
      </c>
      <c r="I2852" t="s">
        <v>63</v>
      </c>
      <c r="J2852" t="s">
        <v>54</v>
      </c>
      <c r="K2852" t="s">
        <v>32</v>
      </c>
      <c r="L2852" t="s">
        <v>88</v>
      </c>
      <c r="M2852">
        <v>4</v>
      </c>
      <c r="N2852" t="s">
        <v>69</v>
      </c>
      <c r="O2852" t="s">
        <v>70</v>
      </c>
      <c r="P2852" t="s">
        <v>26</v>
      </c>
    </row>
    <row r="2853" spans="1:16" x14ac:dyDescent="0.25">
      <c r="A2853" t="s">
        <v>6396</v>
      </c>
      <c r="B2853" s="6">
        <v>44462</v>
      </c>
      <c r="C2853">
        <v>8332</v>
      </c>
      <c r="D2853" t="s">
        <v>5297</v>
      </c>
      <c r="E2853" t="s">
        <v>18</v>
      </c>
      <c r="F2853" t="s">
        <v>19</v>
      </c>
      <c r="G2853">
        <v>9864.69</v>
      </c>
      <c r="H2853">
        <v>6180.01</v>
      </c>
      <c r="I2853" t="s">
        <v>31</v>
      </c>
      <c r="J2853" t="s">
        <v>21</v>
      </c>
      <c r="K2853" t="s">
        <v>80</v>
      </c>
      <c r="L2853" t="s">
        <v>55</v>
      </c>
      <c r="M2853">
        <v>4</v>
      </c>
      <c r="N2853" t="s">
        <v>24</v>
      </c>
      <c r="O2853" t="s">
        <v>70</v>
      </c>
      <c r="P2853" t="s">
        <v>26</v>
      </c>
    </row>
    <row r="2854" spans="1:16" x14ac:dyDescent="0.25">
      <c r="A2854" t="s">
        <v>6397</v>
      </c>
      <c r="B2854" s="6">
        <v>44027</v>
      </c>
      <c r="C2854">
        <v>9671</v>
      </c>
      <c r="D2854" t="s">
        <v>6398</v>
      </c>
      <c r="E2854" t="s">
        <v>18</v>
      </c>
      <c r="F2854" t="s">
        <v>39</v>
      </c>
      <c r="G2854">
        <v>18087.810000000001</v>
      </c>
      <c r="H2854">
        <v>8689.25</v>
      </c>
      <c r="I2854" t="s">
        <v>120</v>
      </c>
      <c r="J2854" t="s">
        <v>21</v>
      </c>
      <c r="K2854" t="s">
        <v>32</v>
      </c>
      <c r="L2854" t="s">
        <v>55</v>
      </c>
      <c r="M2854">
        <v>4</v>
      </c>
      <c r="N2854" t="s">
        <v>33</v>
      </c>
      <c r="O2854" t="s">
        <v>25</v>
      </c>
      <c r="P2854" t="s">
        <v>49</v>
      </c>
    </row>
    <row r="2855" spans="1:16" x14ac:dyDescent="0.25">
      <c r="A2855" t="s">
        <v>6399</v>
      </c>
      <c r="B2855" s="6">
        <v>45118</v>
      </c>
      <c r="C2855">
        <v>2733</v>
      </c>
      <c r="D2855" t="s">
        <v>6400</v>
      </c>
      <c r="E2855" t="s">
        <v>18</v>
      </c>
      <c r="F2855" t="s">
        <v>19</v>
      </c>
      <c r="G2855">
        <v>9741.7800000000007</v>
      </c>
      <c r="H2855">
        <v>5652.04</v>
      </c>
      <c r="I2855" t="s">
        <v>53</v>
      </c>
      <c r="J2855" t="s">
        <v>54</v>
      </c>
      <c r="K2855" t="s">
        <v>22</v>
      </c>
      <c r="L2855" t="s">
        <v>88</v>
      </c>
      <c r="M2855">
        <v>4</v>
      </c>
      <c r="N2855" t="s">
        <v>24</v>
      </c>
      <c r="O2855" t="s">
        <v>70</v>
      </c>
      <c r="P2855" t="s">
        <v>49</v>
      </c>
    </row>
    <row r="2856" spans="1:16" x14ac:dyDescent="0.25">
      <c r="A2856" t="s">
        <v>6401</v>
      </c>
      <c r="B2856" s="6">
        <v>44128</v>
      </c>
      <c r="C2856">
        <v>5916</v>
      </c>
      <c r="D2856" t="s">
        <v>680</v>
      </c>
      <c r="E2856" t="s">
        <v>18</v>
      </c>
      <c r="F2856" t="s">
        <v>39</v>
      </c>
      <c r="G2856">
        <v>8719.24</v>
      </c>
      <c r="H2856">
        <v>4480.13</v>
      </c>
      <c r="I2856" t="s">
        <v>20</v>
      </c>
      <c r="J2856" t="s">
        <v>21</v>
      </c>
      <c r="K2856" t="s">
        <v>22</v>
      </c>
      <c r="L2856" t="s">
        <v>48</v>
      </c>
      <c r="M2856">
        <v>5</v>
      </c>
      <c r="N2856" t="s">
        <v>69</v>
      </c>
      <c r="O2856" t="s">
        <v>70</v>
      </c>
      <c r="P2856" t="s">
        <v>49</v>
      </c>
    </row>
    <row r="2857" spans="1:16" x14ac:dyDescent="0.25">
      <c r="A2857" t="s">
        <v>6402</v>
      </c>
      <c r="B2857" s="6">
        <v>43832</v>
      </c>
      <c r="C2857">
        <v>2629</v>
      </c>
      <c r="D2857" t="s">
        <v>6404</v>
      </c>
      <c r="E2857" t="s">
        <v>38</v>
      </c>
      <c r="F2857" t="s">
        <v>30</v>
      </c>
      <c r="G2857">
        <v>31216.65</v>
      </c>
      <c r="H2857">
        <v>15136.45</v>
      </c>
      <c r="I2857" t="s">
        <v>68</v>
      </c>
      <c r="J2857" t="s">
        <v>41</v>
      </c>
      <c r="K2857" t="s">
        <v>32</v>
      </c>
      <c r="L2857" t="s">
        <v>48</v>
      </c>
      <c r="M2857">
        <v>4</v>
      </c>
      <c r="N2857" t="s">
        <v>33</v>
      </c>
      <c r="O2857" t="s">
        <v>70</v>
      </c>
      <c r="P2857" t="s">
        <v>34</v>
      </c>
    </row>
    <row r="2858" spans="1:16" x14ac:dyDescent="0.25">
      <c r="A2858" t="s">
        <v>6405</v>
      </c>
      <c r="B2858" s="6">
        <v>45631</v>
      </c>
      <c r="C2858">
        <v>5689</v>
      </c>
      <c r="D2858" t="s">
        <v>6406</v>
      </c>
      <c r="E2858" t="s">
        <v>38</v>
      </c>
      <c r="F2858" t="s">
        <v>19</v>
      </c>
      <c r="G2858">
        <v>18549.71</v>
      </c>
      <c r="H2858">
        <v>9356.4599999999991</v>
      </c>
      <c r="I2858" t="s">
        <v>31</v>
      </c>
      <c r="J2858" t="s">
        <v>21</v>
      </c>
      <c r="K2858" t="s">
        <v>80</v>
      </c>
      <c r="L2858" t="s">
        <v>23</v>
      </c>
      <c r="M2858">
        <v>1</v>
      </c>
      <c r="N2858" t="s">
        <v>69</v>
      </c>
      <c r="O2858" t="s">
        <v>25</v>
      </c>
      <c r="P2858" t="s">
        <v>49</v>
      </c>
    </row>
    <row r="2859" spans="1:16" x14ac:dyDescent="0.25">
      <c r="A2859" t="s">
        <v>6407</v>
      </c>
      <c r="B2859" s="6">
        <v>44483</v>
      </c>
      <c r="C2859">
        <v>2190</v>
      </c>
      <c r="D2859" t="s">
        <v>6409</v>
      </c>
      <c r="E2859" t="s">
        <v>18</v>
      </c>
      <c r="F2859" t="s">
        <v>47</v>
      </c>
      <c r="G2859">
        <v>9391.9599999999991</v>
      </c>
      <c r="H2859">
        <v>5173.66</v>
      </c>
      <c r="I2859" t="s">
        <v>120</v>
      </c>
      <c r="J2859" t="s">
        <v>21</v>
      </c>
      <c r="K2859" t="s">
        <v>42</v>
      </c>
      <c r="L2859" t="s">
        <v>23</v>
      </c>
      <c r="M2859">
        <v>5</v>
      </c>
      <c r="N2859" t="s">
        <v>69</v>
      </c>
      <c r="O2859" t="s">
        <v>70</v>
      </c>
      <c r="P2859" t="s">
        <v>26</v>
      </c>
    </row>
    <row r="2860" spans="1:16" x14ac:dyDescent="0.25">
      <c r="A2860" t="s">
        <v>6410</v>
      </c>
      <c r="B2860" s="6">
        <v>45119</v>
      </c>
      <c r="C2860">
        <v>5283</v>
      </c>
      <c r="D2860" t="s">
        <v>6411</v>
      </c>
      <c r="E2860" t="s">
        <v>18</v>
      </c>
      <c r="F2860" t="s">
        <v>30</v>
      </c>
      <c r="G2860">
        <v>23642.71</v>
      </c>
      <c r="H2860">
        <v>11213.88</v>
      </c>
      <c r="I2860" t="s">
        <v>120</v>
      </c>
      <c r="J2860" t="s">
        <v>21</v>
      </c>
      <c r="K2860" t="s">
        <v>22</v>
      </c>
      <c r="L2860" t="s">
        <v>55</v>
      </c>
      <c r="M2860">
        <v>5</v>
      </c>
      <c r="N2860" t="s">
        <v>69</v>
      </c>
      <c r="O2860" t="s">
        <v>25</v>
      </c>
      <c r="P2860" t="s">
        <v>34</v>
      </c>
    </row>
    <row r="2861" spans="1:16" x14ac:dyDescent="0.25">
      <c r="A2861" t="s">
        <v>6412</v>
      </c>
      <c r="B2861" s="6">
        <v>45043</v>
      </c>
      <c r="C2861">
        <v>3015</v>
      </c>
      <c r="D2861" t="s">
        <v>5736</v>
      </c>
      <c r="E2861" t="s">
        <v>18</v>
      </c>
      <c r="F2861" t="s">
        <v>19</v>
      </c>
      <c r="G2861">
        <v>24130.12</v>
      </c>
      <c r="H2861">
        <v>12580.5</v>
      </c>
      <c r="I2861" t="s">
        <v>63</v>
      </c>
      <c r="J2861" t="s">
        <v>54</v>
      </c>
      <c r="K2861" t="s">
        <v>80</v>
      </c>
      <c r="L2861" t="s">
        <v>88</v>
      </c>
      <c r="M2861">
        <v>4</v>
      </c>
      <c r="N2861" t="s">
        <v>33</v>
      </c>
      <c r="O2861" t="s">
        <v>25</v>
      </c>
      <c r="P2861" t="s">
        <v>49</v>
      </c>
    </row>
    <row r="2862" spans="1:16" x14ac:dyDescent="0.25">
      <c r="A2862" t="s">
        <v>6413</v>
      </c>
      <c r="B2862" s="6">
        <v>45156</v>
      </c>
      <c r="C2862">
        <v>6053</v>
      </c>
      <c r="D2862" t="s">
        <v>6414</v>
      </c>
      <c r="E2862" t="s">
        <v>18</v>
      </c>
      <c r="F2862" t="s">
        <v>58</v>
      </c>
      <c r="G2862">
        <v>46947.98</v>
      </c>
      <c r="H2862">
        <v>29282.98</v>
      </c>
      <c r="I2862" t="s">
        <v>63</v>
      </c>
      <c r="J2862" t="s">
        <v>54</v>
      </c>
      <c r="K2862" t="s">
        <v>80</v>
      </c>
      <c r="L2862" t="s">
        <v>88</v>
      </c>
      <c r="M2862">
        <v>5</v>
      </c>
      <c r="N2862" t="s">
        <v>24</v>
      </c>
      <c r="O2862" t="s">
        <v>25</v>
      </c>
      <c r="P2862" t="s">
        <v>26</v>
      </c>
    </row>
    <row r="2863" spans="1:16" x14ac:dyDescent="0.25">
      <c r="A2863" t="s">
        <v>6415</v>
      </c>
      <c r="B2863" s="6">
        <v>43942</v>
      </c>
      <c r="C2863">
        <v>5287</v>
      </c>
      <c r="D2863" t="s">
        <v>6416</v>
      </c>
      <c r="E2863" t="s">
        <v>18</v>
      </c>
      <c r="F2863" t="s">
        <v>47</v>
      </c>
      <c r="G2863">
        <v>5447.39</v>
      </c>
      <c r="H2863">
        <v>2593.27</v>
      </c>
      <c r="I2863" t="s">
        <v>31</v>
      </c>
      <c r="J2863" t="s">
        <v>21</v>
      </c>
      <c r="K2863" t="s">
        <v>80</v>
      </c>
      <c r="L2863" t="s">
        <v>23</v>
      </c>
      <c r="M2863">
        <v>4</v>
      </c>
      <c r="N2863" t="s">
        <v>33</v>
      </c>
      <c r="O2863" t="s">
        <v>70</v>
      </c>
      <c r="P2863" t="s">
        <v>26</v>
      </c>
    </row>
    <row r="2864" spans="1:16" x14ac:dyDescent="0.25">
      <c r="A2864" t="s">
        <v>6417</v>
      </c>
      <c r="B2864" s="6">
        <v>45301</v>
      </c>
      <c r="C2864">
        <v>8531</v>
      </c>
      <c r="D2864" t="s">
        <v>6419</v>
      </c>
      <c r="E2864" t="s">
        <v>18</v>
      </c>
      <c r="F2864" t="s">
        <v>39</v>
      </c>
      <c r="G2864">
        <v>48008.01</v>
      </c>
      <c r="H2864">
        <v>22222.29</v>
      </c>
      <c r="I2864" t="s">
        <v>53</v>
      </c>
      <c r="J2864" t="s">
        <v>54</v>
      </c>
      <c r="K2864" t="s">
        <v>80</v>
      </c>
      <c r="L2864" t="s">
        <v>48</v>
      </c>
      <c r="M2864">
        <v>2</v>
      </c>
      <c r="N2864" t="s">
        <v>33</v>
      </c>
      <c r="O2864" t="s">
        <v>25</v>
      </c>
      <c r="P2864" t="s">
        <v>26</v>
      </c>
    </row>
    <row r="2865" spans="1:16" x14ac:dyDescent="0.25">
      <c r="A2865" t="s">
        <v>6420</v>
      </c>
      <c r="B2865" s="6">
        <v>43846</v>
      </c>
      <c r="C2865">
        <v>2490</v>
      </c>
      <c r="D2865" t="s">
        <v>6316</v>
      </c>
      <c r="E2865" t="s">
        <v>38</v>
      </c>
      <c r="F2865" t="s">
        <v>30</v>
      </c>
      <c r="G2865">
        <v>11120.96</v>
      </c>
      <c r="H2865">
        <v>6929.64</v>
      </c>
      <c r="I2865" t="s">
        <v>84</v>
      </c>
      <c r="J2865" t="s">
        <v>54</v>
      </c>
      <c r="K2865" t="s">
        <v>42</v>
      </c>
      <c r="L2865" t="s">
        <v>64</v>
      </c>
      <c r="M2865">
        <v>5</v>
      </c>
      <c r="N2865" t="s">
        <v>33</v>
      </c>
      <c r="O2865" t="s">
        <v>70</v>
      </c>
      <c r="P2865" t="s">
        <v>26</v>
      </c>
    </row>
    <row r="2866" spans="1:16" x14ac:dyDescent="0.25">
      <c r="A2866" t="s">
        <v>6421</v>
      </c>
      <c r="B2866" s="6">
        <v>45178</v>
      </c>
      <c r="C2866">
        <v>1595</v>
      </c>
      <c r="D2866" t="s">
        <v>6422</v>
      </c>
      <c r="E2866" t="s">
        <v>38</v>
      </c>
      <c r="F2866" t="s">
        <v>47</v>
      </c>
      <c r="G2866">
        <v>6085.6</v>
      </c>
      <c r="H2866">
        <v>3585.77</v>
      </c>
      <c r="I2866" t="s">
        <v>68</v>
      </c>
      <c r="J2866" t="s">
        <v>41</v>
      </c>
      <c r="K2866" t="s">
        <v>22</v>
      </c>
      <c r="L2866" t="s">
        <v>64</v>
      </c>
      <c r="M2866">
        <v>2</v>
      </c>
      <c r="N2866" t="s">
        <v>24</v>
      </c>
      <c r="O2866" t="s">
        <v>70</v>
      </c>
      <c r="P2866" t="s">
        <v>34</v>
      </c>
    </row>
    <row r="2867" spans="1:16" x14ac:dyDescent="0.25">
      <c r="A2867" t="s">
        <v>6423</v>
      </c>
      <c r="B2867" s="6">
        <v>44402</v>
      </c>
      <c r="C2867">
        <v>7901</v>
      </c>
      <c r="D2867" t="s">
        <v>6424</v>
      </c>
      <c r="E2867" t="s">
        <v>18</v>
      </c>
      <c r="F2867" t="s">
        <v>39</v>
      </c>
      <c r="G2867">
        <v>18094.939999999999</v>
      </c>
      <c r="H2867">
        <v>8389.66</v>
      </c>
      <c r="I2867" t="s">
        <v>63</v>
      </c>
      <c r="J2867" t="s">
        <v>54</v>
      </c>
      <c r="K2867" t="s">
        <v>42</v>
      </c>
      <c r="L2867" t="s">
        <v>43</v>
      </c>
      <c r="M2867">
        <v>3</v>
      </c>
      <c r="N2867" t="s">
        <v>33</v>
      </c>
      <c r="O2867" t="s">
        <v>25</v>
      </c>
      <c r="P2867" t="s">
        <v>26</v>
      </c>
    </row>
    <row r="2868" spans="1:16" x14ac:dyDescent="0.25">
      <c r="A2868" t="s">
        <v>6425</v>
      </c>
      <c r="B2868" s="6">
        <v>45465</v>
      </c>
      <c r="C2868">
        <v>4390</v>
      </c>
      <c r="D2868" t="s">
        <v>548</v>
      </c>
      <c r="E2868" t="s">
        <v>18</v>
      </c>
      <c r="F2868" t="s">
        <v>19</v>
      </c>
      <c r="G2868">
        <v>19551.2</v>
      </c>
      <c r="H2868">
        <v>8912.68</v>
      </c>
      <c r="I2868" t="s">
        <v>53</v>
      </c>
      <c r="J2868" t="s">
        <v>54</v>
      </c>
      <c r="K2868" t="s">
        <v>80</v>
      </c>
      <c r="L2868" t="s">
        <v>64</v>
      </c>
      <c r="M2868">
        <v>2</v>
      </c>
      <c r="N2868" t="s">
        <v>33</v>
      </c>
      <c r="O2868" t="s">
        <v>70</v>
      </c>
      <c r="P2868" t="s">
        <v>49</v>
      </c>
    </row>
    <row r="2869" spans="1:16" x14ac:dyDescent="0.25">
      <c r="A2869" t="s">
        <v>6426</v>
      </c>
      <c r="B2869" s="6">
        <v>43989</v>
      </c>
      <c r="C2869">
        <v>4301</v>
      </c>
      <c r="D2869" t="s">
        <v>6427</v>
      </c>
      <c r="E2869" t="s">
        <v>38</v>
      </c>
      <c r="F2869" t="s">
        <v>39</v>
      </c>
      <c r="G2869">
        <v>14463.61</v>
      </c>
      <c r="H2869">
        <v>8476.4699999999993</v>
      </c>
      <c r="I2869" t="s">
        <v>68</v>
      </c>
      <c r="J2869" t="s">
        <v>41</v>
      </c>
      <c r="K2869" t="s">
        <v>80</v>
      </c>
      <c r="L2869" t="s">
        <v>88</v>
      </c>
      <c r="M2869">
        <v>2</v>
      </c>
      <c r="N2869" t="s">
        <v>33</v>
      </c>
      <c r="O2869" t="s">
        <v>25</v>
      </c>
      <c r="P2869" t="s">
        <v>34</v>
      </c>
    </row>
    <row r="2870" spans="1:16" x14ac:dyDescent="0.25">
      <c r="A2870" t="s">
        <v>6428</v>
      </c>
      <c r="B2870" s="6">
        <v>44704</v>
      </c>
      <c r="C2870">
        <v>4625</v>
      </c>
      <c r="D2870" t="s">
        <v>6429</v>
      </c>
      <c r="E2870" t="s">
        <v>18</v>
      </c>
      <c r="F2870" t="s">
        <v>47</v>
      </c>
      <c r="G2870">
        <v>11820.66</v>
      </c>
      <c r="H2870">
        <v>7384.59</v>
      </c>
      <c r="I2870" t="s">
        <v>84</v>
      </c>
      <c r="J2870" t="s">
        <v>54</v>
      </c>
      <c r="K2870" t="s">
        <v>22</v>
      </c>
      <c r="L2870" t="s">
        <v>48</v>
      </c>
      <c r="M2870">
        <v>1</v>
      </c>
      <c r="N2870" t="s">
        <v>33</v>
      </c>
      <c r="O2870" t="s">
        <v>25</v>
      </c>
      <c r="P2870" t="s">
        <v>26</v>
      </c>
    </row>
    <row r="2871" spans="1:16" x14ac:dyDescent="0.25">
      <c r="A2871" t="s">
        <v>6430</v>
      </c>
      <c r="B2871" s="6">
        <v>44609</v>
      </c>
      <c r="C2871">
        <v>8053</v>
      </c>
      <c r="D2871" t="s">
        <v>337</v>
      </c>
      <c r="E2871" t="s">
        <v>18</v>
      </c>
      <c r="F2871" t="s">
        <v>39</v>
      </c>
      <c r="G2871">
        <v>34076.07</v>
      </c>
      <c r="H2871">
        <v>17160.64</v>
      </c>
      <c r="I2871" t="s">
        <v>84</v>
      </c>
      <c r="J2871" t="s">
        <v>54</v>
      </c>
      <c r="K2871" t="s">
        <v>42</v>
      </c>
      <c r="L2871" t="s">
        <v>55</v>
      </c>
      <c r="M2871">
        <v>1</v>
      </c>
      <c r="N2871" t="s">
        <v>33</v>
      </c>
      <c r="O2871" t="s">
        <v>25</v>
      </c>
      <c r="P2871" t="s">
        <v>49</v>
      </c>
    </row>
    <row r="2872" spans="1:16" x14ac:dyDescent="0.25">
      <c r="A2872" t="s">
        <v>6431</v>
      </c>
      <c r="B2872" s="6">
        <v>44907</v>
      </c>
      <c r="C2872">
        <v>7365</v>
      </c>
      <c r="D2872" t="s">
        <v>6432</v>
      </c>
      <c r="E2872" t="s">
        <v>38</v>
      </c>
      <c r="F2872" t="s">
        <v>47</v>
      </c>
      <c r="G2872">
        <v>7901.56</v>
      </c>
      <c r="H2872">
        <v>3648.39</v>
      </c>
      <c r="I2872" t="s">
        <v>59</v>
      </c>
      <c r="J2872" t="s">
        <v>41</v>
      </c>
      <c r="K2872" t="s">
        <v>22</v>
      </c>
      <c r="L2872" t="s">
        <v>48</v>
      </c>
      <c r="M2872">
        <v>5</v>
      </c>
      <c r="N2872" t="s">
        <v>33</v>
      </c>
      <c r="O2872" t="s">
        <v>25</v>
      </c>
      <c r="P2872" t="s">
        <v>26</v>
      </c>
    </row>
    <row r="2873" spans="1:16" x14ac:dyDescent="0.25">
      <c r="A2873" t="s">
        <v>6433</v>
      </c>
      <c r="B2873" s="6">
        <v>45236</v>
      </c>
      <c r="C2873">
        <v>7651</v>
      </c>
      <c r="D2873" t="s">
        <v>3654</v>
      </c>
      <c r="E2873" t="s">
        <v>18</v>
      </c>
      <c r="F2873" t="s">
        <v>58</v>
      </c>
      <c r="G2873">
        <v>54087.37</v>
      </c>
      <c r="H2873">
        <v>25551.86</v>
      </c>
      <c r="I2873" t="s">
        <v>53</v>
      </c>
      <c r="J2873" t="s">
        <v>54</v>
      </c>
      <c r="K2873" t="s">
        <v>80</v>
      </c>
      <c r="L2873" t="s">
        <v>88</v>
      </c>
      <c r="M2873">
        <v>1</v>
      </c>
      <c r="N2873" t="s">
        <v>24</v>
      </c>
      <c r="O2873" t="s">
        <v>25</v>
      </c>
      <c r="P2873" t="s">
        <v>49</v>
      </c>
    </row>
    <row r="2874" spans="1:16" x14ac:dyDescent="0.25">
      <c r="A2874" t="s">
        <v>6434</v>
      </c>
      <c r="B2874" s="6">
        <v>45534</v>
      </c>
      <c r="C2874">
        <v>6805</v>
      </c>
      <c r="D2874" t="s">
        <v>3397</v>
      </c>
      <c r="E2874" t="s">
        <v>18</v>
      </c>
      <c r="F2874" t="s">
        <v>39</v>
      </c>
      <c r="G2874">
        <v>20323.25</v>
      </c>
      <c r="H2874">
        <v>9528.1200000000008</v>
      </c>
      <c r="I2874" t="s">
        <v>20</v>
      </c>
      <c r="J2874" t="s">
        <v>21</v>
      </c>
      <c r="K2874" t="s">
        <v>80</v>
      </c>
      <c r="L2874" t="s">
        <v>48</v>
      </c>
      <c r="M2874">
        <v>2</v>
      </c>
      <c r="N2874" t="s">
        <v>24</v>
      </c>
      <c r="O2874" t="s">
        <v>70</v>
      </c>
      <c r="P2874" t="s">
        <v>49</v>
      </c>
    </row>
    <row r="2875" spans="1:16" x14ac:dyDescent="0.25">
      <c r="A2875" t="s">
        <v>6436</v>
      </c>
      <c r="B2875" s="6">
        <v>45637</v>
      </c>
      <c r="C2875">
        <v>6665</v>
      </c>
      <c r="D2875" t="s">
        <v>6437</v>
      </c>
      <c r="E2875" t="s">
        <v>38</v>
      </c>
      <c r="F2875" t="s">
        <v>47</v>
      </c>
      <c r="G2875">
        <v>11530.18</v>
      </c>
      <c r="H2875">
        <v>6903.06</v>
      </c>
      <c r="I2875" t="s">
        <v>120</v>
      </c>
      <c r="J2875" t="s">
        <v>21</v>
      </c>
      <c r="K2875" t="s">
        <v>80</v>
      </c>
      <c r="L2875" t="s">
        <v>23</v>
      </c>
      <c r="M2875">
        <v>1</v>
      </c>
      <c r="N2875" t="s">
        <v>33</v>
      </c>
      <c r="O2875" t="s">
        <v>25</v>
      </c>
      <c r="P2875" t="s">
        <v>49</v>
      </c>
    </row>
    <row r="2876" spans="1:16" x14ac:dyDescent="0.25">
      <c r="A2876" t="s">
        <v>6438</v>
      </c>
      <c r="B2876" s="6">
        <v>45488</v>
      </c>
      <c r="C2876">
        <v>6560</v>
      </c>
      <c r="D2876" t="s">
        <v>1253</v>
      </c>
      <c r="E2876" t="s">
        <v>18</v>
      </c>
      <c r="F2876" t="s">
        <v>47</v>
      </c>
      <c r="G2876">
        <v>5675.45</v>
      </c>
      <c r="H2876">
        <v>2981.42</v>
      </c>
      <c r="I2876" t="s">
        <v>68</v>
      </c>
      <c r="J2876" t="s">
        <v>41</v>
      </c>
      <c r="K2876" t="s">
        <v>42</v>
      </c>
      <c r="L2876" t="s">
        <v>55</v>
      </c>
      <c r="M2876">
        <v>3</v>
      </c>
      <c r="N2876" t="s">
        <v>33</v>
      </c>
      <c r="O2876" t="s">
        <v>25</v>
      </c>
      <c r="P2876" t="s">
        <v>49</v>
      </c>
    </row>
    <row r="2877" spans="1:16" x14ac:dyDescent="0.25">
      <c r="A2877" t="s">
        <v>6439</v>
      </c>
      <c r="B2877" s="6">
        <v>45516</v>
      </c>
      <c r="C2877">
        <v>6523</v>
      </c>
      <c r="D2877" t="s">
        <v>499</v>
      </c>
      <c r="E2877" t="s">
        <v>18</v>
      </c>
      <c r="F2877" t="s">
        <v>58</v>
      </c>
      <c r="G2877">
        <v>9734.7900000000009</v>
      </c>
      <c r="H2877">
        <v>4958.1099999999997</v>
      </c>
      <c r="I2877" t="s">
        <v>59</v>
      </c>
      <c r="J2877" t="s">
        <v>41</v>
      </c>
      <c r="K2877" t="s">
        <v>42</v>
      </c>
      <c r="L2877" t="s">
        <v>88</v>
      </c>
      <c r="M2877">
        <v>1</v>
      </c>
      <c r="N2877" t="s">
        <v>69</v>
      </c>
      <c r="O2877" t="s">
        <v>70</v>
      </c>
      <c r="P2877" t="s">
        <v>26</v>
      </c>
    </row>
    <row r="2878" spans="1:16" x14ac:dyDescent="0.25">
      <c r="A2878" t="s">
        <v>6440</v>
      </c>
      <c r="B2878" s="6">
        <v>45590</v>
      </c>
      <c r="C2878">
        <v>5997</v>
      </c>
      <c r="D2878" t="s">
        <v>6441</v>
      </c>
      <c r="E2878" t="s">
        <v>38</v>
      </c>
      <c r="F2878" t="s">
        <v>47</v>
      </c>
      <c r="G2878">
        <v>7421.24</v>
      </c>
      <c r="H2878">
        <v>3807.3</v>
      </c>
      <c r="I2878" t="s">
        <v>84</v>
      </c>
      <c r="J2878" t="s">
        <v>54</v>
      </c>
      <c r="K2878" t="s">
        <v>42</v>
      </c>
      <c r="L2878" t="s">
        <v>23</v>
      </c>
      <c r="M2878">
        <v>4</v>
      </c>
      <c r="N2878" t="s">
        <v>24</v>
      </c>
      <c r="O2878" t="s">
        <v>25</v>
      </c>
      <c r="P2878" t="s">
        <v>26</v>
      </c>
    </row>
    <row r="2879" spans="1:16" x14ac:dyDescent="0.25">
      <c r="A2879" t="s">
        <v>6442</v>
      </c>
      <c r="B2879" s="6">
        <v>45304</v>
      </c>
      <c r="C2879">
        <v>9531</v>
      </c>
      <c r="D2879" t="s">
        <v>6443</v>
      </c>
      <c r="E2879" t="s">
        <v>18</v>
      </c>
      <c r="F2879" t="s">
        <v>58</v>
      </c>
      <c r="G2879">
        <v>26489.43</v>
      </c>
      <c r="H2879">
        <v>12220.56</v>
      </c>
      <c r="I2879" t="s">
        <v>63</v>
      </c>
      <c r="J2879" t="s">
        <v>54</v>
      </c>
      <c r="K2879" t="s">
        <v>22</v>
      </c>
      <c r="L2879" t="s">
        <v>88</v>
      </c>
      <c r="M2879">
        <v>4</v>
      </c>
      <c r="N2879" t="s">
        <v>24</v>
      </c>
      <c r="O2879" t="s">
        <v>25</v>
      </c>
      <c r="P2879" t="s">
        <v>26</v>
      </c>
    </row>
    <row r="2880" spans="1:16" x14ac:dyDescent="0.25">
      <c r="A2880" t="s">
        <v>6444</v>
      </c>
      <c r="B2880" s="6">
        <v>44813</v>
      </c>
      <c r="C2880">
        <v>8010</v>
      </c>
      <c r="D2880" t="s">
        <v>6445</v>
      </c>
      <c r="E2880" t="s">
        <v>18</v>
      </c>
      <c r="F2880" t="s">
        <v>58</v>
      </c>
      <c r="G2880">
        <v>10645.59</v>
      </c>
      <c r="H2880">
        <v>5563.4</v>
      </c>
      <c r="I2880" t="s">
        <v>59</v>
      </c>
      <c r="J2880" t="s">
        <v>41</v>
      </c>
      <c r="K2880" t="s">
        <v>42</v>
      </c>
      <c r="L2880" t="s">
        <v>88</v>
      </c>
      <c r="M2880">
        <v>2</v>
      </c>
      <c r="N2880" t="s">
        <v>24</v>
      </c>
      <c r="O2880" t="s">
        <v>25</v>
      </c>
      <c r="P2880" t="s">
        <v>34</v>
      </c>
    </row>
    <row r="2881" spans="1:16" x14ac:dyDescent="0.25">
      <c r="A2881" t="s">
        <v>6446</v>
      </c>
      <c r="B2881" s="6">
        <v>45571</v>
      </c>
      <c r="C2881">
        <v>6675</v>
      </c>
      <c r="D2881" t="s">
        <v>6447</v>
      </c>
      <c r="E2881" t="s">
        <v>38</v>
      </c>
      <c r="F2881" t="s">
        <v>30</v>
      </c>
      <c r="G2881">
        <v>99507.09</v>
      </c>
      <c r="H2881">
        <v>54565.440000000002</v>
      </c>
      <c r="I2881" t="s">
        <v>120</v>
      </c>
      <c r="J2881" t="s">
        <v>21</v>
      </c>
      <c r="K2881" t="s">
        <v>42</v>
      </c>
      <c r="L2881" t="s">
        <v>48</v>
      </c>
      <c r="M2881">
        <v>1</v>
      </c>
      <c r="N2881" t="s">
        <v>33</v>
      </c>
      <c r="O2881" t="s">
        <v>25</v>
      </c>
      <c r="P2881" t="s">
        <v>34</v>
      </c>
    </row>
    <row r="2882" spans="1:16" x14ac:dyDescent="0.25">
      <c r="A2882" t="s">
        <v>6448</v>
      </c>
      <c r="B2882" s="6">
        <v>44646</v>
      </c>
      <c r="C2882">
        <v>2861</v>
      </c>
      <c r="D2882" t="s">
        <v>6449</v>
      </c>
      <c r="E2882" t="s">
        <v>38</v>
      </c>
      <c r="F2882" t="s">
        <v>19</v>
      </c>
      <c r="G2882">
        <v>6224.96</v>
      </c>
      <c r="H2882">
        <v>3055.42</v>
      </c>
      <c r="I2882" t="s">
        <v>120</v>
      </c>
      <c r="J2882" t="s">
        <v>21</v>
      </c>
      <c r="K2882" t="s">
        <v>80</v>
      </c>
      <c r="L2882" t="s">
        <v>43</v>
      </c>
      <c r="M2882">
        <v>1</v>
      </c>
      <c r="N2882" t="s">
        <v>33</v>
      </c>
      <c r="O2882" t="s">
        <v>70</v>
      </c>
      <c r="P2882" t="s">
        <v>49</v>
      </c>
    </row>
    <row r="2883" spans="1:16" x14ac:dyDescent="0.25">
      <c r="A2883" t="s">
        <v>6450</v>
      </c>
      <c r="B2883" s="6">
        <v>45108</v>
      </c>
      <c r="C2883">
        <v>2787</v>
      </c>
      <c r="D2883" t="s">
        <v>1327</v>
      </c>
      <c r="E2883" t="s">
        <v>18</v>
      </c>
      <c r="F2883" t="s">
        <v>30</v>
      </c>
      <c r="G2883">
        <v>98379.66</v>
      </c>
      <c r="H2883">
        <v>59646.43</v>
      </c>
      <c r="I2883" t="s">
        <v>84</v>
      </c>
      <c r="J2883" t="s">
        <v>54</v>
      </c>
      <c r="K2883" t="s">
        <v>80</v>
      </c>
      <c r="L2883" t="s">
        <v>88</v>
      </c>
      <c r="M2883">
        <v>4</v>
      </c>
      <c r="N2883" t="s">
        <v>33</v>
      </c>
      <c r="O2883" t="s">
        <v>25</v>
      </c>
      <c r="P2883" t="s">
        <v>34</v>
      </c>
    </row>
    <row r="2884" spans="1:16" x14ac:dyDescent="0.25">
      <c r="A2884" t="s">
        <v>6451</v>
      </c>
      <c r="B2884" s="6">
        <v>44648</v>
      </c>
      <c r="C2884">
        <v>1782</v>
      </c>
      <c r="D2884" t="s">
        <v>6452</v>
      </c>
      <c r="E2884" t="s">
        <v>38</v>
      </c>
      <c r="F2884" t="s">
        <v>30</v>
      </c>
      <c r="G2884">
        <v>95140.44</v>
      </c>
      <c r="H2884">
        <v>43916.23</v>
      </c>
      <c r="I2884" t="s">
        <v>53</v>
      </c>
      <c r="J2884" t="s">
        <v>54</v>
      </c>
      <c r="K2884" t="s">
        <v>22</v>
      </c>
      <c r="L2884" t="s">
        <v>48</v>
      </c>
      <c r="M2884">
        <v>3</v>
      </c>
      <c r="N2884" t="s">
        <v>33</v>
      </c>
      <c r="O2884" t="s">
        <v>70</v>
      </c>
      <c r="P2884" t="s">
        <v>49</v>
      </c>
    </row>
    <row r="2885" spans="1:16" x14ac:dyDescent="0.25">
      <c r="A2885" t="s">
        <v>6453</v>
      </c>
      <c r="B2885" s="6">
        <v>45589</v>
      </c>
      <c r="C2885">
        <v>3795</v>
      </c>
      <c r="D2885" t="s">
        <v>6454</v>
      </c>
      <c r="E2885" t="s">
        <v>38</v>
      </c>
      <c r="F2885" t="s">
        <v>39</v>
      </c>
      <c r="G2885">
        <v>13692</v>
      </c>
      <c r="H2885">
        <v>6556.43</v>
      </c>
      <c r="I2885" t="s">
        <v>20</v>
      </c>
      <c r="J2885" t="s">
        <v>21</v>
      </c>
      <c r="K2885" t="s">
        <v>42</v>
      </c>
      <c r="L2885" t="s">
        <v>48</v>
      </c>
      <c r="M2885">
        <v>3</v>
      </c>
      <c r="N2885" t="s">
        <v>24</v>
      </c>
      <c r="O2885" t="s">
        <v>25</v>
      </c>
      <c r="P2885" t="s">
        <v>26</v>
      </c>
    </row>
    <row r="2886" spans="1:16" x14ac:dyDescent="0.25">
      <c r="A2886" t="s">
        <v>6455</v>
      </c>
      <c r="B2886" s="6">
        <v>44567</v>
      </c>
      <c r="C2886">
        <v>4041</v>
      </c>
      <c r="D2886" t="s">
        <v>3094</v>
      </c>
      <c r="E2886" t="s">
        <v>38</v>
      </c>
      <c r="F2886" t="s">
        <v>39</v>
      </c>
      <c r="G2886">
        <v>18132.47</v>
      </c>
      <c r="H2886">
        <v>10206.469999999999</v>
      </c>
      <c r="I2886" t="s">
        <v>20</v>
      </c>
      <c r="J2886" t="s">
        <v>21</v>
      </c>
      <c r="K2886" t="s">
        <v>22</v>
      </c>
      <c r="L2886" t="s">
        <v>43</v>
      </c>
      <c r="M2886">
        <v>5</v>
      </c>
      <c r="N2886" t="s">
        <v>33</v>
      </c>
      <c r="O2886" t="s">
        <v>25</v>
      </c>
      <c r="P2886" t="s">
        <v>49</v>
      </c>
    </row>
    <row r="2887" spans="1:16" x14ac:dyDescent="0.25">
      <c r="A2887" t="s">
        <v>6456</v>
      </c>
      <c r="B2887" s="6">
        <v>45465</v>
      </c>
      <c r="C2887">
        <v>1247</v>
      </c>
      <c r="D2887" t="s">
        <v>6457</v>
      </c>
      <c r="E2887" t="s">
        <v>38</v>
      </c>
      <c r="F2887" t="s">
        <v>19</v>
      </c>
      <c r="G2887">
        <v>9928.41</v>
      </c>
      <c r="H2887">
        <v>6234.17</v>
      </c>
      <c r="I2887" t="s">
        <v>40</v>
      </c>
      <c r="J2887" t="s">
        <v>41</v>
      </c>
      <c r="K2887" t="s">
        <v>32</v>
      </c>
      <c r="L2887" t="s">
        <v>55</v>
      </c>
      <c r="M2887">
        <v>2</v>
      </c>
      <c r="N2887" t="s">
        <v>24</v>
      </c>
      <c r="O2887" t="s">
        <v>25</v>
      </c>
      <c r="P2887" t="s">
        <v>26</v>
      </c>
    </row>
    <row r="2888" spans="1:16" x14ac:dyDescent="0.25">
      <c r="A2888" t="s">
        <v>6458</v>
      </c>
      <c r="B2888" s="6">
        <v>45132</v>
      </c>
      <c r="C2888">
        <v>3331</v>
      </c>
      <c r="D2888" t="s">
        <v>6459</v>
      </c>
      <c r="E2888" t="s">
        <v>18</v>
      </c>
      <c r="F2888" t="s">
        <v>19</v>
      </c>
      <c r="G2888">
        <v>16469.330000000002</v>
      </c>
      <c r="H2888">
        <v>9541.31</v>
      </c>
      <c r="I2888" t="s">
        <v>53</v>
      </c>
      <c r="J2888" t="s">
        <v>54</v>
      </c>
      <c r="K2888" t="s">
        <v>22</v>
      </c>
      <c r="L2888" t="s">
        <v>88</v>
      </c>
      <c r="M2888">
        <v>1</v>
      </c>
      <c r="N2888" t="s">
        <v>69</v>
      </c>
      <c r="O2888" t="s">
        <v>70</v>
      </c>
      <c r="P2888" t="s">
        <v>49</v>
      </c>
    </row>
    <row r="2889" spans="1:16" x14ac:dyDescent="0.25">
      <c r="A2889" t="s">
        <v>6460</v>
      </c>
      <c r="B2889" s="6">
        <v>45083</v>
      </c>
      <c r="C2889">
        <v>5544</v>
      </c>
      <c r="D2889" t="s">
        <v>6461</v>
      </c>
      <c r="E2889" t="s">
        <v>18</v>
      </c>
      <c r="F2889" t="s">
        <v>39</v>
      </c>
      <c r="G2889">
        <v>40294.67</v>
      </c>
      <c r="H2889">
        <v>22896.22</v>
      </c>
      <c r="I2889" t="s">
        <v>31</v>
      </c>
      <c r="J2889" t="s">
        <v>21</v>
      </c>
      <c r="K2889" t="s">
        <v>22</v>
      </c>
      <c r="L2889" t="s">
        <v>88</v>
      </c>
      <c r="M2889">
        <v>2</v>
      </c>
      <c r="N2889" t="s">
        <v>24</v>
      </c>
      <c r="O2889" t="s">
        <v>70</v>
      </c>
      <c r="P2889" t="s">
        <v>34</v>
      </c>
    </row>
    <row r="2890" spans="1:16" x14ac:dyDescent="0.25">
      <c r="A2890" t="s">
        <v>6462</v>
      </c>
      <c r="B2890" s="6">
        <v>44551</v>
      </c>
      <c r="C2890">
        <v>6200</v>
      </c>
      <c r="D2890" t="s">
        <v>6463</v>
      </c>
      <c r="E2890" t="s">
        <v>38</v>
      </c>
      <c r="F2890" t="s">
        <v>39</v>
      </c>
      <c r="G2890">
        <v>21046.69</v>
      </c>
      <c r="H2890">
        <v>11258.34</v>
      </c>
      <c r="I2890" t="s">
        <v>84</v>
      </c>
      <c r="J2890" t="s">
        <v>54</v>
      </c>
      <c r="K2890" t="s">
        <v>42</v>
      </c>
      <c r="L2890" t="s">
        <v>43</v>
      </c>
      <c r="M2890">
        <v>4</v>
      </c>
      <c r="N2890" t="s">
        <v>24</v>
      </c>
      <c r="O2890" t="s">
        <v>25</v>
      </c>
      <c r="P2890" t="s">
        <v>26</v>
      </c>
    </row>
    <row r="2891" spans="1:16" x14ac:dyDescent="0.25">
      <c r="A2891" t="s">
        <v>6464</v>
      </c>
      <c r="B2891" s="6">
        <v>45012</v>
      </c>
      <c r="C2891">
        <v>4741</v>
      </c>
      <c r="D2891" t="s">
        <v>6465</v>
      </c>
      <c r="E2891" t="s">
        <v>38</v>
      </c>
      <c r="F2891" t="s">
        <v>58</v>
      </c>
      <c r="G2891">
        <v>41369.760000000002</v>
      </c>
      <c r="H2891">
        <v>20193.86</v>
      </c>
      <c r="I2891" t="s">
        <v>20</v>
      </c>
      <c r="J2891" t="s">
        <v>21</v>
      </c>
      <c r="K2891" t="s">
        <v>22</v>
      </c>
      <c r="L2891" t="s">
        <v>43</v>
      </c>
      <c r="M2891">
        <v>1</v>
      </c>
      <c r="N2891" t="s">
        <v>33</v>
      </c>
      <c r="O2891" t="s">
        <v>25</v>
      </c>
      <c r="P2891" t="s">
        <v>34</v>
      </c>
    </row>
    <row r="2892" spans="1:16" x14ac:dyDescent="0.25">
      <c r="A2892" t="s">
        <v>6466</v>
      </c>
      <c r="B2892" s="6">
        <v>44912</v>
      </c>
      <c r="C2892">
        <v>6049</v>
      </c>
      <c r="D2892" t="s">
        <v>6467</v>
      </c>
      <c r="E2892" t="s">
        <v>18</v>
      </c>
      <c r="F2892" t="s">
        <v>47</v>
      </c>
      <c r="G2892">
        <v>2763.22</v>
      </c>
      <c r="H2892">
        <v>1491.22</v>
      </c>
      <c r="I2892" t="s">
        <v>20</v>
      </c>
      <c r="J2892" t="s">
        <v>21</v>
      </c>
      <c r="K2892" t="s">
        <v>32</v>
      </c>
      <c r="L2892" t="s">
        <v>23</v>
      </c>
      <c r="M2892">
        <v>5</v>
      </c>
      <c r="N2892" t="s">
        <v>24</v>
      </c>
      <c r="O2892" t="s">
        <v>25</v>
      </c>
      <c r="P2892" t="s">
        <v>49</v>
      </c>
    </row>
    <row r="2893" spans="1:16" x14ac:dyDescent="0.25">
      <c r="A2893" t="s">
        <v>6468</v>
      </c>
      <c r="B2893" s="6">
        <v>44743</v>
      </c>
      <c r="C2893">
        <v>2421</v>
      </c>
      <c r="D2893" t="s">
        <v>1725</v>
      </c>
      <c r="E2893" t="s">
        <v>18</v>
      </c>
      <c r="F2893" t="s">
        <v>19</v>
      </c>
      <c r="G2893">
        <v>10326.469999999999</v>
      </c>
      <c r="H2893">
        <v>4662.26</v>
      </c>
      <c r="I2893" t="s">
        <v>31</v>
      </c>
      <c r="J2893" t="s">
        <v>21</v>
      </c>
      <c r="K2893" t="s">
        <v>42</v>
      </c>
      <c r="L2893" t="s">
        <v>23</v>
      </c>
      <c r="M2893">
        <v>2</v>
      </c>
      <c r="N2893" t="s">
        <v>33</v>
      </c>
      <c r="O2893" t="s">
        <v>25</v>
      </c>
      <c r="P2893" t="s">
        <v>34</v>
      </c>
    </row>
    <row r="2894" spans="1:16" x14ac:dyDescent="0.25">
      <c r="A2894" t="s">
        <v>6470</v>
      </c>
      <c r="B2894" s="6">
        <v>44961</v>
      </c>
      <c r="C2894">
        <v>2232</v>
      </c>
      <c r="D2894" t="s">
        <v>5663</v>
      </c>
      <c r="E2894" t="s">
        <v>38</v>
      </c>
      <c r="F2894" t="s">
        <v>30</v>
      </c>
      <c r="G2894">
        <v>29983.74</v>
      </c>
      <c r="H2894">
        <v>13942.86</v>
      </c>
      <c r="I2894" t="s">
        <v>20</v>
      </c>
      <c r="J2894" t="s">
        <v>21</v>
      </c>
      <c r="K2894" t="s">
        <v>42</v>
      </c>
      <c r="L2894" t="s">
        <v>48</v>
      </c>
      <c r="M2894">
        <v>4</v>
      </c>
      <c r="N2894" t="s">
        <v>24</v>
      </c>
      <c r="O2894" t="s">
        <v>70</v>
      </c>
      <c r="P2894" t="s">
        <v>49</v>
      </c>
    </row>
    <row r="2895" spans="1:16" x14ac:dyDescent="0.25">
      <c r="A2895" t="s">
        <v>6471</v>
      </c>
      <c r="B2895" s="6">
        <v>44343</v>
      </c>
      <c r="C2895">
        <v>7254</v>
      </c>
      <c r="D2895" t="s">
        <v>767</v>
      </c>
      <c r="E2895" t="s">
        <v>18</v>
      </c>
      <c r="F2895" t="s">
        <v>58</v>
      </c>
      <c r="G2895">
        <v>7591.67</v>
      </c>
      <c r="H2895">
        <v>3727.47</v>
      </c>
      <c r="I2895" t="s">
        <v>120</v>
      </c>
      <c r="J2895" t="s">
        <v>21</v>
      </c>
      <c r="K2895" t="s">
        <v>80</v>
      </c>
      <c r="L2895" t="s">
        <v>43</v>
      </c>
      <c r="M2895">
        <v>4</v>
      </c>
      <c r="N2895" t="s">
        <v>69</v>
      </c>
      <c r="O2895" t="s">
        <v>70</v>
      </c>
      <c r="P2895" t="s">
        <v>49</v>
      </c>
    </row>
    <row r="2896" spans="1:16" x14ac:dyDescent="0.25">
      <c r="A2896" t="s">
        <v>6472</v>
      </c>
      <c r="B2896" s="6">
        <v>45470</v>
      </c>
      <c r="C2896">
        <v>6002</v>
      </c>
      <c r="D2896" t="s">
        <v>4478</v>
      </c>
      <c r="E2896" t="s">
        <v>38</v>
      </c>
      <c r="F2896" t="s">
        <v>39</v>
      </c>
      <c r="G2896">
        <v>55184.3</v>
      </c>
      <c r="H2896">
        <v>35757.449999999997</v>
      </c>
      <c r="I2896" t="s">
        <v>63</v>
      </c>
      <c r="J2896" t="s">
        <v>54</v>
      </c>
      <c r="K2896" t="s">
        <v>22</v>
      </c>
      <c r="L2896" t="s">
        <v>48</v>
      </c>
      <c r="M2896">
        <v>1</v>
      </c>
      <c r="N2896" t="s">
        <v>24</v>
      </c>
      <c r="O2896" t="s">
        <v>25</v>
      </c>
      <c r="P2896" t="s">
        <v>34</v>
      </c>
    </row>
    <row r="2897" spans="1:16" x14ac:dyDescent="0.25">
      <c r="A2897" t="s">
        <v>6473</v>
      </c>
      <c r="B2897" s="6">
        <v>44936</v>
      </c>
      <c r="C2897">
        <v>9936</v>
      </c>
      <c r="D2897" t="s">
        <v>6474</v>
      </c>
      <c r="E2897" t="s">
        <v>38</v>
      </c>
      <c r="F2897" t="s">
        <v>39</v>
      </c>
      <c r="G2897">
        <v>16535.36</v>
      </c>
      <c r="H2897">
        <v>8083.62</v>
      </c>
      <c r="I2897" t="s">
        <v>120</v>
      </c>
      <c r="J2897" t="s">
        <v>21</v>
      </c>
      <c r="K2897" t="s">
        <v>22</v>
      </c>
      <c r="L2897" t="s">
        <v>88</v>
      </c>
      <c r="M2897">
        <v>5</v>
      </c>
      <c r="N2897" t="s">
        <v>24</v>
      </c>
      <c r="O2897" t="s">
        <v>25</v>
      </c>
      <c r="P2897" t="s">
        <v>49</v>
      </c>
    </row>
    <row r="2898" spans="1:16" x14ac:dyDescent="0.25">
      <c r="A2898" t="s">
        <v>6475</v>
      </c>
      <c r="B2898" s="6">
        <v>45297</v>
      </c>
      <c r="C2898">
        <v>9675</v>
      </c>
      <c r="D2898" t="s">
        <v>6476</v>
      </c>
      <c r="E2898" t="s">
        <v>18</v>
      </c>
      <c r="F2898" t="s">
        <v>39</v>
      </c>
      <c r="G2898">
        <v>34098.03</v>
      </c>
      <c r="H2898">
        <v>20746.63</v>
      </c>
      <c r="I2898" t="s">
        <v>68</v>
      </c>
      <c r="J2898" t="s">
        <v>41</v>
      </c>
      <c r="K2898" t="s">
        <v>42</v>
      </c>
      <c r="L2898" t="s">
        <v>55</v>
      </c>
      <c r="M2898">
        <v>5</v>
      </c>
      <c r="N2898" t="s">
        <v>24</v>
      </c>
      <c r="O2898" t="s">
        <v>25</v>
      </c>
      <c r="P2898" t="s">
        <v>49</v>
      </c>
    </row>
    <row r="2899" spans="1:16" x14ac:dyDescent="0.25">
      <c r="A2899" t="s">
        <v>6477</v>
      </c>
      <c r="B2899" s="6">
        <v>45386</v>
      </c>
      <c r="C2899">
        <v>9632</v>
      </c>
      <c r="D2899" t="s">
        <v>6478</v>
      </c>
      <c r="E2899" t="s">
        <v>18</v>
      </c>
      <c r="F2899" t="s">
        <v>47</v>
      </c>
      <c r="G2899">
        <v>11854.32</v>
      </c>
      <c r="H2899">
        <v>6442.32</v>
      </c>
      <c r="I2899" t="s">
        <v>53</v>
      </c>
      <c r="J2899" t="s">
        <v>54</v>
      </c>
      <c r="K2899" t="s">
        <v>42</v>
      </c>
      <c r="L2899" t="s">
        <v>48</v>
      </c>
      <c r="M2899">
        <v>4</v>
      </c>
      <c r="N2899" t="s">
        <v>33</v>
      </c>
      <c r="O2899" t="s">
        <v>70</v>
      </c>
      <c r="P2899" t="s">
        <v>49</v>
      </c>
    </row>
    <row r="2900" spans="1:16" x14ac:dyDescent="0.25">
      <c r="A2900" t="s">
        <v>6479</v>
      </c>
      <c r="B2900" s="6">
        <v>44119</v>
      </c>
      <c r="C2900">
        <v>2534</v>
      </c>
      <c r="D2900" t="s">
        <v>6480</v>
      </c>
      <c r="E2900" t="s">
        <v>18</v>
      </c>
      <c r="F2900" t="s">
        <v>47</v>
      </c>
      <c r="G2900">
        <v>3656.11</v>
      </c>
      <c r="H2900">
        <v>2311.3200000000002</v>
      </c>
      <c r="I2900" t="s">
        <v>120</v>
      </c>
      <c r="J2900" t="s">
        <v>21</v>
      </c>
      <c r="K2900" t="s">
        <v>32</v>
      </c>
      <c r="L2900" t="s">
        <v>43</v>
      </c>
      <c r="M2900">
        <v>2</v>
      </c>
      <c r="N2900" t="s">
        <v>24</v>
      </c>
      <c r="O2900" t="s">
        <v>70</v>
      </c>
      <c r="P2900" t="s">
        <v>34</v>
      </c>
    </row>
    <row r="2901" spans="1:16" x14ac:dyDescent="0.25">
      <c r="A2901" t="s">
        <v>6481</v>
      </c>
      <c r="B2901" s="6">
        <v>45620</v>
      </c>
      <c r="C2901">
        <v>4765</v>
      </c>
      <c r="D2901" t="s">
        <v>6483</v>
      </c>
      <c r="E2901" t="s">
        <v>38</v>
      </c>
      <c r="F2901" t="s">
        <v>39</v>
      </c>
      <c r="G2901">
        <v>38600.46</v>
      </c>
      <c r="H2901">
        <v>22423.25</v>
      </c>
      <c r="I2901" t="s">
        <v>84</v>
      </c>
      <c r="J2901" t="s">
        <v>54</v>
      </c>
      <c r="K2901" t="s">
        <v>80</v>
      </c>
      <c r="L2901" t="s">
        <v>88</v>
      </c>
      <c r="M2901">
        <v>4</v>
      </c>
      <c r="N2901" t="s">
        <v>33</v>
      </c>
      <c r="O2901" t="s">
        <v>25</v>
      </c>
      <c r="P2901" t="s">
        <v>49</v>
      </c>
    </row>
    <row r="2902" spans="1:16" x14ac:dyDescent="0.25">
      <c r="A2902" t="s">
        <v>6484</v>
      </c>
      <c r="B2902" s="6">
        <v>44611</v>
      </c>
      <c r="C2902">
        <v>4831</v>
      </c>
      <c r="D2902" t="s">
        <v>6485</v>
      </c>
      <c r="E2902" t="s">
        <v>38</v>
      </c>
      <c r="F2902" t="s">
        <v>19</v>
      </c>
      <c r="G2902">
        <v>12910.14</v>
      </c>
      <c r="H2902">
        <v>8102.54</v>
      </c>
      <c r="I2902" t="s">
        <v>31</v>
      </c>
      <c r="J2902" t="s">
        <v>21</v>
      </c>
      <c r="K2902" t="s">
        <v>32</v>
      </c>
      <c r="L2902" t="s">
        <v>48</v>
      </c>
      <c r="M2902">
        <v>4</v>
      </c>
      <c r="N2902" t="s">
        <v>69</v>
      </c>
      <c r="O2902" t="s">
        <v>70</v>
      </c>
      <c r="P2902" t="s">
        <v>26</v>
      </c>
    </row>
    <row r="2903" spans="1:16" x14ac:dyDescent="0.25">
      <c r="A2903" t="s">
        <v>6486</v>
      </c>
      <c r="B2903" s="6">
        <v>44493</v>
      </c>
      <c r="C2903">
        <v>6980</v>
      </c>
      <c r="D2903" t="s">
        <v>6487</v>
      </c>
      <c r="E2903" t="s">
        <v>18</v>
      </c>
      <c r="F2903" t="s">
        <v>39</v>
      </c>
      <c r="G2903">
        <v>6908.7</v>
      </c>
      <c r="H2903">
        <v>3350.59</v>
      </c>
      <c r="I2903" t="s">
        <v>120</v>
      </c>
      <c r="J2903" t="s">
        <v>21</v>
      </c>
      <c r="K2903" t="s">
        <v>32</v>
      </c>
      <c r="L2903" t="s">
        <v>64</v>
      </c>
      <c r="M2903">
        <v>4</v>
      </c>
      <c r="N2903" t="s">
        <v>33</v>
      </c>
      <c r="O2903" t="s">
        <v>25</v>
      </c>
      <c r="P2903" t="s">
        <v>26</v>
      </c>
    </row>
    <row r="2904" spans="1:16" x14ac:dyDescent="0.25">
      <c r="A2904" t="s">
        <v>6488</v>
      </c>
      <c r="B2904" s="6">
        <v>45558</v>
      </c>
      <c r="C2904">
        <v>7613</v>
      </c>
      <c r="D2904" t="s">
        <v>6489</v>
      </c>
      <c r="E2904" t="s">
        <v>18</v>
      </c>
      <c r="F2904" t="s">
        <v>58</v>
      </c>
      <c r="G2904">
        <v>20577</v>
      </c>
      <c r="H2904">
        <v>11289.02</v>
      </c>
      <c r="I2904" t="s">
        <v>53</v>
      </c>
      <c r="J2904" t="s">
        <v>54</v>
      </c>
      <c r="K2904" t="s">
        <v>22</v>
      </c>
      <c r="L2904" t="s">
        <v>64</v>
      </c>
      <c r="M2904">
        <v>2</v>
      </c>
      <c r="N2904" t="s">
        <v>33</v>
      </c>
      <c r="O2904" t="s">
        <v>70</v>
      </c>
      <c r="P2904" t="s">
        <v>34</v>
      </c>
    </row>
    <row r="2905" spans="1:16" x14ac:dyDescent="0.25">
      <c r="A2905" t="s">
        <v>6490</v>
      </c>
      <c r="B2905" s="6">
        <v>45054</v>
      </c>
      <c r="C2905">
        <v>2443</v>
      </c>
      <c r="D2905" t="s">
        <v>6492</v>
      </c>
      <c r="E2905" t="s">
        <v>38</v>
      </c>
      <c r="F2905" t="s">
        <v>58</v>
      </c>
      <c r="G2905">
        <v>29656.85</v>
      </c>
      <c r="H2905">
        <v>13787.69</v>
      </c>
      <c r="I2905" t="s">
        <v>20</v>
      </c>
      <c r="J2905" t="s">
        <v>21</v>
      </c>
      <c r="K2905" t="s">
        <v>32</v>
      </c>
      <c r="L2905" t="s">
        <v>64</v>
      </c>
      <c r="M2905">
        <v>5</v>
      </c>
      <c r="N2905" t="s">
        <v>24</v>
      </c>
      <c r="O2905" t="s">
        <v>70</v>
      </c>
      <c r="P2905" t="s">
        <v>49</v>
      </c>
    </row>
    <row r="2906" spans="1:16" x14ac:dyDescent="0.25">
      <c r="A2906" t="s">
        <v>6493</v>
      </c>
      <c r="B2906" s="6">
        <v>45321</v>
      </c>
      <c r="C2906">
        <v>3543</v>
      </c>
      <c r="D2906" t="s">
        <v>6494</v>
      </c>
      <c r="E2906" t="s">
        <v>18</v>
      </c>
      <c r="F2906" t="s">
        <v>30</v>
      </c>
      <c r="G2906">
        <v>104192.62</v>
      </c>
      <c r="H2906">
        <v>60353.53</v>
      </c>
      <c r="I2906" t="s">
        <v>84</v>
      </c>
      <c r="J2906" t="s">
        <v>54</v>
      </c>
      <c r="K2906" t="s">
        <v>22</v>
      </c>
      <c r="L2906" t="s">
        <v>88</v>
      </c>
      <c r="M2906">
        <v>4</v>
      </c>
      <c r="N2906" t="s">
        <v>24</v>
      </c>
      <c r="O2906" t="s">
        <v>25</v>
      </c>
      <c r="P2906" t="s">
        <v>34</v>
      </c>
    </row>
    <row r="2907" spans="1:16" x14ac:dyDescent="0.25">
      <c r="A2907" t="s">
        <v>6495</v>
      </c>
      <c r="B2907" s="6">
        <v>45416</v>
      </c>
      <c r="C2907">
        <v>1700</v>
      </c>
      <c r="D2907" t="s">
        <v>6496</v>
      </c>
      <c r="E2907" t="s">
        <v>38</v>
      </c>
      <c r="F2907" t="s">
        <v>30</v>
      </c>
      <c r="G2907">
        <v>36329.56</v>
      </c>
      <c r="H2907">
        <v>18531.8</v>
      </c>
      <c r="I2907" t="s">
        <v>53</v>
      </c>
      <c r="J2907" t="s">
        <v>54</v>
      </c>
      <c r="K2907" t="s">
        <v>80</v>
      </c>
      <c r="L2907" t="s">
        <v>55</v>
      </c>
      <c r="M2907">
        <v>1</v>
      </c>
      <c r="N2907" t="s">
        <v>33</v>
      </c>
      <c r="O2907" t="s">
        <v>70</v>
      </c>
      <c r="P2907" t="s">
        <v>49</v>
      </c>
    </row>
    <row r="2908" spans="1:16" x14ac:dyDescent="0.25">
      <c r="A2908" t="s">
        <v>6497</v>
      </c>
      <c r="B2908" s="6">
        <v>44186</v>
      </c>
      <c r="C2908">
        <v>9164</v>
      </c>
      <c r="D2908" t="s">
        <v>6498</v>
      </c>
      <c r="E2908" t="s">
        <v>18</v>
      </c>
      <c r="F2908" t="s">
        <v>39</v>
      </c>
      <c r="G2908">
        <v>5135.1099999999997</v>
      </c>
      <c r="H2908">
        <v>2902.37</v>
      </c>
      <c r="I2908" t="s">
        <v>68</v>
      </c>
      <c r="J2908" t="s">
        <v>41</v>
      </c>
      <c r="K2908" t="s">
        <v>80</v>
      </c>
      <c r="L2908" t="s">
        <v>64</v>
      </c>
      <c r="M2908">
        <v>1</v>
      </c>
      <c r="N2908" t="s">
        <v>69</v>
      </c>
      <c r="O2908" t="s">
        <v>25</v>
      </c>
      <c r="P2908" t="s">
        <v>26</v>
      </c>
    </row>
    <row r="2909" spans="1:16" x14ac:dyDescent="0.25">
      <c r="A2909" t="s">
        <v>6499</v>
      </c>
      <c r="B2909" s="6">
        <v>43981</v>
      </c>
      <c r="C2909">
        <v>2723</v>
      </c>
      <c r="D2909" t="s">
        <v>6500</v>
      </c>
      <c r="E2909" t="s">
        <v>18</v>
      </c>
      <c r="F2909" t="s">
        <v>47</v>
      </c>
      <c r="G2909">
        <v>1667.45</v>
      </c>
      <c r="H2909">
        <v>937.72</v>
      </c>
      <c r="I2909" t="s">
        <v>40</v>
      </c>
      <c r="J2909" t="s">
        <v>41</v>
      </c>
      <c r="K2909" t="s">
        <v>80</v>
      </c>
      <c r="L2909" t="s">
        <v>23</v>
      </c>
      <c r="M2909">
        <v>3</v>
      </c>
      <c r="N2909" t="s">
        <v>24</v>
      </c>
      <c r="O2909" t="s">
        <v>25</v>
      </c>
      <c r="P2909" t="s">
        <v>34</v>
      </c>
    </row>
    <row r="2910" spans="1:16" x14ac:dyDescent="0.25">
      <c r="A2910" t="s">
        <v>6501</v>
      </c>
      <c r="B2910" s="6">
        <v>45211</v>
      </c>
      <c r="C2910">
        <v>2150</v>
      </c>
      <c r="D2910" t="s">
        <v>6502</v>
      </c>
      <c r="E2910" t="s">
        <v>38</v>
      </c>
      <c r="F2910" t="s">
        <v>47</v>
      </c>
      <c r="G2910">
        <v>19435.03</v>
      </c>
      <c r="H2910">
        <v>11866.97</v>
      </c>
      <c r="I2910" t="s">
        <v>63</v>
      </c>
      <c r="J2910" t="s">
        <v>54</v>
      </c>
      <c r="K2910" t="s">
        <v>32</v>
      </c>
      <c r="L2910" t="s">
        <v>64</v>
      </c>
      <c r="M2910">
        <v>4</v>
      </c>
      <c r="N2910" t="s">
        <v>69</v>
      </c>
      <c r="O2910" t="s">
        <v>25</v>
      </c>
      <c r="P2910" t="s">
        <v>34</v>
      </c>
    </row>
    <row r="2911" spans="1:16" x14ac:dyDescent="0.25">
      <c r="A2911" t="s">
        <v>6503</v>
      </c>
      <c r="B2911" s="6">
        <v>45096</v>
      </c>
      <c r="C2911">
        <v>2085</v>
      </c>
      <c r="D2911" t="s">
        <v>983</v>
      </c>
      <c r="E2911" t="s">
        <v>18</v>
      </c>
      <c r="F2911" t="s">
        <v>30</v>
      </c>
      <c r="G2911">
        <v>36015.97</v>
      </c>
      <c r="H2911">
        <v>20305.88</v>
      </c>
      <c r="I2911" t="s">
        <v>68</v>
      </c>
      <c r="J2911" t="s">
        <v>41</v>
      </c>
      <c r="K2911" t="s">
        <v>22</v>
      </c>
      <c r="L2911" t="s">
        <v>64</v>
      </c>
      <c r="M2911">
        <v>3</v>
      </c>
      <c r="N2911" t="s">
        <v>24</v>
      </c>
      <c r="O2911" t="s">
        <v>25</v>
      </c>
      <c r="P2911" t="s">
        <v>49</v>
      </c>
    </row>
    <row r="2912" spans="1:16" x14ac:dyDescent="0.25">
      <c r="A2912" t="s">
        <v>6504</v>
      </c>
      <c r="B2912" s="6">
        <v>44409</v>
      </c>
      <c r="C2912">
        <v>4992</v>
      </c>
      <c r="D2912" t="s">
        <v>6312</v>
      </c>
      <c r="E2912" t="s">
        <v>18</v>
      </c>
      <c r="F2912" t="s">
        <v>39</v>
      </c>
      <c r="G2912">
        <v>23149.62</v>
      </c>
      <c r="H2912">
        <v>14280.08</v>
      </c>
      <c r="I2912" t="s">
        <v>84</v>
      </c>
      <c r="J2912" t="s">
        <v>54</v>
      </c>
      <c r="K2912" t="s">
        <v>42</v>
      </c>
      <c r="L2912" t="s">
        <v>64</v>
      </c>
      <c r="M2912">
        <v>1</v>
      </c>
      <c r="N2912" t="s">
        <v>69</v>
      </c>
      <c r="O2912" t="s">
        <v>25</v>
      </c>
      <c r="P2912" t="s">
        <v>34</v>
      </c>
    </row>
    <row r="2913" spans="1:16" x14ac:dyDescent="0.25">
      <c r="A2913" t="s">
        <v>6505</v>
      </c>
      <c r="B2913" s="6">
        <v>45560</v>
      </c>
      <c r="C2913">
        <v>3262</v>
      </c>
      <c r="D2913" t="s">
        <v>6506</v>
      </c>
      <c r="E2913" t="s">
        <v>38</v>
      </c>
      <c r="F2913" t="s">
        <v>30</v>
      </c>
      <c r="G2913">
        <v>123616.98</v>
      </c>
      <c r="H2913">
        <v>68115.460000000006</v>
      </c>
      <c r="I2913" t="s">
        <v>53</v>
      </c>
      <c r="J2913" t="s">
        <v>54</v>
      </c>
      <c r="K2913" t="s">
        <v>80</v>
      </c>
      <c r="L2913" t="s">
        <v>55</v>
      </c>
      <c r="M2913">
        <v>5</v>
      </c>
      <c r="N2913" t="s">
        <v>69</v>
      </c>
      <c r="O2913" t="s">
        <v>70</v>
      </c>
      <c r="P2913" t="s">
        <v>49</v>
      </c>
    </row>
    <row r="2914" spans="1:16" x14ac:dyDescent="0.25">
      <c r="A2914" t="s">
        <v>6507</v>
      </c>
      <c r="B2914" s="6">
        <v>44851</v>
      </c>
      <c r="C2914">
        <v>4114</v>
      </c>
      <c r="D2914" t="s">
        <v>6508</v>
      </c>
      <c r="E2914" t="s">
        <v>38</v>
      </c>
      <c r="F2914" t="s">
        <v>30</v>
      </c>
      <c r="G2914">
        <v>11054.85</v>
      </c>
      <c r="H2914">
        <v>5263.27</v>
      </c>
      <c r="I2914" t="s">
        <v>68</v>
      </c>
      <c r="J2914" t="s">
        <v>41</v>
      </c>
      <c r="K2914" t="s">
        <v>42</v>
      </c>
      <c r="L2914" t="s">
        <v>88</v>
      </c>
      <c r="M2914">
        <v>1</v>
      </c>
      <c r="N2914" t="s">
        <v>33</v>
      </c>
      <c r="O2914" t="s">
        <v>70</v>
      </c>
      <c r="P2914" t="s">
        <v>34</v>
      </c>
    </row>
    <row r="2915" spans="1:16" x14ac:dyDescent="0.25">
      <c r="A2915" t="s">
        <v>6509</v>
      </c>
      <c r="B2915" s="6">
        <v>45556</v>
      </c>
      <c r="C2915">
        <v>6453</v>
      </c>
      <c r="D2915" t="s">
        <v>6510</v>
      </c>
      <c r="E2915" t="s">
        <v>18</v>
      </c>
      <c r="F2915" t="s">
        <v>58</v>
      </c>
      <c r="G2915">
        <v>52232.66</v>
      </c>
      <c r="H2915">
        <v>31433.86</v>
      </c>
      <c r="I2915" t="s">
        <v>20</v>
      </c>
      <c r="J2915" t="s">
        <v>21</v>
      </c>
      <c r="K2915" t="s">
        <v>22</v>
      </c>
      <c r="L2915" t="s">
        <v>23</v>
      </c>
      <c r="M2915">
        <v>4</v>
      </c>
      <c r="N2915" t="s">
        <v>24</v>
      </c>
      <c r="O2915" t="s">
        <v>25</v>
      </c>
      <c r="P2915" t="s">
        <v>26</v>
      </c>
    </row>
    <row r="2916" spans="1:16" x14ac:dyDescent="0.25">
      <c r="A2916" t="s">
        <v>6511</v>
      </c>
      <c r="B2916" s="6">
        <v>45307</v>
      </c>
      <c r="C2916">
        <v>4504</v>
      </c>
      <c r="D2916" t="s">
        <v>1544</v>
      </c>
      <c r="E2916" t="s">
        <v>38</v>
      </c>
      <c r="F2916" t="s">
        <v>39</v>
      </c>
      <c r="G2916">
        <v>19287.78</v>
      </c>
      <c r="H2916">
        <v>11091</v>
      </c>
      <c r="I2916" t="s">
        <v>20</v>
      </c>
      <c r="J2916" t="s">
        <v>21</v>
      </c>
      <c r="K2916" t="s">
        <v>80</v>
      </c>
      <c r="L2916" t="s">
        <v>43</v>
      </c>
      <c r="M2916">
        <v>5</v>
      </c>
      <c r="N2916" t="s">
        <v>69</v>
      </c>
      <c r="O2916" t="s">
        <v>25</v>
      </c>
      <c r="P2916" t="s">
        <v>34</v>
      </c>
    </row>
    <row r="2917" spans="1:16" x14ac:dyDescent="0.25">
      <c r="A2917" t="s">
        <v>6512</v>
      </c>
      <c r="B2917" s="6">
        <v>44614</v>
      </c>
      <c r="C2917">
        <v>8577</v>
      </c>
      <c r="D2917" t="s">
        <v>6513</v>
      </c>
      <c r="E2917" t="s">
        <v>18</v>
      </c>
      <c r="F2917" t="s">
        <v>58</v>
      </c>
      <c r="G2917">
        <v>48078.19</v>
      </c>
      <c r="H2917">
        <v>29788.89</v>
      </c>
      <c r="I2917" t="s">
        <v>63</v>
      </c>
      <c r="J2917" t="s">
        <v>54</v>
      </c>
      <c r="K2917" t="s">
        <v>32</v>
      </c>
      <c r="L2917" t="s">
        <v>43</v>
      </c>
      <c r="M2917">
        <v>2</v>
      </c>
      <c r="N2917" t="s">
        <v>24</v>
      </c>
      <c r="O2917" t="s">
        <v>25</v>
      </c>
      <c r="P2917" t="s">
        <v>49</v>
      </c>
    </row>
    <row r="2918" spans="1:16" x14ac:dyDescent="0.25">
      <c r="A2918" t="s">
        <v>6514</v>
      </c>
      <c r="B2918" s="6">
        <v>45593</v>
      </c>
      <c r="C2918">
        <v>3975</v>
      </c>
      <c r="D2918" t="s">
        <v>6515</v>
      </c>
      <c r="E2918" t="s">
        <v>38</v>
      </c>
      <c r="F2918" t="s">
        <v>19</v>
      </c>
      <c r="G2918">
        <v>24863.69</v>
      </c>
      <c r="H2918">
        <v>11516.66</v>
      </c>
      <c r="I2918" t="s">
        <v>63</v>
      </c>
      <c r="J2918" t="s">
        <v>54</v>
      </c>
      <c r="K2918" t="s">
        <v>80</v>
      </c>
      <c r="L2918" t="s">
        <v>88</v>
      </c>
      <c r="M2918">
        <v>4</v>
      </c>
      <c r="N2918" t="s">
        <v>33</v>
      </c>
      <c r="O2918" t="s">
        <v>25</v>
      </c>
      <c r="P2918" t="s">
        <v>34</v>
      </c>
    </row>
    <row r="2919" spans="1:16" x14ac:dyDescent="0.25">
      <c r="A2919" t="s">
        <v>6516</v>
      </c>
      <c r="B2919" s="6">
        <v>44932</v>
      </c>
      <c r="C2919">
        <v>9116</v>
      </c>
      <c r="D2919" t="s">
        <v>3372</v>
      </c>
      <c r="E2919" t="s">
        <v>18</v>
      </c>
      <c r="F2919" t="s">
        <v>19</v>
      </c>
      <c r="G2919">
        <v>17101.810000000001</v>
      </c>
      <c r="H2919">
        <v>9044.44</v>
      </c>
      <c r="I2919" t="s">
        <v>20</v>
      </c>
      <c r="J2919" t="s">
        <v>21</v>
      </c>
      <c r="K2919" t="s">
        <v>42</v>
      </c>
      <c r="L2919" t="s">
        <v>88</v>
      </c>
      <c r="M2919">
        <v>4</v>
      </c>
      <c r="N2919" t="s">
        <v>33</v>
      </c>
      <c r="O2919" t="s">
        <v>70</v>
      </c>
      <c r="P2919" t="s">
        <v>34</v>
      </c>
    </row>
    <row r="2920" spans="1:16" x14ac:dyDescent="0.25">
      <c r="A2920" t="s">
        <v>6517</v>
      </c>
      <c r="B2920" s="6">
        <v>45512</v>
      </c>
      <c r="C2920">
        <v>2907</v>
      </c>
      <c r="D2920" t="s">
        <v>6518</v>
      </c>
      <c r="E2920" t="s">
        <v>38</v>
      </c>
      <c r="F2920" t="s">
        <v>39</v>
      </c>
      <c r="G2920">
        <v>53990.879999999997</v>
      </c>
      <c r="H2920">
        <v>32978.54</v>
      </c>
      <c r="I2920" t="s">
        <v>84</v>
      </c>
      <c r="J2920" t="s">
        <v>54</v>
      </c>
      <c r="K2920" t="s">
        <v>22</v>
      </c>
      <c r="L2920" t="s">
        <v>48</v>
      </c>
      <c r="M2920">
        <v>3</v>
      </c>
      <c r="N2920" t="s">
        <v>33</v>
      </c>
      <c r="O2920" t="s">
        <v>25</v>
      </c>
      <c r="P2920" t="s">
        <v>34</v>
      </c>
    </row>
    <row r="2921" spans="1:16" x14ac:dyDescent="0.25">
      <c r="A2921" t="s">
        <v>6519</v>
      </c>
      <c r="B2921" s="6">
        <v>44753</v>
      </c>
      <c r="C2921">
        <v>8586</v>
      </c>
      <c r="D2921" t="s">
        <v>6520</v>
      </c>
      <c r="E2921" t="s">
        <v>18</v>
      </c>
      <c r="F2921" t="s">
        <v>58</v>
      </c>
      <c r="G2921">
        <v>32255.78</v>
      </c>
      <c r="H2921">
        <v>16407.560000000001</v>
      </c>
      <c r="I2921" t="s">
        <v>84</v>
      </c>
      <c r="J2921" t="s">
        <v>54</v>
      </c>
      <c r="K2921" t="s">
        <v>32</v>
      </c>
      <c r="L2921" t="s">
        <v>48</v>
      </c>
      <c r="M2921">
        <v>4</v>
      </c>
      <c r="N2921" t="s">
        <v>69</v>
      </c>
      <c r="O2921" t="s">
        <v>70</v>
      </c>
      <c r="P2921" t="s">
        <v>34</v>
      </c>
    </row>
    <row r="2922" spans="1:16" x14ac:dyDescent="0.25">
      <c r="A2922" t="s">
        <v>6521</v>
      </c>
      <c r="B2922" s="6">
        <v>45488</v>
      </c>
      <c r="C2922">
        <v>4121</v>
      </c>
      <c r="D2922" t="s">
        <v>6522</v>
      </c>
      <c r="E2922" t="s">
        <v>38</v>
      </c>
      <c r="F2922" t="s">
        <v>39</v>
      </c>
      <c r="G2922">
        <v>40711.410000000003</v>
      </c>
      <c r="H2922">
        <v>19791.11</v>
      </c>
      <c r="I2922" t="s">
        <v>120</v>
      </c>
      <c r="J2922" t="s">
        <v>21</v>
      </c>
      <c r="K2922" t="s">
        <v>22</v>
      </c>
      <c r="L2922" t="s">
        <v>88</v>
      </c>
      <c r="M2922">
        <v>2</v>
      </c>
      <c r="N2922" t="s">
        <v>33</v>
      </c>
      <c r="O2922" t="s">
        <v>25</v>
      </c>
      <c r="P2922" t="s">
        <v>26</v>
      </c>
    </row>
    <row r="2923" spans="1:16" x14ac:dyDescent="0.25">
      <c r="A2923" t="s">
        <v>6523</v>
      </c>
      <c r="B2923" s="6">
        <v>45149</v>
      </c>
      <c r="C2923">
        <v>7557</v>
      </c>
      <c r="D2923" t="s">
        <v>6525</v>
      </c>
      <c r="E2923" t="s">
        <v>38</v>
      </c>
      <c r="F2923" t="s">
        <v>30</v>
      </c>
      <c r="G2923">
        <v>56056.67</v>
      </c>
      <c r="H2923">
        <v>31355.13</v>
      </c>
      <c r="I2923" t="s">
        <v>59</v>
      </c>
      <c r="J2923" t="s">
        <v>41</v>
      </c>
      <c r="K2923" t="s">
        <v>22</v>
      </c>
      <c r="L2923" t="s">
        <v>43</v>
      </c>
      <c r="M2923">
        <v>4</v>
      </c>
      <c r="N2923" t="s">
        <v>24</v>
      </c>
      <c r="O2923" t="s">
        <v>25</v>
      </c>
      <c r="P2923" t="s">
        <v>26</v>
      </c>
    </row>
    <row r="2924" spans="1:16" x14ac:dyDescent="0.25">
      <c r="A2924" t="s">
        <v>6526</v>
      </c>
      <c r="B2924" s="6">
        <v>44311</v>
      </c>
      <c r="C2924">
        <v>9625</v>
      </c>
      <c r="D2924" t="s">
        <v>6527</v>
      </c>
      <c r="E2924" t="s">
        <v>38</v>
      </c>
      <c r="F2924" t="s">
        <v>19</v>
      </c>
      <c r="G2924">
        <v>7416.89</v>
      </c>
      <c r="H2924">
        <v>3493.8</v>
      </c>
      <c r="I2924" t="s">
        <v>53</v>
      </c>
      <c r="J2924" t="s">
        <v>54</v>
      </c>
      <c r="K2924" t="s">
        <v>80</v>
      </c>
      <c r="L2924" t="s">
        <v>55</v>
      </c>
      <c r="M2924">
        <v>5</v>
      </c>
      <c r="N2924" t="s">
        <v>69</v>
      </c>
      <c r="O2924" t="s">
        <v>70</v>
      </c>
      <c r="P2924" t="s">
        <v>49</v>
      </c>
    </row>
    <row r="2925" spans="1:16" x14ac:dyDescent="0.25">
      <c r="A2925" t="s">
        <v>6528</v>
      </c>
      <c r="B2925" s="6">
        <v>45602</v>
      </c>
      <c r="C2925">
        <v>1360</v>
      </c>
      <c r="D2925" t="s">
        <v>5634</v>
      </c>
      <c r="E2925" t="s">
        <v>38</v>
      </c>
      <c r="F2925" t="s">
        <v>58</v>
      </c>
      <c r="G2925">
        <v>28334</v>
      </c>
      <c r="H2925">
        <v>18098.36</v>
      </c>
      <c r="I2925" t="s">
        <v>63</v>
      </c>
      <c r="J2925" t="s">
        <v>54</v>
      </c>
      <c r="K2925" t="s">
        <v>22</v>
      </c>
      <c r="L2925" t="s">
        <v>48</v>
      </c>
      <c r="M2925">
        <v>2</v>
      </c>
      <c r="N2925" t="s">
        <v>33</v>
      </c>
      <c r="O2925" t="s">
        <v>25</v>
      </c>
      <c r="P2925" t="s">
        <v>49</v>
      </c>
    </row>
    <row r="2926" spans="1:16" x14ac:dyDescent="0.25">
      <c r="A2926" t="s">
        <v>6529</v>
      </c>
      <c r="B2926" s="6">
        <v>44947</v>
      </c>
      <c r="C2926">
        <v>4039</v>
      </c>
      <c r="D2926" t="s">
        <v>6530</v>
      </c>
      <c r="E2926" t="s">
        <v>38</v>
      </c>
      <c r="F2926" t="s">
        <v>30</v>
      </c>
      <c r="G2926">
        <v>56964.32</v>
      </c>
      <c r="H2926">
        <v>34539.08</v>
      </c>
      <c r="I2926" t="s">
        <v>53</v>
      </c>
      <c r="J2926" t="s">
        <v>54</v>
      </c>
      <c r="K2926" t="s">
        <v>80</v>
      </c>
      <c r="L2926" t="s">
        <v>23</v>
      </c>
      <c r="M2926">
        <v>2</v>
      </c>
      <c r="N2926" t="s">
        <v>33</v>
      </c>
      <c r="O2926" t="s">
        <v>70</v>
      </c>
      <c r="P2926" t="s">
        <v>34</v>
      </c>
    </row>
    <row r="2927" spans="1:16" x14ac:dyDescent="0.25">
      <c r="A2927" t="s">
        <v>6531</v>
      </c>
      <c r="B2927" s="6">
        <v>44599</v>
      </c>
      <c r="C2927">
        <v>7066</v>
      </c>
      <c r="D2927" t="s">
        <v>2134</v>
      </c>
      <c r="E2927" t="s">
        <v>18</v>
      </c>
      <c r="F2927" t="s">
        <v>47</v>
      </c>
      <c r="G2927">
        <v>17473.7</v>
      </c>
      <c r="H2927">
        <v>8047.01</v>
      </c>
      <c r="I2927" t="s">
        <v>84</v>
      </c>
      <c r="J2927" t="s">
        <v>54</v>
      </c>
      <c r="K2927" t="s">
        <v>22</v>
      </c>
      <c r="L2927" t="s">
        <v>23</v>
      </c>
      <c r="M2927">
        <v>4</v>
      </c>
      <c r="N2927" t="s">
        <v>24</v>
      </c>
      <c r="O2927" t="s">
        <v>25</v>
      </c>
      <c r="P2927" t="s">
        <v>34</v>
      </c>
    </row>
    <row r="2928" spans="1:16" x14ac:dyDescent="0.25">
      <c r="A2928" t="s">
        <v>6532</v>
      </c>
      <c r="B2928" s="6">
        <v>45281</v>
      </c>
      <c r="C2928">
        <v>4305</v>
      </c>
      <c r="D2928" t="s">
        <v>6533</v>
      </c>
      <c r="E2928" t="s">
        <v>18</v>
      </c>
      <c r="F2928" t="s">
        <v>39</v>
      </c>
      <c r="G2928">
        <v>26516.65</v>
      </c>
      <c r="H2928">
        <v>12635.72</v>
      </c>
      <c r="I2928" t="s">
        <v>40</v>
      </c>
      <c r="J2928" t="s">
        <v>41</v>
      </c>
      <c r="K2928" t="s">
        <v>80</v>
      </c>
      <c r="L2928" t="s">
        <v>64</v>
      </c>
      <c r="M2928">
        <v>2</v>
      </c>
      <c r="N2928" t="s">
        <v>24</v>
      </c>
      <c r="O2928" t="s">
        <v>25</v>
      </c>
      <c r="P2928" t="s">
        <v>34</v>
      </c>
    </row>
    <row r="2929" spans="1:16" x14ac:dyDescent="0.25">
      <c r="A2929" t="s">
        <v>6534</v>
      </c>
      <c r="B2929" s="6">
        <v>44264</v>
      </c>
      <c r="C2929">
        <v>6009</v>
      </c>
      <c r="D2929" t="s">
        <v>6535</v>
      </c>
      <c r="E2929" t="s">
        <v>38</v>
      </c>
      <c r="F2929" t="s">
        <v>30</v>
      </c>
      <c r="G2929">
        <v>31895.360000000001</v>
      </c>
      <c r="H2929">
        <v>14505.45</v>
      </c>
      <c r="I2929" t="s">
        <v>53</v>
      </c>
      <c r="J2929" t="s">
        <v>54</v>
      </c>
      <c r="K2929" t="s">
        <v>32</v>
      </c>
      <c r="L2929" t="s">
        <v>43</v>
      </c>
      <c r="M2929">
        <v>5</v>
      </c>
      <c r="N2929" t="s">
        <v>69</v>
      </c>
      <c r="O2929" t="s">
        <v>25</v>
      </c>
      <c r="P2929" t="s">
        <v>34</v>
      </c>
    </row>
    <row r="2930" spans="1:16" x14ac:dyDescent="0.25">
      <c r="A2930" t="s">
        <v>6536</v>
      </c>
      <c r="B2930" s="6">
        <v>44863</v>
      </c>
      <c r="C2930">
        <v>7613</v>
      </c>
      <c r="D2930" t="s">
        <v>6537</v>
      </c>
      <c r="E2930" t="s">
        <v>38</v>
      </c>
      <c r="F2930" t="s">
        <v>30</v>
      </c>
      <c r="G2930">
        <v>98142.17</v>
      </c>
      <c r="H2930">
        <v>48787.39</v>
      </c>
      <c r="I2930" t="s">
        <v>84</v>
      </c>
      <c r="J2930" t="s">
        <v>54</v>
      </c>
      <c r="K2930" t="s">
        <v>80</v>
      </c>
      <c r="L2930" t="s">
        <v>64</v>
      </c>
      <c r="M2930">
        <v>4</v>
      </c>
      <c r="N2930" t="s">
        <v>33</v>
      </c>
      <c r="O2930" t="s">
        <v>25</v>
      </c>
      <c r="P2930" t="s">
        <v>34</v>
      </c>
    </row>
    <row r="2931" spans="1:16" x14ac:dyDescent="0.25">
      <c r="A2931" t="s">
        <v>6538</v>
      </c>
      <c r="B2931" s="6">
        <v>44566</v>
      </c>
      <c r="C2931">
        <v>8846</v>
      </c>
      <c r="D2931" t="s">
        <v>6539</v>
      </c>
      <c r="E2931" t="s">
        <v>38</v>
      </c>
      <c r="F2931" t="s">
        <v>47</v>
      </c>
      <c r="G2931">
        <v>4049.49</v>
      </c>
      <c r="H2931">
        <v>2561.64</v>
      </c>
      <c r="I2931" t="s">
        <v>40</v>
      </c>
      <c r="J2931" t="s">
        <v>41</v>
      </c>
      <c r="K2931" t="s">
        <v>42</v>
      </c>
      <c r="L2931" t="s">
        <v>55</v>
      </c>
      <c r="M2931">
        <v>5</v>
      </c>
      <c r="N2931" t="s">
        <v>24</v>
      </c>
      <c r="O2931" t="s">
        <v>25</v>
      </c>
      <c r="P2931" t="s">
        <v>26</v>
      </c>
    </row>
    <row r="2932" spans="1:16" x14ac:dyDescent="0.25">
      <c r="A2932" t="s">
        <v>6540</v>
      </c>
      <c r="B2932" s="6">
        <v>43975</v>
      </c>
      <c r="C2932">
        <v>5266</v>
      </c>
      <c r="D2932" t="s">
        <v>6542</v>
      </c>
      <c r="E2932" t="s">
        <v>38</v>
      </c>
      <c r="F2932" t="s">
        <v>39</v>
      </c>
      <c r="G2932">
        <v>12151.23</v>
      </c>
      <c r="H2932">
        <v>6581.21</v>
      </c>
      <c r="I2932" t="s">
        <v>31</v>
      </c>
      <c r="J2932" t="s">
        <v>21</v>
      </c>
      <c r="K2932" t="s">
        <v>80</v>
      </c>
      <c r="L2932" t="s">
        <v>23</v>
      </c>
      <c r="M2932">
        <v>3</v>
      </c>
      <c r="N2932" t="s">
        <v>33</v>
      </c>
      <c r="O2932" t="s">
        <v>25</v>
      </c>
      <c r="P2932" t="s">
        <v>26</v>
      </c>
    </row>
    <row r="2933" spans="1:16" x14ac:dyDescent="0.25">
      <c r="A2933" t="s">
        <v>6543</v>
      </c>
      <c r="B2933" s="6">
        <v>45056</v>
      </c>
      <c r="C2933">
        <v>3672</v>
      </c>
      <c r="D2933" t="s">
        <v>6544</v>
      </c>
      <c r="E2933" t="s">
        <v>38</v>
      </c>
      <c r="F2933" t="s">
        <v>58</v>
      </c>
      <c r="G2933">
        <v>20997.66</v>
      </c>
      <c r="H2933">
        <v>9679.14</v>
      </c>
      <c r="I2933" t="s">
        <v>120</v>
      </c>
      <c r="J2933" t="s">
        <v>21</v>
      </c>
      <c r="K2933" t="s">
        <v>42</v>
      </c>
      <c r="L2933" t="s">
        <v>55</v>
      </c>
      <c r="M2933">
        <v>5</v>
      </c>
      <c r="N2933" t="s">
        <v>33</v>
      </c>
      <c r="O2933" t="s">
        <v>25</v>
      </c>
      <c r="P2933" t="s">
        <v>34</v>
      </c>
    </row>
    <row r="2934" spans="1:16" x14ac:dyDescent="0.25">
      <c r="A2934" t="s">
        <v>6545</v>
      </c>
      <c r="B2934" s="6">
        <v>45213</v>
      </c>
      <c r="C2934">
        <v>4741</v>
      </c>
      <c r="D2934" t="s">
        <v>6547</v>
      </c>
      <c r="E2934" t="s">
        <v>38</v>
      </c>
      <c r="F2934" t="s">
        <v>39</v>
      </c>
      <c r="G2934">
        <v>28509.24</v>
      </c>
      <c r="H2934">
        <v>18243.86</v>
      </c>
      <c r="I2934" t="s">
        <v>63</v>
      </c>
      <c r="J2934" t="s">
        <v>54</v>
      </c>
      <c r="K2934" t="s">
        <v>22</v>
      </c>
      <c r="L2934" t="s">
        <v>48</v>
      </c>
      <c r="M2934">
        <v>1</v>
      </c>
      <c r="N2934" t="s">
        <v>24</v>
      </c>
      <c r="O2934" t="s">
        <v>70</v>
      </c>
      <c r="P2934" t="s">
        <v>49</v>
      </c>
    </row>
    <row r="2935" spans="1:16" x14ac:dyDescent="0.25">
      <c r="A2935" t="s">
        <v>6548</v>
      </c>
      <c r="B2935" s="6">
        <v>45475</v>
      </c>
      <c r="C2935">
        <v>2741</v>
      </c>
      <c r="D2935" t="s">
        <v>6549</v>
      </c>
      <c r="E2935" t="s">
        <v>18</v>
      </c>
      <c r="F2935" t="s">
        <v>58</v>
      </c>
      <c r="G2935">
        <v>36627.019999999997</v>
      </c>
      <c r="H2935">
        <v>21407.37</v>
      </c>
      <c r="I2935" t="s">
        <v>120</v>
      </c>
      <c r="J2935" t="s">
        <v>21</v>
      </c>
      <c r="K2935" t="s">
        <v>32</v>
      </c>
      <c r="L2935" t="s">
        <v>43</v>
      </c>
      <c r="M2935">
        <v>2</v>
      </c>
      <c r="N2935" t="s">
        <v>69</v>
      </c>
      <c r="O2935" t="s">
        <v>25</v>
      </c>
      <c r="P2935" t="s">
        <v>34</v>
      </c>
    </row>
    <row r="2936" spans="1:16" x14ac:dyDescent="0.25">
      <c r="A2936" t="s">
        <v>6550</v>
      </c>
      <c r="B2936" s="6">
        <v>44908</v>
      </c>
      <c r="C2936">
        <v>5011</v>
      </c>
      <c r="D2936" t="s">
        <v>6551</v>
      </c>
      <c r="E2936" t="s">
        <v>18</v>
      </c>
      <c r="F2936" t="s">
        <v>19</v>
      </c>
      <c r="G2936">
        <v>10923.43</v>
      </c>
      <c r="H2936">
        <v>5962.45</v>
      </c>
      <c r="I2936" t="s">
        <v>59</v>
      </c>
      <c r="J2936" t="s">
        <v>41</v>
      </c>
      <c r="K2936" t="s">
        <v>80</v>
      </c>
      <c r="L2936" t="s">
        <v>55</v>
      </c>
      <c r="M2936">
        <v>5</v>
      </c>
      <c r="N2936" t="s">
        <v>33</v>
      </c>
      <c r="O2936" t="s">
        <v>25</v>
      </c>
      <c r="P2936" t="s">
        <v>49</v>
      </c>
    </row>
    <row r="2937" spans="1:16" x14ac:dyDescent="0.25">
      <c r="A2937" t="s">
        <v>6552</v>
      </c>
      <c r="B2937" s="6">
        <v>44681</v>
      </c>
      <c r="C2937">
        <v>7427</v>
      </c>
      <c r="D2937" t="s">
        <v>6553</v>
      </c>
      <c r="E2937" t="s">
        <v>18</v>
      </c>
      <c r="F2937" t="s">
        <v>39</v>
      </c>
      <c r="G2937">
        <v>39728.370000000003</v>
      </c>
      <c r="H2937">
        <v>18826.32</v>
      </c>
      <c r="I2937" t="s">
        <v>84</v>
      </c>
      <c r="J2937" t="s">
        <v>54</v>
      </c>
      <c r="K2937" t="s">
        <v>22</v>
      </c>
      <c r="L2937" t="s">
        <v>23</v>
      </c>
      <c r="M2937">
        <v>2</v>
      </c>
      <c r="N2937" t="s">
        <v>24</v>
      </c>
      <c r="O2937" t="s">
        <v>25</v>
      </c>
      <c r="P2937" t="s">
        <v>34</v>
      </c>
    </row>
    <row r="2938" spans="1:16" x14ac:dyDescent="0.25">
      <c r="A2938" t="s">
        <v>6554</v>
      </c>
      <c r="B2938" s="6">
        <v>44874</v>
      </c>
      <c r="C2938">
        <v>7592</v>
      </c>
      <c r="D2938" t="s">
        <v>6555</v>
      </c>
      <c r="E2938" t="s">
        <v>38</v>
      </c>
      <c r="F2938" t="s">
        <v>30</v>
      </c>
      <c r="G2938">
        <v>38737.519999999997</v>
      </c>
      <c r="H2938">
        <v>23824.02</v>
      </c>
      <c r="I2938" t="s">
        <v>31</v>
      </c>
      <c r="J2938" t="s">
        <v>21</v>
      </c>
      <c r="K2938" t="s">
        <v>80</v>
      </c>
      <c r="L2938" t="s">
        <v>64</v>
      </c>
      <c r="M2938">
        <v>1</v>
      </c>
      <c r="N2938" t="s">
        <v>24</v>
      </c>
      <c r="O2938" t="s">
        <v>25</v>
      </c>
      <c r="P2938" t="s">
        <v>34</v>
      </c>
    </row>
    <row r="2939" spans="1:16" x14ac:dyDescent="0.25">
      <c r="A2939" t="s">
        <v>6556</v>
      </c>
      <c r="B2939" s="6">
        <v>45624</v>
      </c>
      <c r="C2939">
        <v>5706</v>
      </c>
      <c r="D2939" t="s">
        <v>6557</v>
      </c>
      <c r="E2939" t="s">
        <v>18</v>
      </c>
      <c r="F2939" t="s">
        <v>47</v>
      </c>
      <c r="G2939">
        <v>6224.18</v>
      </c>
      <c r="H2939">
        <v>3613.46</v>
      </c>
      <c r="I2939" t="s">
        <v>63</v>
      </c>
      <c r="J2939" t="s">
        <v>54</v>
      </c>
      <c r="K2939" t="s">
        <v>80</v>
      </c>
      <c r="L2939" t="s">
        <v>23</v>
      </c>
      <c r="M2939">
        <v>1</v>
      </c>
      <c r="N2939" t="s">
        <v>69</v>
      </c>
      <c r="O2939" t="s">
        <v>70</v>
      </c>
      <c r="P2939" t="s">
        <v>26</v>
      </c>
    </row>
    <row r="2940" spans="1:16" x14ac:dyDescent="0.25">
      <c r="A2940" t="s">
        <v>6558</v>
      </c>
      <c r="B2940" s="6">
        <v>45551</v>
      </c>
      <c r="C2940">
        <v>9726</v>
      </c>
      <c r="D2940" t="s">
        <v>6559</v>
      </c>
      <c r="E2940" t="s">
        <v>18</v>
      </c>
      <c r="F2940" t="s">
        <v>30</v>
      </c>
      <c r="G2940">
        <v>98687.48</v>
      </c>
      <c r="H2940">
        <v>59999.16</v>
      </c>
      <c r="I2940" t="s">
        <v>31</v>
      </c>
      <c r="J2940" t="s">
        <v>21</v>
      </c>
      <c r="K2940" t="s">
        <v>32</v>
      </c>
      <c r="L2940" t="s">
        <v>55</v>
      </c>
      <c r="M2940">
        <v>3</v>
      </c>
      <c r="N2940" t="s">
        <v>33</v>
      </c>
      <c r="O2940" t="s">
        <v>25</v>
      </c>
      <c r="P2940" t="s">
        <v>26</v>
      </c>
    </row>
    <row r="2941" spans="1:16" x14ac:dyDescent="0.25">
      <c r="A2941" t="s">
        <v>6560</v>
      </c>
      <c r="B2941" s="6">
        <v>44776</v>
      </c>
      <c r="C2941">
        <v>1646</v>
      </c>
      <c r="D2941" t="s">
        <v>6561</v>
      </c>
      <c r="E2941" t="s">
        <v>18</v>
      </c>
      <c r="F2941" t="s">
        <v>39</v>
      </c>
      <c r="G2941">
        <v>45124.52</v>
      </c>
      <c r="H2941">
        <v>25730.99</v>
      </c>
      <c r="I2941" t="s">
        <v>53</v>
      </c>
      <c r="J2941" t="s">
        <v>54</v>
      </c>
      <c r="K2941" t="s">
        <v>32</v>
      </c>
      <c r="L2941" t="s">
        <v>23</v>
      </c>
      <c r="M2941">
        <v>1</v>
      </c>
      <c r="N2941" t="s">
        <v>24</v>
      </c>
      <c r="O2941" t="s">
        <v>25</v>
      </c>
      <c r="P2941" t="s">
        <v>34</v>
      </c>
    </row>
    <row r="2942" spans="1:16" x14ac:dyDescent="0.25">
      <c r="A2942" t="s">
        <v>6562</v>
      </c>
      <c r="B2942" s="6">
        <v>44357</v>
      </c>
      <c r="C2942">
        <v>8473</v>
      </c>
      <c r="D2942" t="s">
        <v>6564</v>
      </c>
      <c r="E2942" t="s">
        <v>38</v>
      </c>
      <c r="F2942" t="s">
        <v>47</v>
      </c>
      <c r="G2942">
        <v>9103.8700000000008</v>
      </c>
      <c r="H2942">
        <v>4582.6899999999996</v>
      </c>
      <c r="I2942" t="s">
        <v>53</v>
      </c>
      <c r="J2942" t="s">
        <v>54</v>
      </c>
      <c r="K2942" t="s">
        <v>32</v>
      </c>
      <c r="L2942" t="s">
        <v>64</v>
      </c>
      <c r="M2942">
        <v>4</v>
      </c>
      <c r="N2942" t="s">
        <v>24</v>
      </c>
      <c r="O2942" t="s">
        <v>70</v>
      </c>
      <c r="P2942" t="s">
        <v>26</v>
      </c>
    </row>
    <row r="2943" spans="1:16" x14ac:dyDescent="0.25">
      <c r="A2943" t="s">
        <v>6565</v>
      </c>
      <c r="B2943" s="6">
        <v>45584</v>
      </c>
      <c r="C2943">
        <v>4956</v>
      </c>
      <c r="D2943" t="s">
        <v>6566</v>
      </c>
      <c r="E2943" t="s">
        <v>18</v>
      </c>
      <c r="F2943" t="s">
        <v>30</v>
      </c>
      <c r="G2943">
        <v>36810.85</v>
      </c>
      <c r="H2943">
        <v>18985.02</v>
      </c>
      <c r="I2943" t="s">
        <v>20</v>
      </c>
      <c r="J2943" t="s">
        <v>21</v>
      </c>
      <c r="K2943" t="s">
        <v>42</v>
      </c>
      <c r="L2943" t="s">
        <v>23</v>
      </c>
      <c r="M2943">
        <v>1</v>
      </c>
      <c r="N2943" t="s">
        <v>33</v>
      </c>
      <c r="O2943" t="s">
        <v>25</v>
      </c>
      <c r="P2943" t="s">
        <v>34</v>
      </c>
    </row>
    <row r="2944" spans="1:16" x14ac:dyDescent="0.25">
      <c r="A2944" t="s">
        <v>6567</v>
      </c>
      <c r="B2944" s="6">
        <v>45634</v>
      </c>
      <c r="C2944">
        <v>6963</v>
      </c>
      <c r="D2944" t="s">
        <v>6568</v>
      </c>
      <c r="E2944" t="s">
        <v>18</v>
      </c>
      <c r="F2944" t="s">
        <v>58</v>
      </c>
      <c r="G2944">
        <v>52590.35</v>
      </c>
      <c r="H2944">
        <v>26624.83</v>
      </c>
      <c r="I2944" t="s">
        <v>53</v>
      </c>
      <c r="J2944" t="s">
        <v>54</v>
      </c>
      <c r="K2944" t="s">
        <v>22</v>
      </c>
      <c r="L2944" t="s">
        <v>23</v>
      </c>
      <c r="M2944">
        <v>1</v>
      </c>
      <c r="N2944" t="s">
        <v>24</v>
      </c>
      <c r="O2944" t="s">
        <v>25</v>
      </c>
      <c r="P2944" t="s">
        <v>49</v>
      </c>
    </row>
    <row r="2945" spans="1:16" x14ac:dyDescent="0.25">
      <c r="A2945" t="s">
        <v>6569</v>
      </c>
      <c r="B2945" s="6">
        <v>45253</v>
      </c>
      <c r="C2945">
        <v>7039</v>
      </c>
      <c r="D2945" t="s">
        <v>6570</v>
      </c>
      <c r="E2945" t="s">
        <v>18</v>
      </c>
      <c r="F2945" t="s">
        <v>47</v>
      </c>
      <c r="G2945">
        <v>4441.34</v>
      </c>
      <c r="H2945">
        <v>2562.2399999999998</v>
      </c>
      <c r="I2945" t="s">
        <v>59</v>
      </c>
      <c r="J2945" t="s">
        <v>41</v>
      </c>
      <c r="K2945" t="s">
        <v>80</v>
      </c>
      <c r="L2945" t="s">
        <v>88</v>
      </c>
      <c r="M2945">
        <v>3</v>
      </c>
      <c r="N2945" t="s">
        <v>33</v>
      </c>
      <c r="O2945" t="s">
        <v>70</v>
      </c>
      <c r="P2945" t="s">
        <v>26</v>
      </c>
    </row>
    <row r="2946" spans="1:16" x14ac:dyDescent="0.25">
      <c r="A2946" t="s">
        <v>6571</v>
      </c>
      <c r="B2946" s="6">
        <v>45435</v>
      </c>
      <c r="C2946">
        <v>8454</v>
      </c>
      <c r="D2946" t="s">
        <v>6572</v>
      </c>
      <c r="E2946" t="s">
        <v>18</v>
      </c>
      <c r="F2946" t="s">
        <v>39</v>
      </c>
      <c r="G2946">
        <v>20038.669999999998</v>
      </c>
      <c r="H2946">
        <v>10230.6</v>
      </c>
      <c r="I2946" t="s">
        <v>68</v>
      </c>
      <c r="J2946" t="s">
        <v>41</v>
      </c>
      <c r="K2946" t="s">
        <v>22</v>
      </c>
      <c r="L2946" t="s">
        <v>55</v>
      </c>
      <c r="M2946">
        <v>5</v>
      </c>
      <c r="N2946" t="s">
        <v>69</v>
      </c>
      <c r="O2946" t="s">
        <v>70</v>
      </c>
      <c r="P2946" t="s">
        <v>49</v>
      </c>
    </row>
    <row r="2947" spans="1:16" x14ac:dyDescent="0.25">
      <c r="A2947" t="s">
        <v>6573</v>
      </c>
      <c r="B2947" s="6">
        <v>44350</v>
      </c>
      <c r="C2947">
        <v>4443</v>
      </c>
      <c r="D2947" t="s">
        <v>6574</v>
      </c>
      <c r="E2947" t="s">
        <v>38</v>
      </c>
      <c r="F2947" t="s">
        <v>47</v>
      </c>
      <c r="G2947">
        <v>15071.52</v>
      </c>
      <c r="H2947">
        <v>7805.99</v>
      </c>
      <c r="I2947" t="s">
        <v>84</v>
      </c>
      <c r="J2947" t="s">
        <v>54</v>
      </c>
      <c r="K2947" t="s">
        <v>42</v>
      </c>
      <c r="L2947" t="s">
        <v>23</v>
      </c>
      <c r="M2947">
        <v>3</v>
      </c>
      <c r="N2947" t="s">
        <v>24</v>
      </c>
      <c r="O2947" t="s">
        <v>70</v>
      </c>
      <c r="P2947" t="s">
        <v>34</v>
      </c>
    </row>
    <row r="2948" spans="1:16" x14ac:dyDescent="0.25">
      <c r="A2948" t="s">
        <v>6575</v>
      </c>
      <c r="B2948" s="6">
        <v>44893</v>
      </c>
      <c r="C2948">
        <v>9134</v>
      </c>
      <c r="D2948" t="s">
        <v>6576</v>
      </c>
      <c r="E2948" t="s">
        <v>18</v>
      </c>
      <c r="F2948" t="s">
        <v>19</v>
      </c>
      <c r="G2948">
        <v>18740.98</v>
      </c>
      <c r="H2948">
        <v>9363.2199999999993</v>
      </c>
      <c r="I2948" t="s">
        <v>84</v>
      </c>
      <c r="J2948" t="s">
        <v>54</v>
      </c>
      <c r="K2948" t="s">
        <v>42</v>
      </c>
      <c r="L2948" t="s">
        <v>48</v>
      </c>
      <c r="M2948">
        <v>4</v>
      </c>
      <c r="N2948" t="s">
        <v>24</v>
      </c>
      <c r="O2948" t="s">
        <v>70</v>
      </c>
      <c r="P2948" t="s">
        <v>26</v>
      </c>
    </row>
    <row r="2949" spans="1:16" x14ac:dyDescent="0.25">
      <c r="A2949" t="s">
        <v>6577</v>
      </c>
      <c r="B2949" s="6">
        <v>45066</v>
      </c>
      <c r="C2949">
        <v>2445</v>
      </c>
      <c r="D2949" t="s">
        <v>6578</v>
      </c>
      <c r="E2949" t="s">
        <v>38</v>
      </c>
      <c r="F2949" t="s">
        <v>19</v>
      </c>
      <c r="G2949">
        <v>4332.76</v>
      </c>
      <c r="H2949">
        <v>2555.29</v>
      </c>
      <c r="I2949" t="s">
        <v>120</v>
      </c>
      <c r="J2949" t="s">
        <v>21</v>
      </c>
      <c r="K2949" t="s">
        <v>32</v>
      </c>
      <c r="L2949" t="s">
        <v>48</v>
      </c>
      <c r="M2949">
        <v>3</v>
      </c>
      <c r="N2949" t="s">
        <v>33</v>
      </c>
      <c r="O2949" t="s">
        <v>25</v>
      </c>
      <c r="P2949" t="s">
        <v>34</v>
      </c>
    </row>
    <row r="2950" spans="1:16" x14ac:dyDescent="0.25">
      <c r="A2950" t="s">
        <v>6579</v>
      </c>
      <c r="B2950" s="6">
        <v>43861</v>
      </c>
      <c r="C2950">
        <v>1378</v>
      </c>
      <c r="D2950" t="s">
        <v>6580</v>
      </c>
      <c r="E2950" t="s">
        <v>38</v>
      </c>
      <c r="F2950" t="s">
        <v>19</v>
      </c>
      <c r="G2950">
        <v>3806.56</v>
      </c>
      <c r="H2950">
        <v>2188.19</v>
      </c>
      <c r="I2950" t="s">
        <v>120</v>
      </c>
      <c r="J2950" t="s">
        <v>21</v>
      </c>
      <c r="K2950" t="s">
        <v>42</v>
      </c>
      <c r="L2950" t="s">
        <v>43</v>
      </c>
      <c r="M2950">
        <v>4</v>
      </c>
      <c r="N2950" t="s">
        <v>33</v>
      </c>
      <c r="O2950" t="s">
        <v>25</v>
      </c>
      <c r="P2950" t="s">
        <v>34</v>
      </c>
    </row>
    <row r="2951" spans="1:16" x14ac:dyDescent="0.25">
      <c r="A2951" t="s">
        <v>6581</v>
      </c>
      <c r="B2951" s="6">
        <v>44701</v>
      </c>
      <c r="C2951">
        <v>6068</v>
      </c>
      <c r="D2951" t="s">
        <v>6582</v>
      </c>
      <c r="E2951" t="s">
        <v>18</v>
      </c>
      <c r="F2951" t="s">
        <v>39</v>
      </c>
      <c r="G2951">
        <v>46650.45</v>
      </c>
      <c r="H2951">
        <v>26552.81</v>
      </c>
      <c r="I2951" t="s">
        <v>63</v>
      </c>
      <c r="J2951" t="s">
        <v>54</v>
      </c>
      <c r="K2951" t="s">
        <v>42</v>
      </c>
      <c r="L2951" t="s">
        <v>88</v>
      </c>
      <c r="M2951">
        <v>2</v>
      </c>
      <c r="N2951" t="s">
        <v>24</v>
      </c>
      <c r="O2951" t="s">
        <v>70</v>
      </c>
      <c r="P2951" t="s">
        <v>34</v>
      </c>
    </row>
    <row r="2952" spans="1:16" x14ac:dyDescent="0.25">
      <c r="A2952" t="s">
        <v>6583</v>
      </c>
      <c r="B2952" s="6">
        <v>44304</v>
      </c>
      <c r="C2952">
        <v>6815</v>
      </c>
      <c r="D2952" t="s">
        <v>6584</v>
      </c>
      <c r="E2952" t="s">
        <v>18</v>
      </c>
      <c r="F2952" t="s">
        <v>30</v>
      </c>
      <c r="G2952">
        <v>69509.73</v>
      </c>
      <c r="H2952">
        <v>39067.26</v>
      </c>
      <c r="I2952" t="s">
        <v>20</v>
      </c>
      <c r="J2952" t="s">
        <v>21</v>
      </c>
      <c r="K2952" t="s">
        <v>32</v>
      </c>
      <c r="L2952" t="s">
        <v>55</v>
      </c>
      <c r="M2952">
        <v>3</v>
      </c>
      <c r="N2952" t="s">
        <v>24</v>
      </c>
      <c r="O2952" t="s">
        <v>25</v>
      </c>
      <c r="P2952" t="s">
        <v>26</v>
      </c>
    </row>
    <row r="2953" spans="1:16" x14ac:dyDescent="0.25">
      <c r="A2953" t="s">
        <v>6585</v>
      </c>
      <c r="B2953" s="6">
        <v>45399</v>
      </c>
      <c r="C2953">
        <v>3606</v>
      </c>
      <c r="D2953" t="s">
        <v>6586</v>
      </c>
      <c r="E2953" t="s">
        <v>38</v>
      </c>
      <c r="F2953" t="s">
        <v>19</v>
      </c>
      <c r="G2953">
        <v>8342.59</v>
      </c>
      <c r="H2953">
        <v>5245.16</v>
      </c>
      <c r="I2953" t="s">
        <v>53</v>
      </c>
      <c r="J2953" t="s">
        <v>54</v>
      </c>
      <c r="K2953" t="s">
        <v>42</v>
      </c>
      <c r="L2953" t="s">
        <v>48</v>
      </c>
      <c r="M2953">
        <v>3</v>
      </c>
      <c r="N2953" t="s">
        <v>24</v>
      </c>
      <c r="O2953" t="s">
        <v>70</v>
      </c>
      <c r="P2953" t="s">
        <v>49</v>
      </c>
    </row>
    <row r="2954" spans="1:16" x14ac:dyDescent="0.25">
      <c r="A2954" t="s">
        <v>6587</v>
      </c>
      <c r="B2954" s="6">
        <v>44816</v>
      </c>
      <c r="C2954">
        <v>7300</v>
      </c>
      <c r="D2954" t="s">
        <v>6589</v>
      </c>
      <c r="E2954" t="s">
        <v>38</v>
      </c>
      <c r="F2954" t="s">
        <v>47</v>
      </c>
      <c r="G2954">
        <v>8749.08</v>
      </c>
      <c r="H2954">
        <v>4711.51</v>
      </c>
      <c r="I2954" t="s">
        <v>68</v>
      </c>
      <c r="J2954" t="s">
        <v>41</v>
      </c>
      <c r="K2954" t="s">
        <v>32</v>
      </c>
      <c r="L2954" t="s">
        <v>23</v>
      </c>
      <c r="M2954">
        <v>5</v>
      </c>
      <c r="N2954" t="s">
        <v>33</v>
      </c>
      <c r="O2954" t="s">
        <v>25</v>
      </c>
      <c r="P2954" t="s">
        <v>34</v>
      </c>
    </row>
    <row r="2955" spans="1:16" x14ac:dyDescent="0.25">
      <c r="A2955" t="s">
        <v>6590</v>
      </c>
      <c r="B2955" s="6">
        <v>44838</v>
      </c>
      <c r="C2955">
        <v>9330</v>
      </c>
      <c r="D2955" t="s">
        <v>6591</v>
      </c>
      <c r="E2955" t="s">
        <v>38</v>
      </c>
      <c r="F2955" t="s">
        <v>30</v>
      </c>
      <c r="G2955">
        <v>81138.87</v>
      </c>
      <c r="H2955">
        <v>45388.19</v>
      </c>
      <c r="I2955" t="s">
        <v>63</v>
      </c>
      <c r="J2955" t="s">
        <v>54</v>
      </c>
      <c r="K2955" t="s">
        <v>32</v>
      </c>
      <c r="L2955" t="s">
        <v>43</v>
      </c>
      <c r="M2955">
        <v>1</v>
      </c>
      <c r="N2955" t="s">
        <v>24</v>
      </c>
      <c r="O2955" t="s">
        <v>25</v>
      </c>
      <c r="P2955" t="s">
        <v>34</v>
      </c>
    </row>
    <row r="2956" spans="1:16" x14ac:dyDescent="0.25">
      <c r="A2956" t="s">
        <v>6592</v>
      </c>
      <c r="B2956" s="6">
        <v>44663</v>
      </c>
      <c r="C2956">
        <v>2166</v>
      </c>
      <c r="D2956" t="s">
        <v>6593</v>
      </c>
      <c r="E2956" t="s">
        <v>38</v>
      </c>
      <c r="F2956" t="s">
        <v>39</v>
      </c>
      <c r="G2956">
        <v>40619.480000000003</v>
      </c>
      <c r="H2956">
        <v>23406.27</v>
      </c>
      <c r="I2956" t="s">
        <v>84</v>
      </c>
      <c r="J2956" t="s">
        <v>54</v>
      </c>
      <c r="K2956" t="s">
        <v>42</v>
      </c>
      <c r="L2956" t="s">
        <v>64</v>
      </c>
      <c r="M2956">
        <v>1</v>
      </c>
      <c r="N2956" t="s">
        <v>69</v>
      </c>
      <c r="O2956" t="s">
        <v>70</v>
      </c>
      <c r="P2956" t="s">
        <v>34</v>
      </c>
    </row>
    <row r="2957" spans="1:16" x14ac:dyDescent="0.25">
      <c r="A2957" t="s">
        <v>6594</v>
      </c>
      <c r="B2957" s="6">
        <v>45120</v>
      </c>
      <c r="C2957">
        <v>8663</v>
      </c>
      <c r="D2957" t="s">
        <v>6595</v>
      </c>
      <c r="E2957" t="s">
        <v>18</v>
      </c>
      <c r="F2957" t="s">
        <v>19</v>
      </c>
      <c r="G2957">
        <v>14223.82</v>
      </c>
      <c r="H2957">
        <v>8995.7099999999991</v>
      </c>
      <c r="I2957" t="s">
        <v>68</v>
      </c>
      <c r="J2957" t="s">
        <v>41</v>
      </c>
      <c r="K2957" t="s">
        <v>80</v>
      </c>
      <c r="L2957" t="s">
        <v>55</v>
      </c>
      <c r="M2957">
        <v>5</v>
      </c>
      <c r="N2957" t="s">
        <v>69</v>
      </c>
      <c r="O2957" t="s">
        <v>25</v>
      </c>
      <c r="P2957" t="s">
        <v>34</v>
      </c>
    </row>
    <row r="2958" spans="1:16" x14ac:dyDescent="0.25">
      <c r="A2958" t="s">
        <v>6596</v>
      </c>
      <c r="B2958" s="6">
        <v>44943</v>
      </c>
      <c r="C2958">
        <v>3165</v>
      </c>
      <c r="D2958" t="s">
        <v>6597</v>
      </c>
      <c r="E2958" t="s">
        <v>18</v>
      </c>
      <c r="F2958" t="s">
        <v>58</v>
      </c>
      <c r="G2958">
        <v>29863.86</v>
      </c>
      <c r="H2958">
        <v>18731.03</v>
      </c>
      <c r="I2958" t="s">
        <v>120</v>
      </c>
      <c r="J2958" t="s">
        <v>21</v>
      </c>
      <c r="K2958" t="s">
        <v>32</v>
      </c>
      <c r="L2958" t="s">
        <v>55</v>
      </c>
      <c r="M2958">
        <v>3</v>
      </c>
      <c r="N2958" t="s">
        <v>33</v>
      </c>
      <c r="O2958" t="s">
        <v>70</v>
      </c>
      <c r="P2958" t="s">
        <v>26</v>
      </c>
    </row>
    <row r="2959" spans="1:16" x14ac:dyDescent="0.25">
      <c r="A2959" t="s">
        <v>6598</v>
      </c>
      <c r="B2959" s="6">
        <v>44035</v>
      </c>
      <c r="C2959">
        <v>9732</v>
      </c>
      <c r="D2959" t="s">
        <v>2613</v>
      </c>
      <c r="E2959" t="s">
        <v>38</v>
      </c>
      <c r="F2959" t="s">
        <v>58</v>
      </c>
      <c r="G2959">
        <v>14490.22</v>
      </c>
      <c r="H2959">
        <v>7954.93</v>
      </c>
      <c r="I2959" t="s">
        <v>59</v>
      </c>
      <c r="J2959" t="s">
        <v>41</v>
      </c>
      <c r="K2959" t="s">
        <v>32</v>
      </c>
      <c r="L2959" t="s">
        <v>55</v>
      </c>
      <c r="M2959">
        <v>2</v>
      </c>
      <c r="N2959" t="s">
        <v>33</v>
      </c>
      <c r="O2959" t="s">
        <v>70</v>
      </c>
      <c r="P2959" t="s">
        <v>34</v>
      </c>
    </row>
    <row r="2960" spans="1:16" x14ac:dyDescent="0.25">
      <c r="A2960" t="s">
        <v>6599</v>
      </c>
      <c r="B2960" s="6">
        <v>44444</v>
      </c>
      <c r="C2960">
        <v>9870</v>
      </c>
      <c r="D2960" t="s">
        <v>4871</v>
      </c>
      <c r="E2960" t="s">
        <v>18</v>
      </c>
      <c r="F2960" t="s">
        <v>39</v>
      </c>
      <c r="G2960">
        <v>11205.88</v>
      </c>
      <c r="H2960">
        <v>5448.02</v>
      </c>
      <c r="I2960" t="s">
        <v>53</v>
      </c>
      <c r="J2960" t="s">
        <v>54</v>
      </c>
      <c r="K2960" t="s">
        <v>32</v>
      </c>
      <c r="L2960" t="s">
        <v>64</v>
      </c>
      <c r="M2960">
        <v>4</v>
      </c>
      <c r="N2960" t="s">
        <v>69</v>
      </c>
      <c r="O2960" t="s">
        <v>70</v>
      </c>
      <c r="P2960" t="s">
        <v>49</v>
      </c>
    </row>
    <row r="2961" spans="1:16" x14ac:dyDescent="0.25">
      <c r="A2961" t="s">
        <v>6601</v>
      </c>
      <c r="B2961" s="6">
        <v>44991</v>
      </c>
      <c r="C2961">
        <v>2352</v>
      </c>
      <c r="D2961" t="s">
        <v>6602</v>
      </c>
      <c r="E2961" t="s">
        <v>38</v>
      </c>
      <c r="F2961" t="s">
        <v>30</v>
      </c>
      <c r="G2961">
        <v>58378.07</v>
      </c>
      <c r="H2961">
        <v>31177.34</v>
      </c>
      <c r="I2961" t="s">
        <v>53</v>
      </c>
      <c r="J2961" t="s">
        <v>54</v>
      </c>
      <c r="K2961" t="s">
        <v>80</v>
      </c>
      <c r="L2961" t="s">
        <v>55</v>
      </c>
      <c r="M2961">
        <v>1</v>
      </c>
      <c r="N2961" t="s">
        <v>24</v>
      </c>
      <c r="O2961" t="s">
        <v>25</v>
      </c>
      <c r="P2961" t="s">
        <v>34</v>
      </c>
    </row>
    <row r="2962" spans="1:16" x14ac:dyDescent="0.25">
      <c r="A2962" t="s">
        <v>6603</v>
      </c>
      <c r="B2962" s="6">
        <v>44555</v>
      </c>
      <c r="C2962">
        <v>9908</v>
      </c>
      <c r="D2962" t="s">
        <v>6604</v>
      </c>
      <c r="E2962" t="s">
        <v>18</v>
      </c>
      <c r="F2962" t="s">
        <v>30</v>
      </c>
      <c r="G2962">
        <v>20162.310000000001</v>
      </c>
      <c r="H2962">
        <v>11834.04</v>
      </c>
      <c r="I2962" t="s">
        <v>53</v>
      </c>
      <c r="J2962" t="s">
        <v>54</v>
      </c>
      <c r="K2962" t="s">
        <v>32</v>
      </c>
      <c r="L2962" t="s">
        <v>55</v>
      </c>
      <c r="M2962">
        <v>1</v>
      </c>
      <c r="N2962" t="s">
        <v>33</v>
      </c>
      <c r="O2962" t="s">
        <v>25</v>
      </c>
      <c r="P2962" t="s">
        <v>49</v>
      </c>
    </row>
    <row r="2963" spans="1:16" x14ac:dyDescent="0.25">
      <c r="A2963" t="s">
        <v>6605</v>
      </c>
      <c r="B2963" s="6">
        <v>44853</v>
      </c>
      <c r="C2963">
        <v>1973</v>
      </c>
      <c r="D2963" t="s">
        <v>5776</v>
      </c>
      <c r="E2963" t="s">
        <v>38</v>
      </c>
      <c r="F2963" t="s">
        <v>58</v>
      </c>
      <c r="G2963">
        <v>14191.97</v>
      </c>
      <c r="H2963">
        <v>8677.93</v>
      </c>
      <c r="I2963" t="s">
        <v>68</v>
      </c>
      <c r="J2963" t="s">
        <v>41</v>
      </c>
      <c r="K2963" t="s">
        <v>80</v>
      </c>
      <c r="L2963" t="s">
        <v>64</v>
      </c>
      <c r="M2963">
        <v>3</v>
      </c>
      <c r="N2963" t="s">
        <v>33</v>
      </c>
      <c r="O2963" t="s">
        <v>25</v>
      </c>
      <c r="P2963" t="s">
        <v>34</v>
      </c>
    </row>
    <row r="2964" spans="1:16" x14ac:dyDescent="0.25">
      <c r="A2964" t="s">
        <v>6606</v>
      </c>
      <c r="B2964" s="6">
        <v>45412</v>
      </c>
      <c r="C2964">
        <v>7517</v>
      </c>
      <c r="D2964" t="s">
        <v>6607</v>
      </c>
      <c r="E2964" t="s">
        <v>38</v>
      </c>
      <c r="F2964" t="s">
        <v>58</v>
      </c>
      <c r="G2964">
        <v>19786.37</v>
      </c>
      <c r="H2964">
        <v>9421.1</v>
      </c>
      <c r="I2964" t="s">
        <v>53</v>
      </c>
      <c r="J2964" t="s">
        <v>54</v>
      </c>
      <c r="K2964" t="s">
        <v>42</v>
      </c>
      <c r="L2964" t="s">
        <v>64</v>
      </c>
      <c r="M2964">
        <v>3</v>
      </c>
      <c r="N2964" t="s">
        <v>69</v>
      </c>
      <c r="O2964" t="s">
        <v>25</v>
      </c>
      <c r="P2964" t="s">
        <v>26</v>
      </c>
    </row>
    <row r="2965" spans="1:16" x14ac:dyDescent="0.25">
      <c r="A2965" t="s">
        <v>6608</v>
      </c>
      <c r="B2965" s="6">
        <v>45256</v>
      </c>
      <c r="C2965">
        <v>9051</v>
      </c>
      <c r="D2965" t="s">
        <v>6609</v>
      </c>
      <c r="E2965" t="s">
        <v>38</v>
      </c>
      <c r="F2965" t="s">
        <v>58</v>
      </c>
      <c r="G2965">
        <v>38018.239999999998</v>
      </c>
      <c r="H2965">
        <v>23841.59</v>
      </c>
      <c r="I2965" t="s">
        <v>53</v>
      </c>
      <c r="J2965" t="s">
        <v>54</v>
      </c>
      <c r="K2965" t="s">
        <v>32</v>
      </c>
      <c r="L2965" t="s">
        <v>55</v>
      </c>
      <c r="M2965">
        <v>3</v>
      </c>
      <c r="N2965" t="s">
        <v>33</v>
      </c>
      <c r="O2965" t="s">
        <v>25</v>
      </c>
      <c r="P2965" t="s">
        <v>26</v>
      </c>
    </row>
    <row r="2966" spans="1:16" x14ac:dyDescent="0.25">
      <c r="A2966" t="s">
        <v>6610</v>
      </c>
      <c r="B2966" s="6">
        <v>45168</v>
      </c>
      <c r="C2966">
        <v>9733</v>
      </c>
      <c r="D2966" t="s">
        <v>6611</v>
      </c>
      <c r="E2966" t="s">
        <v>18</v>
      </c>
      <c r="F2966" t="s">
        <v>58</v>
      </c>
      <c r="G2966">
        <v>40108.959999999999</v>
      </c>
      <c r="H2966">
        <v>23305.73</v>
      </c>
      <c r="I2966" t="s">
        <v>31</v>
      </c>
      <c r="J2966" t="s">
        <v>21</v>
      </c>
      <c r="K2966" t="s">
        <v>80</v>
      </c>
      <c r="L2966" t="s">
        <v>55</v>
      </c>
      <c r="M2966">
        <v>3</v>
      </c>
      <c r="N2966" t="s">
        <v>24</v>
      </c>
      <c r="O2966" t="s">
        <v>25</v>
      </c>
      <c r="P2966" t="s">
        <v>49</v>
      </c>
    </row>
    <row r="2967" spans="1:16" x14ac:dyDescent="0.25">
      <c r="A2967" t="s">
        <v>6612</v>
      </c>
      <c r="B2967" s="6">
        <v>45116</v>
      </c>
      <c r="C2967">
        <v>6974</v>
      </c>
      <c r="D2967" t="s">
        <v>6614</v>
      </c>
      <c r="E2967" t="s">
        <v>38</v>
      </c>
      <c r="F2967" t="s">
        <v>19</v>
      </c>
      <c r="G2967">
        <v>10429.530000000001</v>
      </c>
      <c r="H2967">
        <v>6542.24</v>
      </c>
      <c r="I2967" t="s">
        <v>59</v>
      </c>
      <c r="J2967" t="s">
        <v>41</v>
      </c>
      <c r="K2967" t="s">
        <v>32</v>
      </c>
      <c r="L2967" t="s">
        <v>64</v>
      </c>
      <c r="M2967">
        <v>4</v>
      </c>
      <c r="N2967" t="s">
        <v>69</v>
      </c>
      <c r="O2967" t="s">
        <v>25</v>
      </c>
      <c r="P2967" t="s">
        <v>49</v>
      </c>
    </row>
    <row r="2968" spans="1:16" x14ac:dyDescent="0.25">
      <c r="A2968" t="s">
        <v>6615</v>
      </c>
      <c r="B2968" s="6">
        <v>45334</v>
      </c>
      <c r="C2968">
        <v>4562</v>
      </c>
      <c r="D2968" t="s">
        <v>6616</v>
      </c>
      <c r="E2968" t="s">
        <v>38</v>
      </c>
      <c r="F2968" t="s">
        <v>19</v>
      </c>
      <c r="G2968">
        <v>13967.72</v>
      </c>
      <c r="H2968">
        <v>7793.8</v>
      </c>
      <c r="I2968" t="s">
        <v>120</v>
      </c>
      <c r="J2968" t="s">
        <v>21</v>
      </c>
      <c r="K2968" t="s">
        <v>80</v>
      </c>
      <c r="L2968" t="s">
        <v>88</v>
      </c>
      <c r="M2968">
        <v>2</v>
      </c>
      <c r="N2968" t="s">
        <v>33</v>
      </c>
      <c r="O2968" t="s">
        <v>25</v>
      </c>
      <c r="P2968" t="s">
        <v>26</v>
      </c>
    </row>
    <row r="2969" spans="1:16" x14ac:dyDescent="0.25">
      <c r="A2969" t="s">
        <v>6617</v>
      </c>
      <c r="B2969" s="6">
        <v>45304</v>
      </c>
      <c r="C2969">
        <v>9922</v>
      </c>
      <c r="D2969" t="s">
        <v>6618</v>
      </c>
      <c r="E2969" t="s">
        <v>18</v>
      </c>
      <c r="F2969" t="s">
        <v>58</v>
      </c>
      <c r="G2969">
        <v>13445.25</v>
      </c>
      <c r="H2969">
        <v>7295.42</v>
      </c>
      <c r="I2969" t="s">
        <v>63</v>
      </c>
      <c r="J2969" t="s">
        <v>54</v>
      </c>
      <c r="K2969" t="s">
        <v>22</v>
      </c>
      <c r="L2969" t="s">
        <v>55</v>
      </c>
      <c r="M2969">
        <v>1</v>
      </c>
      <c r="N2969" t="s">
        <v>33</v>
      </c>
      <c r="O2969" t="s">
        <v>70</v>
      </c>
      <c r="P2969" t="s">
        <v>34</v>
      </c>
    </row>
    <row r="2970" spans="1:16" x14ac:dyDescent="0.25">
      <c r="A2970" t="s">
        <v>6619</v>
      </c>
      <c r="B2970" s="6">
        <v>44559</v>
      </c>
      <c r="C2970">
        <v>8113</v>
      </c>
      <c r="D2970" t="s">
        <v>6620</v>
      </c>
      <c r="E2970" t="s">
        <v>38</v>
      </c>
      <c r="F2970" t="s">
        <v>30</v>
      </c>
      <c r="G2970">
        <v>71056.12</v>
      </c>
      <c r="H2970">
        <v>33245.17</v>
      </c>
      <c r="I2970" t="s">
        <v>53</v>
      </c>
      <c r="J2970" t="s">
        <v>54</v>
      </c>
      <c r="K2970" t="s">
        <v>80</v>
      </c>
      <c r="L2970" t="s">
        <v>23</v>
      </c>
      <c r="M2970">
        <v>5</v>
      </c>
      <c r="N2970" t="s">
        <v>33</v>
      </c>
      <c r="O2970" t="s">
        <v>25</v>
      </c>
      <c r="P2970" t="s">
        <v>34</v>
      </c>
    </row>
    <row r="2971" spans="1:16" x14ac:dyDescent="0.25">
      <c r="A2971" t="s">
        <v>6621</v>
      </c>
      <c r="B2971" s="6">
        <v>44953</v>
      </c>
      <c r="C2971">
        <v>6717</v>
      </c>
      <c r="D2971" t="s">
        <v>1488</v>
      </c>
      <c r="E2971" t="s">
        <v>18</v>
      </c>
      <c r="F2971" t="s">
        <v>47</v>
      </c>
      <c r="G2971">
        <v>3123.67</v>
      </c>
      <c r="H2971">
        <v>1906.38</v>
      </c>
      <c r="I2971" t="s">
        <v>68</v>
      </c>
      <c r="J2971" t="s">
        <v>41</v>
      </c>
      <c r="K2971" t="s">
        <v>32</v>
      </c>
      <c r="L2971" t="s">
        <v>64</v>
      </c>
      <c r="M2971">
        <v>2</v>
      </c>
      <c r="N2971" t="s">
        <v>24</v>
      </c>
      <c r="O2971" t="s">
        <v>70</v>
      </c>
      <c r="P2971" t="s">
        <v>49</v>
      </c>
    </row>
    <row r="2972" spans="1:16" x14ac:dyDescent="0.25">
      <c r="A2972" t="s">
        <v>6622</v>
      </c>
      <c r="B2972" s="6">
        <v>45424</v>
      </c>
      <c r="C2972">
        <v>1213</v>
      </c>
      <c r="D2972" t="s">
        <v>6623</v>
      </c>
      <c r="E2972" t="s">
        <v>38</v>
      </c>
      <c r="F2972" t="s">
        <v>19</v>
      </c>
      <c r="G2972">
        <v>20334.84</v>
      </c>
      <c r="H2972">
        <v>9472.27</v>
      </c>
      <c r="I2972" t="s">
        <v>20</v>
      </c>
      <c r="J2972" t="s">
        <v>21</v>
      </c>
      <c r="K2972" t="s">
        <v>32</v>
      </c>
      <c r="L2972" t="s">
        <v>88</v>
      </c>
      <c r="M2972">
        <v>5</v>
      </c>
      <c r="N2972" t="s">
        <v>33</v>
      </c>
      <c r="O2972" t="s">
        <v>25</v>
      </c>
      <c r="P2972" t="s">
        <v>26</v>
      </c>
    </row>
    <row r="2973" spans="1:16" x14ac:dyDescent="0.25">
      <c r="A2973" t="s">
        <v>6624</v>
      </c>
      <c r="B2973" s="6">
        <v>45539</v>
      </c>
      <c r="C2973">
        <v>2519</v>
      </c>
      <c r="D2973" t="s">
        <v>6625</v>
      </c>
      <c r="E2973" t="s">
        <v>18</v>
      </c>
      <c r="F2973" t="s">
        <v>19</v>
      </c>
      <c r="G2973">
        <v>8154.46</v>
      </c>
      <c r="H2973">
        <v>3844.04</v>
      </c>
      <c r="I2973" t="s">
        <v>53</v>
      </c>
      <c r="J2973" t="s">
        <v>54</v>
      </c>
      <c r="K2973" t="s">
        <v>80</v>
      </c>
      <c r="L2973" t="s">
        <v>43</v>
      </c>
      <c r="M2973">
        <v>1</v>
      </c>
      <c r="N2973" t="s">
        <v>33</v>
      </c>
      <c r="O2973" t="s">
        <v>25</v>
      </c>
      <c r="P2973" t="s">
        <v>26</v>
      </c>
    </row>
    <row r="2974" spans="1:16" x14ac:dyDescent="0.25">
      <c r="A2974" t="s">
        <v>6626</v>
      </c>
      <c r="B2974" s="6">
        <v>45511</v>
      </c>
      <c r="C2974">
        <v>7020</v>
      </c>
      <c r="D2974" t="s">
        <v>6627</v>
      </c>
      <c r="E2974" t="s">
        <v>18</v>
      </c>
      <c r="F2974" t="s">
        <v>47</v>
      </c>
      <c r="G2974">
        <v>3342.74</v>
      </c>
      <c r="H2974">
        <v>1606.01</v>
      </c>
      <c r="I2974" t="s">
        <v>40</v>
      </c>
      <c r="J2974" t="s">
        <v>41</v>
      </c>
      <c r="K2974" t="s">
        <v>80</v>
      </c>
      <c r="L2974" t="s">
        <v>64</v>
      </c>
      <c r="M2974">
        <v>2</v>
      </c>
      <c r="N2974" t="s">
        <v>69</v>
      </c>
      <c r="O2974" t="s">
        <v>25</v>
      </c>
      <c r="P2974" t="s">
        <v>26</v>
      </c>
    </row>
    <row r="2975" spans="1:16" x14ac:dyDescent="0.25">
      <c r="A2975" t="s">
        <v>6628</v>
      </c>
      <c r="B2975" s="6">
        <v>45196</v>
      </c>
      <c r="C2975">
        <v>8096</v>
      </c>
      <c r="D2975" t="s">
        <v>6629</v>
      </c>
      <c r="E2975" t="s">
        <v>38</v>
      </c>
      <c r="F2975" t="s">
        <v>47</v>
      </c>
      <c r="G2975">
        <v>10680.93</v>
      </c>
      <c r="H2975">
        <v>6383.3</v>
      </c>
      <c r="I2975" t="s">
        <v>63</v>
      </c>
      <c r="J2975" t="s">
        <v>54</v>
      </c>
      <c r="K2975" t="s">
        <v>42</v>
      </c>
      <c r="L2975" t="s">
        <v>55</v>
      </c>
      <c r="M2975">
        <v>3</v>
      </c>
      <c r="N2975" t="s">
        <v>24</v>
      </c>
      <c r="O2975" t="s">
        <v>25</v>
      </c>
      <c r="P2975" t="s">
        <v>49</v>
      </c>
    </row>
    <row r="2976" spans="1:16" x14ac:dyDescent="0.25">
      <c r="A2976" t="s">
        <v>6630</v>
      </c>
      <c r="B2976" s="6">
        <v>44887</v>
      </c>
      <c r="C2976">
        <v>5781</v>
      </c>
      <c r="D2976" t="s">
        <v>6631</v>
      </c>
      <c r="E2976" t="s">
        <v>18</v>
      </c>
      <c r="F2976" t="s">
        <v>30</v>
      </c>
      <c r="G2976">
        <v>27767.87</v>
      </c>
      <c r="H2976">
        <v>14258.85</v>
      </c>
      <c r="I2976" t="s">
        <v>59</v>
      </c>
      <c r="J2976" t="s">
        <v>41</v>
      </c>
      <c r="K2976" t="s">
        <v>80</v>
      </c>
      <c r="L2976" t="s">
        <v>64</v>
      </c>
      <c r="M2976">
        <v>5</v>
      </c>
      <c r="N2976" t="s">
        <v>24</v>
      </c>
      <c r="O2976" t="s">
        <v>25</v>
      </c>
      <c r="P2976" t="s">
        <v>49</v>
      </c>
    </row>
    <row r="2977" spans="1:16" x14ac:dyDescent="0.25">
      <c r="A2977" t="s">
        <v>6632</v>
      </c>
      <c r="B2977" s="6">
        <v>44490</v>
      </c>
      <c r="C2977">
        <v>2448</v>
      </c>
      <c r="D2977" t="s">
        <v>1745</v>
      </c>
      <c r="E2977" t="s">
        <v>38</v>
      </c>
      <c r="F2977" t="s">
        <v>47</v>
      </c>
      <c r="G2977">
        <v>8781.44</v>
      </c>
      <c r="H2977">
        <v>4629.13</v>
      </c>
      <c r="I2977" t="s">
        <v>120</v>
      </c>
      <c r="J2977" t="s">
        <v>21</v>
      </c>
      <c r="K2977" t="s">
        <v>32</v>
      </c>
      <c r="L2977" t="s">
        <v>48</v>
      </c>
      <c r="M2977">
        <v>2</v>
      </c>
      <c r="N2977" t="s">
        <v>69</v>
      </c>
      <c r="O2977" t="s">
        <v>70</v>
      </c>
      <c r="P2977" t="s">
        <v>49</v>
      </c>
    </row>
    <row r="2978" spans="1:16" x14ac:dyDescent="0.25">
      <c r="A2978" t="s">
        <v>6633</v>
      </c>
      <c r="B2978" s="6">
        <v>44935</v>
      </c>
      <c r="C2978">
        <v>6782</v>
      </c>
      <c r="D2978" t="s">
        <v>6635</v>
      </c>
      <c r="E2978" t="s">
        <v>18</v>
      </c>
      <c r="F2978" t="s">
        <v>58</v>
      </c>
      <c r="G2978">
        <v>38086.57</v>
      </c>
      <c r="H2978">
        <v>23202.5</v>
      </c>
      <c r="I2978" t="s">
        <v>20</v>
      </c>
      <c r="J2978" t="s">
        <v>21</v>
      </c>
      <c r="K2978" t="s">
        <v>22</v>
      </c>
      <c r="L2978" t="s">
        <v>88</v>
      </c>
      <c r="M2978">
        <v>1</v>
      </c>
      <c r="N2978" t="s">
        <v>24</v>
      </c>
      <c r="O2978" t="s">
        <v>70</v>
      </c>
      <c r="P2978" t="s">
        <v>49</v>
      </c>
    </row>
    <row r="2979" spans="1:16" x14ac:dyDescent="0.25">
      <c r="A2979" t="s">
        <v>6636</v>
      </c>
      <c r="B2979" s="6">
        <v>44530</v>
      </c>
      <c r="C2979">
        <v>8989</v>
      </c>
      <c r="D2979" t="s">
        <v>6637</v>
      </c>
      <c r="E2979" t="s">
        <v>38</v>
      </c>
      <c r="F2979" t="s">
        <v>39</v>
      </c>
      <c r="G2979">
        <v>10184.07</v>
      </c>
      <c r="H2979">
        <v>6044.72</v>
      </c>
      <c r="I2979" t="s">
        <v>31</v>
      </c>
      <c r="J2979" t="s">
        <v>21</v>
      </c>
      <c r="K2979" t="s">
        <v>80</v>
      </c>
      <c r="L2979" t="s">
        <v>55</v>
      </c>
      <c r="M2979">
        <v>1</v>
      </c>
      <c r="N2979" t="s">
        <v>33</v>
      </c>
      <c r="O2979" t="s">
        <v>70</v>
      </c>
      <c r="P2979" t="s">
        <v>49</v>
      </c>
    </row>
    <row r="2980" spans="1:16" x14ac:dyDescent="0.25">
      <c r="A2980" t="s">
        <v>6638</v>
      </c>
      <c r="B2980" s="6">
        <v>45044</v>
      </c>
      <c r="C2980">
        <v>9275</v>
      </c>
      <c r="D2980" t="s">
        <v>6639</v>
      </c>
      <c r="E2980" t="s">
        <v>38</v>
      </c>
      <c r="F2980" t="s">
        <v>19</v>
      </c>
      <c r="G2980">
        <v>4164.6499999999996</v>
      </c>
      <c r="H2980">
        <v>1978.8</v>
      </c>
      <c r="I2980" t="s">
        <v>59</v>
      </c>
      <c r="J2980" t="s">
        <v>41</v>
      </c>
      <c r="K2980" t="s">
        <v>22</v>
      </c>
      <c r="L2980" t="s">
        <v>64</v>
      </c>
      <c r="M2980">
        <v>2</v>
      </c>
      <c r="N2980" t="s">
        <v>24</v>
      </c>
      <c r="O2980" t="s">
        <v>70</v>
      </c>
      <c r="P2980" t="s">
        <v>26</v>
      </c>
    </row>
    <row r="2981" spans="1:16" x14ac:dyDescent="0.25">
      <c r="A2981" t="s">
        <v>6640</v>
      </c>
      <c r="B2981" s="6">
        <v>44900</v>
      </c>
      <c r="C2981">
        <v>1437</v>
      </c>
      <c r="D2981" t="s">
        <v>6641</v>
      </c>
      <c r="E2981" t="s">
        <v>18</v>
      </c>
      <c r="F2981" t="s">
        <v>19</v>
      </c>
      <c r="G2981">
        <v>10313.65</v>
      </c>
      <c r="H2981">
        <v>4814.1000000000004</v>
      </c>
      <c r="I2981" t="s">
        <v>84</v>
      </c>
      <c r="J2981" t="s">
        <v>54</v>
      </c>
      <c r="K2981" t="s">
        <v>32</v>
      </c>
      <c r="L2981" t="s">
        <v>88</v>
      </c>
      <c r="M2981">
        <v>2</v>
      </c>
      <c r="N2981" t="s">
        <v>33</v>
      </c>
      <c r="O2981" t="s">
        <v>25</v>
      </c>
      <c r="P2981" t="s">
        <v>34</v>
      </c>
    </row>
    <row r="2982" spans="1:16" x14ac:dyDescent="0.25">
      <c r="A2982" t="s">
        <v>6642</v>
      </c>
      <c r="B2982" s="6">
        <v>45194</v>
      </c>
      <c r="C2982">
        <v>8256</v>
      </c>
      <c r="D2982" t="s">
        <v>6643</v>
      </c>
      <c r="E2982" t="s">
        <v>18</v>
      </c>
      <c r="F2982" t="s">
        <v>30</v>
      </c>
      <c r="G2982">
        <v>45207.89</v>
      </c>
      <c r="H2982">
        <v>21654.34</v>
      </c>
      <c r="I2982" t="s">
        <v>53</v>
      </c>
      <c r="J2982" t="s">
        <v>54</v>
      </c>
      <c r="K2982" t="s">
        <v>42</v>
      </c>
      <c r="L2982" t="s">
        <v>55</v>
      </c>
      <c r="M2982">
        <v>4</v>
      </c>
      <c r="N2982" t="s">
        <v>24</v>
      </c>
      <c r="O2982" t="s">
        <v>25</v>
      </c>
      <c r="P2982" t="s">
        <v>49</v>
      </c>
    </row>
    <row r="2983" spans="1:16" x14ac:dyDescent="0.25">
      <c r="A2983" t="s">
        <v>6644</v>
      </c>
      <c r="B2983" s="6">
        <v>45073</v>
      </c>
      <c r="C2983">
        <v>5938</v>
      </c>
      <c r="D2983" t="s">
        <v>3471</v>
      </c>
      <c r="E2983" t="s">
        <v>18</v>
      </c>
      <c r="F2983" t="s">
        <v>39</v>
      </c>
      <c r="G2983">
        <v>30922.67</v>
      </c>
      <c r="H2983">
        <v>15158.53</v>
      </c>
      <c r="I2983" t="s">
        <v>120</v>
      </c>
      <c r="J2983" t="s">
        <v>21</v>
      </c>
      <c r="K2983" t="s">
        <v>80</v>
      </c>
      <c r="L2983" t="s">
        <v>43</v>
      </c>
      <c r="M2983">
        <v>2</v>
      </c>
      <c r="N2983" t="s">
        <v>24</v>
      </c>
      <c r="O2983" t="s">
        <v>25</v>
      </c>
      <c r="P2983" t="s">
        <v>26</v>
      </c>
    </row>
    <row r="2984" spans="1:16" x14ac:dyDescent="0.25">
      <c r="A2984" t="s">
        <v>6646</v>
      </c>
      <c r="B2984" s="6">
        <v>45345</v>
      </c>
      <c r="C2984">
        <v>3765</v>
      </c>
      <c r="D2984" t="s">
        <v>3446</v>
      </c>
      <c r="E2984" t="s">
        <v>18</v>
      </c>
      <c r="F2984" t="s">
        <v>58</v>
      </c>
      <c r="G2984">
        <v>35737.57</v>
      </c>
      <c r="H2984">
        <v>18572.45</v>
      </c>
      <c r="I2984" t="s">
        <v>31</v>
      </c>
      <c r="J2984" t="s">
        <v>21</v>
      </c>
      <c r="K2984" t="s">
        <v>32</v>
      </c>
      <c r="L2984" t="s">
        <v>64</v>
      </c>
      <c r="M2984">
        <v>2</v>
      </c>
      <c r="N2984" t="s">
        <v>33</v>
      </c>
      <c r="O2984" t="s">
        <v>70</v>
      </c>
      <c r="P2984" t="s">
        <v>26</v>
      </c>
    </row>
    <row r="2985" spans="1:16" x14ac:dyDescent="0.25">
      <c r="A2985" t="s">
        <v>6647</v>
      </c>
      <c r="B2985" s="6">
        <v>44174</v>
      </c>
      <c r="C2985">
        <v>8617</v>
      </c>
      <c r="D2985" t="s">
        <v>6648</v>
      </c>
      <c r="E2985" t="s">
        <v>38</v>
      </c>
      <c r="F2985" t="s">
        <v>39</v>
      </c>
      <c r="G2985">
        <v>35489.26</v>
      </c>
      <c r="H2985">
        <v>17552.57</v>
      </c>
      <c r="I2985" t="s">
        <v>63</v>
      </c>
      <c r="J2985" t="s">
        <v>54</v>
      </c>
      <c r="K2985" t="s">
        <v>22</v>
      </c>
      <c r="L2985" t="s">
        <v>88</v>
      </c>
      <c r="M2985">
        <v>1</v>
      </c>
      <c r="N2985" t="s">
        <v>24</v>
      </c>
      <c r="O2985" t="s">
        <v>70</v>
      </c>
      <c r="P2985" t="s">
        <v>49</v>
      </c>
    </row>
    <row r="2986" spans="1:16" x14ac:dyDescent="0.25">
      <c r="A2986" t="s">
        <v>6649</v>
      </c>
      <c r="B2986" s="6">
        <v>45358</v>
      </c>
      <c r="C2986">
        <v>7568</v>
      </c>
      <c r="D2986" t="s">
        <v>6650</v>
      </c>
      <c r="E2986" t="s">
        <v>38</v>
      </c>
      <c r="F2986" t="s">
        <v>30</v>
      </c>
      <c r="G2986">
        <v>74506.81</v>
      </c>
      <c r="H2986">
        <v>38461.5</v>
      </c>
      <c r="I2986" t="s">
        <v>53</v>
      </c>
      <c r="J2986" t="s">
        <v>54</v>
      </c>
      <c r="K2986" t="s">
        <v>22</v>
      </c>
      <c r="L2986" t="s">
        <v>64</v>
      </c>
      <c r="M2986">
        <v>5</v>
      </c>
      <c r="N2986" t="s">
        <v>33</v>
      </c>
      <c r="O2986" t="s">
        <v>25</v>
      </c>
      <c r="P2986" t="s">
        <v>26</v>
      </c>
    </row>
    <row r="2987" spans="1:16" x14ac:dyDescent="0.25">
      <c r="A2987" t="s">
        <v>6651</v>
      </c>
      <c r="B2987" s="6">
        <v>45249</v>
      </c>
      <c r="C2987">
        <v>5867</v>
      </c>
      <c r="D2987" t="s">
        <v>6623</v>
      </c>
      <c r="E2987" t="s">
        <v>38</v>
      </c>
      <c r="F2987" t="s">
        <v>39</v>
      </c>
      <c r="G2987">
        <v>17937.89</v>
      </c>
      <c r="H2987">
        <v>9701.81</v>
      </c>
      <c r="I2987" t="s">
        <v>20</v>
      </c>
      <c r="J2987" t="s">
        <v>21</v>
      </c>
      <c r="K2987" t="s">
        <v>42</v>
      </c>
      <c r="L2987" t="s">
        <v>55</v>
      </c>
      <c r="M2987">
        <v>1</v>
      </c>
      <c r="N2987" t="s">
        <v>33</v>
      </c>
      <c r="O2987" t="s">
        <v>70</v>
      </c>
      <c r="P2987" t="s">
        <v>34</v>
      </c>
    </row>
    <row r="2988" spans="1:16" x14ac:dyDescent="0.25">
      <c r="A2988" t="s">
        <v>6652</v>
      </c>
      <c r="B2988" s="6">
        <v>44043</v>
      </c>
      <c r="C2988">
        <v>6118</v>
      </c>
      <c r="D2988" t="s">
        <v>6653</v>
      </c>
      <c r="E2988" t="s">
        <v>38</v>
      </c>
      <c r="F2988" t="s">
        <v>30</v>
      </c>
      <c r="G2988">
        <v>37341.72</v>
      </c>
      <c r="H2988">
        <v>17662.87</v>
      </c>
      <c r="I2988" t="s">
        <v>31</v>
      </c>
      <c r="J2988" t="s">
        <v>21</v>
      </c>
      <c r="K2988" t="s">
        <v>32</v>
      </c>
      <c r="L2988" t="s">
        <v>55</v>
      </c>
      <c r="M2988">
        <v>2</v>
      </c>
      <c r="N2988" t="s">
        <v>24</v>
      </c>
      <c r="O2988" t="s">
        <v>25</v>
      </c>
      <c r="P2988" t="s">
        <v>49</v>
      </c>
    </row>
    <row r="2989" spans="1:16" x14ac:dyDescent="0.25">
      <c r="A2989" t="s">
        <v>6654</v>
      </c>
      <c r="B2989" s="6">
        <v>44652</v>
      </c>
      <c r="C2989">
        <v>3089</v>
      </c>
      <c r="D2989" t="s">
        <v>5116</v>
      </c>
      <c r="E2989" t="s">
        <v>38</v>
      </c>
      <c r="F2989" t="s">
        <v>39</v>
      </c>
      <c r="G2989">
        <v>18956.16</v>
      </c>
      <c r="H2989">
        <v>9618.1200000000008</v>
      </c>
      <c r="I2989" t="s">
        <v>20</v>
      </c>
      <c r="J2989" t="s">
        <v>21</v>
      </c>
      <c r="K2989" t="s">
        <v>22</v>
      </c>
      <c r="L2989" t="s">
        <v>64</v>
      </c>
      <c r="M2989">
        <v>1</v>
      </c>
      <c r="N2989" t="s">
        <v>24</v>
      </c>
      <c r="O2989" t="s">
        <v>70</v>
      </c>
      <c r="P2989" t="s">
        <v>26</v>
      </c>
    </row>
    <row r="2990" spans="1:16" x14ac:dyDescent="0.25">
      <c r="A2990" t="s">
        <v>6655</v>
      </c>
      <c r="B2990" s="6">
        <v>45451</v>
      </c>
      <c r="C2990">
        <v>2747</v>
      </c>
      <c r="D2990" t="s">
        <v>6656</v>
      </c>
      <c r="E2990" t="s">
        <v>38</v>
      </c>
      <c r="F2990" t="s">
        <v>30</v>
      </c>
      <c r="G2990">
        <v>28808.35</v>
      </c>
      <c r="H2990">
        <v>16678.48</v>
      </c>
      <c r="I2990" t="s">
        <v>53</v>
      </c>
      <c r="J2990" t="s">
        <v>54</v>
      </c>
      <c r="K2990" t="s">
        <v>22</v>
      </c>
      <c r="L2990" t="s">
        <v>55</v>
      </c>
      <c r="M2990">
        <v>1</v>
      </c>
      <c r="N2990" t="s">
        <v>33</v>
      </c>
      <c r="O2990" t="s">
        <v>70</v>
      </c>
      <c r="P2990" t="s">
        <v>26</v>
      </c>
    </row>
    <row r="2991" spans="1:16" x14ac:dyDescent="0.25">
      <c r="A2991" t="s">
        <v>6657</v>
      </c>
      <c r="B2991" s="6">
        <v>43917</v>
      </c>
      <c r="C2991">
        <v>9297</v>
      </c>
      <c r="D2991" t="s">
        <v>6658</v>
      </c>
      <c r="E2991" t="s">
        <v>18</v>
      </c>
      <c r="F2991" t="s">
        <v>19</v>
      </c>
      <c r="G2991">
        <v>12854.62</v>
      </c>
      <c r="H2991">
        <v>6590.26</v>
      </c>
      <c r="I2991" t="s">
        <v>31</v>
      </c>
      <c r="J2991" t="s">
        <v>21</v>
      </c>
      <c r="K2991" t="s">
        <v>42</v>
      </c>
      <c r="L2991" t="s">
        <v>88</v>
      </c>
      <c r="M2991">
        <v>5</v>
      </c>
      <c r="N2991" t="s">
        <v>69</v>
      </c>
      <c r="O2991" t="s">
        <v>70</v>
      </c>
      <c r="P2991" t="s">
        <v>49</v>
      </c>
    </row>
    <row r="2992" spans="1:16" x14ac:dyDescent="0.25">
      <c r="A2992" t="s">
        <v>6659</v>
      </c>
      <c r="B2992" s="6">
        <v>44423</v>
      </c>
      <c r="C2992">
        <v>2722</v>
      </c>
      <c r="D2992" t="s">
        <v>6660</v>
      </c>
      <c r="E2992" t="s">
        <v>38</v>
      </c>
      <c r="F2992" t="s">
        <v>30</v>
      </c>
      <c r="G2992">
        <v>40920.21</v>
      </c>
      <c r="H2992">
        <v>22521.68</v>
      </c>
      <c r="I2992" t="s">
        <v>53</v>
      </c>
      <c r="J2992" t="s">
        <v>54</v>
      </c>
      <c r="K2992" t="s">
        <v>42</v>
      </c>
      <c r="L2992" t="s">
        <v>23</v>
      </c>
      <c r="M2992">
        <v>5</v>
      </c>
      <c r="N2992" t="s">
        <v>33</v>
      </c>
      <c r="O2992" t="s">
        <v>25</v>
      </c>
      <c r="P2992" t="s">
        <v>49</v>
      </c>
    </row>
    <row r="2993" spans="1:16" x14ac:dyDescent="0.25">
      <c r="A2993" t="s">
        <v>6661</v>
      </c>
      <c r="B2993" s="6">
        <v>45421</v>
      </c>
      <c r="C2993">
        <v>9620</v>
      </c>
      <c r="D2993" t="s">
        <v>1175</v>
      </c>
      <c r="E2993" t="s">
        <v>18</v>
      </c>
      <c r="F2993" t="s">
        <v>30</v>
      </c>
      <c r="G2993">
        <v>74952.92</v>
      </c>
      <c r="H2993">
        <v>34160.480000000003</v>
      </c>
      <c r="I2993" t="s">
        <v>120</v>
      </c>
      <c r="J2993" t="s">
        <v>21</v>
      </c>
      <c r="K2993" t="s">
        <v>32</v>
      </c>
      <c r="L2993" t="s">
        <v>23</v>
      </c>
      <c r="M2993">
        <v>5</v>
      </c>
      <c r="N2993" t="s">
        <v>24</v>
      </c>
      <c r="O2993" t="s">
        <v>70</v>
      </c>
      <c r="P2993" t="s">
        <v>34</v>
      </c>
    </row>
    <row r="2994" spans="1:16" x14ac:dyDescent="0.25">
      <c r="A2994" t="s">
        <v>6662</v>
      </c>
      <c r="B2994" s="6">
        <v>44846</v>
      </c>
      <c r="C2994">
        <v>1539</v>
      </c>
      <c r="D2994" t="s">
        <v>499</v>
      </c>
      <c r="E2994" t="s">
        <v>18</v>
      </c>
      <c r="F2994" t="s">
        <v>30</v>
      </c>
      <c r="G2994">
        <v>47025.79</v>
      </c>
      <c r="H2994">
        <v>23466.86</v>
      </c>
      <c r="I2994" t="s">
        <v>40</v>
      </c>
      <c r="J2994" t="s">
        <v>41</v>
      </c>
      <c r="K2994" t="s">
        <v>80</v>
      </c>
      <c r="L2994" t="s">
        <v>88</v>
      </c>
      <c r="M2994">
        <v>3</v>
      </c>
      <c r="N2994" t="s">
        <v>33</v>
      </c>
      <c r="O2994" t="s">
        <v>25</v>
      </c>
      <c r="P2994" t="s">
        <v>34</v>
      </c>
    </row>
    <row r="2995" spans="1:16" x14ac:dyDescent="0.25">
      <c r="A2995" t="s">
        <v>6663</v>
      </c>
      <c r="B2995" s="6">
        <v>45413</v>
      </c>
      <c r="C2995">
        <v>7305</v>
      </c>
      <c r="D2995" t="s">
        <v>6664</v>
      </c>
      <c r="E2995" t="s">
        <v>38</v>
      </c>
      <c r="F2995" t="s">
        <v>30</v>
      </c>
      <c r="G2995">
        <v>53305.06</v>
      </c>
      <c r="H2995">
        <v>34549.050000000003</v>
      </c>
      <c r="I2995" t="s">
        <v>20</v>
      </c>
      <c r="J2995" t="s">
        <v>21</v>
      </c>
      <c r="K2995" t="s">
        <v>22</v>
      </c>
      <c r="L2995" t="s">
        <v>55</v>
      </c>
      <c r="M2995">
        <v>5</v>
      </c>
      <c r="N2995" t="s">
        <v>33</v>
      </c>
      <c r="O2995" t="s">
        <v>25</v>
      </c>
      <c r="P2995" t="s">
        <v>26</v>
      </c>
    </row>
    <row r="2996" spans="1:16" x14ac:dyDescent="0.25">
      <c r="A2996" t="s">
        <v>6665</v>
      </c>
      <c r="B2996" s="6">
        <v>45553</v>
      </c>
      <c r="C2996">
        <v>1113</v>
      </c>
      <c r="D2996" t="s">
        <v>6666</v>
      </c>
      <c r="E2996" t="s">
        <v>18</v>
      </c>
      <c r="F2996" t="s">
        <v>47</v>
      </c>
      <c r="G2996">
        <v>3125.79</v>
      </c>
      <c r="H2996">
        <v>1614.27</v>
      </c>
      <c r="I2996" t="s">
        <v>20</v>
      </c>
      <c r="J2996" t="s">
        <v>21</v>
      </c>
      <c r="K2996" t="s">
        <v>32</v>
      </c>
      <c r="L2996" t="s">
        <v>64</v>
      </c>
      <c r="M2996">
        <v>5</v>
      </c>
      <c r="N2996" t="s">
        <v>33</v>
      </c>
      <c r="O2996" t="s">
        <v>70</v>
      </c>
      <c r="P2996" t="s">
        <v>49</v>
      </c>
    </row>
    <row r="2997" spans="1:16" x14ac:dyDescent="0.25">
      <c r="A2997" t="s">
        <v>6667</v>
      </c>
      <c r="B2997" s="6">
        <v>45613</v>
      </c>
      <c r="C2997">
        <v>1837</v>
      </c>
      <c r="D2997" t="s">
        <v>6668</v>
      </c>
      <c r="E2997" t="s">
        <v>18</v>
      </c>
      <c r="F2997" t="s">
        <v>58</v>
      </c>
      <c r="G2997">
        <v>10466.24</v>
      </c>
      <c r="H2997">
        <v>4857.43</v>
      </c>
      <c r="I2997" t="s">
        <v>31</v>
      </c>
      <c r="J2997" t="s">
        <v>21</v>
      </c>
      <c r="K2997" t="s">
        <v>22</v>
      </c>
      <c r="L2997" t="s">
        <v>64</v>
      </c>
      <c r="M2997">
        <v>5</v>
      </c>
      <c r="N2997" t="s">
        <v>24</v>
      </c>
      <c r="O2997" t="s">
        <v>70</v>
      </c>
      <c r="P2997" t="s">
        <v>26</v>
      </c>
    </row>
    <row r="2998" spans="1:16" x14ac:dyDescent="0.25">
      <c r="A2998" t="s">
        <v>6669</v>
      </c>
      <c r="B2998" s="6">
        <v>45492</v>
      </c>
      <c r="C2998">
        <v>2848</v>
      </c>
      <c r="D2998" t="s">
        <v>5346</v>
      </c>
      <c r="E2998" t="s">
        <v>38</v>
      </c>
      <c r="F2998" t="s">
        <v>30</v>
      </c>
      <c r="G2998">
        <v>29667.49</v>
      </c>
      <c r="H2998">
        <v>15417.58</v>
      </c>
      <c r="I2998" t="s">
        <v>40</v>
      </c>
      <c r="J2998" t="s">
        <v>41</v>
      </c>
      <c r="K2998" t="s">
        <v>22</v>
      </c>
      <c r="L2998" t="s">
        <v>43</v>
      </c>
      <c r="M2998">
        <v>5</v>
      </c>
      <c r="N2998" t="s">
        <v>33</v>
      </c>
      <c r="O2998" t="s">
        <v>25</v>
      </c>
      <c r="P2998" t="s">
        <v>49</v>
      </c>
    </row>
    <row r="2999" spans="1:16" x14ac:dyDescent="0.25">
      <c r="A2999" t="s">
        <v>6670</v>
      </c>
      <c r="B2999" s="6">
        <v>45012</v>
      </c>
      <c r="C2999">
        <v>6050</v>
      </c>
      <c r="D2999" t="s">
        <v>6671</v>
      </c>
      <c r="E2999" t="s">
        <v>18</v>
      </c>
      <c r="F2999" t="s">
        <v>19</v>
      </c>
      <c r="G2999">
        <v>11300.44</v>
      </c>
      <c r="H2999">
        <v>6009.35</v>
      </c>
      <c r="I2999" t="s">
        <v>59</v>
      </c>
      <c r="J2999" t="s">
        <v>41</v>
      </c>
      <c r="K2999" t="s">
        <v>42</v>
      </c>
      <c r="L2999" t="s">
        <v>43</v>
      </c>
      <c r="M2999">
        <v>2</v>
      </c>
      <c r="N2999" t="s">
        <v>33</v>
      </c>
      <c r="O2999" t="s">
        <v>25</v>
      </c>
      <c r="P2999" t="s">
        <v>34</v>
      </c>
    </row>
    <row r="3000" spans="1:16" x14ac:dyDescent="0.25">
      <c r="A3000" t="s">
        <v>6672</v>
      </c>
      <c r="B3000" s="6">
        <v>45203</v>
      </c>
      <c r="C3000">
        <v>5412</v>
      </c>
      <c r="D3000" t="s">
        <v>6673</v>
      </c>
      <c r="E3000" t="s">
        <v>38</v>
      </c>
      <c r="F3000" t="s">
        <v>19</v>
      </c>
      <c r="G3000">
        <v>11856.46</v>
      </c>
      <c r="H3000">
        <v>5545.14</v>
      </c>
      <c r="I3000" t="s">
        <v>84</v>
      </c>
      <c r="J3000" t="s">
        <v>54</v>
      </c>
      <c r="K3000" t="s">
        <v>32</v>
      </c>
      <c r="L3000" t="s">
        <v>48</v>
      </c>
      <c r="M3000">
        <v>2</v>
      </c>
      <c r="N3000" t="s">
        <v>69</v>
      </c>
      <c r="O3000" t="s">
        <v>25</v>
      </c>
      <c r="P3000" t="s">
        <v>49</v>
      </c>
    </row>
    <row r="3001" spans="1:16" x14ac:dyDescent="0.25">
      <c r="A3001" t="s">
        <v>6674</v>
      </c>
      <c r="B3001" s="6">
        <v>44460</v>
      </c>
      <c r="C3001">
        <v>4621</v>
      </c>
      <c r="D3001" t="s">
        <v>6675</v>
      </c>
      <c r="E3001" t="s">
        <v>38</v>
      </c>
      <c r="F3001" t="s">
        <v>47</v>
      </c>
      <c r="G3001">
        <v>6375.02</v>
      </c>
      <c r="H3001">
        <v>3143.58</v>
      </c>
      <c r="I3001" t="s">
        <v>120</v>
      </c>
      <c r="J3001" t="s">
        <v>21</v>
      </c>
      <c r="K3001" t="s">
        <v>22</v>
      </c>
      <c r="L3001" t="s">
        <v>64</v>
      </c>
      <c r="M3001">
        <v>1</v>
      </c>
      <c r="N3001" t="s">
        <v>24</v>
      </c>
      <c r="O3001" t="s">
        <v>25</v>
      </c>
      <c r="P3001" t="s">
        <v>34</v>
      </c>
    </row>
  </sheetData>
  <sheetProtection algorithmName="SHA-512" hashValue="8FGDfRkbudPjKKSJbFiwfvdaTF7/nrUrcHnSsCnmjJ8kscANaE11swPegbyvAWNeD8vkSJXihYFNV4O41hTMAA==" saltValue="fiLpOOchbSgMG2KQBnFtuQ==" spinCount="100000" sheet="1" objects="1" scenarios="1" selectLockedCells="1"/>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1BFFF-4DE8-4FA2-91DA-60A1F873F6F2}">
  <sheetPr codeName="Sheet4"/>
  <dimension ref="A3:T25"/>
  <sheetViews>
    <sheetView zoomScale="78" workbookViewId="0">
      <selection activeCell="Q35" sqref="Q35"/>
    </sheetView>
  </sheetViews>
  <sheetFormatPr defaultRowHeight="15" x14ac:dyDescent="0.25"/>
  <cols>
    <col min="1" max="1" width="11.28515625" bestFit="1" customWidth="1"/>
    <col min="2" max="2" width="13.28515625" bestFit="1" customWidth="1"/>
    <col min="3" max="3" width="8.28515625" customWidth="1"/>
    <col min="4" max="4" width="11.28515625" bestFit="1" customWidth="1"/>
    <col min="5" max="5" width="16.140625" bestFit="1" customWidth="1"/>
    <col min="6" max="6" width="13.28515625" bestFit="1" customWidth="1"/>
    <col min="7" max="8" width="8.28515625" customWidth="1"/>
    <col min="9" max="9" width="11.28515625" bestFit="1" customWidth="1"/>
    <col min="10" max="10" width="13.28515625" bestFit="1" customWidth="1"/>
    <col min="11" max="11" width="8.28515625" customWidth="1"/>
    <col min="12" max="12" width="11.28515625" bestFit="1" customWidth="1"/>
    <col min="13" max="13" width="12.5703125" bestFit="1" customWidth="1"/>
    <col min="14" max="14" width="8.28515625" customWidth="1"/>
    <col min="15" max="15" width="11.28515625" bestFit="1" customWidth="1"/>
    <col min="16" max="16" width="16.140625" bestFit="1" customWidth="1"/>
    <col min="17" max="17" width="23.140625" bestFit="1" customWidth="1"/>
    <col min="18" max="18" width="11.28515625" bestFit="1" customWidth="1"/>
    <col min="19" max="19" width="12.5703125" bestFit="1" customWidth="1"/>
  </cols>
  <sheetData>
    <row r="3" spans="1:20" ht="15.75" x14ac:dyDescent="0.25">
      <c r="A3" s="4" t="s">
        <v>9</v>
      </c>
      <c r="B3" t="s">
        <v>10027</v>
      </c>
      <c r="E3" s="4" t="s">
        <v>10026</v>
      </c>
      <c r="F3" t="s">
        <v>10027</v>
      </c>
      <c r="I3" s="4" t="s">
        <v>10041</v>
      </c>
      <c r="J3" t="s">
        <v>10027</v>
      </c>
      <c r="L3" s="4" t="s">
        <v>10040</v>
      </c>
      <c r="M3" t="s">
        <v>10027</v>
      </c>
      <c r="O3" s="8" t="s">
        <v>10043</v>
      </c>
      <c r="P3" s="8" t="s">
        <v>10053</v>
      </c>
      <c r="R3" s="4" t="s">
        <v>10055</v>
      </c>
      <c r="S3" t="s">
        <v>10054</v>
      </c>
      <c r="T3" s="18" t="s">
        <v>10059</v>
      </c>
    </row>
    <row r="4" spans="1:20" x14ac:dyDescent="0.25">
      <c r="A4" s="5" t="s">
        <v>54</v>
      </c>
      <c r="B4" s="15">
        <v>41183080.859999932</v>
      </c>
      <c r="E4" s="5" t="s">
        <v>19</v>
      </c>
      <c r="F4" s="11">
        <v>6186048.6300000018</v>
      </c>
      <c r="I4" s="5" t="s">
        <v>10028</v>
      </c>
      <c r="J4" s="15">
        <v>6769542.7800000021</v>
      </c>
      <c r="L4" s="5" t="s">
        <v>33</v>
      </c>
      <c r="M4" s="15">
        <v>36337102.759999968</v>
      </c>
      <c r="O4" s="2" t="s">
        <v>10044</v>
      </c>
      <c r="P4" s="11">
        <f>SUM(B4:B6)</f>
        <v>78710532.099999934</v>
      </c>
      <c r="R4" s="5" t="s">
        <v>10048</v>
      </c>
      <c r="S4" s="15">
        <v>2641565.1200000029</v>
      </c>
      <c r="T4" s="16">
        <f>($S$8-$S$7)/$S$7</f>
        <v>0.22655842659377851</v>
      </c>
    </row>
    <row r="5" spans="1:20" x14ac:dyDescent="0.25">
      <c r="A5" s="5" t="s">
        <v>21</v>
      </c>
      <c r="B5" s="15">
        <v>26127632.420000017</v>
      </c>
      <c r="E5" s="5" t="s">
        <v>30</v>
      </c>
      <c r="F5" s="11">
        <v>30233182.620000023</v>
      </c>
      <c r="I5" s="5" t="s">
        <v>10029</v>
      </c>
      <c r="J5" s="15">
        <v>5720083.3200000003</v>
      </c>
      <c r="L5" s="5" t="s">
        <v>24</v>
      </c>
      <c r="M5" s="15">
        <v>26737015.260000024</v>
      </c>
      <c r="O5" s="2" t="s">
        <v>10045</v>
      </c>
      <c r="P5" s="11">
        <f>SUM(E20:E22)</f>
        <v>35649135.369999945</v>
      </c>
      <c r="R5" s="5" t="s">
        <v>10049</v>
      </c>
      <c r="S5" s="15">
        <v>4433787.2499999925</v>
      </c>
      <c r="T5" s="13">
        <f>($M$15-$M$14)/$M$14</f>
        <v>0.22815455617713146</v>
      </c>
    </row>
    <row r="6" spans="1:20" x14ac:dyDescent="0.25">
      <c r="A6" s="5" t="s">
        <v>41</v>
      </c>
      <c r="B6" s="15">
        <v>11399818.819999991</v>
      </c>
      <c r="E6" s="5" t="s">
        <v>47</v>
      </c>
      <c r="F6" s="11">
        <v>5608592.1200000038</v>
      </c>
      <c r="I6" s="5" t="s">
        <v>10030</v>
      </c>
      <c r="J6" s="15">
        <v>5761953.2700000014</v>
      </c>
      <c r="L6" s="5" t="s">
        <v>69</v>
      </c>
      <c r="M6" s="15">
        <v>15636414.079999985</v>
      </c>
      <c r="O6" s="2" t="s">
        <v>10046</v>
      </c>
      <c r="P6" s="2">
        <f>COUNTA(SalesData!A:A)-1</f>
        <v>3000</v>
      </c>
      <c r="R6" s="5" t="s">
        <v>10050</v>
      </c>
      <c r="S6" s="15">
        <v>7349018.0099999886</v>
      </c>
      <c r="T6" s="13">
        <f>($P$24-$P$23)/$P$23</f>
        <v>0.13014608233731739</v>
      </c>
    </row>
    <row r="7" spans="1:20" x14ac:dyDescent="0.25">
      <c r="A7" s="5" t="s">
        <v>10025</v>
      </c>
      <c r="B7" s="15">
        <v>78710532.099999934</v>
      </c>
      <c r="E7" s="5" t="s">
        <v>39</v>
      </c>
      <c r="F7" s="11">
        <v>16124943.519999998</v>
      </c>
      <c r="I7" s="5" t="s">
        <v>10031</v>
      </c>
      <c r="J7" s="15">
        <v>6590352.3799999962</v>
      </c>
      <c r="L7" s="5" t="s">
        <v>10025</v>
      </c>
      <c r="M7" s="15">
        <v>78710532.099999979</v>
      </c>
      <c r="O7" s="2" t="s">
        <v>10047</v>
      </c>
      <c r="P7" s="12">
        <f>GETPIVOTDATA("SalesAmount",$A$3)/P6</f>
        <v>26236.844033333313</v>
      </c>
      <c r="R7" s="5" t="s">
        <v>10051</v>
      </c>
      <c r="S7" s="15">
        <v>9532543.4700000305</v>
      </c>
      <c r="T7" s="13">
        <f>($Q$24-$Q$23)/$Q$23</f>
        <v>8.6721951587990551E-2</v>
      </c>
    </row>
    <row r="8" spans="1:20" x14ac:dyDescent="0.25">
      <c r="E8" s="5" t="s">
        <v>58</v>
      </c>
      <c r="F8" s="11">
        <v>20557765.210000005</v>
      </c>
      <c r="I8" s="5" t="s">
        <v>10032</v>
      </c>
      <c r="J8" s="15">
        <v>7189484.089999998</v>
      </c>
      <c r="R8" s="5" t="s">
        <v>10052</v>
      </c>
      <c r="S8" s="15">
        <v>11692221.520000035</v>
      </c>
    </row>
    <row r="9" spans="1:20" x14ac:dyDescent="0.25">
      <c r="E9" s="5" t="s">
        <v>10025</v>
      </c>
      <c r="F9" s="11">
        <v>78710532.100000024</v>
      </c>
      <c r="I9" s="5" t="s">
        <v>10033</v>
      </c>
      <c r="J9" s="15">
        <v>5327911.9000000013</v>
      </c>
      <c r="R9" s="5" t="s">
        <v>10025</v>
      </c>
      <c r="S9" s="15">
        <v>35649135.36999993</v>
      </c>
    </row>
    <row r="10" spans="1:20" x14ac:dyDescent="0.25">
      <c r="I10" s="5" t="s">
        <v>10034</v>
      </c>
      <c r="J10" s="15">
        <v>7233601.839999998</v>
      </c>
      <c r="L10" s="4" t="s">
        <v>10055</v>
      </c>
      <c r="M10" t="s">
        <v>10056</v>
      </c>
    </row>
    <row r="11" spans="1:20" x14ac:dyDescent="0.25">
      <c r="I11" s="5" t="s">
        <v>10035</v>
      </c>
      <c r="J11" s="15">
        <v>7300892.0400000028</v>
      </c>
      <c r="L11" s="5" t="s">
        <v>10048</v>
      </c>
      <c r="M11" s="15">
        <v>5767474.9700000025</v>
      </c>
    </row>
    <row r="12" spans="1:20" x14ac:dyDescent="0.25">
      <c r="A12" s="4" t="s">
        <v>4</v>
      </c>
      <c r="B12" t="s">
        <v>10027</v>
      </c>
      <c r="I12" s="5" t="s">
        <v>10036</v>
      </c>
      <c r="J12" s="15">
        <v>6359412.8999999985</v>
      </c>
      <c r="L12" s="5" t="s">
        <v>10049</v>
      </c>
      <c r="M12" s="15">
        <v>9768249.9399999939</v>
      </c>
    </row>
    <row r="13" spans="1:20" x14ac:dyDescent="0.25">
      <c r="A13" s="5" t="s">
        <v>18</v>
      </c>
      <c r="B13" s="11">
        <v>39755261.389999986</v>
      </c>
      <c r="I13" s="5" t="s">
        <v>10037</v>
      </c>
      <c r="J13" s="15">
        <v>7363798.9099999964</v>
      </c>
      <c r="L13" s="5" t="s">
        <v>10050</v>
      </c>
      <c r="M13" s="15">
        <v>16219276.59999999</v>
      </c>
    </row>
    <row r="14" spans="1:20" x14ac:dyDescent="0.25">
      <c r="A14" s="5" t="s">
        <v>38</v>
      </c>
      <c r="B14" s="11">
        <v>38955270.709999934</v>
      </c>
      <c r="I14" s="5" t="s">
        <v>10038</v>
      </c>
      <c r="J14" s="15">
        <v>6125568.839999998</v>
      </c>
      <c r="L14" s="5" t="s">
        <v>10051</v>
      </c>
      <c r="M14" s="15">
        <v>21073731.380000029</v>
      </c>
    </row>
    <row r="15" spans="1:20" x14ac:dyDescent="0.25">
      <c r="A15" s="5" t="s">
        <v>10025</v>
      </c>
      <c r="B15" s="11">
        <v>78710532.09999992</v>
      </c>
      <c r="I15" s="5" t="s">
        <v>10039</v>
      </c>
      <c r="J15" s="15">
        <v>6967929.830000001</v>
      </c>
      <c r="L15" s="5" t="s">
        <v>10052</v>
      </c>
      <c r="M15" s="15">
        <v>25881799.210000023</v>
      </c>
    </row>
    <row r="16" spans="1:20" x14ac:dyDescent="0.25">
      <c r="I16" s="5" t="s">
        <v>10025</v>
      </c>
      <c r="J16" s="15">
        <v>78710532.099999979</v>
      </c>
      <c r="L16" s="5" t="s">
        <v>10025</v>
      </c>
      <c r="M16" s="15">
        <v>78710532.100000039</v>
      </c>
    </row>
    <row r="19" spans="1:17" x14ac:dyDescent="0.25">
      <c r="A19" s="4" t="s">
        <v>9</v>
      </c>
      <c r="B19" t="s">
        <v>10056</v>
      </c>
      <c r="D19" s="4" t="s">
        <v>9</v>
      </c>
      <c r="E19" t="s">
        <v>10042</v>
      </c>
      <c r="L19" s="4" t="s">
        <v>10055</v>
      </c>
      <c r="M19" t="s">
        <v>10054</v>
      </c>
      <c r="O19" s="4" t="s">
        <v>10055</v>
      </c>
      <c r="P19" s="2" t="s">
        <v>10057</v>
      </c>
      <c r="Q19" s="2" t="s">
        <v>10058</v>
      </c>
    </row>
    <row r="20" spans="1:17" x14ac:dyDescent="0.25">
      <c r="A20" s="5" t="s">
        <v>21</v>
      </c>
      <c r="B20" s="15">
        <v>26127632.420000017</v>
      </c>
      <c r="D20" s="5" t="s">
        <v>54</v>
      </c>
      <c r="E20" s="15">
        <v>18669944.249999929</v>
      </c>
      <c r="L20" s="5" t="s">
        <v>10048</v>
      </c>
      <c r="M20" s="15">
        <v>2641565.1200000029</v>
      </c>
      <c r="O20" s="5" t="s">
        <v>10048</v>
      </c>
      <c r="P20" s="14">
        <v>304</v>
      </c>
      <c r="Q20" s="19">
        <v>18971.957138157904</v>
      </c>
    </row>
    <row r="21" spans="1:17" x14ac:dyDescent="0.25">
      <c r="A21" s="5" t="s">
        <v>41</v>
      </c>
      <c r="B21" s="15">
        <v>11399818.819999991</v>
      </c>
      <c r="D21" s="5" t="s">
        <v>21</v>
      </c>
      <c r="E21" s="15">
        <v>11865446.140000021</v>
      </c>
      <c r="L21" s="5" t="s">
        <v>10049</v>
      </c>
      <c r="M21" s="15">
        <v>4433787.2499999925</v>
      </c>
      <c r="O21" s="5" t="s">
        <v>10049</v>
      </c>
      <c r="P21" s="14">
        <v>452</v>
      </c>
      <c r="Q21" s="19">
        <v>21611.172433628304</v>
      </c>
    </row>
    <row r="22" spans="1:17" x14ac:dyDescent="0.25">
      <c r="A22" s="5" t="s">
        <v>54</v>
      </c>
      <c r="B22" s="15">
        <v>41183080.859999932</v>
      </c>
      <c r="D22" s="5" t="s">
        <v>41</v>
      </c>
      <c r="E22" s="15">
        <v>5113744.9799999995</v>
      </c>
      <c r="L22" s="5" t="s">
        <v>10050</v>
      </c>
      <c r="M22" s="15">
        <v>7349018.0099999886</v>
      </c>
      <c r="O22" s="5" t="s">
        <v>10050</v>
      </c>
      <c r="P22" s="14">
        <v>640</v>
      </c>
      <c r="Q22" s="19">
        <v>25342.619687499984</v>
      </c>
    </row>
    <row r="23" spans="1:17" x14ac:dyDescent="0.25">
      <c r="A23" s="5" t="s">
        <v>10025</v>
      </c>
      <c r="B23" s="15">
        <v>78710532.099999934</v>
      </c>
      <c r="D23" s="5" t="s">
        <v>10025</v>
      </c>
      <c r="E23" s="15">
        <v>35649135.370000184</v>
      </c>
      <c r="L23" s="5" t="s">
        <v>10051</v>
      </c>
      <c r="M23" s="15">
        <v>9532543.4700000305</v>
      </c>
      <c r="O23" s="5" t="s">
        <v>10051</v>
      </c>
      <c r="P23" s="14">
        <v>753</v>
      </c>
      <c r="Q23" s="19">
        <v>27986.36305444891</v>
      </c>
    </row>
    <row r="24" spans="1:17" x14ac:dyDescent="0.25">
      <c r="L24" s="5" t="s">
        <v>10052</v>
      </c>
      <c r="M24" s="15">
        <v>11692221.520000035</v>
      </c>
      <c r="O24" s="5" t="s">
        <v>10052</v>
      </c>
      <c r="P24" s="14">
        <v>851</v>
      </c>
      <c r="Q24" s="19">
        <v>30413.395076380755</v>
      </c>
    </row>
    <row r="25" spans="1:17" x14ac:dyDescent="0.25">
      <c r="L25" s="5" t="s">
        <v>10025</v>
      </c>
      <c r="M25" s="15">
        <v>35649135.36999993</v>
      </c>
      <c r="O25" s="5" t="s">
        <v>10025</v>
      </c>
      <c r="P25" s="14">
        <v>3000</v>
      </c>
      <c r="Q25" s="19">
        <v>26236.84403333332</v>
      </c>
    </row>
  </sheetData>
  <phoneticPr fontId="5" type="noConversion"/>
  <pageMargins left="0.7" right="0.7" top="0.75" bottom="0.75" header="0.3" footer="0.3"/>
  <pageSetup orientation="portrait" r:id="rId12"/>
  <tableParts count="1">
    <tablePart r:id="rId1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D30EC-E127-418E-BC64-9B83936048FD}">
  <sheetPr codeName="Sheet6"/>
  <dimension ref="C7:M53"/>
  <sheetViews>
    <sheetView showGridLines="0" zoomScale="81" zoomScaleNormal="81" workbookViewId="0">
      <selection activeCell="T56" sqref="T56"/>
    </sheetView>
  </sheetViews>
  <sheetFormatPr defaultRowHeight="15" x14ac:dyDescent="0.25"/>
  <cols>
    <col min="1" max="16384" width="9.140625" style="2"/>
  </cols>
  <sheetData>
    <row r="7" spans="3:3" ht="15.75" x14ac:dyDescent="0.25">
      <c r="C7" s="10"/>
    </row>
    <row r="49" spans="12:13" ht="15.75" x14ac:dyDescent="0.25">
      <c r="L49" s="10"/>
    </row>
    <row r="53" spans="12:13" x14ac:dyDescent="0.25">
      <c r="M53" s="17"/>
    </row>
  </sheetData>
  <sheetProtection sheet="1" scenarios="1" sort="0"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AB2FD-8AAC-4A2E-9275-2A2CBF69F8EA}">
  <sheetPr codeName="Sheet5"/>
  <dimension ref="A4:M53"/>
  <sheetViews>
    <sheetView showGridLines="0" tabSelected="1" zoomScale="74" zoomScaleNormal="81" workbookViewId="0">
      <selection activeCell="AC47" sqref="AC47"/>
    </sheetView>
  </sheetViews>
  <sheetFormatPr defaultRowHeight="15" x14ac:dyDescent="0.25"/>
  <cols>
    <col min="1" max="16384" width="9.140625" style="21"/>
  </cols>
  <sheetData>
    <row r="4" spans="1:5" x14ac:dyDescent="0.25">
      <c r="A4" s="20"/>
      <c r="B4" s="20"/>
      <c r="C4" s="20"/>
      <c r="D4" s="20"/>
      <c r="E4" s="20"/>
    </row>
    <row r="5" spans="1:5" x14ac:dyDescent="0.25">
      <c r="A5" s="20"/>
      <c r="B5" s="20"/>
      <c r="C5" s="20"/>
      <c r="D5" s="20"/>
      <c r="E5" s="20"/>
    </row>
    <row r="6" spans="1:5" x14ac:dyDescent="0.25">
      <c r="A6" s="20"/>
      <c r="B6" s="20"/>
      <c r="C6" s="20"/>
      <c r="D6" s="20"/>
      <c r="E6" s="20"/>
    </row>
    <row r="7" spans="1:5" ht="15.75" x14ac:dyDescent="0.25">
      <c r="A7" s="20"/>
      <c r="B7" s="20"/>
      <c r="C7" s="22"/>
      <c r="D7" s="20"/>
      <c r="E7" s="20"/>
    </row>
    <row r="8" spans="1:5" x14ac:dyDescent="0.25">
      <c r="A8" s="20"/>
      <c r="B8" s="20"/>
      <c r="C8" s="20"/>
      <c r="D8" s="20"/>
      <c r="E8" s="20"/>
    </row>
    <row r="9" spans="1:5" x14ac:dyDescent="0.25">
      <c r="A9" s="20"/>
      <c r="B9" s="20"/>
      <c r="C9" s="20"/>
      <c r="D9" s="20"/>
      <c r="E9" s="20"/>
    </row>
    <row r="10" spans="1:5" x14ac:dyDescent="0.25">
      <c r="A10" s="20"/>
      <c r="B10" s="20"/>
      <c r="C10" s="20"/>
      <c r="D10" s="20"/>
      <c r="E10" s="20"/>
    </row>
    <row r="11" spans="1:5" x14ac:dyDescent="0.25">
      <c r="A11" s="20"/>
      <c r="B11" s="20"/>
      <c r="C11" s="20"/>
      <c r="D11" s="20"/>
      <c r="E11" s="20"/>
    </row>
    <row r="12" spans="1:5" x14ac:dyDescent="0.25">
      <c r="A12" s="20"/>
      <c r="B12" s="20"/>
      <c r="C12" s="20"/>
      <c r="D12" s="20"/>
      <c r="E12" s="20"/>
    </row>
    <row r="13" spans="1:5" x14ac:dyDescent="0.25">
      <c r="A13" s="20"/>
      <c r="B13" s="20"/>
      <c r="C13" s="20"/>
      <c r="D13" s="20"/>
      <c r="E13" s="20"/>
    </row>
    <row r="14" spans="1:5" x14ac:dyDescent="0.25">
      <c r="A14" s="20"/>
      <c r="B14" s="20"/>
      <c r="C14" s="20"/>
      <c r="D14" s="20"/>
      <c r="E14" s="20"/>
    </row>
    <row r="15" spans="1:5" x14ac:dyDescent="0.25">
      <c r="A15" s="20"/>
      <c r="B15" s="20"/>
      <c r="C15" s="20"/>
      <c r="D15" s="20"/>
      <c r="E15" s="20"/>
    </row>
    <row r="16" spans="1:5" x14ac:dyDescent="0.25">
      <c r="A16" s="20"/>
      <c r="B16" s="20"/>
      <c r="C16" s="20"/>
      <c r="D16" s="20"/>
      <c r="E16" s="20"/>
    </row>
    <row r="17" spans="1:5" x14ac:dyDescent="0.25">
      <c r="A17" s="20"/>
      <c r="B17" s="20"/>
      <c r="C17" s="20"/>
      <c r="D17" s="20"/>
      <c r="E17" s="20"/>
    </row>
    <row r="18" spans="1:5" x14ac:dyDescent="0.25">
      <c r="A18" s="20"/>
      <c r="B18" s="20"/>
      <c r="C18" s="20"/>
      <c r="D18" s="20"/>
      <c r="E18" s="20"/>
    </row>
    <row r="19" spans="1:5" x14ac:dyDescent="0.25">
      <c r="A19" s="20"/>
      <c r="B19" s="20"/>
      <c r="C19" s="20"/>
      <c r="D19" s="20"/>
      <c r="E19" s="20"/>
    </row>
    <row r="20" spans="1:5" x14ac:dyDescent="0.25">
      <c r="A20" s="20"/>
      <c r="B20" s="20"/>
      <c r="C20" s="20"/>
      <c r="D20" s="20"/>
      <c r="E20" s="20"/>
    </row>
    <row r="21" spans="1:5" x14ac:dyDescent="0.25">
      <c r="A21" s="20"/>
      <c r="B21" s="20"/>
      <c r="C21" s="20"/>
      <c r="D21" s="20"/>
      <c r="E21" s="20"/>
    </row>
    <row r="22" spans="1:5" x14ac:dyDescent="0.25">
      <c r="A22" s="20"/>
      <c r="B22" s="20"/>
      <c r="C22" s="20"/>
      <c r="D22" s="20"/>
      <c r="E22" s="20"/>
    </row>
    <row r="23" spans="1:5" x14ac:dyDescent="0.25">
      <c r="A23" s="20"/>
      <c r="B23" s="20"/>
      <c r="C23" s="20"/>
      <c r="D23" s="20"/>
      <c r="E23" s="20"/>
    </row>
    <row r="24" spans="1:5" x14ac:dyDescent="0.25">
      <c r="A24" s="20"/>
      <c r="B24" s="20"/>
      <c r="C24" s="20"/>
      <c r="D24" s="20"/>
      <c r="E24" s="20"/>
    </row>
    <row r="25" spans="1:5" x14ac:dyDescent="0.25">
      <c r="A25" s="20"/>
      <c r="B25" s="20"/>
      <c r="C25" s="20"/>
      <c r="D25" s="20"/>
      <c r="E25" s="20"/>
    </row>
    <row r="26" spans="1:5" x14ac:dyDescent="0.25">
      <c r="A26" s="20"/>
      <c r="B26" s="20"/>
      <c r="C26" s="20"/>
      <c r="D26" s="20"/>
      <c r="E26" s="20"/>
    </row>
    <row r="27" spans="1:5" x14ac:dyDescent="0.25">
      <c r="A27" s="20"/>
      <c r="B27" s="20"/>
      <c r="C27" s="20"/>
      <c r="D27" s="20"/>
      <c r="E27" s="20"/>
    </row>
    <row r="28" spans="1:5" x14ac:dyDescent="0.25">
      <c r="A28" s="20"/>
      <c r="B28" s="20"/>
      <c r="C28" s="20"/>
      <c r="D28" s="20"/>
      <c r="E28" s="20"/>
    </row>
    <row r="29" spans="1:5" x14ac:dyDescent="0.25">
      <c r="A29" s="20"/>
      <c r="B29" s="20"/>
      <c r="C29" s="20"/>
      <c r="D29" s="20"/>
      <c r="E29" s="20"/>
    </row>
    <row r="30" spans="1:5" x14ac:dyDescent="0.25">
      <c r="A30" s="20"/>
      <c r="B30" s="20"/>
      <c r="C30" s="20"/>
      <c r="D30" s="20"/>
      <c r="E30" s="20"/>
    </row>
    <row r="31" spans="1:5" x14ac:dyDescent="0.25">
      <c r="A31" s="20"/>
      <c r="B31" s="20"/>
      <c r="C31" s="20"/>
      <c r="D31" s="20"/>
      <c r="E31" s="20"/>
    </row>
    <row r="32" spans="1:5" x14ac:dyDescent="0.25">
      <c r="A32" s="20"/>
      <c r="B32" s="20"/>
      <c r="C32" s="20"/>
      <c r="D32" s="20"/>
      <c r="E32" s="20"/>
    </row>
    <row r="33" spans="1:5" x14ac:dyDescent="0.25">
      <c r="A33" s="20"/>
      <c r="B33" s="20"/>
      <c r="C33" s="20"/>
      <c r="D33" s="20"/>
      <c r="E33" s="20"/>
    </row>
    <row r="34" spans="1:5" x14ac:dyDescent="0.25">
      <c r="A34" s="20"/>
      <c r="B34" s="20"/>
      <c r="C34" s="20"/>
      <c r="D34" s="20"/>
      <c r="E34" s="20"/>
    </row>
    <row r="35" spans="1:5" x14ac:dyDescent="0.25">
      <c r="A35" s="20"/>
      <c r="B35" s="20"/>
      <c r="C35" s="20"/>
      <c r="D35" s="20"/>
      <c r="E35" s="20"/>
    </row>
    <row r="36" spans="1:5" x14ac:dyDescent="0.25">
      <c r="A36" s="20"/>
      <c r="B36" s="20"/>
      <c r="C36" s="20"/>
      <c r="D36" s="20"/>
      <c r="E36" s="20"/>
    </row>
    <row r="37" spans="1:5" x14ac:dyDescent="0.25">
      <c r="A37" s="20"/>
      <c r="B37" s="20"/>
      <c r="C37" s="20"/>
      <c r="D37" s="20"/>
      <c r="E37" s="20"/>
    </row>
    <row r="38" spans="1:5" x14ac:dyDescent="0.25">
      <c r="A38" s="20"/>
      <c r="B38" s="20"/>
      <c r="C38" s="20"/>
      <c r="D38" s="20"/>
      <c r="E38" s="20"/>
    </row>
    <row r="39" spans="1:5" x14ac:dyDescent="0.25">
      <c r="A39" s="20"/>
      <c r="B39" s="20"/>
      <c r="C39" s="20"/>
      <c r="D39" s="20"/>
      <c r="E39" s="20"/>
    </row>
    <row r="40" spans="1:5" x14ac:dyDescent="0.25">
      <c r="A40" s="20"/>
      <c r="B40" s="20"/>
      <c r="C40" s="20"/>
      <c r="D40" s="20"/>
      <c r="E40" s="20"/>
    </row>
    <row r="41" spans="1:5" x14ac:dyDescent="0.25">
      <c r="A41" s="20"/>
      <c r="B41" s="20"/>
      <c r="C41" s="20"/>
      <c r="D41" s="20"/>
      <c r="E41" s="20"/>
    </row>
    <row r="42" spans="1:5" x14ac:dyDescent="0.25">
      <c r="A42" s="20"/>
      <c r="B42" s="20"/>
      <c r="C42" s="20"/>
      <c r="D42" s="20"/>
      <c r="E42" s="20"/>
    </row>
    <row r="43" spans="1:5" x14ac:dyDescent="0.25">
      <c r="A43" s="20"/>
      <c r="B43" s="20"/>
      <c r="C43" s="20"/>
      <c r="D43" s="20"/>
      <c r="E43" s="20"/>
    </row>
    <row r="44" spans="1:5" x14ac:dyDescent="0.25">
      <c r="A44" s="20"/>
      <c r="B44" s="20"/>
      <c r="C44" s="20"/>
      <c r="D44" s="20"/>
      <c r="E44" s="20"/>
    </row>
    <row r="45" spans="1:5" x14ac:dyDescent="0.25">
      <c r="A45" s="20"/>
      <c r="B45" s="20"/>
      <c r="C45" s="20"/>
      <c r="D45" s="20"/>
      <c r="E45" s="20"/>
    </row>
    <row r="46" spans="1:5" x14ac:dyDescent="0.25">
      <c r="A46" s="20"/>
      <c r="B46" s="20"/>
      <c r="C46" s="20"/>
      <c r="D46" s="20"/>
      <c r="E46" s="20"/>
    </row>
    <row r="49" spans="12:13" ht="15.75" x14ac:dyDescent="0.25">
      <c r="L49" s="23"/>
    </row>
    <row r="53" spans="12:13" x14ac:dyDescent="0.25">
      <c r="M53" s="2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RawData</vt:lpstr>
      <vt:lpstr>SalesData</vt:lpstr>
      <vt:lpstr>Pivot</vt:lpstr>
      <vt:lpstr>Dashboard (2)</vt:lpstr>
      <vt:lpstr>Dashboard</vt:lpstr>
      <vt:lpstr>agv</vt:lpstr>
      <vt:lpstr>avg</vt:lpstr>
      <vt:lpstr>avge</vt:lpstr>
      <vt:lpstr>later</vt:lpstr>
      <vt:lpstr>now</vt:lpstr>
      <vt:lpstr>orde</vt:lpstr>
      <vt:lpstr>order</vt:lpstr>
      <vt:lpstr>Dashboard!orders</vt:lpstr>
      <vt:lpstr>'Dashboard (2)'!orders</vt:lpstr>
      <vt:lpstr>orders</vt:lpstr>
      <vt:lpstr>plater</vt:lpstr>
      <vt:lpstr>pnow</vt:lpstr>
      <vt:lpstr>pnoww</vt:lpstr>
      <vt:lpstr>profi</vt:lpstr>
      <vt:lpstr>profit</vt:lpstr>
      <vt:lpstr>sale</vt:lpstr>
      <vt:lpstr>sales</vt:lpstr>
      <vt:lpstr>tr</vt:lpstr>
      <vt:lpstr>yoy1</vt:lpstr>
      <vt:lpstr>yoy2</vt:lpstr>
      <vt:lpstr>yoy3</vt:lpstr>
      <vt:lpstr>yoy4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Adekunle Adeoye</cp:lastModifiedBy>
  <dcterms:created xsi:type="dcterms:W3CDTF">2026-03-17T13:06:31Z</dcterms:created>
  <dcterms:modified xsi:type="dcterms:W3CDTF">2026-03-29T10:11:36Z</dcterms:modified>
</cp:coreProperties>
</file>